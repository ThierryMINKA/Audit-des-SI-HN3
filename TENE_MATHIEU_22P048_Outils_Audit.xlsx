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firstSheet="1" activeTab="1"/>
  </bookViews>
  <sheets>
    <sheet name="Global" sheetId="7" r:id="rId1"/>
    <sheet name="Synthèse" sheetId="8" r:id="rId2"/>
    <sheet name="COSO" sheetId="1" r:id="rId3"/>
    <sheet name="4.1 Application en service" sheetId="2" r:id="rId4"/>
    <sheet name="4.2 Fonction Informatique" sheetId="3" r:id="rId5"/>
    <sheet name="4.3 Projets Informatiques" sheetId="4" r:id="rId6"/>
    <sheet name="4.4 Support Utilisateur" sheetId="5" r:id="rId7"/>
    <sheet name="4.5 Sécurité Informatique" sheetId="6" r:id="rId8"/>
  </sheets>
  <externalReferences>
    <externalReference r:id="rId9"/>
  </externalReferences>
  <calcPr calcId="152511"/>
</workbook>
</file>

<file path=xl/calcChain.xml><?xml version="1.0" encoding="utf-8"?>
<calcChain xmlns="http://schemas.openxmlformats.org/spreadsheetml/2006/main">
  <c r="H6" i="8" l="1"/>
  <c r="H7" i="8"/>
  <c r="H8" i="8"/>
  <c r="H9" i="8"/>
  <c r="H10" i="8"/>
  <c r="G10" i="8"/>
  <c r="G9" i="8"/>
  <c r="G8" i="8"/>
  <c r="G7" i="8"/>
  <c r="G6" i="8"/>
  <c r="F10" i="8"/>
  <c r="E10" i="8"/>
  <c r="D10" i="8"/>
  <c r="F9" i="8"/>
  <c r="E9" i="8"/>
  <c r="D9" i="8"/>
  <c r="F8" i="8"/>
  <c r="E8" i="8"/>
  <c r="D8" i="8"/>
  <c r="F7" i="8"/>
  <c r="E7" i="8"/>
  <c r="D7" i="8"/>
  <c r="F6" i="8"/>
  <c r="E6" i="8"/>
  <c r="D6" i="8"/>
  <c r="F11" i="8" l="1"/>
  <c r="E11" i="8"/>
  <c r="D11" i="8" l="1"/>
  <c r="G11" i="8" s="1"/>
  <c r="H11" i="8" l="1"/>
</calcChain>
</file>

<file path=xl/sharedStrings.xml><?xml version="1.0" encoding="utf-8"?>
<sst xmlns="http://schemas.openxmlformats.org/spreadsheetml/2006/main" count="24004" uniqueCount="9662">
  <si>
    <t>Domaines</t>
  </si>
  <si>
    <t>Responsables</t>
  </si>
  <si>
    <t>Durée</t>
  </si>
  <si>
    <t>Moyens pour la réalisation</t>
  </si>
  <si>
    <t>Parties Prenantes</t>
  </si>
  <si>
    <t>Points de Contrôle</t>
  </si>
  <si>
    <t>Objectifs de Contrôle </t>
  </si>
  <si>
    <t>Critère d’Évaluation </t>
  </si>
  <si>
    <t>Question d’Évaluation </t>
  </si>
  <si>
    <t>Réponses</t>
  </si>
  <si>
    <t>Documents Requis </t>
  </si>
  <si>
    <t>Risques</t>
  </si>
  <si>
    <t>Criticités</t>
  </si>
  <si>
    <t>Conséquences</t>
  </si>
  <si>
    <t>Remarques</t>
  </si>
  <si>
    <t>Gestion des Comptes</t>
  </si>
  <si>
    <t>Création des comptes comptables</t>
  </si>
  <si>
    <t>Assurer que les comptes sont créés conformément au plan comptable.</t>
  </si>
  <si>
    <t>Le compte suit le format et les catégories du plan comptable de l’entreprise</t>
  </si>
  <si>
    <t>Le compte est-il conforme aux catégories prédéfinies dans le plan comptable ?</t>
  </si>
  <si>
    <t>OUI</t>
  </si>
  <si>
    <t>Plan comptable de l’entreprise</t>
  </si>
  <si>
    <t>Non-conformité avec le plan comptable</t>
  </si>
  <si>
    <t>Elevée</t>
  </si>
  <si>
    <t>Difficulté de suivre les transactions</t>
  </si>
  <si>
    <t>Conformité avec le plan comptable officiel.</t>
  </si>
  <si>
    <t xml:space="preserve">le compte est t'il conforme au plan comptable officiel? </t>
  </si>
  <si>
    <t>Respect des normes comptables internes.</t>
  </si>
  <si>
    <t>les normes comptables internes sont elles respectées?</t>
  </si>
  <si>
    <t>Exactitude des codes et des numéros de comptes.</t>
  </si>
  <si>
    <t xml:space="preserve">les codes et les numéros de comptes sont-ils exacte ou conforme? </t>
  </si>
  <si>
    <t>Conformité avec les règles fiscales applicables.</t>
  </si>
  <si>
    <t xml:space="preserve">les comptes sont-ils conformes aux règles fiscales applicables ? </t>
  </si>
  <si>
    <t>Vérifier que les comptes comptables sont créés selon les procédures et les instructions internes</t>
  </si>
  <si>
    <t>Respect du processus de création des comptes.</t>
  </si>
  <si>
    <t xml:space="preserve">le processus de création des compte est-il respecté? </t>
  </si>
  <si>
    <t>Documentation complète des procédures suivies.</t>
  </si>
  <si>
    <t>les procédures suivies sont-elles entierement documentées?</t>
  </si>
  <si>
    <t>Validation des comptes par les personnes autorisées.</t>
  </si>
  <si>
    <t>est ce que les comptes sont validés par les personnes autorisées?</t>
  </si>
  <si>
    <t>Mise en place de contrôles internes pour la création des comptes.</t>
  </si>
  <si>
    <t xml:space="preserve">des contrôles internes pour la creation des comptes sont-ils mit en place? </t>
  </si>
  <si>
    <t>Conformité avec les contrôles de sécurité liés à la création des comptes.</t>
  </si>
  <si>
    <t xml:space="preserve">les comptes comptables sont-ils conforméments aux contrôles de sécurité? </t>
  </si>
  <si>
    <t>S'assurer que les comptes comptables sont créés avec les informations exactes et complètes</t>
  </si>
  <si>
    <t>Exactitude des données saisies (nom, description, catégorie, etc.).</t>
  </si>
  <si>
    <t xml:space="preserve">les données saisies sont-elles exactes? </t>
  </si>
  <si>
    <t>Complétude des informations demandées pour chaque compte.</t>
  </si>
  <si>
    <t xml:space="preserve">les informations demandées pour chaque comptes sont-elles complètes? </t>
  </si>
  <si>
    <t>Vérification des informations dans les systèmes sources (factures, contrats, etc.).</t>
  </si>
  <si>
    <t>les informations ont-elles été vérifiées dans les systèmes sources ?</t>
  </si>
  <si>
    <t>Absence d’erreurs de saisie (validation des données).</t>
  </si>
  <si>
    <t xml:space="preserve">les données saisies sont-elles valides? (absences d'erreurs) </t>
  </si>
  <si>
    <t>Mise à jour des informations en cas de changement.</t>
  </si>
  <si>
    <t xml:space="preserve">en cas de changement les données sont-elles mises à jour? </t>
  </si>
  <si>
    <t>Valider que les comptes créés sont correctement classifiés selon les catégories appropriées</t>
  </si>
  <si>
    <t>Conformité avec le plan comptable et les règles de classification.</t>
  </si>
  <si>
    <t xml:space="preserve">les comptes crées sont-ils conforme au plan comptable et aux règles de validations? </t>
  </si>
  <si>
    <t>Vérification de la logique de classement selon les types de comptes (actifs, passifs, charges, produits).</t>
  </si>
  <si>
    <t xml:space="preserve">les comptes sont-ils classés par types? </t>
  </si>
  <si>
    <t>Cohérence avec les pratiques comptables sectorielles.</t>
  </si>
  <si>
    <t>les comptes sont-ils crées en cohérence avec les pratiques comptables sectorielles?</t>
  </si>
  <si>
    <t>Validation par un responsable avant classification finale.</t>
  </si>
  <si>
    <t xml:space="preserve">les comptes sont-ils validés par un responsable avant la classification finale? </t>
  </si>
  <si>
    <t>Réconciliation avec les comptes précédemment classifiés.</t>
  </si>
  <si>
    <t xml:space="preserve">les comptes sont-ils en conciliation avec les ceux précédemment classifiés? </t>
  </si>
  <si>
    <t>Contrôler que la création des comptes est effectuée avec les autorisations requises</t>
  </si>
  <si>
    <t>Vérification des niveaux d’approbation des comptes créés.</t>
  </si>
  <si>
    <t xml:space="preserve">est ce que les niveaux d'approbations des comptes ont été vérifiés? </t>
  </si>
  <si>
    <t>Conformité avec les politiques d'accès et d'autorisation internes.</t>
  </si>
  <si>
    <t xml:space="preserve">les comptes sont-ils conformes aux politiques d'accès ? </t>
  </si>
  <si>
    <t>Existence de journaux de validation des créations de comptes.</t>
  </si>
  <si>
    <t xml:space="preserve">existe-t-il des journaux de validation de création de compte? </t>
  </si>
  <si>
    <t>Séparation des rôles pour éviter les conflits d’intérêts.</t>
  </si>
  <si>
    <t xml:space="preserve">les rôles ont-il élé bien  séparé ? </t>
  </si>
  <si>
    <t>Suivi des comptes créés sans validation ou autorisation appropriée.</t>
  </si>
  <si>
    <t>les comptes sont-ils suivis avec validation ou autorisation appropriées?</t>
  </si>
  <si>
    <t>Effectuer une réconciliation périodique des comptes créés avec le plan comptable officielle</t>
  </si>
  <si>
    <t>Vérification de la fréquence des réconciliations effectuées (mensuelle, trimestrielle, etc.).</t>
  </si>
  <si>
    <t xml:space="preserve">les réconcialiation effectuées sont elles fréquemment suivis? </t>
  </si>
  <si>
    <t>Conformité de la réconciliation avec les normes comptables en vigueur.</t>
  </si>
  <si>
    <t>la réconciliation des comptes est-elle conforme aux normes en vigueur?</t>
  </si>
  <si>
    <t>Exactitude des correspondances entre les comptes créés et le plan comptable officiel.</t>
  </si>
  <si>
    <t>les correspondances entre les comptes créés et le plan comptable officiel sont -elles exactes?</t>
  </si>
  <si>
    <t>Validation de la réconciliation par une personne autorisée avant l'enregistrement.</t>
  </si>
  <si>
    <t xml:space="preserve">la réconciliation des comptes est-elle validée par des personnes autorisées? </t>
  </si>
  <si>
    <t>Documentation des écarts et corrections effectuées lors de la réconciliation.</t>
  </si>
  <si>
    <t>les écarts et corrections effectués lors de la réconciliation sont-elles documentés?</t>
  </si>
  <si>
    <t>Validation des comptes créés</t>
  </si>
  <si>
    <t>Assurer l’exactitude et la validation des nouveaux comptes créés.</t>
  </si>
  <si>
    <t>Vérification de la complétude et de la précision des informations relatives aux nouveaux comptes.</t>
  </si>
  <si>
    <t>Les comptes créés ont-ils été validés par un responsable ?</t>
  </si>
  <si>
    <t>Fiche d’approbation des comptes</t>
  </si>
  <si>
    <t>Création de comptes non validés</t>
  </si>
  <si>
    <t>Moyenne</t>
  </si>
  <si>
    <t>Comptes redondants ou erronés</t>
  </si>
  <si>
    <t>Mise en place de contrôles de validation avant l'activation des nouveaux comptes dans le système comptable.</t>
  </si>
  <si>
    <t xml:space="preserve">le contrôle de validation est-il mit en place? </t>
  </si>
  <si>
    <t>Documentation des validations effectuées pour chaque nouveau compte.</t>
  </si>
  <si>
    <t xml:space="preserve">est ce que la documentation des validations est effectuée pour chaque nouveau compte? </t>
  </si>
  <si>
    <t>Réconciliation des nouveaux comptes avec les documents justificatifs avant validation.</t>
  </si>
  <si>
    <t>est ce que les nouveaux comptes sont en normes avec les documents avant validation?</t>
  </si>
  <si>
    <t>Suivi des anomalies ou erreurs de validation détectées et des actions correctives entreprises.</t>
  </si>
  <si>
    <t>les anomalies détectées sont elles suivies et corrigées?</t>
  </si>
  <si>
    <t>Vérifier la conformité des comptes validés avec le plan comptable.</t>
  </si>
  <si>
    <t>Conformité des codes de comptes validés avec ceux du plan comptable officiel.</t>
  </si>
  <si>
    <t>les codes de comptes validés sont-ils conforme avec ceux du plan comptable?</t>
  </si>
  <si>
    <t>Vérification de la classification correcte des comptes dans les catégories appropriées.</t>
  </si>
  <si>
    <t>les comptes sont-ils correctement classifiés dans les catégories appropriées?</t>
  </si>
  <si>
    <t>Contrôle de la correspondance des comptes validés avec les informations sources (factures, contrats, etc.).</t>
  </si>
  <si>
    <t>les comptes validés correspondent-ils aux informations sources?</t>
  </si>
  <si>
    <t>Validation des comptes validés par un responsable qualifié.</t>
  </si>
  <si>
    <t>les comptes sont-ils validés par un responsable qualifié?</t>
  </si>
  <si>
    <t>Documentation des comptes validés et validation par une personne autorisée.</t>
  </si>
  <si>
    <t>les documents des comptes sont-ils validés par un responsable qualifié?</t>
  </si>
  <si>
    <t>S'assurer que la validation des comptes est effectuée par des personnes autorisées.</t>
  </si>
  <si>
    <t>Vérification des niveaux d’autorisation pour la validation des comptes.</t>
  </si>
  <si>
    <t>existe-t-il des niveaux d'autorisation pour la validation des comptes?</t>
  </si>
  <si>
    <t>Conformité des processus de validation avec les politiques internes d’approbation.</t>
  </si>
  <si>
    <t xml:space="preserve">les processus de validation sont-ils conformes aux politique internes d'approbation? </t>
  </si>
  <si>
    <t>Suivi des comptes validés sans autorisation ou validation par des personnes non qualifiées.</t>
  </si>
  <si>
    <t>est ce que les comptes sont suivis et validés par des personnes qualifiées?</t>
  </si>
  <si>
    <t>Contrôles de sécurité pour limiter les accès aux processus de validation.</t>
  </si>
  <si>
    <t>les processus de validation ont-ils un accès limité?</t>
  </si>
  <si>
    <t>Documentation de toutes les validations effectuées, incluant les noms des personnes autorisées.</t>
  </si>
  <si>
    <t>les validations effectuées sont-elles documentées?</t>
  </si>
  <si>
    <t>Contrôler que les comptes validés sont correctement classifiés et référencés</t>
  </si>
  <si>
    <t>Vérification de la classification des comptes en fonction des normes comptables et des instructions internes.</t>
  </si>
  <si>
    <t xml:space="preserve">les comptes sont-ils classés en fonctions des normes comptables et des instructions internes? </t>
  </si>
  <si>
    <t>Conformité avec les catégories définies dans le plan comptable (actif, passif, charges, produits).</t>
  </si>
  <si>
    <t>les comptes sont -ils conformes aux catégories définies dans le plan comptable?</t>
  </si>
  <si>
    <t>Validation des classifications des comptes par une personne autorisée avant l’enregistrement final.</t>
  </si>
  <si>
    <t>les comptes sont-ils classifés et valider par les personnes autorisées?</t>
  </si>
  <si>
    <t>Suivi des erreurs ou incohérences dans les classifications et documentation des actions correctives.</t>
  </si>
  <si>
    <t>les erreurs dans les classifications sont-elles suivis?</t>
  </si>
  <si>
    <t>Réconciliation des classifications avec les états financiers et les rapports internes.</t>
  </si>
  <si>
    <t>les classifications avec les états financiers et les rapports internes sont-ils en accord?</t>
  </si>
  <si>
    <t>Assurer que les comptes validés sont enregistrés dans les systèmes comptables de manière cohérente</t>
  </si>
  <si>
    <t>Vérification de l'enregistrement systématique des comptes validés dans le système comptable.</t>
  </si>
  <si>
    <t>les comptes validés ont-ils bien été enregistré?</t>
  </si>
  <si>
    <t>Conformité des comptes enregistrés avec les procédures internes d'enregistrement.</t>
  </si>
  <si>
    <t>les comptes ont-ils  été enregistrés conformément aux procédures interne d'enregistrement?</t>
  </si>
  <si>
    <t>Réconciliation des comptes enregistrés avec les comptes validés.</t>
  </si>
  <si>
    <t>les comptes enregistrés sont-ils en accord avec le comptes validés?</t>
  </si>
  <si>
    <t>Absence d’erreurs ou de doublons dans les enregistrements des comptes validés.</t>
  </si>
  <si>
    <t>les comptes validés sont-ils correctement enregistrés?</t>
  </si>
  <si>
    <t>Documentation des enregistrements effectués, avec trace de la personne responsable.</t>
  </si>
  <si>
    <t>les enregistrés effectués sont-ils documentés?</t>
  </si>
  <si>
    <t>Vérifier que la validation des comptes est documentée et traçable</t>
  </si>
  <si>
    <t>Existence d'un enregistrement formel pour chaque validation de compte.</t>
  </si>
  <si>
    <t>existe-t-il un enregistrement formel pour chaque validation de compte?</t>
  </si>
  <si>
    <t>Accès à une trace complète de toutes les étapes de la validation des comptes.</t>
  </si>
  <si>
    <t>Les étapes de la validation des comptes sont-elles entièrement traçables et accessibles ?</t>
  </si>
  <si>
    <t>Vérification que les documents de validation sont bien conservés dans le système de gestion comptable.</t>
  </si>
  <si>
    <t>Les documents de validation sont-ils correctement conservés et accessibles dans le système de gestion comptable ?</t>
  </si>
  <si>
    <t>Suivi des comptes validés sans documentation ou traçabilité adéquate.</t>
  </si>
  <si>
    <t>Existe-t-il un suivi pour les comptes validés sans documentation ou traçabilité suffisante ?</t>
  </si>
  <si>
    <t>Réconciliation entre les validations des comptes et les rapports comptables.</t>
  </si>
  <si>
    <t>La réconciliation entre les validations des comptes et les rapports comptables est-elle régulièrement effectuée et documentée ?</t>
  </si>
  <si>
    <t>LINDSAY</t>
  </si>
  <si>
    <t>Mise à jour des soldes de comptes</t>
  </si>
  <si>
    <t>Vérifier que les soldes sont actualisés après chaque transaction.</t>
  </si>
  <si>
    <t>Journal de transactions</t>
  </si>
  <si>
    <t>Retard dans la mise à jour des soldes</t>
  </si>
  <si>
    <t>Déséquilibres financiers</t>
  </si>
  <si>
    <t>Suivi des écarts entre les soldes prévus et les soldes réels après transaction.</t>
  </si>
  <si>
    <t>Les écarts entre les soldes prévus et réels après transaction sont-ils régulièrement suivis et documentés ?</t>
  </si>
  <si>
    <t>Existence de contrôles internes automatisés pour vérifier l’actualisation des soldes.</t>
  </si>
  <si>
    <t>Des contrôles internes automatisés sont-ils en place pour vérifier l’actualisation des soldes ?</t>
  </si>
  <si>
    <t>Conformité des soldes actualisés avec les documents justificatifs des transactions.</t>
  </si>
  <si>
    <t>Les soldes actualisés sont-ils conformes aux documents justificatifs des transactions ?</t>
  </si>
  <si>
    <t>Validation des soldes actualisés par un responsable avant leur finalisation.</t>
  </si>
  <si>
    <t>Les soldes actualisés sont-ils validés par un responsable avant leur finalisation ?</t>
  </si>
  <si>
    <t>Contrôle de la correspondance des comptes validés avec le plan comptable officiel.</t>
  </si>
  <si>
    <t>Les comptes validés sont-ils contrôlés pour assurer leur correspondance avec le plan comptable officiel ?</t>
  </si>
  <si>
    <t>Les comptes sont-ils correctement classifiés dans les catégories appropriées ?</t>
  </si>
  <si>
    <t>Réconciliation des comptes validés avec les catégories du plan comptable.</t>
  </si>
  <si>
    <t>Les comptes validés sont-ils réconciliés avec les catégories du plan comptable ?</t>
  </si>
  <si>
    <t>Validation par un responsable de la conformité de chaque compte avec les normes comptables.</t>
  </si>
  <si>
    <t>Un responsable valide-t-il la conformité de chaque compte avec les normes comptables avant leur finalisation ?</t>
  </si>
  <si>
    <t>Documentation de la validation de la conformité des comptes avec le plan comptable.</t>
  </si>
  <si>
    <t>La validation de la conformité des comptes avec le plan comptable est-elle correctement documentée ?</t>
  </si>
  <si>
    <t>Vérification que seules les personnes autorisées validant les comptes selon les rôles définis.</t>
  </si>
  <si>
    <t>Seules les personnes autorisées valident-elles les comptes, conformément aux rôles définis ?</t>
  </si>
  <si>
    <t>Contrôle des niveaux d’autorisation pour la validation des comptes.</t>
  </si>
  <si>
    <t>Les niveaux d’autorisation pour la validation des comptes sont-ils contrôlés et respectés ?</t>
  </si>
  <si>
    <t>Suivi des comptes validés sans les autorisations requises.</t>
  </si>
  <si>
    <t>Les comptes validés sans les autorisations requises sont-ils suivis et rectifiés ?</t>
  </si>
  <si>
    <t>Mise en place de mécanismes de contrôle d’accès aux processus de validation.</t>
  </si>
  <si>
    <t>Des mécanismes de contrôle d’accès aux processus de validation sont-ils en place ?</t>
  </si>
  <si>
    <t>Documentation des validations effectuées, incluant les noms et signatures des personnes autorisées.</t>
  </si>
  <si>
    <t>Les validations effectuées sont-elles documentées, incluant les noms et signatures des personnes autorisées ?</t>
  </si>
  <si>
    <t>Vérification que chaque compte validé est correctement classifié selon le plan comptable.</t>
  </si>
  <si>
    <t>Chaque compte validé est-il correctement classifié selon le plan comptable ?</t>
  </si>
  <si>
    <t>Assurer que chaque compte validé est référencé de manière unique et cohérente.</t>
  </si>
  <si>
    <t>Chaque compte validé est-il référencé de manière unique et cohérente ?</t>
  </si>
  <si>
    <t>Conformité des classifications des comptes validés avec les catégories du plan comptable.</t>
  </si>
  <si>
    <t>Les classifications des comptes validés sont-elles conformes aux catégories du plan comptable ?</t>
  </si>
  <si>
    <t>Documentation des catégories et références des comptes dans le système comptable.</t>
  </si>
  <si>
    <t>Les catégories et références des comptes sont-elles correctement documentées dans le système comptable ?</t>
  </si>
  <si>
    <t>Suivi des erreurs de classification et correction dans les plus brefs délais.</t>
  </si>
  <si>
    <t>Les erreurs de classification sont-elles suivies et corrigées dans les plus brefs délais ?</t>
  </si>
  <si>
    <t>Assurer que les comptes validés sont enregistrés dans les systèmes comptables de manière cohérente.</t>
  </si>
  <si>
    <t>Vérification de l'enregistrement cohérent des comptes dans le système comptable.</t>
  </si>
  <si>
    <t>L'enregistrement des comptes dans le système comptable est-il cohérent et exact ?</t>
  </si>
  <si>
    <t>Conformité avec le plan comptable lors de l'enregistrement des comptes.</t>
  </si>
  <si>
    <t>L’enregistrement des comptes est-il conforme au plan comptable ?</t>
  </si>
  <si>
    <t>Absence de doublons ou de conflits dans les enregistrements des comptes.</t>
  </si>
  <si>
    <t>Il n'y a-t-il pas de doublons ou de conflits dans les enregistrements des comptes ?</t>
  </si>
  <si>
    <t>Réconciliation des comptes créés et enregistrés avec les documents justificatifs.</t>
  </si>
  <si>
    <t>Les comptes créés et enregistrés sont-ils réconciliés avec les documents justificatifs ?</t>
  </si>
  <si>
    <t>Documentation des enregistrements, y compris les informations sur les responsables des validations.</t>
  </si>
  <si>
    <t>Les enregistrements sont-ils correctement documentés, incluant les informations sur les responsables des validations ?</t>
  </si>
  <si>
    <t>Vérifier que la validation des comptes est documentée et traçable.</t>
  </si>
  <si>
    <t>Existence d’une documentation complète pour chaque validation de compte.</t>
  </si>
  <si>
    <t>Existe-t-il une documentation complète pour chaque validation de compte ?</t>
  </si>
  <si>
    <t>Accès à un historique des validations dans le système comptable.</t>
  </si>
  <si>
    <t>L'historique des validations est-il accessible dans le système comptable ?</t>
  </si>
  <si>
    <t>Vérification de l'intégrité et de l'exhaustivité des documents de validation.</t>
  </si>
  <si>
    <t>L'intégrité et l'exhaustivité des documents de validation sont-elles vérifiées ?</t>
  </si>
  <si>
    <t>Suivi de l'approbation par les personnes responsables et autorisées.</t>
  </si>
  <si>
    <t>L'approbation par les personnes responsables et autorisées est-elle suivie ?</t>
  </si>
  <si>
    <t>Traçabilité des actions de validation et des décisions prises pour chaque compte.</t>
  </si>
  <si>
    <t>La traçabilité des actions de validation et des décisions prises pour chaque compte est-elle garantie ?</t>
  </si>
  <si>
    <t>Saisie des Écritures Comptables</t>
  </si>
  <si>
    <t>Exactitude des informations saisies</t>
  </si>
  <si>
    <t>Garantir que les transactions sont enregistrées correctement.</t>
  </si>
  <si>
    <t>Les écritures saisies incluent tous les détails (montant, comptes concernés, date).</t>
  </si>
  <si>
    <t>Les écritures saisies incluent-elles tous les détails nécessaires (montant, comptes concernés, date) ?</t>
  </si>
  <si>
    <t>NON</t>
  </si>
  <si>
    <t>Pièce justificative</t>
  </si>
  <si>
    <t>Saisie incomplète des informations</t>
  </si>
  <si>
    <t>Informations comptables inexactes</t>
  </si>
  <si>
    <t>Comparaison des transactions avec les pièces justificatives (factures, bons de commande).</t>
  </si>
  <si>
    <t>Les transactions sont-elles comparées aux pièces justificatives (factures, bons de commande) ?</t>
  </si>
  <si>
    <t>Vérification que les erreurs de saisie sont corrigées avant l'enregistrement.</t>
  </si>
  <si>
    <t>Les erreurs de saisie sont-elles corrigées avant l'enregistrement des transactions ?</t>
  </si>
  <si>
    <t>Suivi des erreurs récurrentes et des actions correctives mises en place.</t>
  </si>
  <si>
    <t>Les erreurs récurrentes sont-elles suivies et des actions correctives mises en place ?</t>
  </si>
  <si>
    <t>Validation des transactions par un responsable ou une personne autorisée.</t>
  </si>
  <si>
    <t>Les transactions sont-elles validées par un responsable ou une personne autorisée ?</t>
  </si>
  <si>
    <t>Vérifier que les informations saisies sont conformes aux documents justificatifs (factures, contrats, etc.)</t>
  </si>
  <si>
    <t>Comparaison minutieuse des données saisies avec les documents justificatifs pertinents.</t>
  </si>
  <si>
    <t>Les données saisies sont-elles minutieusement comparées avec les documents justificatifs pertinents ?</t>
  </si>
  <si>
    <t>Vérification de la présence des pièces justificatives pour chaque transaction.</t>
  </si>
  <si>
    <t>Les pièces justificatives sont-elles présentes pour chaque transaction ?</t>
  </si>
  <si>
    <t>Suivi des anomalies entre les informations saisies et les documents justificatifs.</t>
  </si>
  <si>
    <t>Les anomalies entre les informations saisies et les documents justificatifs sont-elles suivies ?</t>
  </si>
  <si>
    <t>Existence d'un processus de contrôle pour valider la conformité des informations saisies.</t>
  </si>
  <si>
    <t>Un processus de contrôle pour valider la conformité des informations saisies existe-t-il ?</t>
  </si>
  <si>
    <t>Documentation des divergences et des actions correctives pour les cas non conformes.</t>
  </si>
  <si>
    <t>Les divergences et actions correctives pour les cas non conformes sont-elles documentées ?</t>
  </si>
  <si>
    <t>S'assurer que les erreurs de saisie sont détectées et corrigées rapidement.</t>
  </si>
  <si>
    <t>Mise en place d’un système de détection automatique des erreurs de saisie.</t>
  </si>
  <si>
    <t>Un système de détection automatique des erreurs de saisie est-il en place ?</t>
  </si>
  <si>
    <t>Identification et correction des erreurs de saisie avant l'enregistrement final.</t>
  </si>
  <si>
    <t>Les erreurs de saisie sont-elles identifiées et corrigées avant l'enregistrement final ?</t>
  </si>
  <si>
    <t>Suivi des erreurs corrigées et documentation des actions prises.</t>
  </si>
  <si>
    <t>Les erreurs corrigées sont-elles suivies et documentées avec les actions prises ?</t>
  </si>
  <si>
    <t>Processus de revue manuelle pour valider l'absence d'erreurs dans les données saisies.</t>
  </si>
  <si>
    <t>Un processus de revue manuelle est-il effectué pour valider l'absence d'erreurs dans les données saisies ?</t>
  </si>
  <si>
    <t>Formation régulière des employés pour minimiser les erreurs de saisie.</t>
  </si>
  <si>
    <t>Les employés suivent-ils une formation régulière pour minimiser les erreurs de saisie ?</t>
  </si>
  <si>
    <t>Contrôler que les transactions sont enregistrées avec les codes comptables appropriés.</t>
  </si>
  <si>
    <t>Vérification des codes comptables utilisés pour chaque transaction.</t>
  </si>
  <si>
    <t>Les codes comptables utilisés pour chaque transaction sont-ils vérifiés ?</t>
  </si>
  <si>
    <t>Mise en place de contrôles automatisés pour assurer l’utilisation des codes corrects.</t>
  </si>
  <si>
    <t>Des contrôles automatisés sont-ils en place pour assurer l’utilisation des codes comptables corrects ?</t>
  </si>
  <si>
    <t>Comparaison des codes comptables enregistrés avec les catégories définies dans le plan comptable.</t>
  </si>
  <si>
    <t>Les codes comptables enregistrés sont-ils comparés avec les catégories définies dans le plan comptable ?</t>
  </si>
  <si>
    <t>Validation des erreurs de codification par un responsable.</t>
  </si>
  <si>
    <t>Les erreurs de codification sont-elles validées par un responsable ?</t>
  </si>
  <si>
    <t>Suivi des transactions enregistrées avec des codes incorrects et correction des anomalies.</t>
  </si>
  <si>
    <t>Les transactions enregistrées avec des codes incorrects sont-elles suivies et corrigées ?</t>
  </si>
  <si>
    <t>Garantir que les données saisies respectent les normes et les procédures internes établies</t>
  </si>
  <si>
    <t>Conformité des informations saisies avec les procédures internes définies.</t>
  </si>
  <si>
    <t>Les informations saisies sont-elles conformes aux procédures internes définies ?</t>
  </si>
  <si>
    <t>Vérification régulière de la conformité avec les normes comptables et fiscales en vigueur.</t>
  </si>
  <si>
    <t>La conformité avec les normes comptables et fiscales en vigueur est-elle vérifiée régulièrement ?</t>
  </si>
  <si>
    <t>Documentation des procédures internes de saisie et formation des employés.</t>
  </si>
  <si>
    <t>Les procédures internes de saisie sont-elles correctement documentées et les employés formés en conséquence ?</t>
  </si>
  <si>
    <t>Audit périodique des données saisies pour vérifier leur conformité.</t>
  </si>
  <si>
    <t>Des audits périodiques des données saisies sont-ils réalisés pour vérifier leur conformité ?</t>
  </si>
  <si>
    <t>Suivi des écarts et mise en place d’actions correctives en cas de non-conformité.</t>
  </si>
  <si>
    <t>Les écarts sont-ils suivis et des actions correctives sont-elles mises en place en cas de non-conformité ?</t>
  </si>
  <si>
    <t>Assurer la validation des informations saisies par une personne autorisée avant l'enregistrement.</t>
  </si>
  <si>
    <t>Existence d’un processus de validation préalable pour chaque donnée saisie.</t>
  </si>
  <si>
    <t>Existe-t-il un processus de validation préalable pour chaque donnée saisie ?</t>
  </si>
  <si>
    <t>Vérification de la documentation et des pièces justificatives avant validation.</t>
  </si>
  <si>
    <t>La documentation et les pièces justificatives sont-elles vérifiées avant la validation des données ?</t>
  </si>
  <si>
    <t>Accès restreint aux personnes autorisées pour valider les informations saisies.</t>
  </si>
  <si>
    <t>L'accès pour valider les informations saisies est-il restreint aux personnes autorisées ?</t>
  </si>
  <si>
    <t>Suivi des erreurs de validation et des actions correctives effectuées.</t>
  </si>
  <si>
    <t>Les erreurs de validation sont-elles suivies et des actions correctives sont-elles effectuées ?</t>
  </si>
  <si>
    <t>Archivage des informations validées avec trace de la personne ayant validé.</t>
  </si>
  <si>
    <t>Les informations validées sont-elles archivées avec une trace de la personne ayant validé ?</t>
  </si>
  <si>
    <t>JESSICA</t>
  </si>
  <si>
    <t>Revue et approbation des transactions</t>
  </si>
  <si>
    <t>Assurer que les transactions sont validées avant enregistrement définitif.</t>
  </si>
  <si>
    <t>Chaque transaction est approuvée par un responsable</t>
  </si>
  <si>
    <t>Chaque transaction est-elle approuvée par un responsable ?</t>
  </si>
  <si>
    <t>Fiche de validation de transaction</t>
  </si>
  <si>
    <t>Enregistrement de transactions non validées</t>
  </si>
  <si>
    <t>Erreurs non détectées</t>
  </si>
  <si>
    <t>Vérification que toutes les transactions passent par une validation interne avant d’être finalisées.</t>
  </si>
  <si>
    <t>Toutes les transactions passent-elles par une validation interne avant d'être finalisées ?</t>
  </si>
  <si>
    <t>Contrôle de la cohérence des transactions validées avec les informations sources.</t>
  </si>
  <si>
    <t>La cohérence des transactions validées est-elle contrôlée avec les informations sources ?</t>
  </si>
  <si>
    <t>Documentation des validations, y compris les personnes responsables.</t>
  </si>
  <si>
    <t>Les validations sont-elles documentées, y compris les personnes responsables ?</t>
  </si>
  <si>
    <t>Suivi des transactions non validées et révision des processus si nécessaire.</t>
  </si>
  <si>
    <t>Les transactions non validées sont-elles suivies et les processus sont-ils révisés si nécessaire ?</t>
  </si>
  <si>
    <t>Vérifier que toutes les transactions sont examinées par un responsable avant l'enregistrement définitif</t>
  </si>
  <si>
    <t>Validation des transactions par une personne autorisée avant l'enregistrement final.</t>
  </si>
  <si>
    <t>Les transactions sont-elles validées par une personne autorisée avant leur enregistrement final ?</t>
  </si>
  <si>
    <t>Existence d’un processus de révision pour chaque transaction avant enregistrement.</t>
  </si>
  <si>
    <t>Existe-t-il un processus de révision pour chaque transaction avant son enregistrement ?</t>
  </si>
  <si>
    <t>Suivi des erreurs ou des anomalies identifiées lors de la révision des transactions.</t>
  </si>
  <si>
    <t>Les erreurs ou anomalies identifiées lors de la révision des transactions sont-elles suivies ?</t>
  </si>
  <si>
    <t>Documentation des décisions prises lors de la révision des transactions.</t>
  </si>
  <si>
    <t>Les décisions prises lors de la révision des transactions sont-elles documentées ?</t>
  </si>
  <si>
    <t>Vérification de la conformité des transactions avec les procédures internes avant enregistrement.</t>
  </si>
  <si>
    <t>La conformité des transactions avec les procédures internes est-elle vérifiée avant l'enregistrement ?</t>
  </si>
  <si>
    <t>S'assurer que les transactions sont approuvées par les parties autorisées selon les niveaux d'approbation définis</t>
  </si>
  <si>
    <t>Vérification que les transactions respectent les niveaux d'approbation définis.</t>
  </si>
  <si>
    <t>Les transactions respectent-elles les niveaux d'approbation définis ?</t>
  </si>
  <si>
    <t>Suivi des transactions non approuvées ou approuvées par des personnes non autorisées.</t>
  </si>
  <si>
    <t>Les transactions non approuvées ou approuvées par des personnes non autorisées sont-elles suivies ?</t>
  </si>
  <si>
    <t>Mise en place de contrôles pour garantir l’approbation correcte avant l’enregistrement.</t>
  </si>
  <si>
    <t>Des contrôles sont-ils en place pour garantir l'approbation correcte avant l'enregistrement ?</t>
  </si>
  <si>
    <t>Documentation des approbations effectuées, y compris les personnes responsables.</t>
  </si>
  <si>
    <t>Les approbations effectuées sont-elles documentées, y compris les personnes responsables ?</t>
  </si>
  <si>
    <t>Suivi des transactions approuvées en dehors des niveaux d'autorisation et actions correctives.</t>
  </si>
  <si>
    <t>Les transactions approuvées en dehors des niveaux d'autorisation sont-elles suivies et des actions correctives sont-elles mises en place ?</t>
  </si>
  <si>
    <t>Contrôler que les transactions sont comparées aux documents justificatifs avant validation</t>
  </si>
  <si>
    <t>Vérification que chaque transaction est comparée aux documents justificatifs (factures, bons de commande).</t>
  </si>
  <si>
    <t>Chaque transaction est-elle comparée aux documents justificatifs (factures, bons de commande) ?</t>
  </si>
  <si>
    <t>Existence d’un processus de contrôle systématique pour valider les transactions avec les justificatifs.</t>
  </si>
  <si>
    <t>Existe-t-il un processus de contrôle systématique pour valider les transactions avec les justificatifs ?</t>
  </si>
  <si>
    <t>Suivi des transactions sans documents justificatifs ou pièces manquantes.</t>
  </si>
  <si>
    <t>Les transactions sans documents justificatifs ou pièces manquantes sont-elles suivies ?</t>
  </si>
  <si>
    <t>Documentation des anomalies et des actions prises pour résoudre les divergences.</t>
  </si>
  <si>
    <t>Les anomalies et les actions prises pour résoudre les divergences sont-elles documentées ?</t>
  </si>
  <si>
    <t>Validation des transactions non conformes par un responsable avant validation.</t>
  </si>
  <si>
    <t>Les transactions non conformes sont-elles validées par un responsable avant leur validation ?</t>
  </si>
  <si>
    <t>Garantir que les approbations sont documentées et traçables pour chaque transaction.</t>
  </si>
  <si>
    <t>Existence d'une documentation complète pour chaque approbation de transaction.</t>
  </si>
  <si>
    <t>Existe-t-il une documentation complète pour chaque approbation de transaction ?</t>
  </si>
  <si>
    <t>Suivi des personnes autorisées à approuver les transactions et validation de leur autorité.</t>
  </si>
  <si>
    <t>Les personnes autorisées à approuver les transactions sont-elles suivies et leur autorité est-elle validée ?</t>
  </si>
  <si>
    <t>Vérification que chaque approbation est effectuée dans le respect des procédures internes.</t>
  </si>
  <si>
    <t>Chaque approbation est-elle effectuée dans le respect des procédures internes ?</t>
  </si>
  <si>
    <t>Traçabilité des approbations dans les systèmes comptables avec historique des approbateurs.</t>
  </si>
  <si>
    <t>La traçabilité des approbations dans les systèmes comptables est-elle assurée avec un historique des approbateurs ?</t>
  </si>
  <si>
    <t>Conservation d'une copie des approbations pour référence future.</t>
  </si>
  <si>
    <t>Une copie des approbations est-elle conservée pour référence future ?</t>
  </si>
  <si>
    <t>Assurer que toute transaction non conforme est bloquée ou retournée pour correction avant validation.</t>
  </si>
  <si>
    <t>Mise en place de contrôles automatiques pour détecter les transactions non conformes.</t>
  </si>
  <si>
    <t>Vérification que les transactions non conformes sont identifiées et bloquées dans le système.</t>
  </si>
  <si>
    <t>Les transactions non conformes sont-elles identifiées et bloquées dans le système ?</t>
  </si>
  <si>
    <t>Suivi des actions correctives effectuées sur les transactions non conformes.</t>
  </si>
  <si>
    <t>Les actions correctives effectuées sur les transactions non conformes sont-elles suivies ?</t>
  </si>
  <si>
    <t>Documentation des transactions retournées pour correction et des raisons de leur rejet.</t>
  </si>
  <si>
    <t>Les transactions retournées pour correction et les raisons de leur rejet sont-elles documentées ?</t>
  </si>
  <si>
    <t>Validation des corrections apportées avant la validation finale des transactions.</t>
  </si>
  <si>
    <t>Les corrections apportées sont-elles validées avant la validation finale des transactions ?</t>
  </si>
  <si>
    <t>Attachement de la pièce justificative</t>
  </si>
  <si>
    <t>Vérifier la traçabilité des transactions</t>
  </si>
  <si>
    <t>Existence d’un système de suivi détaillé de chaque transaction depuis son enregistrement.</t>
  </si>
  <si>
    <t>Existe-t-il un système de suivi détaillé pour chaque transaction depuis son enregistrement ?</t>
  </si>
  <si>
    <t>Vérification que chaque transaction peut être retracée jusqu'aux pièces justificatives et à son approbation.</t>
  </si>
  <si>
    <t>Chaque transaction peut-elle être retracée jusqu'aux pièces justificatives et à son approbation ?</t>
  </si>
  <si>
    <t>Suivi des modifications ou corrections apportées aux transactions, avec identification des intervenants.</t>
  </si>
  <si>
    <t>Les modifications ou corrections apportées aux transactions sont-elles suivies, avec identification des intervenants ?</t>
  </si>
  <si>
    <t>Documentation complète des transactions dans le système comptable pour référence future.</t>
  </si>
  <si>
    <t>Les transactions sont-elles documentées de manière complète dans le système comptable pour référence future ?</t>
  </si>
  <si>
    <t>Contrôle de la conformité des transactions avec les normes de traçabilité en vigueur.</t>
  </si>
  <si>
    <t>La conformité des transactions avec les normes de traçabilité en vigueur est-elle contrôlée ?</t>
  </si>
  <si>
    <t>érifier que chaque transaction est accompagnée de la pièce justificative correspondante.</t>
  </si>
  <si>
    <t>Vérification que chaque transaction dispose de la pièce justificative appropriée (facture, bon de commande, etc.).</t>
  </si>
  <si>
    <t>Chaque transaction dispose-t-elle de la pièce justificative appropriée (facture, bon de commande, etc.) ?</t>
  </si>
  <si>
    <t>Mise en place d’un contrôle systématique pour s'assurer de la présence des pièces justificatives.</t>
  </si>
  <si>
    <t>Un contrôle systématique est-il mis en place pour s'assurer de la présence des pièces justificatives ?</t>
  </si>
  <si>
    <t>Suivi des transactions sans pièces justificatives et documentation des actions correctives.</t>
  </si>
  <si>
    <t>Les transactions sans pièces justificatives sont-elles suivies et les actions correctives sont-elles documentées ?</t>
  </si>
  <si>
    <t>Validation des pièces justificatives avant l'enregistrement définitif des transactions.</t>
  </si>
  <si>
    <t>Les pièces justificatives sont-elles validées avant l'enregistrement définitif des transactions ?</t>
  </si>
  <si>
    <t>Archivage des pièces justificatives de manière organisée pour faciliter leur consultation</t>
  </si>
  <si>
    <t>Les pièces justificatives sont-elles archivées de manière organisée pour faciliter leur consultation ?</t>
  </si>
  <si>
    <t>S'assurer que les pièces justificatives sont correctement indexées et facilement accessibles</t>
  </si>
  <si>
    <t>Vérification que chaque pièce justificative est indexée selon un système clair et cohérent.</t>
  </si>
  <si>
    <t>Chaque pièce justificative est-elle indexée selon un système clair et cohérent ?</t>
  </si>
  <si>
    <t>Suivi de l’accessibilité des pièces justificatives pour les utilisateurs autorisés.</t>
  </si>
  <si>
    <t>L’accessibilité des pièces justificatives pour les utilisateurs autorisés est-elle suivie ?</t>
  </si>
  <si>
    <t>Mise en place d’un système de gestion électronique des documents (GED) pour une consultation rapide.</t>
  </si>
  <si>
    <t>Un système de gestion électronique des documents (GED) est-il mis en place pour une consultation rapide ?</t>
  </si>
  <si>
    <t>Contrôle de la bonne indexation des pièces justificatives dans les systèmes comptables.</t>
  </si>
  <si>
    <t>La bonne indexation des pièces justificatives dans les systèmes comptables est-elle contrôlée ?</t>
  </si>
  <si>
    <t>Formation du personnel pour garantir une gestion adéquate des pièces justificatives.</t>
  </si>
  <si>
    <t>Le personnel est-il formé pour garantir une gestion adéquate des pièces justificatives ?</t>
  </si>
  <si>
    <t>Contrôler que les pièces justificatives sont archivées selon les exigences légales et internes</t>
  </si>
  <si>
    <t>Vérification de l'archivage des pièces justificatives conformément aux normes légales et internes.</t>
  </si>
  <si>
    <t>L'archivage des pièces justificatives est-il conforme aux normes légales et internes ?</t>
  </si>
  <si>
    <t>Suivi de la durée de conservation des pièces justificatives en fonction des exigences légales.</t>
  </si>
  <si>
    <t>La durée de conservation des pièces justificatives est-elle suivie en fonction des exigences légales ?</t>
  </si>
  <si>
    <t>Contrôle de l’intégrité et de la sécurité des pièces justificatives archivées.</t>
  </si>
  <si>
    <t>L'intégrité et la sécurité des pièces justificatives archivées sont-elles contrôlées ?</t>
  </si>
  <si>
    <t>Accès limité aux pièces archivées selon les droits d’accès définis.</t>
  </si>
  <si>
    <t>L'accès aux pièces archivées est-il limité selon les droits d'accès définis ?</t>
  </si>
  <si>
    <t>Audits réguliers pour vérifier la conformité des pratiques d’archivage.</t>
  </si>
  <si>
    <t>Des audits réguliers sont-ils réalisés pour vérifier la conformité des pratiques d'archivage ?</t>
  </si>
  <si>
    <t>Garantir que toutes les pièces justificatives sont vérifiées pour leur conformité avant validation de la transaction</t>
  </si>
  <si>
    <t>Vérification systématique de la conformité des pièces justificatives avant toute validation.</t>
  </si>
  <si>
    <t>La conformité des pièces justificatives est-elle vérifiée systématiquement avant toute validation ?</t>
  </si>
  <si>
    <t>Comparaison des pièces justificatives avec les informations saisies pour garantir leur exactitude.</t>
  </si>
  <si>
    <t>Les pièces justificatives sont-elles comparées aux informations saisies pour garantir leur exactitude ?</t>
  </si>
  <si>
    <t>Suivi des anomalies dans les pièces justificatives et actions correctives entreprises.</t>
  </si>
  <si>
    <t>Les anomalies dans les pièces justificatives sont-elles suivies et des actions correctives sont-elles entreprises ?</t>
  </si>
  <si>
    <t>Documentation des vérifications effectuées et des responsables de la validation des pièces.</t>
  </si>
  <si>
    <t>Les vérifications effectuées et les responsables de la validation des pièces sont-ils documentés ?</t>
  </si>
  <si>
    <t>Validation finale de la transaction une fois la conformité des pièces justificatives assurée.</t>
  </si>
  <si>
    <t>La transaction est-elle validée une fois la conformité des pièces justificatives assurée ?</t>
  </si>
  <si>
    <t>Assurer que les pièces justificatives sont protégées contre toute altération ou perte</t>
  </si>
  <si>
    <t>Chaque transaction est appuyée par une pièce justificative.</t>
  </si>
  <si>
    <t>Chaque transaction est-elle appuyée par une pièce justificative ?</t>
  </si>
  <si>
    <t>PAS</t>
  </si>
  <si>
    <t>Copie des pièces justificatives</t>
  </si>
  <si>
    <t>Absence de justificatif pour les transactions</t>
  </si>
  <si>
    <t>Faible traçabilité</t>
  </si>
  <si>
    <t>Contrôle d’accès aux pièces justificatives afin d’éviter toute modification non autorisée.</t>
  </si>
  <si>
    <t>L'accès aux pièces justificatives est-il contrôlé pour éviter toute modification non autorisée ?</t>
  </si>
  <si>
    <t>Utilisation de technologies (chiffrement, sauvegardes, etc.) pour garantir la sécurité des pièces archivées.</t>
  </si>
  <si>
    <t>Des technologies (chiffrement, sauvegardes, etc.) sont-elles utilisées pour garantir la sécurité des pièces archivées ?</t>
  </si>
  <si>
    <t>Formation des employés sur les bonnes pratiques de gestion et de protection des pièces justificatives.</t>
  </si>
  <si>
    <t>Le personnel est-il formé sur les bonnes pratiques de gestion et de protection des pièces justificatives ?</t>
  </si>
  <si>
    <t>Audits réguliers pour s'assurer que les mesures de protection sont respectées.</t>
  </si>
  <si>
    <t>Des audits réguliers sont-ils réalisés pour s'assurer que les mesures de protection sont respectées ?</t>
  </si>
  <si>
    <t>Gestion des Clients et Fournisseurs</t>
  </si>
  <si>
    <t>Création des profils clients</t>
  </si>
  <si>
    <t>Assurer que chaque profil client est complet</t>
  </si>
  <si>
    <t>Les informations de chaque client sont complètes et à jour.</t>
  </si>
  <si>
    <t>Les informations de chaque client sont-elles complètes et à jour ?</t>
  </si>
  <si>
    <t>Formulaire de profil client.</t>
  </si>
  <si>
    <t>Données incomplètes sur les clients</t>
  </si>
  <si>
    <t>Problèmes de suivi des transactions</t>
  </si>
  <si>
    <t>Suivi de l’exhaustivité des informations collectées lors de la création du profil client.</t>
  </si>
  <si>
    <t>L’exhaustivité des informations collectées lors de la création du profil client est-elle suivie ?</t>
  </si>
  <si>
    <t>Contrôle de la conformité des informations saisies avec les documents justificatifs du client.</t>
  </si>
  <si>
    <t>La conformité des informations saisies avec les documents justificatifs du client est-elle contrôlée ?</t>
  </si>
  <si>
    <t>Validation des informations du profil client avant leur activation dans le système.</t>
  </si>
  <si>
    <t>Les informations du profil client sont-elles validées avant leur activation dans le système ?</t>
  </si>
  <si>
    <t>Documentation des profils clients créés et des responsables de leur validation.</t>
  </si>
  <si>
    <t>Les profils clients créés et les responsables de leur validation sont-ils documentés ?</t>
  </si>
  <si>
    <t>érifier que chaque profil client est enregistré avec les informations exactes et à jour.</t>
  </si>
  <si>
    <t>Vérification de l’exactitude des informations saisies lors de la création du profil client.</t>
  </si>
  <si>
    <t>L'exactitude des informations saisies lors de la création du profil client est-elle vérifiée ?</t>
  </si>
  <si>
    <t>Suivi de l’actualisation des informations lorsque des modifications sont apportées par le client.</t>
  </si>
  <si>
    <t>L’actualisation des informations est-elle suivie lorsque des modifications sont apportées par le client ?</t>
  </si>
  <si>
    <t>Contrôle des erreurs ou incohérences dans les informations enregistrées.</t>
  </si>
  <si>
    <t>Les erreurs ou incohérences dans les informations enregistrées sont-elles contrôlées ?</t>
  </si>
  <si>
    <t>Comparaison des données saisies avec les documents justificatifs du client pour valider leur exactitude.</t>
  </si>
  <si>
    <t>Les données saisies sont-elles comparées avec les documents justificatifs du client pour valider leur exactitude ?</t>
  </si>
  <si>
    <t>Validation des informations actualisées par une personne autorisée avant leur mise à jour.</t>
  </si>
  <si>
    <t>Les informations actualisées sont-elles validées par une personne autorisée avant leur mise à jour ?</t>
  </si>
  <si>
    <t>S'assurer que les informations légales et fiscales du client sont correctement saisies et validées.</t>
  </si>
  <si>
    <t>Vérification que les informations légales (nom, adresse, numéro d’enregistrement, etc.) sont correctement enregistrées.</t>
  </si>
  <si>
    <t>Les informations légales (nom, adresse, numéro d’enregistrement, etc.) sont-elles correctement enregistrées ?</t>
  </si>
  <si>
    <t>Contrôle de la conformité des informations fiscales (numéro de TVA, etc.) avec les documents officiels.</t>
  </si>
  <si>
    <t>La conformité des informations fiscales (numéro de TVA, etc.) avec les documents officiels est-elle contrôlée ?</t>
  </si>
  <si>
    <t>Validation des informations légales et fiscales avant l’activation du profil client.</t>
  </si>
  <si>
    <t>Les informations légales et fiscales sont-elles validées avant l’activation du profil client ?</t>
  </si>
  <si>
    <t>Suivi des modifications légales ou fiscales et mise à jour des profils clients en conséquence.</t>
  </si>
  <si>
    <t>Les modifications légales ou fiscales sont-elles suivies et mises à jour dans les profils clients en conséquence ?</t>
  </si>
  <si>
    <t>Documentation de la validation des informations légales et fiscales par un responsable autorisé.</t>
  </si>
  <si>
    <t>La validation des informations légales et fiscales par un responsable autorisé est-elle documentée ?</t>
  </si>
  <si>
    <t>Contrôler que les projets clients sont associés aux bons codes et catégories.</t>
  </si>
  <si>
    <t>Vérification que chaque projet client est associé au code et à la catégorie appropriés.</t>
  </si>
  <si>
    <t>Chaque projet client est-il associé au code et à la catégorie appropriés ?</t>
  </si>
  <si>
    <t>Suivi de la cohérence des catégories et des codes attribués aux projets clients.</t>
  </si>
  <si>
    <t>La cohérence des catégories et des codes attribués aux projets clients est-elle suivie ?</t>
  </si>
  <si>
    <t>Comparaison des projets avec les normes internes de classification.</t>
  </si>
  <si>
    <t>Les projets sont-ils comparés aux normes internes de classification ?</t>
  </si>
  <si>
    <t>Validation des codes et catégories avant l’activation des projets clients.</t>
  </si>
  <si>
    <t>Les codes et catégories sont-ils validés avant l’activation des projets clients ?</t>
  </si>
  <si>
    <t>Documentation des associations de codes et catégories pour référence future.</t>
  </si>
  <si>
    <t>Les associations de codes et catégories sont-elles documentées pour référence future ?</t>
  </si>
  <si>
    <t>Garantir que tous les documents nécessaires à la création du profil client sont collectés et stockés.</t>
  </si>
  <si>
    <t>Vérification de la collecte complète des documents nécessaires à la création du profil client (contrat, pièces justificatives, etc.).</t>
  </si>
  <si>
    <t>La collecte complète des documents nécessaires à la création du profil client (contrat, pièces justificatives, etc.) est-elle vérifiée ?</t>
  </si>
  <si>
    <t>Suivi de l’organisation et du stockage des documents dans le système de gestion.</t>
  </si>
  <si>
    <t>L’organisation et le stockage des documents dans le système de gestion sont-ils suivis ?</t>
  </si>
  <si>
    <t>Contrôle que les documents sont stockés de manière sécurisée et accessible.</t>
  </si>
  <si>
    <t>Les documents sont-ils stockés de manière sécurisée et accessible ?</t>
  </si>
  <si>
    <t>Validation des documents collectés avant la création du profil client dans le système.</t>
  </si>
  <si>
    <t>Les documents collectés sont-ils validés avant la création du profil client dans le système ?</t>
  </si>
  <si>
    <t>Archivage des documents clients selon les exigences légales et internes.</t>
  </si>
  <si>
    <t>Les documents clients sont-ils archivés selon les exigences légales et internes ?</t>
  </si>
  <si>
    <t>vérifier que le processus de création des projets clients suit les procédures et les autorisations internes établies.</t>
  </si>
  <si>
    <t>Vérification de la conformité du processus de création des projets avec les procédures internes.</t>
  </si>
  <si>
    <t>Le processus de création des projets est-il conforme aux procédures internes ?</t>
  </si>
  <si>
    <t>Suivi des autorisations requises pour la création de projets clients et validation de leur conformité.</t>
  </si>
  <si>
    <t>Les autorisations requises pour la création de projets clients sont-elles suivies et validées ?</t>
  </si>
  <si>
    <t>Contrôle de l’application des étapes prévues dans le processus de création des projets.</t>
  </si>
  <si>
    <t>L’application des étapes prévues dans le processus de création des projets est-elle contrôlée ?</t>
  </si>
  <si>
    <t>Documentation des décisions prises lors de la création des projets clients.</t>
  </si>
  <si>
    <t>Les décisions prises lors de la création des projets clients sont-elles documentées ?</t>
  </si>
  <si>
    <t>Audit interne périodique pour s'assurer que le processus est bien respecté.</t>
  </si>
  <si>
    <t>Des audits internes périodiques sont-ils réalisés pour s'assurer que le processus est bien respecté ?</t>
  </si>
  <si>
    <t>OLIVIA</t>
  </si>
  <si>
    <t>Création des profils fournisseurs</t>
  </si>
  <si>
    <t>Assurer que chaque profil fournisseur est complet</t>
  </si>
  <si>
    <t>Les informations de chaque fournisseur sont-elles complètes et à jour ?</t>
  </si>
  <si>
    <t>Formulaire de profil fournisseur</t>
  </si>
  <si>
    <t>Données incomplètes sur les fournisseurs</t>
  </si>
  <si>
    <t>Suivi des informations manquantes ou incorrectes dans les profils fournisseurs.</t>
  </si>
  <si>
    <t>Les informations manquantes ou incorrectes dans les profils fournisseurs sont-elles suivies ?</t>
  </si>
  <si>
    <t>Contrôle des données recueillies par rapport aux documents justificatifs fournis par le fournisseur.</t>
  </si>
  <si>
    <t>Les données recueillies sont-elles contrôlées par rapport aux documents justificatifs fournis par le fournisseur ?</t>
  </si>
  <si>
    <t>Validation des profils fournisseurs par une personne autorisée avant leur activation.</t>
  </si>
  <si>
    <t>Les profils fournisseurs sont-ils validés par une personne autorisée avant leur activation ?</t>
  </si>
  <si>
    <t>Documentation des profils créés et des informations validées.</t>
  </si>
  <si>
    <t>Les profils créés et les informations validées sont-elles documentées ?</t>
  </si>
  <si>
    <t>vérifier que toutes les informations légales et fiscales du fournisseur sont correctement saisies.</t>
  </si>
  <si>
    <t>érification de l'exactitude des informations légales (nom, adresse, numéro d'enregistrement, etc.) et fiscales (numéro de TVA, etc.).</t>
  </si>
  <si>
    <t>L'exactitude des informations légales  et fiscales (numéro de TVA, etc.) est-elle vérifiée ?</t>
  </si>
  <si>
    <t>Comparaison des informations saisies avec les documents officiels fournis par le fournisseur.</t>
  </si>
  <si>
    <t>Les informations saisies sont-elles comparées avec les documents officiels fournis par le fournisseur ?</t>
  </si>
  <si>
    <t>Suivi de l'actualisation des informations légales et fiscales des fournisseurs.</t>
  </si>
  <si>
    <t>L’actualisation des informations légales et fiscales des fournisseurs est-elle suivie ?</t>
  </si>
  <si>
    <t>Validation des informations légales et fiscales par une personne autorisée.</t>
  </si>
  <si>
    <t>Les informations légales et fiscales sont-elles validées par une personne autorisée ?</t>
  </si>
  <si>
    <t>Documentation des informations validées pour chaque fournisseur.</t>
  </si>
  <si>
    <t>Les informations validées pour chaque fournisseur sont-elles documentées ?</t>
  </si>
  <si>
    <t>S'assurer que les coordonnées bancaires du fournisseur sont exactes et validées</t>
  </si>
  <si>
    <t>Vérification de l'exactitude des coordonnées bancaires du fournisseur (IBAN, BIC, etc.).</t>
  </si>
  <si>
    <t>L'exactitude des coordonnées bancaires du fournisseur (IBAN, BIC, etc.) est-elle vérifiée ?</t>
  </si>
  <si>
    <t>Contrôle des documents fournis par le fournisseur pour valider les coordonnées bancaires.</t>
  </si>
  <si>
    <t>Les documents fournis par le fournisseur sont-ils contrôlés pour valider les coordonnées bancaires ?</t>
  </si>
  <si>
    <t>Suivi de l’actualisation des coordonnées bancaires des fournisseurs lorsque nécessaire.</t>
  </si>
  <si>
    <t>L’actualisation des coordonnées bancaires des fournisseurs est-elle suivie lorsque nécessaire ?</t>
  </si>
  <si>
    <t>Validation des coordonnées bancaires par une personne autorisée avant leur saisie dans le système.</t>
  </si>
  <si>
    <t>Les coordonnées bancaires sont-elles validées par une personne autorisée avant leur saisie dans le système ?</t>
  </si>
  <si>
    <t>Documentation des coordonnées bancaires validées dans le profil fournisseur.</t>
  </si>
  <si>
    <t>Les coordonnées bancaires validées sont-elles documentées dans le profil fournisseur ?</t>
  </si>
  <si>
    <t>Contrôler que chaque profil fournisseur est validé par une personne autorisée avant son activation.</t>
  </si>
  <si>
    <t>Vérification que chaque profil fournisseur est validé par une personne autorisée selon les niveaux de contrôle internes.</t>
  </si>
  <si>
    <t>Chaque profil fournisseur est-il validé par une personne autorisée selon les niveaux de contrôle internes ?</t>
  </si>
  <si>
    <t>Suivi des validations effectuées pour chaque profil fournisseur.</t>
  </si>
  <si>
    <t>Les validations effectuées pour chaque profil fournisseur sont-elles suivies ?</t>
  </si>
  <si>
    <t>Documentation des validations effectuées avec les signatures des personnes responsables.</t>
  </si>
  <si>
    <t>Les validations effectuées sont-elles documentées avec les signatures des personnes responsables ?</t>
  </si>
  <si>
    <t>Contrôle des profils fournisseurs validés avant leur activation dans le système comptable.</t>
  </si>
  <si>
    <t>Les profils fournisseurs validés sont-ils contrôlés avant leur activation dans le système comptable ?</t>
  </si>
  <si>
    <t>Audits réguliers pour garantir que tous les profils fournisseurs sont validés par des personnes autorisées.</t>
  </si>
  <si>
    <t>Des audits réguliers sont-ils réalisés pour garantir que tous les profils fournisseurs sont validés par des personnes autorisées ?</t>
  </si>
  <si>
    <t>Garantir que les documents justificatifs requis pour la création du profil fournisseur sont collectés et archivés</t>
  </si>
  <si>
    <t>Vérification que tous les documents justificatifs nécessaires sont collectés avant l’activation du profil fournisseur.</t>
  </si>
  <si>
    <t>Tous les documents justificatifs nécessaires sont-ils collectés avant l’activation du profil fournisseur ?</t>
  </si>
  <si>
    <t>Contrôle de l’archivage des documents justificatifs selon les normes internes et légales.</t>
  </si>
  <si>
    <t>L’archivage des documents justificatifs est-il conforme aux normes internes et légales ?</t>
  </si>
  <si>
    <t>Suivi de la disponibilité des documents justificatifs pour les vérifications futures.</t>
  </si>
  <si>
    <t>La disponibilité des documents justificatifs pour les vérifications futures est-elle suivie ?</t>
  </si>
  <si>
    <t>Validation de la conformité des documents avec les exigences spécifiques avant archivage.</t>
  </si>
  <si>
    <t>La conformité des documents avec les exigences spécifiques avant archivage est-elle validée ?</t>
  </si>
  <si>
    <t>Audits réguliers pour s'assurer que tous les documents requis sont collectés et archivés correctement.</t>
  </si>
  <si>
    <t>Des audits réguliers sont-ils réalisés pour s'assurer que tous les documents requis sont collectés et archivés correctement ?</t>
  </si>
  <si>
    <t>Assurer que les profils fournisseurs sont créés en conformité avec les procédures et les normes internes établies.</t>
  </si>
  <si>
    <t>Vérification de la conformité des informations du profil fournisseur avec les procédures internes de création.</t>
  </si>
  <si>
    <t>La conformité des informations du profil fournisseur avec les procédures internes de création est-elle vérifiée ?</t>
  </si>
  <si>
    <t>Contrôle que les informations sont complètes et conformes aux exigences des normes internes.</t>
  </si>
  <si>
    <t>Les informations sont-elles complètes et conformes aux exigences des normes internes ?</t>
  </si>
  <si>
    <t>Validation de la création du profil par une personne autorisée avant son activation.</t>
  </si>
  <si>
    <t>La création du profil est-elle validée par une personne autorisée avant son activation ?</t>
  </si>
  <si>
    <t>Suivi des mises à jour des procédures et leur intégration dans le processus de création des profils fournisseurs.</t>
  </si>
  <si>
    <t>Les soldes fournisseurs sont-ils mis à jour après chaque transaction ?</t>
  </si>
  <si>
    <t>Documentation de chaque étape du processus de création du profil fournisseur pour assurer la traçabilité.</t>
  </si>
  <si>
    <t>La documentation de chaque étape du processus de création du profil fournisseur pour assurer la traçabilité est-elle effectuée ?</t>
  </si>
  <si>
    <t>Suivi des soldes clients</t>
  </si>
  <si>
    <t>Assurer la mise à jour des soldes clients.</t>
  </si>
  <si>
    <t>Vérification de l’exactitude et de l’actualisation des soldes clients après chaque transaction.</t>
  </si>
  <si>
    <t>L'exactitude et l'actualisation des soldes clients sont-elles vérifiées après chaque transaction ?</t>
  </si>
  <si>
    <t>État des comptes clients</t>
  </si>
  <si>
    <t>Informations obsolètes sur les soldes clients</t>
  </si>
  <si>
    <t>Mauvais suivi des créances</t>
  </si>
  <si>
    <t>Suivi de l'intégrité des soldes dans les systèmes comptables après chaque ajustement ou paiement.</t>
  </si>
  <si>
    <t>L'intégrité des soldes dans les systèmes comptables après chaque ajustement ou paiement est-elle suivie ?</t>
  </si>
  <si>
    <t>Contrôle que toutes les modifications de soldes sont correctement enregistrées.</t>
  </si>
  <si>
    <t>Toutes les modifications de soldes sont-elles correctement enregistrées ?</t>
  </si>
  <si>
    <t>Mise en place de réconciliations périodiques des soldes clients pour vérifier leur exactitude.</t>
  </si>
  <si>
    <t>Des réconciliations périodiques des soldes clients sont-elles mises en place pour vérifier leur exactitude ?</t>
  </si>
  <si>
    <t>Documentation des mises à jour des soldes clients dans le système pour assurer la traçabilité.</t>
  </si>
  <si>
    <t>Les mises à jour des soldes clients dans le système sont-elles documentées pour assurer la traçabilité ?</t>
  </si>
  <si>
    <t>Vérifier que les paiements et encaissements sont correctement affectés aux soldes clients.</t>
  </si>
  <si>
    <t>Contrôle de l’affectation correcte des paiements et encaissements aux comptes clients correspondants.</t>
  </si>
  <si>
    <t>L'affectation correcte des paiements et encaissements aux comptes clients correspondants est-elle contrôlée ?</t>
  </si>
  <si>
    <t>Vérification que les paiements sont enregistrés dans le système avec les références appropriées.</t>
  </si>
  <si>
    <t>Les paiements sont-ils enregistrés dans le système avec les références appropriées ?</t>
  </si>
  <si>
    <t>Suivi des transactions non affectées ou mal affectées et correction rapide des erreurs.</t>
  </si>
  <si>
    <t>Les transactions non affectées ou mal affectées sont-elles suivies et corrigées rapidement ?</t>
  </si>
  <si>
    <t>Validation de l'intégrité des soldes clients après l'affectation des paiements et encaissements.</t>
  </si>
  <si>
    <t>L'intégrité des soldes clients est-elle validée après l'affectation des paiements et encaissements ?</t>
  </si>
  <si>
    <t>Réconciliation périodique des soldes clients et des paiements dans le système.</t>
  </si>
  <si>
    <t>Les soldes clients et les paiements dans le système sont-ils réconciliés périodiquement ?</t>
  </si>
  <si>
    <t>S'assurer que les soldes clients sont réconciliés régulièrement avec les relevés bancaires et les systèmes comptables.</t>
  </si>
  <si>
    <t>Vérification de la régularité des rapprochements entre les soldes clients et les relevés bancaires.</t>
  </si>
  <si>
    <t>La régularité des rapprochements entre les soldes clients et les relevés bancaires est-elle vérifiée ?</t>
  </si>
  <si>
    <t>Contrôle de la concordance des soldes clients avec les enregistrements bancaires et comptables.</t>
  </si>
  <si>
    <t>La concordance des soldes clients avec les enregistrements bancaires et comptables est-elle contrôlée ?</t>
  </si>
  <si>
    <t>Suivi des écarts entre les soldes et mise en place de mesures correctives.</t>
  </si>
  <si>
    <t>Les écarts entre les soldes sont-ils suivis et des mesures correctives sont-elles mises en place ?</t>
  </si>
  <si>
    <t>Documentation des rapprochements pour assurer leur traçabilité et validation par une personne autorisée.</t>
  </si>
  <si>
    <t>Les rapprochements sont-ils documentés pour assurer leur traçabilité et validés par une personne autorisée ?</t>
  </si>
  <si>
    <t>Audits réguliers pour vérifier la régularité et la précision des réconciliations.</t>
  </si>
  <si>
    <t>Des audits réguliers sont-ils réalisés pour vérifier la régularité et la précision des réconciliations ?</t>
  </si>
  <si>
    <t>Contrôler que les ajustements et les corrections de soldes sont validés et documentés.</t>
  </si>
  <si>
    <t>Vérification que tous les ajustements de soldes sont approuvés par une personne autorisée.</t>
  </si>
  <si>
    <t>Tous les ajustements de soldes sont-ils approuvés par une personne autorisée ?</t>
  </si>
  <si>
    <t>Contrôle de la documentation des ajustements effectués pour une traçabilité complète.</t>
  </si>
  <si>
    <t>La documentation des ajustements effectués est-elle complète pour assurer la traçabilité ?</t>
  </si>
  <si>
    <t>Validation des corrections avant leur enregistrement dans le système comptable.</t>
  </si>
  <si>
    <t>Les corrections sont-elles validées avant leur enregistrement dans le système comptable ?</t>
  </si>
  <si>
    <t>Suivi des raisons des ajustements et corrections pour garantir leur conformité.</t>
  </si>
  <si>
    <t>Les raisons des ajustements et corrections sont-elles suivies pour garantir leur conformité ?</t>
  </si>
  <si>
    <t>Réalisation d’audits réguliers pour assurer que les ajustements sont validés et correctement documentés.</t>
  </si>
  <si>
    <t>Des audits réguliers sont-ils réalisés pour assurer que les ajustements sont validés et correctement documentés ?</t>
  </si>
  <si>
    <t>Garantir que les clients sont informés de l’état de leur solde en temps opportun.</t>
  </si>
  <si>
    <t>Vérification que les relevés de solde sont envoyés aux clients selon les délais définis.</t>
  </si>
  <si>
    <t>Les relevés de solde sont-ils envoyés aux clients selon les délais définis ?</t>
  </si>
  <si>
    <t>Suivi des communications envoyées aux clients concernant leur solde (par email, courrier, etc.).</t>
  </si>
  <si>
    <t>Les communications envoyées aux clients concernant leur solde (par email, courrier, etc.) sont-elles suivies ?</t>
  </si>
  <si>
    <t>Contrôle que les informations envoyées sont exactes et complètes.</t>
  </si>
  <si>
    <t>Les informations envoyées sont-elles exactes et complètes ?</t>
  </si>
  <si>
    <t>Documentation des communications envoyées pour assurer leur traçabilité.</t>
  </si>
  <si>
    <t>Les communications envoyées sont-elles documentées pour assurer leur traçabilité ?</t>
  </si>
  <si>
    <t>Vérification de la conformité des communications avec les procédures internes.</t>
  </si>
  <si>
    <t>La conformité des communications avec les procédures internes est-elle vérifiée ?</t>
  </si>
  <si>
    <t>Assurer que les soldes clients sont suivis en fonction des échéances de paiement et des conditions contractuelles.</t>
  </si>
  <si>
    <t>Vérification de l’enregistrement des échéances de paiement dans le système de suivi des soldes clients.</t>
  </si>
  <si>
    <t>L’enregistrement des échéances de paiement dans le système de suivi des soldes clients est-il effectué ?</t>
  </si>
  <si>
    <t>Contrôle de l'exactitude des soldes clients par rapport aux dates de paiement convenues.</t>
  </si>
  <si>
    <t>L'exactitude des soldes clients par rapport aux dates de paiement convenues est-elle contrôlée ?</t>
  </si>
  <si>
    <t>Suivi des retards de paiement et mise en place d'actions correctives si nécessaire.</t>
  </si>
  <si>
    <t>Les retards de paiement sont-ils suivis et des actions correctives sont-elles mises en place si nécessaire ?</t>
  </si>
  <si>
    <t>Documentation des rappels effectués pour les paiements en retard.</t>
  </si>
  <si>
    <t>Les rappels effectués pour les paiements en retard sont-ils documentés ?</t>
  </si>
  <si>
    <t>Mise à jour des soldes clients conformément aux conditions contractuelles et aux échéances.</t>
  </si>
  <si>
    <t>Les soldes clients sont-ils mis à jour conformément aux conditions contractuelles et aux échéances ?</t>
  </si>
  <si>
    <t>Suivi des soldes fournisseurs</t>
  </si>
  <si>
    <t>Assurer la mise à jour des soldes fournisseurs</t>
  </si>
  <si>
    <t>Vérification que les soldes fournisseurs sont actualisés après chaque paiement ou facturation.</t>
  </si>
  <si>
    <t>Les soldes fournisseurs sont-ils actualisés après chaque paiement ou facturation ?</t>
  </si>
  <si>
    <t>Suivi de l'intégrité des soldes fournisseurs dans le système comptable.</t>
  </si>
  <si>
    <t>L'intégrité des soldes fournisseurs dans le système comptable est-elle suivie ?</t>
  </si>
  <si>
    <t>Contrôle des ajustements de soldes et de leur enregistrement correct dans les livres comptables.</t>
  </si>
  <si>
    <t>Les ajustements de soldes sont-ils enregistrés correctement dans les livres comptables ?</t>
  </si>
  <si>
    <t>Mise en place de réconciliations régulières des soldes fournisseurs.</t>
  </si>
  <si>
    <t>Des réconciliations régulières des soldes fournisseurs sont-elles mises en place ?</t>
  </si>
  <si>
    <t>Documentation des mises à jour des soldes fournisseurs pour assurer la traçabilité.</t>
  </si>
  <si>
    <t>Les mises à jour des soldes fournisseurs dans le système sont-elles documentées pour assurer la traçabilité ?</t>
  </si>
  <si>
    <t>Vérifier que les paiements et les règlements sont correctement enregistrés et affectés aux soldes fournisseurs.</t>
  </si>
  <si>
    <t>Contrôle que chaque paiement ou règlement est correctement affecté au compte fournisseur correspondant.</t>
  </si>
  <si>
    <t>Chaque paiement ou règlement est-il correctement affecté au compte fournisseur correspondant ?</t>
  </si>
  <si>
    <t>Vérification que les paiements sont bien enregistrés dans le système comptable avec les références appropriées.</t>
  </si>
  <si>
    <t>Les paiements sont-ils bien enregistrés dans le système comptable avec les références appropriées ?</t>
  </si>
  <si>
    <t>Suivi des paiements non affectés ou mal affectés et correction rapide des erreurs.</t>
  </si>
  <si>
    <t>Les paiements non affectés ou mal affectés sont-ils suivis et corrigés rapidement ?</t>
  </si>
  <si>
    <t>Validation de l’intégrité des soldes fournisseurs après affectation des paiements.</t>
  </si>
  <si>
    <t>L’intégrité des soldes fournisseurs est-elle validée après affectation des paiements ?</t>
  </si>
  <si>
    <t>Réconciliation périodique des soldes fournisseurs et des paiements.</t>
  </si>
  <si>
    <t>Les soldes fournisseurs et les paiements sont-ils réconciliés périodiquement ?</t>
  </si>
  <si>
    <t>S'assurer que les soldes fournisseurs sont réconciliés régulièrement avec les relevés bancaires et les systèmes comptables.</t>
  </si>
  <si>
    <t>Vérification de la régularité des rapprochements entre les soldes fournisseurs et les relevés bancaires.</t>
  </si>
  <si>
    <t>La régularité des rapprochements entre les soldes fournisseurs et les relevés bancaires est-elle vérifiée ?</t>
  </si>
  <si>
    <t>Contrôle de la concordance des soldes fournisseurs avec les enregistrements bancaires et comptables.</t>
  </si>
  <si>
    <t>La concordance des soldes fournisseurs avec les enregistrements bancaires et comptables est-elle contrôlée ?</t>
  </si>
  <si>
    <t>Suivi des écarts et identification des causes des divergences.</t>
  </si>
  <si>
    <t>Les écarts sont-ils suivis et les causes des divergences sont-elles identifiées ?</t>
  </si>
  <si>
    <t>Documentation des rapprochements pour garantir leur traçabilité.</t>
  </si>
  <si>
    <t>Les rapprochements sont-ils documentés pour garantir leur traçabilité ?</t>
  </si>
  <si>
    <t>Réalisation d’audits réguliers pour s’assurer de la précision des réconciliations.</t>
  </si>
  <si>
    <t>Des audits réguliers sont-ils réalisés pour s’assurer de la précision des réconciliations ?</t>
  </si>
  <si>
    <t>Contrôler que les ajustements de soldes fournisseurs (remises, rabais, erreurs de facturation) sont correctement validés et documentés.</t>
  </si>
  <si>
    <t>Vérification que tous les ajustements de soldes fournisseurs sont validés par une personne autorisée.</t>
  </si>
  <si>
    <t>Tous les ajustements de soldes fournisseurs sont-ils validés par une personne autorisée ?</t>
  </si>
  <si>
    <t>Contrôle de la documentation de chaque ajustement effectué pour une traçabilité complète.</t>
  </si>
  <si>
    <t>La documentation de chaque ajustement effectué est-elle complète pour une traçabilité complète ?</t>
  </si>
  <si>
    <t>Suivi des erreurs de facturation et des actions correctives apportées.</t>
  </si>
  <si>
    <t>Les erreurs de facturation et les actions correctives apportées sont-elles suivies ?</t>
  </si>
  <si>
    <t>Validation des remises ou rabais appliqués avant leur enregistrement dans les livres comptables.</t>
  </si>
  <si>
    <t>Les remises ou rabais appliqués sont-ils validés avant leur enregistrement dans les livres comptables ?</t>
  </si>
  <si>
    <t>Mise en place de processus pour éviter les erreurs récurrentes dans les soldes fournisseurs.</t>
  </si>
  <si>
    <t>Des processus sont-ils mis en place pour éviter les erreurs récurrentes dans les soldes fournisseurs ?</t>
  </si>
  <si>
    <t>Garantir que les fournisseurs sont informés des soldes dus dans les délais appropriés.</t>
  </si>
  <si>
    <t>Vérification que les fournisseurs reçoivent des notifications régulières de leurs soldes dus.</t>
  </si>
  <si>
    <t>Les fournisseurs reçoivent-ils des notifications régulières de leurs soldes dus ?</t>
  </si>
  <si>
    <t>Suivi des délais de communication des soldes dûs aux fournisseurs selon les termes contractuels.</t>
  </si>
  <si>
    <t>Les délais de communication des soldes dus aux fournisseurs selon les termes contractuels sont-ils suivis ?</t>
  </si>
  <si>
    <t>Documentation des envois effectués pour assurer leur traçabilité.</t>
  </si>
  <si>
    <t>Les envois effectués sont-ils documentés pour assurer leur traçabilité ?</t>
  </si>
  <si>
    <t>Mise en place d'un système de suivi des retards de communication des soldes.</t>
  </si>
  <si>
    <t>Un système de suivi des retards de communication des soldes est-il mis en place ?</t>
  </si>
  <si>
    <t>Assurer un suivi efficace des échéances de paiement pour éviter les retards et les pénalités.</t>
  </si>
  <si>
    <t>Vérification de la mise à jour des échéances de paiement des fournisseurs dans le système.</t>
  </si>
  <si>
    <t>La mise à jour des échéances de paiement des fournisseurs dans le système est-elle effectuée ?</t>
  </si>
  <si>
    <t>État des comptes fournisseurs.</t>
  </si>
  <si>
    <t>Informations obsolètes sur les soldes fournisseurs.</t>
  </si>
  <si>
    <t>Mauvais suivi des dettes</t>
  </si>
  <si>
    <t>Contrôle de l'envoi des rappels en temps utile pour les paiements à venir.</t>
  </si>
  <si>
    <t>L'envoi des rappels en temps utile pour les paiements à venir est-il contrôlé ?</t>
  </si>
  <si>
    <t>Suivi des paiements en retard et des pénalités éventuelles.</t>
  </si>
  <si>
    <t>Les paiements en retard et les pénalités éventuelles sont-ils suivis ?</t>
  </si>
  <si>
    <t>Documentation des actions entreprises pour éviter les retards et pénalités.</t>
  </si>
  <si>
    <t>Les actions entreprises pour éviter les retards et pénalités sont-elles documentées ?</t>
  </si>
  <si>
    <t>Mise en place de processus de prévention des retards de paiement.</t>
  </si>
  <si>
    <t>Des processus de prévention des retards de paiement sont-ils mis en place ?</t>
  </si>
  <si>
    <t>Facturation et Gestion des Recettes</t>
  </si>
  <si>
    <t>Création des factures</t>
  </si>
  <si>
    <t>Assurer que chaque facture est générée avec exactitude.</t>
  </si>
  <si>
    <t>Vérification que toutes les informations présentes sur la facture sont exactes (montant, dates, détails des produits/services).</t>
  </si>
  <si>
    <t>toutes les informations présentées sur la factures sont-elles exactes?</t>
  </si>
  <si>
    <t>Copie de la facture.</t>
  </si>
  <si>
    <t>Factures incorrectes.</t>
  </si>
  <si>
    <t>Difficulté de recouvrement.</t>
  </si>
  <si>
    <t>Contrôle que la numérotation des factures suit un système défini et cohérent.</t>
  </si>
  <si>
    <t xml:space="preserve">la numérotation des factures suit-elle un système définit et cohérent? </t>
  </si>
  <si>
    <t>Suivi de la conformité des informations avec les documents justificatifs (contrats, bons de commande).</t>
  </si>
  <si>
    <t>les informations sont-elles conformes aux documents justificatifs?</t>
  </si>
  <si>
    <t>Validation des informations sur la facture avant sa génération dans le système comptable.</t>
  </si>
  <si>
    <t>Les informations sur la factures sont-elles validées avant la génération dans le système comptable?</t>
  </si>
  <si>
    <t>Documentation des étapes de validation des factures pour assurer la traçabilité.</t>
  </si>
  <si>
    <t>les étapes de validation de factures sont-elles documentées?</t>
  </si>
  <si>
    <t>Vérifier que les informations sur la facture correspondent aux termes du contrat et aux documents justificatifs</t>
  </si>
  <si>
    <t>Vérification de la correspondance des montants, des dates et des détails sur la facture avec les termes du contrat.</t>
  </si>
  <si>
    <t>les montant, les dates et les délais sur la facture correspondent t-elles aux termes du contrats?</t>
  </si>
  <si>
    <t>Contrôle de l’adéquation entre les informations sur la facture et les documents justificatifs associés.</t>
  </si>
  <si>
    <t>les information sur la facture sont-elles en adéquation avec les documents justificatifs associé?</t>
  </si>
  <si>
    <t>Suivi des écarts entre la facture et les documents justificatifs, et actions correctives entreprises.</t>
  </si>
  <si>
    <t>les écarts entre la facture et les documents justificatifs sont-ils suivis?</t>
  </si>
  <si>
    <t>Documentation des vérifications effectuées pour chaque facture générée.</t>
  </si>
  <si>
    <t xml:space="preserve">les vérifications effectuées pour chaque facture sont-elles documentées? </t>
  </si>
  <si>
    <t>Validation des informations sur la facture par une personne autorisée.</t>
  </si>
  <si>
    <t xml:space="preserve">les informations sur la facture sont-elles validées par une personnes autorisées? </t>
  </si>
  <si>
    <t>S'assurer que chaque facture est correctement numérotée et datée selon les procédures internes</t>
  </si>
  <si>
    <t>Vérification que la numérotation des factures est cohérente avec le système défini dans les procédures internes.</t>
  </si>
  <si>
    <t xml:space="preserve">la numérotation des factures est-elle cohérente avec le système définit dans les procédures internes? </t>
  </si>
  <si>
    <t>Contrôle que la date de facturation correspond à la date d'émission définie dans les procédures.</t>
  </si>
  <si>
    <t xml:space="preserve">la date de facture orrespond t-elle à la date d'émissions définie dans les procédures? </t>
  </si>
  <si>
    <t>Suivi des écarts dans la numérotation ou les dates et correction rapide des erreurs.</t>
  </si>
  <si>
    <t>les écarts de numérotations sont-ils suivi?</t>
  </si>
  <si>
    <t>Validation de la numérotation et de la date avant la génération de la facture.</t>
  </si>
  <si>
    <t>La numérotation et la date sont-elles validées avant la génération de la facture ?</t>
  </si>
  <si>
    <t>Documentation des écarts dans le processus de facturation pour un suivi approprié.</t>
  </si>
  <si>
    <t>Les écarts dans le processus de facturation sont-ils documentés et suivis correctement ?</t>
  </si>
  <si>
    <t>Contrôler que les montants et les taux de TVA sont calculés correctement sur chaque facture</t>
  </si>
  <si>
    <t>Vérification que les montants sur la facture correspondent aux conditions convenues dans le contrat.</t>
  </si>
  <si>
    <t>Les montants sur la facture correspondent-ils aux conditions convenues dans le contrat ?</t>
  </si>
  <si>
    <t>Contrôle que le taux de TVA appliqué sur la facture est conforme à la réglementation fiscale.</t>
  </si>
  <si>
    <t>Le taux de TVA appliqué sur la facture est-il conforme à la réglementation fiscale ?</t>
  </si>
  <si>
    <t>Suivi des erreurs dans les calculs de TVA et actions correctives entreprises.</t>
  </si>
  <si>
    <t>Les erreurs dans les calculs de TVA sont-elles rapidement détectées et corrigées ?</t>
  </si>
  <si>
    <t>Documentation des calculs effectués pour garantir leur exactitude.</t>
  </si>
  <si>
    <t>Les calculs effectués sur la facture sont-ils correctement documentés et vérifiés ?</t>
  </si>
  <si>
    <t>Validation des montants et des taux de TVA avant enregistrement de la facture dans le système comptable.</t>
  </si>
  <si>
    <t>Les montants et taux de TVA sont-ils validés avant l’enregistrement de la facture dans le système ?</t>
  </si>
  <si>
    <t>Garantir que les conditions de paiement et les détails du client sont correctement renseignés sur la facture</t>
  </si>
  <si>
    <t>Vérification que les conditions de paiement sont saisies correctement sur chaque facture.</t>
  </si>
  <si>
    <t>Les conditions de paiement sont-elles saisies correctement sur chaque facture ?</t>
  </si>
  <si>
    <t>Contrôle que les informations sur le client sont exactes et complètes.</t>
  </si>
  <si>
    <t>Les informations sur le client sont-elles exactes et complètes sur chaque facture ?</t>
  </si>
  <si>
    <t>Validation des termes de paiement (par exemple, échéance, mode de paiement) avant l'envoi de la facture.</t>
  </si>
  <si>
    <t>Les termes de paiement sont-ils validés avant l’envoi de la facture ?</t>
  </si>
  <si>
    <t>Suivi des anomalies dans les informations saisies sur les factures et rectification des erreurs.</t>
  </si>
  <si>
    <t>Les anomalies dans les informations des factures sont-elles rectifiées rapidement ?</t>
  </si>
  <si>
    <t>Documentation de l'enregistrement des informations de paiement sur la facture pour assurer la traçabilité.</t>
  </si>
  <si>
    <t>L’enregistrement des informations de paiement sur la facture est-il effectué pour garantir la traçabilité ?</t>
  </si>
  <si>
    <t>Assurer que chaque facture est validée par une personne autorisée avant son envoi ou son enregistrement définitif</t>
  </si>
  <si>
    <t>Vérification que toutes les factures sont validées par une personne autorisée avant leur envoi.</t>
  </si>
  <si>
    <t>Chaque facture est-elle validée par une personne autorisée avant son envoi ?</t>
  </si>
  <si>
    <t>Contrôle de l'approbation formelle des factures dans le système comptable.</t>
  </si>
  <si>
    <t>Les factures sont-elles approuvées formellement dans le système comptable ?</t>
  </si>
  <si>
    <t>Validation de la conformité des factures avant leur enregistrement définitif.</t>
  </si>
  <si>
    <t>Les factures sont-elles vérifiées pour leur conformité avant leur enregistrement définitif ?</t>
  </si>
  <si>
    <t>Suivi des retards de validation et actions correctives prises si nécessaire.</t>
  </si>
  <si>
    <t>Les retards de validation des factures sont-ils suivis et corrigés ?</t>
  </si>
  <si>
    <t>Documentation de la validation des factures pour assurer la traçabilité dans le système.</t>
  </si>
  <si>
    <t>La validation des factures est-elle correctement documentée pour garantir la traçabilité ?</t>
  </si>
  <si>
    <t>PASCALE</t>
  </si>
  <si>
    <t>Validation des factures</t>
  </si>
  <si>
    <t>Assurer que chaque facture est validée avant envoi.</t>
  </si>
  <si>
    <t>Contrôle que toutes les factures sont validées et approuvées avant l'envoi au client.</t>
  </si>
  <si>
    <t>Toutes les factures sont-elles validées et approuvées avant leur envoi au client ?</t>
  </si>
  <si>
    <t>Fiche de validation des factures.</t>
  </si>
  <si>
    <t>Envoi de factures non validées.</t>
  </si>
  <si>
    <t>Retards dans le recouvrement.</t>
  </si>
  <si>
    <t>Vérification que les informations sur la facture sont exactes avant l'envoi.</t>
  </si>
  <si>
    <t>Les informations sur la facture sont-elles vérifiées avant l’envoi ?</t>
  </si>
  <si>
    <t>Suivi de l'envoi des factures validées dans les délais impartis.</t>
  </si>
  <si>
    <t>Les factures validées sont-elles envoyées dans les délais définis ?</t>
  </si>
  <si>
    <t>Documentation de chaque validation de facture avant envoi.</t>
  </si>
  <si>
    <t>Chaque validation de facture est-elle correctement documentée avant l’envoi ?</t>
  </si>
  <si>
    <t>Validation des exceptions ou erreurs de validation avant envoi.</t>
  </si>
  <si>
    <t>Les exceptions ou erreurs de validation sont-elles validées avant l’envoi ?</t>
  </si>
  <si>
    <t>érifier que chaque facture est comparée aux documents justificatifs avant validation.</t>
  </si>
  <si>
    <t>Vérification que chaque facture est comparée aux contrats, bons de commande ou autres documents justificatifs avant validation.</t>
  </si>
  <si>
    <t>Chaque facture est-elle comparée aux contrats, bons de commande ou autres justificatifs avant validation ?</t>
  </si>
  <si>
    <t>Contrôle de la correspondance entre les montants et les termes des documents justificatifs et ceux figurant sur la facture.</t>
  </si>
  <si>
    <t>Les montants et termes des documents justificatifs correspondent-ils à ceux figurant sur la facture ?</t>
  </si>
  <si>
    <t>Documentation des écarts identifiés lors de la comparaison des factures et des justificatifs.</t>
  </si>
  <si>
    <t>Les écarts identifiés lors de la comparaison des factures et des justificatifs sont-ils correctement documentés ?</t>
  </si>
  <si>
    <t>Validation que les divergences entre la facture et les documents justificatifs sont résolues avant la validation.</t>
  </si>
  <si>
    <t>Les divergences entre la facture et les documents justificatifs sont-elles résolues avant la validation ?</t>
  </si>
  <si>
    <t>Suivi de l'intégrité des documents justificatifs pour garantir la conformité de la facture.</t>
  </si>
  <si>
    <t>L'intégrité des documents justificatifs est-elle suivie pour garantir la conformité de la facture ?</t>
  </si>
  <si>
    <t>S'assurer que la validation des factures est effectuée par une personne autorisée, conformément aux niveaux d'approbation définis.</t>
  </si>
  <si>
    <t>Vérification que la validation des factures est effectuée par une personne ayant les droits d'approbation nécessaires.</t>
  </si>
  <si>
    <t>La validation des factures est-elle effectuée par une personne ayant les droits d’approbation nécessaires ?</t>
  </si>
  <si>
    <t>Contrôle du respect des niveaux d'approbation définis dans la politique interne.</t>
  </si>
  <si>
    <t>Les niveaux d’approbation définis dans la politique interne sont-ils respectés ?</t>
  </si>
  <si>
    <t>Documentation des validations de factures et des personnes responsables de l'approbation.</t>
  </si>
  <si>
    <t>Les validations de factures et les personnes responsables de l’approbation sont-elles correctement documentées ?</t>
  </si>
  <si>
    <t>Suivi des écarts par rapport aux niveaux d'approbation définis et actions correctives entreprises.</t>
  </si>
  <si>
    <t>Les écarts par rapport aux niveaux d’approbation définis sont-ils suivis et corrigés ?</t>
  </si>
  <si>
    <t>Validation de la conformité des processus de validation des factures avec les normes internes.</t>
  </si>
  <si>
    <t>Les processus de validation des factures sont-ils conformes aux normes internes ?</t>
  </si>
  <si>
    <t>Contrôler que les informations essentielles de la facture (montant, client, référence, etc.) sont exactes avant envoi.</t>
  </si>
  <si>
    <t>Vérification que toutes les informations sur la facture (montant, client, référence, etc.) sont correctement renseignées.</t>
  </si>
  <si>
    <t>Toutes les informations sur la facture (montant, client, référence, etc.) sont-elles correctement renseignées ?</t>
  </si>
  <si>
    <t>Contrôle de l'exactitude des informations de facturation avant l'envoi.</t>
  </si>
  <si>
    <t>L’exactitude des informations de facturation est-elle vérifiée avant l’envoi ?</t>
  </si>
  <si>
    <t>Suivi des erreurs détectées dans les informations de facture et correction des écarts avant l'envoi.</t>
  </si>
  <si>
    <t>Les erreurs détectées dans les informations de factures sont-elles corrigées avant l’envoi ?</t>
  </si>
  <si>
    <t>Documentation des contrôles effectués pour assurer la traçabilité.</t>
  </si>
  <si>
    <t>Les contrôles effectués sur les factures sont-ils documentés pour assurer la traçabilité ?</t>
  </si>
  <si>
    <t>Validation des informations essentielles avant l'envoi final de la facture.</t>
  </si>
  <si>
    <t>Les informations essentielles sont-elles validées avant l’envoi final de la facture ?</t>
  </si>
  <si>
    <t>Garantir que les factures invalides ou non conformes sont retournées pour correction avant validation.</t>
  </si>
  <si>
    <t>Vérification que toutes les factures invalides sont renvoyées pour correction avant validation.</t>
  </si>
  <si>
    <t>Toutes les factures invalides sont-elles renvoyées pour correction avant validation ?</t>
  </si>
  <si>
    <t>Suivi des raisons pour lesquelles une facture est jugée invalide et les actions correctives entreprises.</t>
  </si>
  <si>
    <t>Les raisons pour lesquelles une facture est invalidée sont-elles suivies et corrigées rapidement ?</t>
  </si>
  <si>
    <t>Contrôle que les factures invalides sont rectifiées dans les délais impartis.</t>
  </si>
  <si>
    <t>Les factures invalides sont-elles rectifiées dans les délais impartis ?</t>
  </si>
  <si>
    <t>Documentation des factures invalides et des actions de correction.</t>
  </si>
  <si>
    <t>Les actions de correction des factures invalides sont-elles documentées ?</t>
  </si>
  <si>
    <t>Validation que la facture rectifiée est soumise à la validation par une personne autorisée.</t>
  </si>
  <si>
    <t>La facture rectifiée est-elle soumise à validation par une personne autorisée ?</t>
  </si>
  <si>
    <t>Assurer que la validation des factures est documentée et traçable dans le système comptable.</t>
  </si>
  <si>
    <t>Vérification que chaque facture validée est documentée et enregistrée dans le système comptable.</t>
  </si>
  <si>
    <t>Chaque facture validée est-elle documentée et enregistrée dans le système comptable ?</t>
  </si>
  <si>
    <t>Suivi des informations relatives à la validation des factures (date, responsable, etc.).</t>
  </si>
  <si>
    <t>Les informations relatives à la validation des factures (date, responsable, etc.) sont-elles suivies ?</t>
  </si>
  <si>
    <t>Contrôle de la traçabilité de la validation des factures dans le système.</t>
  </si>
  <si>
    <t>La traçabilité de la validation des factures dans le système est-elle contrôlée ?</t>
  </si>
  <si>
    <t>Documentation des actions de validation pour assurer une gestion transparente et conforme.</t>
  </si>
  <si>
    <t>Les actions de validation des factures sont-elles documentées pour assurer une gestion transparente et conforme ?</t>
  </si>
  <si>
    <t>Validation que les factures validées sont enregistrées avec les informations pertinentes pour assurer la traçabilité.</t>
  </si>
  <si>
    <t>Les factures validées sont-elles enregistrées avec les informations pertinentes pour garantir leur traçabilité ?</t>
  </si>
  <si>
    <t>Enregistrement des paiements</t>
  </si>
  <si>
    <t>Assurer que chaque paiement est enregistré avec précision.</t>
  </si>
  <si>
    <t>Vérification que chaque paiement est enregistré dans le système comptable avec les informations exactes (montant, client/fournisseur, etc.).</t>
  </si>
  <si>
    <t>Chaque paiement est-il enregistré dans le système comptable avec les informations exactes (montant, client/fournisseur, etc.) ?</t>
  </si>
  <si>
    <t>Contrôle de la correspondance des paiements avec les factures ou les ordres de paiement.</t>
  </si>
  <si>
    <t>Les paiements sont-ils correspondants aux factures ou ordres de paiement ?</t>
  </si>
  <si>
    <t>Suivi des erreurs d'enregistrement des paiements et actions correctives entreprises.</t>
  </si>
  <si>
    <t>Les erreurs d’enregistrement des paiements sont-elles rapidement corrigées ?</t>
  </si>
  <si>
    <t>Documentation des paiements pour assurer la traçabilité dans les systèmes comptables.</t>
  </si>
  <si>
    <t>Les paiements sont-ils correctement documentés pour garantir la traçabilité dans les systèmes comptables ?</t>
  </si>
  <si>
    <t>Validation des paiements enregistrés avant leur intégration dans les livres comptables.</t>
  </si>
  <si>
    <t>Les paiements enregistrés sont-ils validés avant leur intégration dans les livres comptables ?</t>
  </si>
  <si>
    <t>érifier que chaque paiement est correctement affecté au compte du client ou du fournisseur correspondant.</t>
  </si>
  <si>
    <t>Vérification que chaque paiement est affecté au compte du client ou du fournisseur correspondant.</t>
  </si>
  <si>
    <t>Chaque paiement est-il affecté au compte du client ou du fournisseur correspondant ?</t>
  </si>
  <si>
    <t>Contrôle des enregistrements des paiements pour s'assurer qu'ils correspondent aux comptes appropriés.</t>
  </si>
  <si>
    <t>Les enregistrements des paiements sont-ils contrôlés pour s’assurer qu’ils correspondent aux comptes appropriés ?</t>
  </si>
  <si>
    <t>Suivi des paiements mal affectés et correction rapide des erreurs.</t>
  </si>
  <si>
    <t>Les paiements mal affectés sont-ils corrigés rapidement ?</t>
  </si>
  <si>
    <t>Documentation des affectations de paiements pour assurer la traçabilité.</t>
  </si>
  <si>
    <t>Les affectations de paiements sont-elles documentées pour assurer la traçabilité ?</t>
  </si>
  <si>
    <t>Validation des affectations de paiements avant leur enregistrement définitif.</t>
  </si>
  <si>
    <t>Les affectations de paiements sont-elles validées avant leur enregistrement définitif ?</t>
  </si>
  <si>
    <t>S'assurer que les informations liées au paiement (montant, mode de paiement, date, etc.) sont saisies sans erreur.</t>
  </si>
  <si>
    <t>Vérification que les informations de paiement (montant, mode, date) sont saisies avec précision.</t>
  </si>
  <si>
    <t>Les informations de paiement (montant, mode, date) sont-elles saisies avec précision ?</t>
  </si>
  <si>
    <t>Contrôle des écarts entre les informations saisies et les documents justificatifs.</t>
  </si>
  <si>
    <t>Les écarts entre les informations saisies et les documents justificatifs sont-ils vérifiés ?</t>
  </si>
  <si>
    <t>Suivi des erreurs d'enregistrement des informations de paiement et corrections immédiates.</t>
  </si>
  <si>
    <t>Les erreurs d’enregistrement des informations de paiement sont-elles corrigées immédiatement ?</t>
  </si>
  <si>
    <t>Documentation des informations saisies pour garantir la traçabilité.</t>
  </si>
  <si>
    <t>Les informations saisies sont-elles correctement documentées pour garantir la traçabilité ?</t>
  </si>
  <si>
    <t>Validation des informations de paiement avant leur enregistrement.</t>
  </si>
  <si>
    <t>Les informations de paiement sont-elles validées avant leur enregistrement dans le système ?</t>
  </si>
  <si>
    <t>Contrôler que tous les paiements sont enregistrés dans le système comptable dans les délais impartis.</t>
  </si>
  <si>
    <t>Vérification que tous les paiements sont enregistrés dans les délais définis dans les procédures internes.</t>
  </si>
  <si>
    <t>Tous les paiements sont-ils enregistrés dans les délais définis par les procédures internes ?</t>
  </si>
  <si>
    <t>Suivi des retards d'enregistrement des paiements et actions correctives entreprises.</t>
  </si>
  <si>
    <t>Les retards d’enregistrement des paiements sont-ils suivis et corrigés rapidement ?</t>
  </si>
  <si>
    <t>Contrôle que les paiements sont correctement enregistrés dans le système en temps utile.</t>
  </si>
  <si>
    <t>Les paiements sont-ils enregistrés correctement et en temps utile dans le système ?</t>
  </si>
  <si>
    <t>Documentation de l'enregistrement des paiements pour assurer la traçabilité.</t>
  </si>
  <si>
    <t>L'enregistrement des paiements est-il documenté pour garantir la traçabilité ?</t>
  </si>
  <si>
    <t>Validation des paiements enregistrés dans les délais impartis.</t>
  </si>
  <si>
    <t>Les paiements sont-ils validés dans les délais impartis ?</t>
  </si>
  <si>
    <t>Garantir que les paiements sont réconciliés avec les relevés bancaires pour assurer l'exactitude des enregistrements.</t>
  </si>
  <si>
    <t>Vérification que tous les paiements sont réconciliés avec les relevés bancaires.</t>
  </si>
  <si>
    <t>Tous les paiements sont-ils réconciliés avec les relevés bancaires ?</t>
  </si>
  <si>
    <t>Contrôle de la correspondance des paiements enregistrés avec les transactions bancaires.</t>
  </si>
  <si>
    <t>Les paiements enregistrés correspondent-ils aux transactions bancaires ?</t>
  </si>
  <si>
    <t>Suivi des écarts entre les paiements enregistrés et les relevés bancaires.</t>
  </si>
  <si>
    <t>Les écarts entre les paiements enregistrés et les relevés bancaires sont-ils suivis ?</t>
  </si>
  <si>
    <t>Documentation des réconciliations pour assurer la traçabilité.</t>
  </si>
  <si>
    <t>Les réconciliations bancaires sont-elles documentées pour assurer la traçabilité ?</t>
  </si>
  <si>
    <t>Validation que les écarts identifiés sont corrigés dans les plus brefs délais.</t>
  </si>
  <si>
    <t>Les écarts identifiés sont-ils corrigés rapidement ?</t>
  </si>
  <si>
    <t>Assurer que les paiements incorrectement enregistrés ou non correspondants sont rapidement identifiés et rectifiés.</t>
  </si>
  <si>
    <t>Vérification que les paiements incorrectement enregistrés ou non correspondants sont détectés rapidement.</t>
  </si>
  <si>
    <t>Les paiements incorrectement enregistrés sont-ils détectés rapidement ?</t>
  </si>
  <si>
    <t>Relevé de paiement.</t>
  </si>
  <si>
    <t>Retard dans l’enregistrement des paiements.</t>
  </si>
  <si>
    <t>Déséquilibres dans les comptes clients.</t>
  </si>
  <si>
    <t>Contrôle des processus de correction des erreurs de paiement.</t>
  </si>
  <si>
    <t>Les erreurs de paiement sont-elles corrigées selon un processus bien défini ?</t>
  </si>
  <si>
    <t>Suivi des paiements erronés et actions de correction immédiates.</t>
  </si>
  <si>
    <t>Les paiements erronés sont-ils suivis et corrigés immédiatement ?</t>
  </si>
  <si>
    <t>Documentation des erreurs de paiement et des corrections apportées.</t>
  </si>
  <si>
    <t>Les erreurs de paiement et leurs corrections sont-elles documentées ?</t>
  </si>
  <si>
    <t>Validation des rectifications de paiements avant leur enregistrement définitif.</t>
  </si>
  <si>
    <t>Les rectifications des paiements sont-elles validées avant leur enregistrement définitif ?</t>
  </si>
  <si>
    <t>Suivi de la Trésorerie</t>
  </si>
  <si>
    <t>Réalisation du rapprochement bancaire</t>
  </si>
  <si>
    <t>Vérifier que le rapprochement bancaire est effectué périodiquement.</t>
  </si>
  <si>
    <t>Vérification de la réalisation périodique du rapprochement bancaire.</t>
  </si>
  <si>
    <t>Le rapprochement bancaire est-il réalisé périodiquement ?</t>
  </si>
  <si>
    <t>Rapport de rapprochement bancaire mensuel.</t>
  </si>
  <si>
    <t>Écarts non détectés entre comptes bancaires et comptables.</t>
  </si>
  <si>
    <t>Informations financières inexactes.</t>
  </si>
  <si>
    <t>Suivi de la régularité du rapprochement bancaire dans les délais définis.</t>
  </si>
  <si>
    <t>La régularité du rapprochement bancaire respecte-t-elle les délais définis ?</t>
  </si>
  <si>
    <t>Contrôle des divergences identifiées et des actions entreprises pour les résoudre.</t>
  </si>
  <si>
    <t>Les divergences identifiées dans le rapprochement bancaire sont-elles corrigées ?</t>
  </si>
  <si>
    <t>Documentation des rapprochements bancaires réalisés pour assurer leur traçabilité.</t>
  </si>
  <si>
    <t>Les rapprochements bancaires réalisés sont-ils correctement documentés pour assurer la traçabilité ?</t>
  </si>
  <si>
    <t>Validation que les rapprochements bancaires sont effectués conformément aux normes internes.</t>
  </si>
  <si>
    <t>Les rapprochements bancaires sont-ils effectués conformément aux normes internes ?</t>
  </si>
  <si>
    <t>Vérifier que toutes les transactions bancaires sont incluses dans le rapprochement bancaire et sont correctement enregistrées.</t>
  </si>
  <si>
    <t>Vérification que toutes les transactions bancaires, y compris les paiements, les encaissements et les frais, sont incluses dans le rapprochement bancaire.</t>
  </si>
  <si>
    <t>Toutes les transactions bancaires sont-elles incluses dans le rapprochement bancaire (paiements, encaissements, frais) ?</t>
  </si>
  <si>
    <t>Contrôle que chaque transaction bancaire est correctement enregistrée dans le système comptable.</t>
  </si>
  <si>
    <t>Chaque transaction bancaire est-elle correctement enregistrée dans le système comptable ?</t>
  </si>
  <si>
    <t>Suivi des erreurs d'enregistrement et rectification rapide des anomalies.</t>
  </si>
  <si>
    <t>Les erreurs d'enregistrement des transactions bancaires sont-elles corrigées rapidement ?</t>
  </si>
  <si>
    <t>Documentation de l'inclusion et de l'enregistrement de chaque transaction bancaire dans le rapprochement bancaire.</t>
  </si>
  <si>
    <t>Chaque transaction bancaire est-elle correctement incluse dans le rapprochement bancaire ?</t>
  </si>
  <si>
    <t>Validation que toutes les transactions bancaires sont correctement prises en compte dans le rapprochement.</t>
  </si>
  <si>
    <t>Les différences entre les relevés bancaires et les livres comptables sont-elles identifiées et documentées ?</t>
  </si>
  <si>
    <t>S'assurer que les différences entre les relevés bancaires et les livres comptables sont identifiées et expliquées.</t>
  </si>
  <si>
    <t>Vérification que toutes les différences entre les relevés bancaires et les livres comptables sont identifiées et documentées.</t>
  </si>
  <si>
    <t>Les écarts identifiés sont-ils expliqués et justifiés de manière appropriée ?</t>
  </si>
  <si>
    <t>Contrôle de l'explication et de la justification des écarts.</t>
  </si>
  <si>
    <t>Les actions pour résoudre les différences sont-elles suivies et les erreurs corrigées ?</t>
  </si>
  <si>
    <t>Suivi des actions entreprises pour résoudre les différences et rectifier les erreurs.</t>
  </si>
  <si>
    <t>Les écarts dans le rapprochement bancaire sont-ils documentés avec des explications claires ?</t>
  </si>
  <si>
    <t>Documentation des écarts dans le rapprochement bancaire et explication de chaque différence.</t>
  </si>
  <si>
    <t>Les rapprochements bancaires sont-ils réalisés dans les délais convenus ?</t>
  </si>
  <si>
    <t>Validation que les écarts sont expliqués de manière claire et précise.</t>
  </si>
  <si>
    <t>Les délais de rapprochement bancaire respectent-ils les normes internes ?</t>
  </si>
  <si>
    <t>Contrôler que les rapprochements bancaires sont effectués dans les délais définis et approuvés par les responsables.</t>
  </si>
  <si>
    <t>Vérification que les rapprochements bancaires sont réalisés dans les délais convenus.</t>
  </si>
  <si>
    <t>Le rapprochement bancaire est-il validé et approuvé par un responsable autorisé ?</t>
  </si>
  <si>
    <t>Suivi des délais de rapprochement bancaire pour garantir qu'ils respectent les normes internes.</t>
  </si>
  <si>
    <t>Le respect des délais dans le processus de rapprochement est-il documenté ?</t>
  </si>
  <si>
    <t>Contrôle que le rapprochement bancaire est validé et approuvé par un responsable autorisé.</t>
  </si>
  <si>
    <t>L'efficacité des contrôles internes pour respecter les délais de rapprochement est-elle validée ?</t>
  </si>
  <si>
    <t>Documentation du respect des délais dans le processus de rapprochement.</t>
  </si>
  <si>
    <t>Les erreurs et omissions dans le rapprochement bancaire sont-elles corrigées rapidement ?</t>
  </si>
  <si>
    <t>Validation de l'efficacité des contrôles internes concernant le respect des délais de rapprochement</t>
  </si>
  <si>
    <t>Les erreurs sont-elles corrigées dans les délais impartis ?</t>
  </si>
  <si>
    <t>Garantir que les erreurs ou omissions relevées lors du rapprochement sont corrigées dans les plus brefs délais</t>
  </si>
  <si>
    <t>Vérification que toutes les erreurs et omissions identifiées lors du rapprochement bancaire sont corrigées rapidement.</t>
  </si>
  <si>
    <t>Des mesures sont-elles mises en place pour éviter la récurrence des erreurs ?</t>
  </si>
  <si>
    <t>Suivi de la correction des erreurs dans les délais impartis.</t>
  </si>
  <si>
    <t>Les erreurs et corrections apportées dans le rapprochement bancaire sont-elles documentées ?</t>
  </si>
  <si>
    <t>Contrôle de la mise en place de mesures pour éviter la récurrence des erreurs.</t>
  </si>
  <si>
    <t>Les corrections dans le rapprochement bancaire sont-elles effectuées en temps réel sans retarder la validation ?</t>
  </si>
  <si>
    <t>Documentation des erreurs et des corrections apportées dans le rapprochement bancaire.</t>
  </si>
  <si>
    <t>Chaque rapprochement bancaire est-il validé par une personne autorisée ?</t>
  </si>
  <si>
    <t>Validation que les corrections sont effectuées en temps réel et ne retardent pas le processus de validation.</t>
  </si>
  <si>
    <t>La validation du rapprochement bancaire est-elle documentée et enregistrée pour assurer la traçabilité ?</t>
  </si>
  <si>
    <t>Assurer que les rapprochements bancaires sont validés par une personne autorisée et documentée pour garantir leur traçabilité.</t>
  </si>
  <si>
    <t>Vérification que chaque rapprochement bancaire est validé par une personne autorisée.</t>
  </si>
  <si>
    <t>L'intégrité du processus de validation des rapprochements bancaires est-elle suivie ?</t>
  </si>
  <si>
    <t>Contrôle que la validation est documentée et enregistrée pour assurer la traçabilité.</t>
  </si>
  <si>
    <t>Les validations des rapprochements bancaires et les responsables impliqués sont-ils correctement documentés ?</t>
  </si>
  <si>
    <t>Suivi de l'intégrité du processus de validation des rapprochements bancaires.</t>
  </si>
  <si>
    <t>Les rapprochements bancaires respectent-ils les procédures de validation interne ?</t>
  </si>
  <si>
    <t>Documentation des validations et des responsables impliqués pour garantir la traçabilité.</t>
  </si>
  <si>
    <t>Le rapprochement bancaire est-il validé par un responsable ayant les qualifications nécessaires ?</t>
  </si>
  <si>
    <t>Validation de la conformité des rapprochements avec les procédures de validation interne.</t>
  </si>
  <si>
    <t>La validation des rapprochements bancaires respecte-t-elle les politiques internes ?</t>
  </si>
  <si>
    <t>Validation du rapprochement bancaire</t>
  </si>
  <si>
    <t>Assurer que le rapprochement bancaire est validé par un responsable.</t>
  </si>
  <si>
    <t>Vérification que le rapprochement bancaire est validé par un responsable ayant les qualifications nécessaires.</t>
  </si>
  <si>
    <t>L'approbation des rapprochements bancaires est-elle effectuée avant la clôture des périodes comptables ?</t>
  </si>
  <si>
    <t>Contrôle de la conformité des validations avec les politiques internes.</t>
  </si>
  <si>
    <t>La validation par un responsable autorisé est-elle correctement documentée pour assurer la traçabilité ?</t>
  </si>
  <si>
    <t>Suivi de l’approbation des rapprochements bancaires avant la clôture des périodes comptables.</t>
  </si>
  <si>
    <t>Le responsable validant le rapprochement bancaire possède-t-il les qualifications et compétences nécessaires ?</t>
  </si>
  <si>
    <t>Documentation de la validation par un responsable autorisé pour assurer la traçabilité.</t>
  </si>
  <si>
    <t>Validation de la compétence du responsable qui valide le rapprochement bancaire.</t>
  </si>
  <si>
    <t>Le responsable validant le rapprochement bancaire possède-t-il les compétences nécessaires ?</t>
  </si>
  <si>
    <t>Vérifier que le rapprochement bancaire est validé par un responsable ayant les qualifications nécessaires.</t>
  </si>
  <si>
    <t>Vérification que le responsable validant le rapprochement bancaire possède les qualifications et compétences nécessaires.</t>
  </si>
  <si>
    <t>Les qualifications du responsable validant le rapprochement bancaire sont-elles conformes aux exigences internes ?</t>
  </si>
  <si>
    <t>Contrôle que les qualifications du responsable sont conformes aux exigences internes.</t>
  </si>
  <si>
    <t>Les qualifications des responsables validant les rapprochements bancaires sont-elles documentées ?</t>
  </si>
  <si>
    <t>Documentation des qualifications des responsables validant les rapprochements bancaires.</t>
  </si>
  <si>
    <t>Le processus de validation respecte-t-il les exigences internes en matière de qualifications ?</t>
  </si>
  <si>
    <t>Suivi de la conformité du processus de validation avec les exigences internes en matière de qualifications.</t>
  </si>
  <si>
    <t>La compétence des responsables est-elle validée avant la validation finale des rapprochements bancaires ?</t>
  </si>
  <si>
    <t>Validation de la compétence des responsables avant la validation finale des rapprochements bancaires.</t>
  </si>
  <si>
    <t>La validation du rapprochement bancaire est-elle effectuée avant la clôture de la période comptable ?</t>
  </si>
  <si>
    <t>S'assurer que la validation du rapprochement est effectuée avant toute clôture de période comptable.</t>
  </si>
  <si>
    <t>Vérification que la validation du rapprochement bancaire est effectuée avant la clôture de la période comptable.</t>
  </si>
  <si>
    <t>La période comptable est-elle correctement clôturée après la validation du rapprochement ?</t>
  </si>
  <si>
    <t>Contrôle que la période comptable est correctement clôturée après la validation du rapprochement.</t>
  </si>
  <si>
    <t>Les contrôles sont-ils effectués avant la clôture de la période pour éviter des erreurs dans les rapports financiers ?</t>
  </si>
  <si>
    <t>Suivi de l'exécution des contrôles avant la clôture pour éviter des erreurs dans les rapports financiers.</t>
  </si>
  <si>
    <t>La validation des rapprochements avant la clôture de la période est-elle bien documentée ?</t>
  </si>
  <si>
    <t>Documentation de la validation des rapprochements avant la clôture de la période.</t>
  </si>
  <si>
    <t>La clôture des comptes est-elle réalisée après la validation du rapprochement bancaire ?</t>
  </si>
  <si>
    <t>Validation que la clôture des comptes se fait après le rapprochement bancaire validé.</t>
  </si>
  <si>
    <t>Les anomalies détectées dans le rapprochement bancaire sont-elles correctement documentées ?</t>
  </si>
  <si>
    <t>Contrôler que toutes les anomalies détectées dans le rapprochement sont correctement documentées et corrigées avant validation.</t>
  </si>
  <si>
    <t>Vérification que toutes les anomalies détectées dans le rapprochement bancaire sont correctement documentées.</t>
  </si>
  <si>
    <t>Les anomalies sont-elles corrigées avant la validation finale du rapprochement bancaire ?</t>
  </si>
  <si>
    <t>Contrôle que les anomalies sont corrigées avant la validation finale du rapprochement.</t>
  </si>
  <si>
    <t>Les actions pour résoudre les anomalies sont-elles suivies et corrigées dans les délais impartis ?</t>
  </si>
  <si>
    <t>Suivi des actions entreprises pour résoudre les anomalies dans les délais impartis.</t>
  </si>
  <si>
    <t>Les anomalies et corrections apportées sont-elles documentées pour garantir la transparence ?</t>
  </si>
  <si>
    <t>Documentation des anomalies et des corrections apportées pour garantir la transparence.</t>
  </si>
  <si>
    <t>Les anomalies sont-elles complètement corrigées avant la validation finale du rapprochement bancaire ?</t>
  </si>
  <si>
    <t>Validation que les anomalies sont totalement corrigées avant la validation finale.</t>
  </si>
  <si>
    <t>La validation du rapprochement bancaire inclut-elle une revue approfondie des justificatifs bancaires et comptables ?</t>
  </si>
  <si>
    <t>Garantir que la validation du rapprochement est réalisée avec une revue approfondie des justificatifs bancaires et comptables.</t>
  </si>
  <si>
    <t>Vérification que la validation du rapprochement bancaire inclut une revue approfondie des justificatifs bancaires et comptables.</t>
  </si>
  <si>
    <t>Tous les justificatifs nécessaires sont-ils vérifiés avant la validation du rapprochement ?</t>
  </si>
  <si>
    <t>Contrôle que tous les justificatifs sont correctement vérifiés avant la validation du rapprochement.</t>
  </si>
  <si>
    <t>L'examen des documents justificatifs est-il effectué pour garantir leur conformité avec le rapprochement bancaire ?</t>
  </si>
  <si>
    <t>Suivi de l'examen des documents justificatifs pour garantir leur conformité avec le rapprochement bancaire.</t>
  </si>
  <si>
    <t>La revue des justificatifs est-elle documentée pour assurer la traçabilité ?</t>
  </si>
  <si>
    <t>Documentation de la revue des justificatifs pour assurer la traçabilité.</t>
  </si>
  <si>
    <t>Tous les justificatifs nécessaires ont-ils été révisés avant la validation finale du rapprochement bancaire ?</t>
  </si>
  <si>
    <t>Validation que tous les justificatifs nécessaires ont été révisés avant la validation finale du rapprochement bancaire.</t>
  </si>
  <si>
    <t>Chaque rapprochement bancaire est-il validé par un responsable ?</t>
  </si>
  <si>
    <t>Assurer que la validation du rapprochement bancaire est correctement enregistrée et traçable dans les systèmes internes</t>
  </si>
  <si>
    <t>Chaque rapprochement bancaire est validé par un responsable.</t>
  </si>
  <si>
    <t>Les enregistrements sont-ils traçables et permettent-ils de retracer les actions de validation ?</t>
  </si>
  <si>
    <t>Signature d’approbation du rapprochement bancaire.</t>
  </si>
  <si>
    <t>Rapprochement bancaire non validé.</t>
  </si>
  <si>
    <t>Erreurs non corrigées.</t>
  </si>
  <si>
    <t>Contrôle que les enregistrements sont traçables et permettent de retracer les actions de validation.</t>
  </si>
  <si>
    <t>Les enregistrements dans les systèmes internes respectent-ils les exigences de conformité ?</t>
  </si>
  <si>
    <t>Suivi des enregistrements dans les systèmes internes pour garantir leur conformité.</t>
  </si>
  <si>
    <t>La validation du rapprochement bancaire est-elle documentée pour garantir sa traçabilité dans les systèmes internes ?</t>
  </si>
  <si>
    <t>Documentation de la validation du rapprochement bancaire pour assurer sa traçabilité dans les systèmes internes.</t>
  </si>
  <si>
    <t>Toutes les validations de rapprochement bancaire sont-elles enregistrées et disponibles pour audit ?</t>
  </si>
  <si>
    <t>Validation que toutes les validations de rapprochement bancaire sont enregistrées et disponibles pour audit.</t>
  </si>
  <si>
    <t>Chaque immobilisation dispose-t-elle d’une fiche complète indiquant son nom, sa date d’acquisition, sa valeur et sa durée de vie ?</t>
  </si>
  <si>
    <t>Gestion des Immobilisations</t>
  </si>
  <si>
    <t>Enregistrement des immobilisations</t>
  </si>
  <si>
    <t>Assurer que chaque immobilisation est enregistrée dans le système avec un enregistrement complet.</t>
  </si>
  <si>
    <t>Chaque immobilisation dispose d’une fiche complète indiquant son nom, sa date d’acquisition, sa valeur et sa durée de vie.</t>
  </si>
  <si>
    <t>Les données d’immobilisation sont-elles complètes et exactes dans le système ?</t>
  </si>
  <si>
    <t>Fiche d’immobilisation complète.</t>
  </si>
  <si>
    <t>Immobilisations mal enregistrées ou incomplètes.</t>
  </si>
  <si>
    <t>Mauvaise gestion des actifs et erreurs d’amortissement.</t>
  </si>
  <si>
    <t>Contrôle que les données d’immobilisation sont complètes et exactes dans le système.</t>
  </si>
  <si>
    <t>Les erreurs d’enregistrement des immobilisations sont-elles rapidement corrigées ?</t>
  </si>
  <si>
    <t>Suivi des erreurs d’enregistrement et rectification rapide des informations incorrectes.</t>
  </si>
  <si>
    <t>Les enregistrements d’immobilisation sont-ils correctement documentés pour assurer la traçabilité ?</t>
  </si>
  <si>
    <t>Documentation des enregistrements d’immobilisation pour assurer la traçabilité.</t>
  </si>
  <si>
    <t>Chaque immobilisation est-elle correctement enregistrée dans le système ?</t>
  </si>
  <si>
    <t>Validation que chaque immobilisation est correctement enregistrée dans le système.</t>
  </si>
  <si>
    <t>Chaque immobilisation est-elle correctement identifiée et classée selon les catégories appropriées (terrains, bâtiments, équipements, etc.) ?</t>
  </si>
  <si>
    <t>Vérifier que chaque immobilisation est correctement identifiée et classifiée selon les catégories appropriées.</t>
  </si>
  <si>
    <t>Vérification que chaque immobilisation est correctement identifiée (numéro d'immobilisation, type, etc.) et classée selon les catégories appropriées (terrains, bâtiments, équipements, etc.).</t>
  </si>
  <si>
    <t>L'identification et la classification des immobilisations sont-elles conformes aux politiques internes ?</t>
  </si>
  <si>
    <t>Contrôle de la conformité de l'identification et de la classification des immobilisations avec les politiques internes.</t>
  </si>
  <si>
    <t>Les erreurs d'identification des immobilisations sont-elles rapidement corrigées ?</t>
  </si>
  <si>
    <t>Suivi des erreurs d'identification et rectification rapide des anomalies.</t>
  </si>
  <si>
    <t>Les catégories d’immobilisations et les modifications apportées sont-elles documentées ?</t>
  </si>
  <si>
    <t>Documentation des catégories d’immobilisations et des modifications apportées.</t>
  </si>
  <si>
    <t>Chaque immobilisation est-elle correctement classifiée dans le système ?</t>
  </si>
  <si>
    <t>Validation que chaque immobilisation est correctement classifiée dans le système.</t>
  </si>
  <si>
    <t>Les informations essentielles liées aux immobilisations sont-elles correctement saisies dans le système (valeur, date d’acquisition, durée de vie, etc.) ?</t>
  </si>
  <si>
    <t>S'assurer que toutes les informations nécessaires (valeur, date d'acquisition, durée de vie, mode de financement, etc.) sont correctement saisies.</t>
  </si>
  <si>
    <t>Vérification que toutes les informations essentielles liées à l’immobilisation (valeur, date d’acquisition, durée de vie, mode de financement, etc.) sont correctement saisies.</t>
  </si>
  <si>
    <t>Les informations relatives aux immobilisations sont-elles complètes avant leur enregistrement dans le système ?</t>
  </si>
  <si>
    <t>Contrôle de la complétude des informations avant l'enregistrement dans le système.</t>
  </si>
  <si>
    <t>Les erreurs dans les informations saisies sur les immobilisations sont-elles corrigées rapidement ?</t>
  </si>
  <si>
    <t>Suivi des erreurs dans les informations saisies et correction rapide des écarts.</t>
  </si>
  <si>
    <t>Les informations saisies sur les immobilisations sont-elles documentées pour garantir leur traçabilité ?</t>
  </si>
  <si>
    <t>Les informations relatives aux immobilisations sont-elles complètes et exactes avant leur enregistrement ?</t>
  </si>
  <si>
    <t>Validation que les informations relatives aux immobilisations sont complètes et exactes.</t>
  </si>
  <si>
    <t>Les calculs d’amortissement sont-ils validés par un responsable ?</t>
  </si>
  <si>
    <t>Contrôler que les pièces justificatives liées à l'acquisition des immobilisations sont collectées et archivées.</t>
  </si>
  <si>
    <t>Vérification que toutes les pièces justificatives (factures, contrats, etc.) sont collectées et archivées.</t>
  </si>
  <si>
    <t>Les pièces justificatives (factures, contrats, etc.) sont-elles collectées et archivées correctement ?</t>
  </si>
  <si>
    <t>Contrôle que les pièces justificatives sont facilement accessibles et correctement classées.</t>
  </si>
  <si>
    <t>Les pièces justificatives sont-elles facilement accessibles et correctement classées ?</t>
  </si>
  <si>
    <t>Suivi de la conformité des pièces justificatives avec les exigences légales et internes.</t>
  </si>
  <si>
    <t>Les pièces justificatives respectent-elles les exigences légales et internes ?</t>
  </si>
  <si>
    <t>Documentation de la collecte et de l’archivage des pièces justificatives pour garantir la traçabilité.</t>
  </si>
  <si>
    <t>La collecte et l’archivage des pièces justificatives sont-elles correctement documentées pour garantir la traçabilité ?</t>
  </si>
  <si>
    <t>Validation que les pièces justificatives sont correctement archivées avant l'enregistrement des immobilisations.</t>
  </si>
  <si>
    <t>Les pièces justificatives sont-elles archivées avant l'enregistrement des immobilisations ?</t>
  </si>
  <si>
    <t>Garantir que l'enregistrement des immobilisations est effectué dans les délais impartis et validé par une personne autorisée.</t>
  </si>
  <si>
    <t>Vérification que l'enregistrement des immobilisations est effectué dans les délais définis par les procédures internes.</t>
  </si>
  <si>
    <t>L'enregistrement des immobilisations est-il effectué dans les délais définis par les procédures internes ?</t>
  </si>
  <si>
    <t>Contrôle que l'enregistrement des immobilisations est validé par une personne autorisée avant son enregistrement définitif dans le système.</t>
  </si>
  <si>
    <t>L'enregistrement des immobilisations est-il validé par une personne autorisée avant son enregistrement définitif dans le système ?</t>
  </si>
  <si>
    <t>Suivi des retards ou erreurs dans l'enregistrement et correction rapide des anomalies.</t>
  </si>
  <si>
    <t>Les erreurs d’enregistrement des immobilisations sont-elles corrigées rapidement ?</t>
  </si>
  <si>
    <t>Documentation des enregistrements d'immobilisations pour assurer leur traçabilité.</t>
  </si>
  <si>
    <t>Les enregistrements d'immobilisations sont-ils documentés pour assurer leur traçabilité ?</t>
  </si>
  <si>
    <t>Validation que l'enregistrement respecte les délais et qu'il est validé par une personne compétente.</t>
  </si>
  <si>
    <t>L'enregistrement des immobilisations respecte-t-il les délais et est-il validé par une personne compétente ?</t>
  </si>
  <si>
    <t>Assurer que les immobilisations sont réconciliées périodiquement avec les inventaires physiques et les états financiers.</t>
  </si>
  <si>
    <t>Vérification que les immobilisations sont réconciliées avec les inventaires physiques à une fréquence régulière.</t>
  </si>
  <si>
    <t>Les immobilisations sont-elles réconciliées avec les inventaires physiques à une fréquence régulière ?</t>
  </si>
  <si>
    <t>Contrôle que la réconciliation est effectuée avec les états financiers pour assurer la précision des données comptables.</t>
  </si>
  <si>
    <t>La réconciliation des immobilisations est-elle effectuée avec les états financiers pour assurer la précision des données comptables ?</t>
  </si>
  <si>
    <t>Suivi des écarts identifiés lors de la réconciliation et correction rapide des anomalies.</t>
  </si>
  <si>
    <t>Les écarts identifiés lors de la réconciliation des immobilisations sont-ils corrigés rapidement ?</t>
  </si>
  <si>
    <t>Documentation des réconciliations et des actions correctives prises.</t>
  </si>
  <si>
    <t>Les réconciliations et les actions correctives sont-elles correctement documentées ?</t>
  </si>
  <si>
    <t>Validation que la réconciliation est réalisée périodiquement et de manière conforme aux normes internes.</t>
  </si>
  <si>
    <t>La réconciliation des immobilisations est-elle réalisée périodiquement et conforme aux normes internes ?</t>
  </si>
  <si>
    <t>Calcul des amortissements</t>
  </si>
  <si>
    <t>Assurer l’exactitude des calculs d’amortissement pour chaque immobilisation</t>
  </si>
  <si>
    <t>Le calcul de l’amortissement est effectué selon la méthode approuvée (linéaire, dégressif).</t>
  </si>
  <si>
    <t>Le calcul de l’amortissement est-il effectué selon la méthode approuvée (linéaire, dégressif) ?</t>
  </si>
  <si>
    <t>Rapport de calcul des amortissements.</t>
  </si>
  <si>
    <t>Mauvais calcul de l’amortissement.</t>
  </si>
  <si>
    <t>Valeurs d’actifs incorrectes et impacts financiers.</t>
  </si>
  <si>
    <t>Contrôle que les calculs sont effectués régulièrement et en conformité avec les normes comptables et fiscales.</t>
  </si>
  <si>
    <t>Les calculs d’amortissement sont-ils effectués régulièrement et en conformité avec les normes comptables et fiscales ?</t>
  </si>
  <si>
    <t>Suivi des erreurs dans les calculs d’amortissement et rectification des anomalies rapidement.</t>
  </si>
  <si>
    <t>Les erreurs dans les calculs d’amortissement sont-elles corrigées rapidement ?</t>
  </si>
  <si>
    <t>Documentation des calculs d’amortissement pour assurer leur traçabilité et exactitude.</t>
  </si>
  <si>
    <t>Les calculs d’amortissement sont-ils correctement documentés pour garantir leur traçabilité et exactitude ?</t>
  </si>
  <si>
    <t>Validation de l’exactitude des calculs d’amortissement effectués sur les immobilisations.</t>
  </si>
  <si>
    <t>L’exactitude des calculs d’amortissement effectués sur les immobilisations est-elle validée ?</t>
  </si>
  <si>
    <t>Vérifier que les bases de calcul des amortissements (valeur d'acquisition, durée de vie, méthode d'amortissement) sont correctement appliquées pour chaque immobilisation.</t>
  </si>
  <si>
    <t>Vérification que les bases de calcul d'amortissement, telles que la valeur d’acquisition, la durée de vie et la méthode d’amortissement, sont appliquées correctement pour chaque immobilisation.</t>
  </si>
  <si>
    <t>Les bases de calcul d'amortissement (valeur d’acquisition, durée de vie, méthode) sont-elles correctement appliquées à chaque immobilisation ?</t>
  </si>
  <si>
    <t>Contrôle que les modifications de ces bases sont correctement justifiées et documentées.</t>
  </si>
  <si>
    <t>Les modifications des bases de calcul d'amortissement sont-elles correctement justifiées et documentées ?</t>
  </si>
  <si>
    <t>Suivi de l'application correcte des bases de calculs pour chaque immobilisation.</t>
  </si>
  <si>
    <t>L’application correcte des bases de calculs est-elle suivie pour chaque immobilisation ?</t>
  </si>
  <si>
    <t>Documentation des bases de calcul utilisées pour garantir la transparence.</t>
  </si>
  <si>
    <t>Les bases de calcul utilisées pour les amortissements sont-elles documentées pour garantir la transparence ?</t>
  </si>
  <si>
    <t>Validation que les bases de calcul respectent les normes comptables en vigueur.</t>
  </si>
  <si>
    <t>Les bases de calcul d’amortissement respectent-elles les normes comptables en vigueur ?</t>
  </si>
  <si>
    <t>S'assurer que les calculs d'amortissement sont effectués régulièrement et conformément aux normes comptables et fiscales en vigueur.</t>
  </si>
  <si>
    <t>Vérification que les calculs d’amortissement sont effectués selon un calendrier régulier (mensuel, trimestriel, annuel).</t>
  </si>
  <si>
    <t>Les calculs d’amortissement sont-ils effectués selon un calendrier régulier (mensuel, trimestriel, annuel) ?</t>
  </si>
  <si>
    <t>Contrôle que ces calculs respectent les normes comptables et fiscales en vigueur.</t>
  </si>
  <si>
    <t>Les calculs d’amortissement respectent-ils les normes comptables et fiscales en vigueur ?</t>
  </si>
  <si>
    <t>Suivi des anomalies dans l’application des normes d'amortissement et correction rapide des erreurs.</t>
  </si>
  <si>
    <t>Les anomalies dans l’application des normes d’amortissement sont-elles corrigées rapidement ?</t>
  </si>
  <si>
    <t>Documentation des périodes et des méthodes utilisées pour les calculs d’amortissement.</t>
  </si>
  <si>
    <t>Les périodes et méthodes utilisées pour les calculs d’amortissement sont-elles documentées ?</t>
  </si>
  <si>
    <t>Validation que les calculs sont effectués conformément aux réglementations comptables et fiscales.</t>
  </si>
  <si>
    <t>Les calculs d’amortissement sont-ils effectués conformément aux réglementations comptables et fiscales ?</t>
  </si>
  <si>
    <t>Contrôler que les ajustements d'amortissement (modifications de durée de vie, valeurs résiduelles) sont correctement documentés et justifiés.</t>
  </si>
  <si>
    <t>Vérification que tous les ajustements effectués sur la durée de vie, la valeur résiduelle ou la méthode d'amortissement sont correctement documentés.</t>
  </si>
  <si>
    <t>Tous les ajustements effectués sur la durée de vie, la valeur résiduelle ou la méthode d’amortissement sont-ils correctement documentés ?</t>
  </si>
  <si>
    <t>Contrôle que chaque ajustement est justifié par des raisons valides, telles qu'une réévaluation des immobilisations ou des changements dans l’utilisation.</t>
  </si>
  <si>
    <t>Chaque ajustement des paramètres de calcul d’amortissement est-il justifié par des raisons valides et documentées ?</t>
  </si>
  <si>
    <t>Suivi des actions correctives et des ajustements nécessaires pour garantir la conformité des calculs d’amortissement.</t>
  </si>
  <si>
    <t>Les actions correctives et les ajustements nécessaires pour garantir la conformité des calculs d’amortissement sont-ils suivis ?</t>
  </si>
  <si>
    <t>Documentation de chaque ajustement pour assurer la traçabilité.</t>
  </si>
  <si>
    <t>Les ajustements des amortissements sont-ils correctement documentés pour assurer la traçabilité ?</t>
  </si>
  <si>
    <t>Validation que les ajustements sont justifiés et effectués de manière conforme.</t>
  </si>
  <si>
    <t>Les ajustements des amortissements sont-ils justifiés et effectués de manière conforme ?</t>
  </si>
  <si>
    <t>Garantir que les amortissements sont correctement enregistrés dans les livres comptables et réconciliés avec les états financiers.</t>
  </si>
  <si>
    <t>Vérification que les amortissements sont correctement enregistrés dans les livres comptables selon les règles comptables.</t>
  </si>
  <si>
    <t>Les amortissements sont-ils correctement enregistrés dans les livres comptables selon les règles comptables ?</t>
  </si>
  <si>
    <t>Contrôle que les amortissements sont réconciliés avec les états financiers pour garantir leur exactitude.</t>
  </si>
  <si>
    <t>Les amortissements sont-ils réconciliés avec les états financiers pour garantir leur exactitude ?</t>
  </si>
  <si>
    <t>Suivi des erreurs d’enregistrement et correction des anomalies identifiées dans les livres comptables.</t>
  </si>
  <si>
    <t>Les erreurs d’enregistrement des amortissements sont-elles rapidement identifiées et corrigées ?</t>
  </si>
  <si>
    <t>Documentation des enregistrements d'amortissement pour assurer leur traçabilité.</t>
  </si>
  <si>
    <t>Les corrections des erreurs d’amortissement sont-elles validées par une personne autorisée avant l'enregistrement ?</t>
  </si>
  <si>
    <t>Validation que les amortissements sont correctement intégrés dans les états financiers.</t>
  </si>
  <si>
    <t>Les mesures correctives mises en place pour éviter la récurrence des erreurs d'amortissement sont-elles efficaces ?</t>
  </si>
  <si>
    <t>Assurer que toute erreur dans le calcul des amortissements est identifiée, corrigée et validée en temps utile</t>
  </si>
  <si>
    <t>Vérification que les erreurs de calcul des amortissements sont rapidement identifiées et corrigées.</t>
  </si>
  <si>
    <t>Les erreurs identifiées dans les calculs d’amortissement sont-elles corrigées dans les délais impartis ?</t>
  </si>
  <si>
    <t>Contrôle que les corrections sont validées par une personne autorisée avant l'enregistrement dans les livres comptables.</t>
  </si>
  <si>
    <t>Les calculs d’amortissement sont-ils vérifiés et approuvés par un responsable comptable ?</t>
  </si>
  <si>
    <t>Suivi de l’efficacité des mesures correctives mises en place pour éviter la récurrence des erreurs.</t>
  </si>
  <si>
    <t>La validation des calculs d’amortissement est-elle effectuée conformément aux procédures internes ?</t>
  </si>
  <si>
    <t>Documentation des erreurs identifiées et des corrections apportées.</t>
  </si>
  <si>
    <t>Les anomalies ou erreurs signalées lors de la validation des amortissements sont-elles suivies et corrigées ?</t>
  </si>
  <si>
    <t>Validation que les erreurs sont corrigées dans les délais impartis.</t>
  </si>
  <si>
    <t>La validation des calculs d’amortissement est-elle correctement documentée pour garantir la traçabilité ?</t>
  </si>
  <si>
    <t>Validation des calculs d’amortissement</t>
  </si>
  <si>
    <t>Vérifier que les calculs d’amortissement sont validés par un responsable.</t>
  </si>
  <si>
    <t>Les calculs d’amortissement sont vérifiés et approuvés par un responsable comptable.</t>
  </si>
  <si>
    <t>La validation des amortissements est-elle effectuée par une personne compétente et autorisée ?</t>
  </si>
  <si>
    <t>Signature d’approbation des calculs d’amortissement.</t>
  </si>
  <si>
    <t>Calculs d’amortissement non validés.</t>
  </si>
  <si>
    <t>Erreurs dans les états financiers.</t>
  </si>
  <si>
    <t>Contrôle que cette validation est effectuée conformément aux procédures internes.</t>
  </si>
  <si>
    <t>Le responsable validant les calculs d’amortissement possède-t-il les qualifications et compétences nécessaires ?</t>
  </si>
  <si>
    <t>Suivi des anomalies ou erreurs signalées lors de la validation des amortissements.</t>
  </si>
  <si>
    <t>Les qualifications du responsable validant les amortissements sont-elles conformes aux exigences internes ?</t>
  </si>
  <si>
    <t>Documentation de la validation des calculs d'amortissement pour garantir la traçabilité.</t>
  </si>
  <si>
    <t>Les erreurs de validation des amortissements sont-elles corrigées rapidement ?</t>
  </si>
  <si>
    <t>Validation que la validation est effectuée par une personne compétente et autorisée.</t>
  </si>
  <si>
    <t>Les qualifications du responsable sont-elles documentées pour garantir la traçabilité ?</t>
  </si>
  <si>
    <t>Vérifier que la validation des calculs d'amortissement est effectuée par un responsable ayant les compétences nécessaires.</t>
  </si>
  <si>
    <t>Vérification que le responsable validant les calculs d’amortissement possède les qualifications et compétences nécessaires.</t>
  </si>
  <si>
    <t>Le responsable validant les amortissements possède-t-il les compétences requises pour valider les calculs ?</t>
  </si>
  <si>
    <t>La validation des amortissements est-elle effectuée avant l’enregistrement dans les livres comptables ?</t>
  </si>
  <si>
    <t>Suivi des erreurs de validation et rectification des anomalies.</t>
  </si>
  <si>
    <t>Les amortissements validés sont-ils enregistrés correctement et en temps utile ?</t>
  </si>
  <si>
    <t>Documentation des qualifications du responsable pour assurer la traçabilité.</t>
  </si>
  <si>
    <t>Les anomalies d'enregistrement des amortissements sont-elles corrigées rapidement ?</t>
  </si>
  <si>
    <t>Validation que le responsable en question possède les compétences requises pour valider les calculs d’amortissement.</t>
  </si>
  <si>
    <t>La validation des amortissements est-elle correctement documentée avant leur enregistrement ?</t>
  </si>
  <si>
    <t>S'assurer que la validation des amortissements est réalisée avant l'enregistrement définitif dans les livres comptables.</t>
  </si>
  <si>
    <t>Vérification que la validation des amortissements est effectuée avant l’enregistrement dans les livres comptables.</t>
  </si>
  <si>
    <t>La validation des amortissements a-t-elle lieu avant la clôture de la période comptable ?</t>
  </si>
  <si>
    <t>Contrôle que les amortissements validés sont enregistrés correctement et en temps utile.</t>
  </si>
  <si>
    <t>Chaque modification des paramètres de calcul des amortissements est-elle validée par un responsable ?</t>
  </si>
  <si>
    <t>Suivi des anomalies d'enregistrement et correction des erreurs rapidement.</t>
  </si>
  <si>
    <t>Chaque modification des paramètres de calcul des amortissements est-elle justifiée par des raisons valides et documentées ?</t>
  </si>
  <si>
    <t>Documentation de la validation des amortissements avant leur enregistrement.</t>
  </si>
  <si>
    <t>Les ajustements des paramètres de calcul des amortissements sont-ils suivis pour garantir leur conformité ?</t>
  </si>
  <si>
    <t>Validation que la validation a lieu avant la clôture de la période comptable.</t>
  </si>
  <si>
    <t>Les changements dans les paramètres de calcul des amortissements sont-ils correctement documentés pour assurer la traçabilité ?</t>
  </si>
  <si>
    <t>Contrôler que toute modification des paramètres de calcul (durée, méthode, valeur résiduelle) est validée et justifiée par un responsable.</t>
  </si>
  <si>
    <t>Vérification que toute modification des paramètres de calcul des amortissements (durée, méthode, valeur résiduelle) est validée par un responsable.</t>
  </si>
  <si>
    <t>Les modifications des paramètres de calcul des amortissements sont-elles validées et justifiées par un responsable qualifié ?</t>
  </si>
  <si>
    <t>Contrôle que chaque modification est justifiée par des raisons valides et documentées.</t>
  </si>
  <si>
    <t>La validation des calculs d’amortissement est-elle correctement enregistrée dans le système comptable ?</t>
  </si>
  <si>
    <t>Suivi des ajustements des paramètres de calcul et contrôle de leur conformité.</t>
  </si>
  <si>
    <t>Les validations des amortissements sont-elles traçables et disponibles pour audit interne ?</t>
  </si>
  <si>
    <t>Documentation des changements dans les paramètres de calcul pour assurer la traçabilité.</t>
  </si>
  <si>
    <t>Les erreurs d'enregistrement des amortissements sont-elles rapidement identifiées et corrigées ?</t>
  </si>
  <si>
    <t>Validation que les modifications sont validées et justifiées par un responsable qualifié.</t>
  </si>
  <si>
    <t>Les validations des amortissements sont-elles documentées pour garantir la traçabilité ?</t>
  </si>
  <si>
    <t>Garantir que la validation des calculs d'amortissement est documentée et traçable dans le système comptable.</t>
  </si>
  <si>
    <t>Vérification que la validation des calculs d’amortissement est correctement enregistrée dans le système comptable.</t>
  </si>
  <si>
    <t>La traçabilité de la validation des amortissements est-elle respectée ?</t>
  </si>
  <si>
    <t>Contrôle que les validations sont traçables et disponibles pour audit interne.</t>
  </si>
  <si>
    <t>Les calculs d’amortissement validés sont-ils réconciliés avec les états financiers ?</t>
  </si>
  <si>
    <t>Suivi des erreurs d'enregistrement et correction des anomalies identifiées.</t>
  </si>
  <si>
    <t>Les rapports d'audit internes confirment-ils l'exactitude des calculs d’amortissement ?</t>
  </si>
  <si>
    <t>Documentation des validations pour garantir la traçabilité.</t>
  </si>
  <si>
    <t>Les écarts identifiés lors de la réconciliation des amortissements sont-ils corrigés rapidement ?</t>
  </si>
  <si>
    <t>Validation que la traçabilité de la validation est respectée.</t>
  </si>
  <si>
    <t>Les réconciliations des amortissements sont-elles correctement documentées pour garantir la traçabilité ?</t>
  </si>
  <si>
    <t>Assurer que les calculs d'amortissement validés sont réconciliés avec les états financiers et les rapports d'audit internes.</t>
  </si>
  <si>
    <t>Vérification que les calculs d’amortissement validés sont réconciliés avec les états financiers.</t>
  </si>
  <si>
    <t>Contrôle que les rapports d'audit internes confirment l'exactitude des calculs d’amortissement.</t>
  </si>
  <si>
    <t>Suivi des écarts identifiés lors de la réconciliation et correction rapide des erreurs.</t>
  </si>
  <si>
    <t>Validation que les calculs validés sont réconciliés avec les rapports financiers.</t>
  </si>
  <si>
    <t>Les calculs validés d’amortissement sont-ils réconciliés avec les rapports financiers ?</t>
  </si>
  <si>
    <t>Mise à jour des fiches d’immobilisations</t>
  </si>
  <si>
    <t>Assurer que les fiches d’immobilisations sont mises à jour après chaque réévaluation ou cession</t>
  </si>
  <si>
    <t>Vérification que les fiches d’immobilisation sont mises à jour après chaque réévaluation ou cession.</t>
  </si>
  <si>
    <t>Les fiches d’immobilisation sont-elles mises à jour après chaque réévaluation ou cession ?</t>
  </si>
  <si>
    <t>Contrôle que toutes les informations relatives aux réévaluations ou cessions sont correctement saisies dans les fiches.</t>
  </si>
  <si>
    <t>Les informations relatives aux réévaluations ou cessions sont-elles correctement saisies dans les fiches d’immobilisation ?</t>
  </si>
  <si>
    <t>Suivi des erreurs dans la mise à jour des fiches et correction rapide des anomalies.</t>
  </si>
  <si>
    <t>Les erreurs dans la mise à jour des fiches d’immobilisation sont-elles corrigées rapidement ?</t>
  </si>
  <si>
    <t>Documentation de la mise à jour des fiches pour garantir leur traçabilité.</t>
  </si>
  <si>
    <t>La mise à jour des fiches d’immobilisation est-elle correctement documentée pour garantir la traçabilité ?</t>
  </si>
  <si>
    <t>Validation que toutes les modifications des fiches d’immobilisation sont effectuées correctement.</t>
  </si>
  <si>
    <t>Les modifications des fiches d’immobilisation sont-elles effectuées correctement ?</t>
  </si>
  <si>
    <t>Vérifier que les fiches d'immobilisation sont mises à jour immédiatement après chaque réévaluation ou cession d'actif.</t>
  </si>
  <si>
    <t>Vérification que les fiches sont mises à jour sans retard après chaque réévaluation ou cession d'actif.</t>
  </si>
  <si>
    <t>Les fiches d’immobilisation sont-elles mises à jour sans retard après chaque réévaluation ou cession d'actif ?</t>
  </si>
  <si>
    <t>Contrôle de l'exactitude des informations saisies dans les fiches après ces événements.</t>
  </si>
  <si>
    <t>Les informations saisies dans les fiches d’immobilisation après réévaluation ou cession sont-elles exactes ?</t>
  </si>
  <si>
    <t>Suivi des délais de mise à jour et correction rapide des erreurs.</t>
  </si>
  <si>
    <t>Les délais de mise à jour des fiches d’immobilisation sont-ils suivis et les erreurs corrigées rapidement ?</t>
  </si>
  <si>
    <t>Documentation de la mise à jour pour assurer la traçabilité.</t>
  </si>
  <si>
    <t>La mise à jour des fiches d’immobilisation est-elle documentée de manière à garantir la traçabilité ?</t>
  </si>
  <si>
    <t>Validation que les mises à jour sont effectuées en temps</t>
  </si>
  <si>
    <t>Les informations essentielles dans les fiches d’immobilisation (valeur d’acquisition, date d’acquisition, durée de vie, méthode d’amortissement) sont-elles correctement saisies ?</t>
  </si>
  <si>
    <t>S'assurer que les informations pertinentes sont correctement saisies dans les fiches d'immobilisation.</t>
  </si>
  <si>
    <t>Vérification que toutes les informations essentielles telles que la valeur d’acquisition, la date d’acquisition, la durée de vie, et la méthode d’amortissement sont correctement saisies.</t>
  </si>
  <si>
    <t>Les informations saisies dans les fiches d’immobilisation sont-elles exactes et complètes pour chaque actif ?</t>
  </si>
  <si>
    <t>Contrôle de la saisie d’informations exactes et complètes pour chaque immobilisation.</t>
  </si>
  <si>
    <t>Les erreurs dans les informations saisies dans les fiches d’immobilisation sont-elles corrigées rapidement ?</t>
  </si>
  <si>
    <t>Suivi des erreurs dans les informations saisies et correction rapide des anomalies.</t>
  </si>
  <si>
    <t>Chaque modification dans les fiches d’immobilisation (réévaluation, cession) est-elle validée par une personne autorisée avant son enregistrement définitif ?</t>
  </si>
  <si>
    <t>Documentation de chaque modification dans les fiches d’immobilisation pour assurer la traçabilité.</t>
  </si>
  <si>
    <t>Les modifications dans les fiches d’immobilisation sont-elles validées conformément aux procédures internes ?</t>
  </si>
  <si>
    <t>Validation que les informations sont complètes et exactes selon les standards internes.</t>
  </si>
  <si>
    <t>Les fiches d’immobilisation sont-elles réconciliées avec les inventaires physiques à des intervalles réguliers ?</t>
  </si>
  <si>
    <t>Contrôler que toute modification des fiches d'immobilisation est validée par une personne autorisée avant son enregistrement.</t>
  </si>
  <si>
    <t>Vérification que toute modification dans les fiches d’immobilisation (par exemple, réévaluation, cession) est validée par une personne autorisée.</t>
  </si>
  <si>
    <t>Les fiches d’immobilisation sont-elles réconciliées avec les états financiers pour assurer leur exactitude ?</t>
  </si>
  <si>
    <t>Contrôle de l’autorisation des modifications avant leur enregistrement définitif.</t>
  </si>
  <si>
    <t>Les écarts et erreurs relevés lors de la réconciliation des fiches d’immobilisation sont-ils corrigés rapidement ?</t>
  </si>
  <si>
    <t>Suivi des modifications non validées et rectification des erreurs.</t>
  </si>
  <si>
    <t>La réconciliation des fiches d’immobilisation est-elle correctement documentée et les actions prises sont-elles tracées ?</t>
  </si>
  <si>
    <t>Documentation de la validation des modifications pour garantir leur traçabilité.</t>
  </si>
  <si>
    <t>Les mises à jour des fiches d’immobilisation sont-elles transparentes et disponibles pour audit ?</t>
  </si>
  <si>
    <t>Validation que les modifications respectent les procédures internes.</t>
  </si>
  <si>
    <t>Les états financiers incluent-ils toutes les données nécessaires et sont-ils produits sans omission ?</t>
  </si>
  <si>
    <t>Garantir que les fiches d'immobilisation sont réconciliées périodiquement avec les états financiers et les inventaires physiques.</t>
  </si>
  <si>
    <t>Vérification que les fiches d’immobilisation sont réconciliées avec les inventaires physiques à des intervalles réguliers.</t>
  </si>
  <si>
    <t>Les informations comptables sont-elles exactes et reflètent-elles fidèlement la situation financière de l'entreprise ?</t>
  </si>
  <si>
    <t>Contrôle que les fiches sont également réconciliées avec les états financiers pour assurer leur exactitude.</t>
  </si>
  <si>
    <t>Les erreurs dans les états financiers sont-elles corrigées rapidement ?</t>
  </si>
  <si>
    <t>Suivi des différences et erreurs relevées lors de la réconciliation et correction rapide des anomalies.</t>
  </si>
  <si>
    <t>Les étapes de préparation des états financiers sont-elles correctement documentées pour garantir la traçabilité ?</t>
  </si>
  <si>
    <t>Documentation de la réconciliation et des actions prises.</t>
  </si>
  <si>
    <t>Les états financiers sont-ils complets et exacts avant leur soumission ?</t>
  </si>
  <si>
    <t>Validation que la réconciliation est effectuée périodiquement et correctement.</t>
  </si>
  <si>
    <t>Les états financiers respectent-ils les normes comptables locales et internationales ainsi que les exigences fiscales applicables ?</t>
  </si>
  <si>
    <t>Assurer que les mises à jour des fiches d'immobilisation sont documentées et traçables pour garantir la transparence des ajustements effectués</t>
  </si>
  <si>
    <t>Les fiches d’immobilisations sont actualisées suite à toute modification de valeur ou changement de statut.</t>
  </si>
  <si>
    <t>Les règles comptables et fiscales sont-elles correctement appliquées lors de la préparation des états financiers ?</t>
  </si>
  <si>
    <t>Fiche d’immobilisation mise à jour.</t>
  </si>
  <si>
    <t>Données obsolètes sur les immobilisations.</t>
  </si>
  <si>
    <t>Informations inexactes pour la gestion des actifs.</t>
  </si>
  <si>
    <t>Contrôle que les ajustements effectués sont traçables et bien enregistrés.</t>
  </si>
  <si>
    <t>Les écarts identifiés lors de la préparation des états financiers sont-ils corrigés rapidement ?</t>
  </si>
  <si>
    <t>Suivi des erreurs ou omissions dans la documentation des mises à jour et correction rapide.</t>
  </si>
  <si>
    <t>Les principes comptables utilisés pour préparer les états financiers sont-ils documentés pour garantir la traçabilité ?</t>
  </si>
  <si>
    <t>Documentation complète et accessible des mises à jour pour garantir leur traçabilité.</t>
  </si>
  <si>
    <t>Les états financiers respectent-ils les normes comptables en vigueur (PCGR, IFRS) ?</t>
  </si>
  <si>
    <t>Validation que les mises à jour sont transparentes et disponibles pour audit.</t>
  </si>
  <si>
    <t>Les ajustements effectués dans les états financiers (provisions, amortissements, etc.) sont-ils correctement enregistrés ?</t>
  </si>
  <si>
    <t>États Financiers et Rapports Comptables</t>
  </si>
  <si>
    <t>Production des états financiers</t>
  </si>
  <si>
    <t>Assurer la complétude et l’exactitude des états financiers.</t>
  </si>
  <si>
    <t>Les états financiers incluent toutes les données nécessaires et sont produits sans omission.</t>
  </si>
  <si>
    <t>Les erreurs d’enregistrement des ajustements dans les états financiers sont-elles corrigées rapidement ?</t>
  </si>
  <si>
    <t>États financiers approuvés.</t>
  </si>
  <si>
    <t>Production d’états incomplets.</t>
  </si>
  <si>
    <t>Prises de décision sur des informations incomplètes.</t>
  </si>
  <si>
    <t>Contrôle que les informations comptables sont exactes et reflètent fidèlement la situation financière de l'entreprise.</t>
  </si>
  <si>
    <t>Les ajustements effectués sont-ils correctement documentés pour garantir leur traçabilité ?</t>
  </si>
  <si>
    <t>Suivi des erreurs dans les états financiers et correction rapide des anomalies.</t>
  </si>
  <si>
    <t>Toutes les transactions et ajustements dans les états financiers sont-ils correctement enregistrés ?</t>
  </si>
  <si>
    <t>Documentation des étapes de préparation des états financiers pour garantir leur traçabilité.</t>
  </si>
  <si>
    <t>Les états financiers sont-ils réconciliés avec les livres comptables et les rapports de gestion ?</t>
  </si>
  <si>
    <t>Validation que les états financiers sont complets et exacts avant leur soumission.</t>
  </si>
  <si>
    <t>Les différences lors de la réconciliation des états financiers sont-elles identifiées et expliquées avant leur finalisation ?</t>
  </si>
  <si>
    <t>Vérifier que les états financiers sont préparés conformément aux normes comptables et fiscales applicables.</t>
  </si>
  <si>
    <t>Vérification que les états financiers respectent les normes comptables locales et internationales, ainsi que les exigences fiscales applicables.</t>
  </si>
  <si>
    <t>Les erreurs de réconciliation des états financiers sont-elles corrigées rapidement ?</t>
  </si>
  <si>
    <t>Contrôle de l’application correcte des règles comptables et fiscales lors de la préparation des états financiers.</t>
  </si>
  <si>
    <t>Les réconciliations des états financiers sont-elles correctement documentées et les corrections apportées tracées ?</t>
  </si>
  <si>
    <t>Suivi des écarts identifiés lors de la préparation et correction rapide des erreurs.</t>
  </si>
  <si>
    <t>Les réconciliations des états financiers sont-elles effectuées avant leur publication ?</t>
  </si>
  <si>
    <t>Documentation des principes comptables utilisés pour garantir la traçabilité.</t>
  </si>
  <si>
    <t>Les états financiers sont-ils validés par une personne ayant les compétences nécessaires avant leur soumission ?</t>
  </si>
  <si>
    <t>Validation que les états financiers sont conformes aux normes en vigueur.</t>
  </si>
  <si>
    <t>La validation des états financiers est-elle effectuée conformément aux procédures internes de l’entreprise ?</t>
  </si>
  <si>
    <t>S'assurer que toutes les transactions et ajustements comptables sont correctement reflétés dans les états financiers.</t>
  </si>
  <si>
    <t>Vérification que toutes les transactions, ajustements et écritures comptables sont correctement reflétés dans les états financiers.</t>
  </si>
  <si>
    <t>Les erreurs ou omissions relevées lors de la validation des états financiers sont-elles corrigées rapidement ?</t>
  </si>
  <si>
    <t>Contrôle que les ajustements, comme les provisions ou amortissements, sont correctement enregistrés.</t>
  </si>
  <si>
    <t>La validation des états financiers est-elle correctement documentée pour garantir la traçabilité ?</t>
  </si>
  <si>
    <t>Suivi des erreurs d’enregistrement et correction rapide des anomalies.</t>
  </si>
  <si>
    <t>Les états financiers sont-ils soumis à une revue externe (audit) avant leur finalisation ?</t>
  </si>
  <si>
    <t>Documentation des ajustements effectués pour garantir leur traçabilité.</t>
  </si>
  <si>
    <t>L’audit des états financiers est-il effectué conformément aux normes professionnelles et aux exigences légales ?</t>
  </si>
  <si>
    <t>Validation que toutes les transactions et ajustements sont correctement enregistrés.</t>
  </si>
  <si>
    <t>Les résultats de l’audit des états financiers sont-ils suivis et les anomalies détectées corrigées ?</t>
  </si>
  <si>
    <t>Contrôler que les états financiers sont réconciliés avec les livres comptables et les rapports de gestion avant leur finalisation</t>
  </si>
  <si>
    <t>Vérification que les états financiers sont réconciliés avec les livres comptables et les rapports de gestion.</t>
  </si>
  <si>
    <t>Les résultats de l’audit des états financiers sont-ils correctement documentés pour garantir la traçabilité ?</t>
  </si>
  <si>
    <t>Contrôle que toutes les différences sont identifiées et expliquées avant la finalisation des états financiers.</t>
  </si>
  <si>
    <t>L’audit des états financiers est-il effectué avant leur publication ?</t>
  </si>
  <si>
    <t>Suivi des erreurs de réconciliation et correction rapide des anomalies.</t>
  </si>
  <si>
    <t>Les états financiers respectent-ils les normes comptables en vigueur, telles que les PCGR ou les normes IFRS ?</t>
  </si>
  <si>
    <t>Documentation des réconciliations et des corrections apportées.</t>
  </si>
  <si>
    <t>Les principes de comptabilité sont-ils appliqués correctement dans la préparation des états financiers ?</t>
  </si>
  <si>
    <t>Validation que les réconciliations sont effectuées avant la publication des états financiers.</t>
  </si>
  <si>
    <t>Les divergences par rapport aux normes comptables sont-elles corrigées rapidement ?</t>
  </si>
  <si>
    <t>Garantir que les états financiers sont validés par un responsable qualifié avant leur publication ou soumission.</t>
  </si>
  <si>
    <t>Vérification que les états financiers sont validés par une personne ayant les compétences nécessaires.</t>
  </si>
  <si>
    <t>Les références aux normes comptables utilisées sont-elles correctement documentées pour garantir la transparence ?</t>
  </si>
  <si>
    <t>Contrôle que la validation est effectuée conformément aux procédures internes de l’entreprise.</t>
  </si>
  <si>
    <t>Les états financiers respectent-ils les normes comptables pertinentes (PCGR, IFRS) ?</t>
  </si>
  <si>
    <t>Suivi des erreurs ou omissions relevées lors de la validation et correction rapide des anomalies.</t>
  </si>
  <si>
    <t>Documentation de la validation des états financiers pour garantir la traçabilité.</t>
  </si>
  <si>
    <t>La validation des états financiers est-elle correctement documentée pour garantir leur traçabilité ?</t>
  </si>
  <si>
    <t>Validation que la validation est réalisée par un responsable qualifié avant publication.</t>
  </si>
  <si>
    <t>La validation des états financiers est-elle réalisée par un responsable qualifié avant publication ?</t>
  </si>
  <si>
    <t>Assurer que les états financiers sont soumis à une revue externe (audit) pour garantir leur fiabilité et leur conformité.</t>
  </si>
  <si>
    <t>Vérification que les états financiers sont soumis à une revue externe (audit) avant leur finalisation.</t>
  </si>
  <si>
    <t>Contrôle que l’audit est effectué conformément aux normes professionnelles et aux exigences légales.</t>
  </si>
  <si>
    <t>Suivi des résultats de l’audit et correction des anomalies ou des écarts détectés.</t>
  </si>
  <si>
    <t>Documentation des résultats de l’audit pour garantir la traçabilité.</t>
  </si>
  <si>
    <t>Validation que l’audit est effectué avant la publication des états financiers.</t>
  </si>
  <si>
    <t>Les résultats de l’audit sont-ils suivis et les anomalies ou écarts détectés sont-ils corrigés rapidement ?</t>
  </si>
  <si>
    <t>Vérification de la conformité des états financiers</t>
  </si>
  <si>
    <t>Assurer la conformité des états financiers aux normes comptables en vigueur</t>
  </si>
  <si>
    <t>Vérification que les états financiers respectent les normes comptables en vigueur, telles que les PCGR ou les normes IFRS.</t>
  </si>
  <si>
    <t>Les résultats de l’audit sont-ils documentés pour garantir leur traçabilité ?</t>
  </si>
  <si>
    <t>Contrôle de l’application correcte des normes comptables pendant la préparation des états financiers.</t>
  </si>
  <si>
    <t>Suivi des écarts entre les états financiers et les normes comptables et correction rapide des anomalies.</t>
  </si>
  <si>
    <t>Les états financiers respectent-ils les normes comptables en vigueur (ex. : PCGR, IFRS) ?</t>
  </si>
  <si>
    <t>Documentation des références aux normes comptables utilisées.</t>
  </si>
  <si>
    <t>Les principes comptables sont-ils correctement appliqués lors de la préparation des états financiers ?</t>
  </si>
  <si>
    <t>Validation que la conformité aux normes comptables est respectée.</t>
  </si>
  <si>
    <t>Les écarts entre les états financiers et les normes comptables sont-ils identifiés et corrigés rapidement ?</t>
  </si>
  <si>
    <t>Vérifier que les états financiers respectent les principes comptables généralement acceptés (PCGR) ou les normes IFRS, selon le cas.</t>
  </si>
  <si>
    <t>Vérification que les états financiers respectent les principes comptables généralement acceptés (PCGR) ou les normes IFRS, selon le cadre applicable.</t>
  </si>
  <si>
    <t>Les références aux normes comptables utilisées sont-elles correctement documentées ?</t>
  </si>
  <si>
    <t>Contrôle que les principes de comptabilité sont appliqués correctement dans la préparation des états financiers.</t>
  </si>
  <si>
    <t>La conformité des états financiers aux normes comptables est-elle vérifiée et respectée ?</t>
  </si>
  <si>
    <t>Suivi des divergences par rapport aux normes et correction rapide des erreurs.</t>
  </si>
  <si>
    <t>Les états financiers respectent-ils les principes comptables généralement acceptés (PCGR) ou les normes IFRS, selon le cadre applicable ?</t>
  </si>
  <si>
    <t>Documentation de l’application des normes pour garantir la transparence.</t>
  </si>
  <si>
    <t>Les ajustements nécessaires pour garantir la conformité des états financiers avec les normes fiscales et comptables sont-ils effectués ?</t>
  </si>
  <si>
    <t>Validation que les états financiers respectent les normes comptables pertinentes.</t>
  </si>
  <si>
    <t>Les ajustements sont-ils documentés et justifiés par des raisons fiscales ou comptables appropriées ?</t>
  </si>
  <si>
    <t>S'assurer que les ajustements nécessaires sont effectués pour garantir la conformité avec les normes fiscales et comptables applicables.</t>
  </si>
  <si>
    <t>Vérification que tous les ajustements nécessaires sont effectués pour garantir la conformité des états financiers avec les normes fiscales et comptables.</t>
  </si>
  <si>
    <t>Les ajustements non effectués sont-ils rapidement corrigés ?</t>
  </si>
  <si>
    <t>Contrôle que les ajustements sont documentés et justifiés par des raisons fiscales ou comptables appropriées.</t>
  </si>
  <si>
    <t>Les ajustements effectués dans les états financiers sont-ils correctement documentés pour garantir leur traçabilité ?</t>
  </si>
  <si>
    <t>Suivi des ajustements non effectués et correction rapide des erreurs.</t>
  </si>
  <si>
    <t>Les ajustements sont-ils réalisés conformément aux normes fiscales et comptables ?</t>
  </si>
  <si>
    <t>Les états financiers sont-ils validés en interne par un responsable qualifié avant leur publication ?</t>
  </si>
  <si>
    <t>Validation que les ajustements sont réalisés conformément aux normes fiscales et comptables.</t>
  </si>
  <si>
    <t>Le processus de validation des états financiers suit-il un processus structuré et formalisé, conforme aux procédures internes ?</t>
  </si>
  <si>
    <t>Contrôler que les états financiers sont soumis à un processus de validation interne avant leur publication, incluant une revue par un responsable qualifié</t>
  </si>
  <si>
    <t>Vérification que les états financiers sont validés en interne par un responsable qualifié avant leur publication.</t>
  </si>
  <si>
    <t>Les erreurs détectées lors de la validation des états financiers sont-elles corrigées rapidement ?</t>
  </si>
  <si>
    <t>Contrôle que la validation suit un processus structuré et formalisé, conformément aux procédures internes.</t>
  </si>
  <si>
    <t>Le processus de validation des états financiers est-il correctement documenté pour garantir la traçabilité ?</t>
  </si>
  <si>
    <t>Suivi des erreurs détectées lors de la validation et correction rapide des anomalies.</t>
  </si>
  <si>
    <t>Le processus de validation interne est-il effectué avant la publication des états financiers ?</t>
  </si>
  <si>
    <t>Documentation du processus de validation pour garantir la traçabilité.</t>
  </si>
  <si>
    <t>Les états financiers sont-ils audités ou révisés par des auditeurs externes avant leur publication ?</t>
  </si>
  <si>
    <t>Validation que le processus de validation interne est effectué avant publication.</t>
  </si>
  <si>
    <t>L’audit des états financiers est-il effectué selon les normes d’audit internationales ou nationales ?</t>
  </si>
  <si>
    <t>Garantir que les états financiers sont audités ou révisés par des auditeurs externes pour confirmer leur conformité avec les normes en vigueur</t>
  </si>
  <si>
    <t>Vérification que les états financiers sont audités ou révisés par des auditeurs externes.</t>
  </si>
  <si>
    <t>Les ajustements ou corrections demandées par les auditeurs externes sont-elles suivis et corrigés ?</t>
  </si>
  <si>
    <t>Contrôle que l’audit est effectué selon les normes d’audit internationales ou nationales.</t>
  </si>
  <si>
    <t>L’audit des états financiers est-il correctement documenté pour garantir sa traçabilité ?</t>
  </si>
  <si>
    <t>Suivi des ajustements ou corrections demandées par les auditeurs externes.</t>
  </si>
  <si>
    <t>Documentation de l’audit pour garantir sa traçabilité.</t>
  </si>
  <si>
    <t>Les états financiers respectent-ils les normes comptables pertinentes (ex. : IFRS, GAAP) ?</t>
  </si>
  <si>
    <t>Les corrections nécessaires pour garantir la fiabilité des états financiers sont-elles apportées rapidement ?</t>
  </si>
  <si>
    <t>Assurer que les écarts ou erreurs détectés lors de la vérification de la conformité sont corrigés avant la finalisation des états financiers.</t>
  </si>
  <si>
    <t>Les états financiers sont conformes aux normes comptables (ex. : IFRS, GAAP).</t>
  </si>
  <si>
    <t>Les écarts détectés dans les états financiers sont-ils suivis et corrigés ?</t>
  </si>
  <si>
    <t>Rapport de conformité aux normes comptables.</t>
  </si>
  <si>
    <t>États financiers non conformes aux normes.</t>
  </si>
  <si>
    <t>Risque de sanctions réglementaires.</t>
  </si>
  <si>
    <t>Contrôle que les corrections sont apportées rapidement pour garantir la fiabilité des états financiers.</t>
  </si>
  <si>
    <t>Les erreurs identifiées et les actions correctives prises sont-elles correctement documentées ?</t>
  </si>
  <si>
    <t>Suivi des écarts détectés et des corrections apportées.</t>
  </si>
  <si>
    <t>Les écarts ou erreurs sont-ils corrigés dans les délais impartis pour garantir la fiabilité des états financiers ?</t>
  </si>
  <si>
    <t>Documentation des erreurs et des actions correctives prises.</t>
  </si>
  <si>
    <t>Toutes les écritures de clôture sont-elles enregistrées avant la fin de l’exercice comptable ?</t>
  </si>
  <si>
    <t>Validation que les écarts ou erreurs sont corrigés en temps utile.</t>
  </si>
  <si>
    <t>Les écritures de clôture sont-elles validées et justifiées par les documents appropriés (factures, justificatifs, contrats, etc.) ?</t>
  </si>
  <si>
    <t>Conformité et Clôture de Fin d’Année</t>
  </si>
  <si>
    <t>Écritures de clôture</t>
  </si>
  <si>
    <t>Assurer que les écritures de clôture sont passées correctement.</t>
  </si>
  <si>
    <t>Toutes les écritures de clôture sont enregistrées avant la fin de l’exercice.</t>
  </si>
  <si>
    <t>Les erreurs d’écriture dans les écritures de clôture sont-elles corrigées rapidement ?</t>
  </si>
  <si>
    <t>Journal des écritures de clôture.</t>
  </si>
  <si>
    <t>Écritures de clôture non enregistrées.</t>
  </si>
  <si>
    <t>Comptes incomplets en fin d’exercice.</t>
  </si>
  <si>
    <t>Contrôle que les écritures sont validées et justifiées par les documents appropriés.</t>
  </si>
  <si>
    <t>Les écritures de clôture sont-elles correctement documentées pour garantir leur traçabilité ?</t>
  </si>
  <si>
    <t>Suivi des erreurs d’écriture et correction rapide des anomalies.</t>
  </si>
  <si>
    <t>Les écritures de clôture sont-elles enregistrées correctement avant la fin de l’exercice comptable ?</t>
  </si>
  <si>
    <t>Documentation des écritures de clôture pour garantir leur traçabilité.</t>
  </si>
  <si>
    <t>Les écritures de clôture sont-elles passées dans les délais définis par le calendrier de clôture comptable ?</t>
  </si>
  <si>
    <t>Validation que les écritures de clôture sont enregistrées correctement.</t>
  </si>
  <si>
    <t>Les écritures de clôture sont-elles passées sans retard pour respecter les délais ?</t>
  </si>
  <si>
    <t>Vérifier que toutes les écritures de clôture sont passées dans les délais impartis conformément au calendrier de clôture comptable.</t>
  </si>
  <si>
    <t>Vérification que les écritures de clôture sont passées dans les délais définis par le calendrier de clôture comptable.</t>
  </si>
  <si>
    <t>Les retards dans le processus de clôture sont-ils suivis et les erreurs corrigées rapidement ?</t>
  </si>
  <si>
    <t>Contrôle que les écritures sont passées sans retard pour respecter les délais.</t>
  </si>
  <si>
    <t>Suivi des retards dans le processus de clôture et correction des anomalies.</t>
  </si>
  <si>
    <t>Les écritures de clôture sont-elles passées dans les délais impartis pour respecter les dates de clôture ?</t>
  </si>
  <si>
    <t>Les écritures de clôture sont-elles validées par un responsable compétent ?</t>
  </si>
  <si>
    <t>Validation que les écritures sont passées dans les délais impartis.</t>
  </si>
  <si>
    <t>Chaque écriture de clôture est-elle correctement justifiée par des documents comptables appropriés (factures, justificatifs, contrats, etc.) ?</t>
  </si>
  <si>
    <t>S'assurer que toutes les écritures de clôture sont correctement validées et justifiées par les documents appropriés</t>
  </si>
  <si>
    <t>Vérification que toutes les écritures de clôture sont validées par un responsable compétent.</t>
  </si>
  <si>
    <t>Les erreurs ou anomalies relevées dans les écritures de clôture sont-elles corrigées rapidement ?</t>
  </si>
  <si>
    <t>Contrôle que chaque écriture de clôture est correctement justifiée par des documents comptables appropriés (factures, justificatifs, contrats, etc.).</t>
  </si>
  <si>
    <t>Les étapes de validation des écritures de clôture sont-elles correctement documentées pour garantir leur traçabilité ?</t>
  </si>
  <si>
    <t>Suivi des erreurs ou anomalies relevées dans les écritures de clôture et correction rapide des erreurs.</t>
  </si>
  <si>
    <t>Toutes les écritures de clôture sont-elles justifiées et validées avant leur enregistrement ?</t>
  </si>
  <si>
    <t>Documentation des étapes de validation pour garantir leur traçabilité.</t>
  </si>
  <si>
    <t>Tous les ajustements comptables nécessaires, tels que les amortissements ou les provisions, sont-ils correctement enregistrés dans les écritures de clôture ?</t>
  </si>
  <si>
    <t>Validation que toutes les écritures sont justifiées et validées avant leur enregistrement.</t>
  </si>
  <si>
    <t>Les ajustements comptables sont-ils effectués conformément aux normes comptables applicables ?</t>
  </si>
  <si>
    <t>Contrôler que les ajustements nécessaires, tels que les amortissements ou les provisions, sont correctement enregistrés dans les écritures de clôture.</t>
  </si>
  <si>
    <t>Vérification que tous les ajustements comptables nécessaires, tels que les amortissements ou les provisions, sont correctement enregistrés dans les écritures de clôture.</t>
  </si>
  <si>
    <t>Les erreurs d’enregistrement des ajustements dans les écritures de clôture sont-elles corrigées rapidement ?</t>
  </si>
  <si>
    <t>Contrôle que les ajustements sont effectués conformément aux normes comptables applicables.</t>
  </si>
  <si>
    <t>Suivi des erreurs d’enregistrement et correction des anomalies.</t>
  </si>
  <si>
    <t>Les ajustements sont-ils enregistrés correctement dans les écritures de clôture ?</t>
  </si>
  <si>
    <t>Documentation des ajustements pour garantir leur traçabilité.</t>
  </si>
  <si>
    <t>Les écritures de clôture sont-elles réconciliées avec les états financiers pour assurer leur précision ?</t>
  </si>
  <si>
    <t>Validation que les ajustements sont enregistrés correctement dans les écritures de clôture.</t>
  </si>
  <si>
    <t>Les documents de clôture sont-ils archivés conformément aux normes ?</t>
  </si>
  <si>
    <t>Garantir que les écritures de clôture sont réconciliées avec les états financiers pour assurer leur exactitude.</t>
  </si>
  <si>
    <t>Vérification que les écritures de clôture sont réconciliées avec les états financiers pour en assurer la précision.</t>
  </si>
  <si>
    <t>Les écritures de clôture sont-elles réconciliées avec les états financiers pour garantir leur précision ?</t>
  </si>
  <si>
    <t>Contrôle que toutes les écritures sont prises en compte et ajustées en fonction des états financiers.</t>
  </si>
  <si>
    <t>Toutes les écritures sont-elles prises en compte et ajustées conformément aux états financiers ?</t>
  </si>
  <si>
    <t>Suivi des erreurs de réconciliation et correction rapide des écarts.</t>
  </si>
  <si>
    <t>Les erreurs de réconciliation sont-elles suivies et corrigées rapidement ?</t>
  </si>
  <si>
    <t>Documentation de la réconciliation pour garantir sa traçabilité.</t>
  </si>
  <si>
    <t xml:space="preserve"> La réconciliation des écritures de clôture est-elle correctement documentée pour garantir sa traçabilité ?</t>
  </si>
  <si>
    <t>Validation que les écritures de clôture sont exactes et réconciliées correctement avec les états financiers.</t>
  </si>
  <si>
    <t>Les écritures de clôture sont-elles validées et réconciliées correctement avec les états financiers ?</t>
  </si>
  <si>
    <t>Assurer que les écritures de clôture sont documentées, traçables et validées par une personne autorisée avant la finalisation des comptes</t>
  </si>
  <si>
    <t>Vérification que toutes les écritures de clôture sont correctement documentées, avec des justificatifs appropriés.</t>
  </si>
  <si>
    <t>Toutes les écritures de clôture sont-elles correctement documentées avec des justificatifs appropriés ?</t>
  </si>
  <si>
    <t>Contrôle que les écritures sont validées par une personne autorisée avant leur enregistrement.</t>
  </si>
  <si>
    <t>Les écritures de clôture sont-elles validées par une personne autorisée avant leur enregistrement ?</t>
  </si>
  <si>
    <t>Suivi des erreurs ou omissions dans la documentation des écritures et correction rapide des anomalies.</t>
  </si>
  <si>
    <t>Les erreurs ou omissions dans la documentation des écritures de clôture sont-elles corrigées rapidement ?</t>
  </si>
  <si>
    <t>Les validations des écritures de clôture sont-elles bien documentées pour garantir leur traçabilité ?</t>
  </si>
  <si>
    <t>Validation que toutes les écritures de clôture sont validées et documentées avant la finalisation des comptes.</t>
  </si>
  <si>
    <t>Toutes les écritures de clôture sont-elles validées et documentées avant la finalisation des comptes ?</t>
  </si>
  <si>
    <t>Vérification des régularisations</t>
  </si>
  <si>
    <t>Assurer l’exactitude des écritures de régularisation.</t>
  </si>
  <si>
    <t>Les écritures de régularisation sont calculées et saisies avec précision.</t>
  </si>
  <si>
    <t>Les écritures de régularisation sont-elles calculées et saisies avec précision ?</t>
  </si>
  <si>
    <t>Journal des écritures de régularisation.</t>
  </si>
  <si>
    <t>Écritures de régularisation incorrectes.</t>
  </si>
  <si>
    <t>Résultats financiers faussés.</t>
  </si>
  <si>
    <t>Contrôle de la conformité des écritures de régularisation avec les normes comptables en vigueur.</t>
  </si>
  <si>
    <t>Les écritures de régularisation sont-elles conformes aux normes comptables en vigueur ?</t>
  </si>
  <si>
    <t>Les erreurs d’enregistrement des écritures de régularisation sont-elles corrigées rapidement ?</t>
  </si>
  <si>
    <t>Documentation des écritures de régularisation pour garantir leur traçabilité.</t>
  </si>
  <si>
    <t>Les écritures de régularisation sont-elles correctement documentées pour garantir leur traçabilité ?</t>
  </si>
  <si>
    <t>Validation que les écritures de régularisation sont exactes avant leur enregistrement définitif.</t>
  </si>
  <si>
    <t>Les écritures de régularisation sont-elles validées comme exactes avant leur enregistrement définitif ?</t>
  </si>
  <si>
    <t>Vérifier que toutes les écritures de régularisation sont correctement justifiées par des documents et des calculs appropriés.</t>
  </si>
  <si>
    <t>Vérification que chaque écriture de régularisation est soutenue par des documents justificatifs (factures, calculs, rapports financiers, etc.).</t>
  </si>
  <si>
    <t>Chaque écriture de régularisation est-elle soutenue par des documents justificatifs (factures, calculs, rapports financiers, etc.) ?</t>
  </si>
  <si>
    <t>Contrôle que les calculs sous-jacents aux écritures de régularisation sont corrects et justifiés.</t>
  </si>
  <si>
    <t>Les calculs sous-jacents aux écritures de régularisation sont-ils corrects et justifiés ?</t>
  </si>
  <si>
    <t>Suivi des erreurs de justification et correction rapide des anomalies.</t>
  </si>
  <si>
    <t xml:space="preserve"> Les erreurs de justification des écritures de régularisation sont-elles corrigées rapidement ?</t>
  </si>
  <si>
    <t>Documentation des justifications pour garantir la traçabilité des écritures de régularisation.</t>
  </si>
  <si>
    <t>Les justifications des écritures de régularisation sont-elles correctement documentées pour garantir leur traçabilité ?</t>
  </si>
  <si>
    <t>Validation que toutes les écritures de régularisation sont correctement justifiées avant leur enregistrement.</t>
  </si>
  <si>
    <t>Toutes les écritures de régularisation sont-elles justifiées avant leur enregistrement ?</t>
  </si>
  <si>
    <t>S'assurer que les écritures de régularisation sont passées dans les délais et conformément aux normes comptables en vigueur</t>
  </si>
  <si>
    <t>Vérification que toutes les écritures de régularisation sont passées dans les délais définis.</t>
  </si>
  <si>
    <t>Les écritures de régularisation sont-elles passées dans les délais définis ?</t>
  </si>
  <si>
    <t>Contrôle que les écritures respectent les normes comptables en vigueur.</t>
  </si>
  <si>
    <t>Les écritures de régularisation respectent-elles les normes comptables en vigueur ?</t>
  </si>
  <si>
    <t>Suivi des retards dans le processus de régularisation et correction rapide des anomalies.</t>
  </si>
  <si>
    <t xml:space="preserve"> Les retards dans le processus de régularisation sont-ils suivis et corrigés rapidement ?</t>
  </si>
  <si>
    <t xml:space="preserve"> Les écritures de régularisation sont-elles correctement archivées pour garantir leur traçabilité ?</t>
  </si>
  <si>
    <t>Validation que les écritures de régularisation sont enregistrées dans les délais et selon les normes comptables.</t>
  </si>
  <si>
    <t xml:space="preserve"> Les écritures de régularisation sont-elles enregistrées dans les délais et selon les normes comptables ?</t>
  </si>
  <si>
    <t>contrôler que les régularisations sont correctement appliquées aux comptes concernés</t>
  </si>
  <si>
    <t>Vérification que les régularisations sont appliquées aux comptes appropriés.</t>
  </si>
  <si>
    <t>Les régularisations sont-elles appliquées aux comptes appropriés ?</t>
  </si>
  <si>
    <t>Contrôle que les écritures de régularisation sont passées dans les comptes correspondants selon les règles comptables.</t>
  </si>
  <si>
    <t>Les écritures de régularisation sont-elles passées dans les comptes correspondants selon les règles comptables ?</t>
  </si>
  <si>
    <t>Suivi des erreurs d'application des régularisations et correction rapide des anomalies.</t>
  </si>
  <si>
    <t xml:space="preserve"> Les erreurs d'application des régularisations sont-elles corrigées rapidement ?</t>
  </si>
  <si>
    <t>Documentation des régularisations pour garantir leur traçabilité.</t>
  </si>
  <si>
    <t xml:space="preserve"> Les régularisations sont-elles correctement appliquées aux comptes ?</t>
  </si>
  <si>
    <t>Validation que les régularisations sont correctement appliquées</t>
  </si>
  <si>
    <t>Chaque régularisation est-elle validée par une personne ayant l'autorisation nécessaire ?</t>
  </si>
  <si>
    <t>garantir que les régularisations sont validées par une personne autorisée avant leur enregistrement définitif.</t>
  </si>
  <si>
    <t>Vérification que chaque régularisation est validée par une personne ayant l’autorisation nécessaire.</t>
  </si>
  <si>
    <t xml:space="preserve"> La validation des régularisations est-elle effectuée conformément aux procédures internes ?</t>
  </si>
  <si>
    <t>Contrôle que la validation des régularisations est effectuée conformément aux procédures internes.</t>
  </si>
  <si>
    <t xml:space="preserve"> Les erreurs de validation des régularisations sont-elles corrigées rapidement ?</t>
  </si>
  <si>
    <t>Suivi des erreurs de validation et correction rapide des anomalies.</t>
  </si>
  <si>
    <t xml:space="preserve"> La validation des régularisations est-elle bien documentée pour garantir leur traçabilité ?</t>
  </si>
  <si>
    <t>Documentation de la validation des régularisations pour garantir leur traçabilité.</t>
  </si>
  <si>
    <t>Toutes les régularisations sont-elles validées avant leur enregistrement ?</t>
  </si>
  <si>
    <t>Validation que toutes les régularisations sont validées avant leur enregistrement.</t>
  </si>
  <si>
    <t>Les régularisations sont-elles réconciliées avec les états financiers pour garantir leur exactitude ?</t>
  </si>
  <si>
    <t>Assurer que toutes les régularisations sont réconciliées avec les états financiers pour garantir leur exactitude et leur conformité.</t>
  </si>
  <si>
    <t>Vérification que les régularisations sont réconciliées avec les états financiers pour garantir leur exactitude.</t>
  </si>
  <si>
    <t>Les écarts dans les régularisations sont-ils identifiés et corrigés avant leur finalisation ?</t>
  </si>
  <si>
    <t>Contrôle que les écarts dans les régularisations sont identifiés et corrigés avant leur finalisation.</t>
  </si>
  <si>
    <t>Les erreurs de réconciliation des régularisations sont-elles corrigées rapidement ?</t>
  </si>
  <si>
    <t>La réconciliation des régularisations est-elle bien documentée pour garantir sa traçabilité ?</t>
  </si>
  <si>
    <t>Toutes les régularisations sont-elles réconciliées avec les états financiers ?</t>
  </si>
  <si>
    <t>Validation que toutes les régularisations sont réconciliées avec les états financiers.</t>
  </si>
  <si>
    <t>toutes les régularisations sont-elles reconciliées avec les états financiers?</t>
  </si>
  <si>
    <t>Archivage des documents de clôture</t>
  </si>
  <si>
    <t>Assurer l’archivage des documents comptables pour la conformité.</t>
  </si>
  <si>
    <t>Vérification que tous les documents comptables sont archivés conformément aux exigences légales et aux politiques internes de l'entreprise.</t>
  </si>
  <si>
    <t>Les documents comptables sont-ils archivés conformément aux exigences légales et aux politiques internes de l'entreprise ?</t>
  </si>
  <si>
    <t>Contrôle que les documents sont archivés de manière sécurisée pour en assurer l'intégrité et la confidentialité.</t>
  </si>
  <si>
    <t>Les documents comptables sont-ils archivés de manière sécurisée pour en assurer l'intégrité et la confidentialité ?</t>
  </si>
  <si>
    <t>Suivi des erreurs d'archivage et correction rapide des anomalies.</t>
  </si>
  <si>
    <t>Les erreurs d'archivage sont-elles suivies et corrigées rapidement ?</t>
  </si>
  <si>
    <t>Documentation des processus d'archivage pour garantir leur traçabilité.</t>
  </si>
  <si>
    <t>Le processus d'archivage des documents comptables est-il bien documenté pour garantir sa traçabilité ?</t>
  </si>
  <si>
    <t>Validation que l’archivage respecte les normes légales et internes.</t>
  </si>
  <si>
    <t>L'archivage des documents comptables respecte-t-il les normes légales et internes ?</t>
  </si>
  <si>
    <t>Vérifier que tous les documents comptables de clôture sont archivés dans un système sécurisé et conforme aux exigences légales.</t>
  </si>
  <si>
    <t>Vérification que les documents comptables de clôture sont archivés dans un système conforme aux exigences légales de sécurité et de confidentialité.</t>
  </si>
  <si>
    <t>Les documents comptables de clôture sont-ils archivés dans un système conforme aux exigences légales de sécurité et de confidentialité ?</t>
  </si>
  <si>
    <t>Contrôle que l’accès aux documents archivés est restreint aux personnes autorisées uniquement.</t>
  </si>
  <si>
    <t>L'accès aux documents archivés est-il restreint aux personnes autorisées uniquement ?</t>
  </si>
  <si>
    <t>Suivi des écarts ou erreurs dans le système d’archivage et correction rapide des anomalies.</t>
  </si>
  <si>
    <t>Les écarts ou erreurs dans le système d'archivage sont-ils suivis et corrigés rapidement ?</t>
  </si>
  <si>
    <t>Documentation du processus d’archivage pour garantir la traçabilité des documents.</t>
  </si>
  <si>
    <t>Validation que l’archivage respecte les exigences légales de sécurité et de conformité.</t>
  </si>
  <si>
    <t>L'archivage respecte-t-il les exigences légales de sécurité et de conformité ?</t>
  </si>
  <si>
    <t>S'assurer que les documents sont archivés de manière organisée, facilitant leur récupération en cas de besoin</t>
  </si>
  <si>
    <t>Vérification que les documents comptables sont archivés de manière structurée et organisée.</t>
  </si>
  <si>
    <t>Les documents comptables sont-ils archivés de manière structurée et organisée ?</t>
  </si>
  <si>
    <t>Contrôle que les documents peuvent être facilement récupérés en cas de besoin (audit, contrôle interne, etc.).</t>
  </si>
  <si>
    <t>Les documents comptables sont-ils facilement récupérables en cas de besoin (audit, contrôle interne, etc.) ?</t>
  </si>
  <si>
    <t>Documentation des procédures d’archivage pour garantir la traçabilité.</t>
  </si>
  <si>
    <t>Les procédures d'archivage des documents comptables sont-elles bien documentées pour garantir leur traçabilité ?</t>
  </si>
  <si>
    <t>Validation que l’archivage est effectué de manière organisée.</t>
  </si>
  <si>
    <t>L'archivage des documents comptables est-il effectué de manière organisée ?</t>
  </si>
  <si>
    <t>Contrôler que la durée de conservation des documents comptables respecte les obligations légales et les politiques internes de l'entreprise</t>
  </si>
  <si>
    <t>Vérification que les documents comptables sont conservés pendant la durée légale requise.</t>
  </si>
  <si>
    <t>Les documents comptables sont-ils conservés pendant la durée légale requise ?</t>
  </si>
  <si>
    <t>Contrôle que la durée de conservation respecte les exigences légales et les politiques internes de l’entreprise.</t>
  </si>
  <si>
    <t>La durée de conservation des documents comptables respecte-t-elle les exigences légales et les politiques internes de l'entreprise ?</t>
  </si>
  <si>
    <t>Suivi des erreurs de conservation et correction rapide des anomalies.</t>
  </si>
  <si>
    <t>Les erreurs de conservation des documents sont-elles suivies et corrigées rapidement ?</t>
  </si>
  <si>
    <t>Documentation des périodes de conservation des documents pour garantir leur traçabilité.</t>
  </si>
  <si>
    <t>Les périodes de conservation des documents comptables sont-elles bien documentées pour garantir leur traçabilité ?</t>
  </si>
  <si>
    <t>Validation que la durée de conservation est respectée conformément aux obligations légales et internes.</t>
  </si>
  <si>
    <t>La durée de conservation des documents comptables est-elle respectée conformément aux obligations légales et internes ?</t>
  </si>
  <si>
    <t>Garantir que l'accès aux documents archivés est limité aux personnes autorisées pour protéger leur confidentialité et leur intégrité.</t>
  </si>
  <si>
    <t>Vérification que l'accès aux documents archivés est restreint et limité aux personnes autorisées uniquement.</t>
  </si>
  <si>
    <t>L'accès aux documents archivés est-il restreint et limité aux personnes autorisées uniquement ?</t>
  </si>
  <si>
    <t>Contrôle que les procédures d'accès sont conformes aux exigences de sécurité et de confidentialité.</t>
  </si>
  <si>
    <t>Les procédures d'accès aux documents archivés respectent-elles les exigences de sécurité et de confidentialité ?</t>
  </si>
  <si>
    <t>Suivi des accès non autorisés et correction rapide des anomalies.</t>
  </si>
  <si>
    <t>Les accès non autorisés aux documents archivés sont-ils suivis et corrigés rapidement ?</t>
  </si>
  <si>
    <t>Documentation des autorisations d'accès aux documents archivés pour garantir la traçabilité.</t>
  </si>
  <si>
    <t>Les autorisations d'accès aux documents archivés sont-elles correctement documentées pour garantir leur traçabilité ?</t>
  </si>
  <si>
    <t>Validation que l’accès aux documents est correctement contrôlé.</t>
  </si>
  <si>
    <t>L’accès aux documents archivés est-il bien contrôlé pour garantir leur sécurité ?</t>
  </si>
  <si>
    <t>Assurer que les documents comptables archivés sont régulièrement vérifiés pour s'assurer qu'ils sont intacts et accessibles en cas d'audit ou de contrôle</t>
  </si>
  <si>
    <t>Contrôle que les documents archivés sont accessibles en cas d'audit ou de contrôle.</t>
  </si>
  <si>
    <t>Les documents archivés sont-ils accessibles en cas d'audit ou de contrôle ?</t>
  </si>
  <si>
    <t>Suivi des erreurs de vérification ou d’accès aux documents et correction rapide des anomalies.</t>
  </si>
  <si>
    <t>Les erreurs de vérification ou d’accès aux documents archivés sont-elles corrigées rapidement ?</t>
  </si>
  <si>
    <t>Documentation des vérifications effectuées pour garantir la traçabilité.</t>
  </si>
  <si>
    <t>Les vérifications effectuées sur l’accès aux documents archivés sont-elles bien documentées pour garantir la traçabilité ?</t>
  </si>
  <si>
    <t>Validation que les documents sont vérifiés régulièrement et sont accessibles en cas de besoin.</t>
  </si>
  <si>
    <t>Les documents comptables sont-ils vérifiés régulièrement et accessibles en cas de besoin ?</t>
  </si>
  <si>
    <t>Tous les documents de clôture sont archivés de manière sécurisée.</t>
  </si>
  <si>
    <t>Tous les documents de clôture sont-ils archivés de manière sécurisée pour garantir leur intégrité et leur confidentialité ?</t>
  </si>
  <si>
    <t>Archives des documents de clôture.</t>
  </si>
  <si>
    <t>Manque de traçabilité des documents financiers.</t>
  </si>
  <si>
    <t>Difficulté de contrôle et de vérification.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</si>
  <si>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Les soldes sont révisés en temps réel après chaque transaction.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</si>
  <si>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Les soldes des comptes sont-ils automatiquement mis à jour ?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</si>
  <si>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Les informations du profil client sont-elles complètes et à jour ?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</si>
  <si>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Les informations de chaque fournisseur sont complètes et à jour.</t>
    </r>
  </si>
  <si>
    <t>Domaine</t>
  </si>
  <si>
    <t>Recommandations</t>
  </si>
  <si>
    <t>Application en service</t>
  </si>
  <si>
    <t>Organisation</t>
  </si>
  <si>
    <t>S’assurer de l’existence d'un comité informatique</t>
  </si>
  <si>
    <t>Existence d'un comité informatique</t>
  </si>
  <si>
    <t>Existe-t-il un comité informatique ?</t>
  </si>
  <si>
    <t>Charte du comité informatique, liste des membres, procès-verbaux des réunions</t>
  </si>
  <si>
    <t>Absence de gouvernance claire</t>
  </si>
  <si>
    <t>Élevé</t>
  </si>
  <si>
    <t>Décisions incohérentes et manque de coordination</t>
  </si>
  <si>
    <t>Mettre en place un comité de gouvernance structuré</t>
  </si>
  <si>
    <t>Le Comité est présidé par le Directeur Général</t>
  </si>
  <si>
    <t>Le comité est-il présidé par le Directeur Général ?</t>
  </si>
  <si>
    <t>Document de nomination du Directeur Général, procès-verbaux des réunions</t>
  </si>
  <si>
    <t>Manque de leadership dans la prise de décisions stratégiques</t>
  </si>
  <si>
    <t>Retards et décisions inefficaces</t>
  </si>
  <si>
    <t>Nommer un leader compétent avec des pouvoirs clairs</t>
  </si>
  <si>
    <t>Les directions utilisatrices sont représentées au sein de ce Comité</t>
  </si>
  <si>
    <t>Les directions utilisatrices sont-elles représentées au sein du comité ?</t>
  </si>
  <si>
    <t>Liste des membres du comité, organigramme</t>
  </si>
  <si>
    <t xml:space="preserve">Mauvaise représentation des parties prenantes </t>
  </si>
  <si>
    <t>Conflits d'intérêts et mauvaise acceptation des décisions</t>
  </si>
  <si>
    <t>Garantir l’inclusion des parties prenantes critiques</t>
  </si>
  <si>
    <t>Les directions utilisatrices sont influentes au sein de ce Comité</t>
  </si>
  <si>
    <t>Les directions utilisatrices sont-elles influentes au sein du comité ?</t>
  </si>
  <si>
    <t>Comptes rendus des réunions, décisions prises incluant les contributions des directions utilisatrices</t>
  </si>
  <si>
    <t>Négligence des apports des directions utilisatrices</t>
  </si>
  <si>
    <t>Solutions non adaptées aux besoins réels</t>
  </si>
  <si>
    <t>Renforcer la collaboration avec les utilisateurs finaux</t>
  </si>
  <si>
    <t xml:space="preserve">Présence de membres qualifiés et diversifiés </t>
  </si>
  <si>
    <t>Les membres du comité sont-ils qualifiés et diversifiés ?</t>
  </si>
  <si>
    <t>Profils des membres, CV, évaluation des compétences</t>
  </si>
  <si>
    <t>Compétences inadéquates des membres du comité</t>
  </si>
  <si>
    <t>Erreurs stratégiques et décisions inefficaces</t>
  </si>
  <si>
    <t>Former ou remplacer les membres avec des experts qualifiés</t>
  </si>
  <si>
    <t>S’assurer de l’existence d'une politique relative aux applications</t>
  </si>
  <si>
    <t>Il existe une politique relative aux applications au sein de l'institution</t>
  </si>
  <si>
    <t>Une politique relative aux applications existe-t-elle au sein de l'institution ?</t>
  </si>
  <si>
    <t>Politique des applications, document de gouvernance</t>
  </si>
  <si>
    <t>Non-existence ou non-application de la politique.</t>
  </si>
  <si>
    <t>Désorganisation et manque de cadre</t>
  </si>
  <si>
    <t>Élaborer et appliquer une politique claire et documentée</t>
  </si>
  <si>
    <t>La politique est connue des utilisateurs d'applications</t>
  </si>
  <si>
    <t>Les utilisateurs d'applications connaissent-ils cette politique ?</t>
  </si>
  <si>
    <t>Rapport de sensibilisation ou de communication</t>
  </si>
  <si>
    <t>Méconnaissance des obligations des utilisateurs</t>
  </si>
  <si>
    <t>Non-respect des procédures et inefficacité</t>
  </si>
  <si>
    <t>Sensibiliser et former les utilisateurs sur leurs responsabilités</t>
  </si>
  <si>
    <t>La politique est largement diffusée</t>
  </si>
  <si>
    <t>La politique est-elle largement diffusée ?</t>
  </si>
  <si>
    <t>Support de communication (emails, brochures, affiches)</t>
  </si>
  <si>
    <t>Faible diffusion des informations</t>
  </si>
  <si>
    <t>Moyen</t>
  </si>
  <si>
    <t>Manque de transparence et communication inefficace</t>
  </si>
  <si>
    <t>Utiliser des outils modernes de gestion des informations</t>
  </si>
  <si>
    <t>La politique est mise en œuvre</t>
  </si>
  <si>
    <t>La politique est-elle mise en œuvre ?</t>
  </si>
  <si>
    <t>Rapports d'audit de conformité</t>
  </si>
  <si>
    <t>Non-conformité aux normes</t>
  </si>
  <si>
    <t>Risques juridiques et pénalités</t>
  </si>
  <si>
    <t>Auditer et corriger les écarts avec les normes</t>
  </si>
  <si>
    <t>La politique couvre l'ensemble du cycle de vie de l’application</t>
  </si>
  <si>
    <t>La politique couvre-t-elle l'ensemble du cycle de vie de l'application ?</t>
  </si>
  <si>
    <t>Documentation de la politique, schéma de cycle de vie</t>
  </si>
  <si>
    <t>Gestion incohérente des étapes du cycle de vie des applications</t>
  </si>
  <si>
    <t>Dysfonctionnements fréquents</t>
  </si>
  <si>
    <t>Automatiser le suivi du cycle de vie des applications</t>
  </si>
  <si>
    <t>S’assurer que les rôle et responsabilités des utilisateurs sont bien définis</t>
  </si>
  <si>
    <t>Le rôle et les responsabilités des utilisateurs vis-à-vis de l’application sont clairement identifiés</t>
  </si>
  <si>
    <t>Les rôles et responsabilités des utilisateurs vis-à-vis de l'application sont-ils clairement identifiés ?</t>
  </si>
  <si>
    <t>Matrice des rôles et responsabilités, charte utilisateur</t>
  </si>
  <si>
    <t>Absence de définition claire des rôles</t>
  </si>
  <si>
    <t>Confusion et responsabilités non assumées</t>
  </si>
  <si>
    <t>Formaliser et communiquer les rôles clairement</t>
  </si>
  <si>
    <t>Le rôle et les responsabilités des utilisateurs vis-à-vis de l’application couvrent l’analyse des risques</t>
  </si>
  <si>
    <t>Les rôles et responsabilités des utilisateurs vis-à-vis de l'application couvrent-ils l'analyse des risques ?</t>
  </si>
  <si>
    <t>Documentation d'analyse des risques, rapports spécifiques</t>
  </si>
  <si>
    <t>Non-réalisation des analyses des risques</t>
  </si>
  <si>
    <t>Survenue imprévisible de risques importants</t>
  </si>
  <si>
    <t>Planifier et réaliser des analyses régulières des risques</t>
  </si>
  <si>
    <t>Le rôle et les responsabilités des utilisateurs vis-à-vis de l’application couvrent la définition des besoins de sécurité</t>
  </si>
  <si>
    <t>Les rôles et responsabilités des utilisateurs vis-à-vis de l'application couvrent-ils la définition des besoins de sécurité ?</t>
  </si>
  <si>
    <t>Expression des besoins de sécurité</t>
  </si>
  <si>
    <t>Non-définition des besoins de sécurité</t>
  </si>
  <si>
    <t>Failles exploitables par des acteurs malveillants</t>
  </si>
  <si>
    <t>Identifier et intégrer les exigences sécuritaires dès la conception</t>
  </si>
  <si>
    <t>Le rôle et les responsabilités des utilisateurs vis-à-vis de l’application couvrent la gestion des changements et des évolutions</t>
  </si>
  <si>
    <t>Les rôles et responsabilités des utilisateurs vis-à-vis de l'application couvrent-ils la gestion des changements et des évolutions ?</t>
  </si>
  <si>
    <t>Processus de gestion des changements</t>
  </si>
  <si>
    <t xml:space="preserve">Changements mal gérés </t>
  </si>
  <si>
    <t>Instabilité du système</t>
  </si>
  <si>
    <t>Mettre en place un processus de gestion des changements standardisé</t>
  </si>
  <si>
    <t>Le rôle et les responsabilités des utilisateurs vis-à-vis de l’application couvrent l’administration de l’application</t>
  </si>
  <si>
    <t>Les rôles et responsabilités des utilisateurs vis-à-vis de l'application couvrent-ils l'administration de l'application ?</t>
  </si>
  <si>
    <t>Procédure d'administration de l'application</t>
  </si>
  <si>
    <t>Administration non sécurisée</t>
  </si>
  <si>
    <t>Accès non autorisé et perte de données</t>
  </si>
  <si>
    <t>Renforcer les contrôles d’administration et les audits</t>
  </si>
  <si>
    <t>S’assurer qu’une analyse des risques a été réalisée</t>
  </si>
  <si>
    <t>Une analyse des risques spécifique à l'application a été réalisée</t>
  </si>
  <si>
    <t>Une analyse des risques spécifique à l'application a-t-elle été réalisée ?</t>
  </si>
  <si>
    <t>Rapport d'analyse des risques spécifiques</t>
  </si>
  <si>
    <t>Documentation insuffisante des risques critiques</t>
  </si>
  <si>
    <t>Problèmes non identifiés et résolus</t>
  </si>
  <si>
    <t>Compléter la documentation des risques prioritaires</t>
  </si>
  <si>
    <t>L'analyse des risques a débouché sur la définition des besoins de sécurité</t>
  </si>
  <si>
    <t>L'analyse des risques a-t-elle débouché sur la définition des besoins de sécurité ?</t>
  </si>
  <si>
    <t>Plan de sécurité, documentation des besoins de sécurité</t>
  </si>
  <si>
    <t>Non-prise en compte des besoins de sécurité</t>
  </si>
  <si>
    <t>Vulnérabilité accrue face aux cyberattaques</t>
  </si>
  <si>
    <t>Prioriser les mécanismes de sécurité dans les opérations</t>
  </si>
  <si>
    <t>Les résultats de l'analyse des risques sont documentés et approuvés</t>
  </si>
  <si>
    <t>Les résultats de l'analyse des risques sont-ils documentés et approuvés ?</t>
  </si>
  <si>
    <t>Rapports d'approbation, validation formelle des résultats</t>
  </si>
  <si>
    <t>Absence de validation formelle</t>
  </si>
  <si>
    <t>Détection tardive des erreurs</t>
  </si>
  <si>
    <t>Mettre en place des étapes de validation rigoureuses</t>
  </si>
  <si>
    <t>L'analyse des risques est mise à jour régulièrement</t>
  </si>
  <si>
    <t>L'analyse des risques est-elle mise à jour régulièrement ?</t>
  </si>
  <si>
    <t>Historique des mises à jour, calendrier des analyses</t>
  </si>
  <si>
    <t>Analyses de risques obsolètes</t>
  </si>
  <si>
    <t>Décisions basées sur des informations incorrectes</t>
  </si>
  <si>
    <t>Mettre à jour les analyses périodiquement</t>
  </si>
  <si>
    <t>Les risques identifiés sont pris en compte dans le plan d'action de sécurité</t>
  </si>
  <si>
    <t>Les risques identifiés sont-ils pris en compte dans le plan d'action de sécurité ?</t>
  </si>
  <si>
    <t>Plan d'action de sécurité, rapports d'intégration des risques</t>
  </si>
  <si>
    <t>Actions non mises en œuvre</t>
  </si>
  <si>
    <t>Maintien des risques identifiés</t>
  </si>
  <si>
    <t>Suivre et exécuter les plans d'action</t>
  </si>
  <si>
    <t>S’assurer que le prolongement de l'analyse de risque et de son expansion ont été réalisés</t>
  </si>
  <si>
    <t>Il y a eu un prolongement de l'analyse des risques et de l'expression des besoins de sécurité</t>
  </si>
  <si>
    <t>Le prolongement de l'analyse des risques et de l'expression des besoins de sécurité a-t-il eu lieu ?</t>
  </si>
  <si>
    <t>Contrat de service SLA, documentation de mise en œuvre</t>
  </si>
  <si>
    <t>Non-respect des SLA</t>
  </si>
  <si>
    <t>Insatisfaction et perte de clients</t>
  </si>
  <si>
    <t>Surveiller et respecter strictement les SLA établis</t>
  </si>
  <si>
    <t>Un contrat de service (SLA) entre l'informatique et la direction utilisatrice a été mis en œuvre</t>
  </si>
  <si>
    <t>Un contrat de service (SLA) entre l'informatique et la direction utilisatrice a-t-il été mis en œuvre ?</t>
  </si>
  <si>
    <t>Politique de contrôle d'accès, matrice des rôles</t>
  </si>
  <si>
    <t>Accès inappropriés</t>
  </si>
  <si>
    <t>Fuites ou abus de données sensibles</t>
  </si>
  <si>
    <t>Réévaluer et contrôler régulièrement les droits d'accès</t>
  </si>
  <si>
    <t>L'analyse des risques étendue couvre tous les aspects de l'application</t>
  </si>
  <si>
    <t>L'analyse des risques étendue couvre-t-elle tous les aspects de l'application ?</t>
  </si>
  <si>
    <t>Journal des droits d'accès, rapports d'audit</t>
  </si>
  <si>
    <t>Absence de journalisation</t>
  </si>
  <si>
    <t>Impossibilité de retracer les activités suspectes</t>
  </si>
  <si>
    <t>Implémenter un système de journalisation des événements</t>
  </si>
  <si>
    <t>Les résultats de l'analyse des risques étendue sont communiqués aux parties prenantes</t>
  </si>
  <si>
    <t>Les résultats de l'analyse des risques étendue sont-ils communiqués aux parties prenantes ?</t>
  </si>
  <si>
    <t>Journaux d'accès, rapports de surveillance</t>
  </si>
  <si>
    <t>Activités suspectes non détectées</t>
  </si>
  <si>
    <t>Survenue de failles de sécurité</t>
  </si>
  <si>
    <t>Utiliser des outils de surveillance et détection proactive</t>
  </si>
  <si>
    <t>L'analyse des risques étendue est utilisée pour la planification stratégique</t>
  </si>
  <si>
    <t>L'analyse des risques étendue est-elle utilisée pour la planification stratégique ?</t>
  </si>
  <si>
    <t>Procédure de révocation des accès</t>
  </si>
  <si>
    <t>Retard dans la révocation des accès</t>
  </si>
  <si>
    <t>Accès non autorisé prolongé</t>
  </si>
  <si>
    <t>Automatiser la gestion des accès pour une révocation rapide</t>
  </si>
  <si>
    <t>Application</t>
  </si>
  <si>
    <t>S'assurer que l'accès aux ressources de l'application (données et transactions) est restreint par un système de gestion d'accès</t>
  </si>
  <si>
    <t>Contrôle d'accès basé sur les rôles est mis en place</t>
  </si>
  <si>
    <t>Un contrôle d'accès basé sur les rôles est-il mis en place ?</t>
  </si>
  <si>
    <t>Spécifications techniques de l'authentification, rapports de mise en œuvre</t>
  </si>
  <si>
    <t>Faiblesse dans l’authentification</t>
  </si>
  <si>
    <t>Compromission des comptes et données sensibles</t>
  </si>
  <si>
    <t xml:space="preserve">Renforcer les mécanismes d'authentification </t>
  </si>
  <si>
    <t>Les droits d'accès sont attribués de manière appropriée</t>
  </si>
  <si>
    <t>Les droits d'accès sont-ils attribués de manière appropriée ?</t>
  </si>
  <si>
    <t>Politique de mots de passe, guides utilisateurs</t>
  </si>
  <si>
    <t>Mauvaises pratiques de mots de passe</t>
  </si>
  <si>
    <t>Vulnérabilité aux attaques par force brute</t>
  </si>
  <si>
    <t>Éduquer les utilisateurs sur les bonnes pratiques de gestion des mots de passe</t>
  </si>
  <si>
    <t>Les accès sont journalisés et surveillés</t>
  </si>
  <si>
    <t>Les accès sont-ils journalisés et surveillés ?</t>
  </si>
  <si>
    <t>Journaux des tentatives de connexion</t>
  </si>
  <si>
    <t>Tentatives suspectes non identifiées</t>
  </si>
  <si>
    <t>Intrusions non détectées</t>
  </si>
  <si>
    <t>Mettre en place des solutions de détection des anomalies</t>
  </si>
  <si>
    <t>Un processus est en place pour révoquer les accès</t>
  </si>
  <si>
    <t>Un processus est-il en place pour révoquer les accès ?</t>
  </si>
  <si>
    <t>Rapports d'incidents, base de données des suivis d'incidents</t>
  </si>
  <si>
    <t>Absence de suivi des incidents</t>
  </si>
  <si>
    <t>Problèmes récurrents non résolus</t>
  </si>
  <si>
    <t>Créer un processus clair de gestion des incidents</t>
  </si>
  <si>
    <t>Les accès sont audités régulièrement</t>
  </si>
  <si>
    <t>Les accès sont-ils audités régulièrement ?</t>
  </si>
  <si>
    <t>Établir des structures de gouvernance précises et documentées</t>
  </si>
  <si>
    <t>S’assurer qu’une procédure de gestion des profils utilisateurs existe</t>
  </si>
  <si>
    <t>Procédure documentée pour la création, modification et suppression des profils</t>
  </si>
  <si>
    <t>Une procédure documentée pour la création, modification et suppression des profils existe-t-elle ?</t>
  </si>
  <si>
    <t>Nommer un responsable qualifié pour les décisions stratégiques</t>
  </si>
  <si>
    <t>Les droits d'accès sont attribués en fonction des rôles</t>
  </si>
  <si>
    <t>Les droits d'accès sont-ils attribués en fonction des rôles ?</t>
  </si>
  <si>
    <t>Mauvaise représentation des parties prenantes</t>
  </si>
  <si>
    <t>Conflits et résistance aux décisions prises</t>
  </si>
  <si>
    <t>Assurer une représentation équitable des parties prenantes</t>
  </si>
  <si>
    <t>Les profils sont révisés régulièrement</t>
  </si>
  <si>
    <t>Les profils sont-ils révisés régulièrement ?</t>
  </si>
  <si>
    <t>Solutions inadaptées aux besoins réels</t>
  </si>
  <si>
    <t>Renforcer les échanges avec les directions utilisatrices</t>
  </si>
  <si>
    <t>La procédure est communiquée aux parties prenantes</t>
  </si>
  <si>
    <t>La procédure est-elle communiquée aux parties prenantes ?</t>
  </si>
  <si>
    <t>Décisions inefficaces et erreurs majeures</t>
  </si>
  <si>
    <t>Organiser des formations ou ajuster la composition du comité</t>
  </si>
  <si>
    <t>Des outils d'automatisation sont utilisés pour la gestion des profils</t>
  </si>
  <si>
    <t>Des outils d'automatisation sont-ils utilisés pour la gestion des profils ?</t>
  </si>
  <si>
    <t>Non-existence ou non-application de la politique</t>
  </si>
  <si>
    <t>Désorganisation opérationnelle</t>
  </si>
  <si>
    <t>Créer et appliquer une politique claire et standardisée</t>
  </si>
  <si>
    <t>Vérifier que l’identification des utilisateurs est réalisée</t>
  </si>
  <si>
    <t>Mécanismes d'identification uniques sont utilisés</t>
  </si>
  <si>
    <t>Des mécanismes d'identification uniques sont-ils utilisés ?</t>
  </si>
  <si>
    <t>Utilisation incorrecte des applications</t>
  </si>
  <si>
    <t>Former les utilisateurs sur leurs responsabilités</t>
  </si>
  <si>
    <t>Authentification forte est mise en place</t>
  </si>
  <si>
    <t>Une authentification forte est-elle mise en place ?</t>
  </si>
  <si>
    <t>Collaboration et coordination limitées</t>
  </si>
  <si>
    <t>Utiliser des outils modernes pour améliorer la communication</t>
  </si>
  <si>
    <t>Procédure de gestion des identifiants est claire</t>
  </si>
  <si>
    <t>La procédure de gestion des identifiants est-elle claire ?</t>
  </si>
  <si>
    <t>Risques juridiques et pertes financières</t>
  </si>
  <si>
    <t>Réaliser des audits réguliers pour garantir la conformité</t>
  </si>
  <si>
    <t>Les identifiants sont protégés</t>
  </si>
  <si>
    <t>Les identifiants sont-ils protégés ?</t>
  </si>
  <si>
    <t>Dysfonctionnements et retards fréquents</t>
  </si>
  <si>
    <t>Automatiser le suivi des étapes clés du cycle de vie.</t>
  </si>
  <si>
    <t>Les identifiants sont audités régulièrement</t>
  </si>
  <si>
    <t>Les identifiants sont-ils audités régulièrement ?</t>
  </si>
  <si>
    <t>Confusion et duplication des responsabilités</t>
  </si>
  <si>
    <t>Clarifier et documenter les rôles et responsabilités</t>
  </si>
  <si>
    <t>Vérifier qu’un mot de passe est associé à l'identifiant</t>
  </si>
  <si>
    <t>Politique de mots de passe est en place</t>
  </si>
  <si>
    <t>Une politique de mots de passe est-elle en place ?</t>
  </si>
  <si>
    <t>Risques non identifiés pouvant entraîner des interruptions majeures</t>
  </si>
  <si>
    <t>Mettre en place une stratégie d'analyse des risques régulière</t>
  </si>
  <si>
    <t>Les mots de passe sont stockés de manière sécurisée</t>
  </si>
  <si>
    <t>Les mots de passe sont-ils stockés de manière sécurisée ?</t>
  </si>
  <si>
    <t>Failles exploitables entraînant des violations de données</t>
  </si>
  <si>
    <t>Identifier et documenter les besoins de sécurité dès la conception</t>
  </si>
  <si>
    <t>Procédure de gestion des mots de passe est claire</t>
  </si>
  <si>
    <t>La procédure de gestion des mots de passe est-elle claire ?</t>
  </si>
  <si>
    <t>Instabilité opérationnelle et pannes récurrentes</t>
  </si>
  <si>
    <t>Adopter un processus de gestion des changements standardisé</t>
  </si>
  <si>
    <t>Les utilisateurs sont formés sur les bonnes pratiques de mots de passe</t>
  </si>
  <si>
    <t>Les utilisateurs sont-ils formés sur les bonnes pratiques de mots de passe ?</t>
  </si>
  <si>
    <t>Accès non autorisé et compromission des données sensibles</t>
  </si>
  <si>
    <t>Renforcer les contrôles d'accès et sécuriser les outils d'administration</t>
  </si>
  <si>
    <t>Les mots de passe sont audités régulièrement</t>
  </si>
  <si>
    <t>Les mots de passe sont-ils audités régulièrement ?</t>
  </si>
  <si>
    <t>Incapacité à prévoir et à atténuer les problèmes majeurs</t>
  </si>
  <si>
    <t>Compléter et maintenir à jour une documentation détaillée des risques critiques</t>
  </si>
  <si>
    <t>S’assurer que les tentatives de connexions infructueuses à l'application sont suivies</t>
  </si>
  <si>
    <t>Les tentatives de connexion sont journalisées</t>
  </si>
  <si>
    <t>Les tentatives de connexion sont-elles journalisées ?</t>
  </si>
  <si>
    <t>Exploitation accrue par des acteurs malveillants</t>
  </si>
  <si>
    <t>Intégrer les besoins en sécurité dans toutes les étapes du projet</t>
  </si>
  <si>
    <t>Des alertes sont générées en cas d'activité suspecte</t>
  </si>
  <si>
    <t>Des alertes sont-elles générées en cas d'activité suspecte ?</t>
  </si>
  <si>
    <t>Erreurs non détectées et performance insuffisante</t>
  </si>
  <si>
    <t>Mettre en place des processus formalisés de validation et tests rigoureux</t>
  </si>
  <si>
    <t>Les journaux de connexion sont analysés régulièrement</t>
  </si>
  <si>
    <t>Les journaux de connexion sont-ils analysés régulièrement ?</t>
  </si>
  <si>
    <t>Décisions basées sur des informations périmées</t>
  </si>
  <si>
    <t>Réaliser des mises à jour périodiques des analyses de risques</t>
  </si>
  <si>
    <t>Les comptes sont bloqués en cas de tentatives répétées</t>
  </si>
  <si>
    <t>Les comptes sont-ils bloqués en cas de tentatives répétées ?</t>
  </si>
  <si>
    <t>Actions non mises en œuvre.</t>
  </si>
  <si>
    <t>Risques identifiés persistant sans résolution</t>
  </si>
  <si>
    <t>Mettre en place un suivi rigoureux des plans d'actions recommandés</t>
  </si>
  <si>
    <t>Les incidents de sécurité sont documentés et suivis</t>
  </si>
  <si>
    <t>Les incidents de sécurité sont-ils documentés et suivis ?</t>
  </si>
  <si>
    <t>Insatisfaction des clients, perte de confiance et potentiels litiges</t>
  </si>
  <si>
    <t>Surveiller les SLA et établir des mécanismes de correction en cas de déviation</t>
  </si>
  <si>
    <t>Fonction informatique</t>
  </si>
  <si>
    <t>S’assurer que les tâches relatives au développement et à l'exploitation de l'application sont bien suivies et documentées</t>
  </si>
  <si>
    <t>Existence d'un plan de projet détaillé avec les tâches, les responsabilités et les échéances</t>
  </si>
  <si>
    <t>Existe-il un plan de projet detaillé avec les tâches, les responsabilités et les échéances?</t>
  </si>
  <si>
    <t>Plan de projet, diagramme de Gantt, feuille de route des tâches</t>
  </si>
  <si>
    <t>Mauvaise gestion des délais et des tâches</t>
  </si>
  <si>
    <t>Retards importants et baisse de productivité</t>
  </si>
  <si>
    <t>Mettre en place un planification stricte et un suivi des échéances</t>
  </si>
  <si>
    <t>Utilisation d'outils de suivi de projet pour gérer les tâches et les progrès</t>
  </si>
  <si>
    <t>Des outils de suivi de projet sont-ils utilisés pour gérer les tâches et les progrès ?</t>
  </si>
  <si>
    <t>Liste des outils de suivi (exemple : Jira, Trello), rapports de suivi</t>
  </si>
  <si>
    <t>Absence de suivi centralisé des progrès</t>
  </si>
  <si>
    <t>Difficulté à évaluer l'état d'avancement des projets</t>
  </si>
  <si>
    <t>Utiliser des outils de gestion centralisés tels que des tableaux de bord</t>
  </si>
  <si>
    <t>Documentation des activités de développement et d'exploitation (journal des modifications, rapports d'incidents...</t>
  </si>
  <si>
    <t>Les activités de développement et d'exploitation sont-elles documentées (journal des modifications, rapports d'incidents, etc.) ?</t>
  </si>
  <si>
    <t>Journal des modifications, rapport d’incidents, documentation des processus</t>
  </si>
  <si>
    <t>Manque de traçabilité</t>
  </si>
  <si>
    <t>Perte d'informations et incapacité à reproduire les étapes</t>
  </si>
  <si>
    <t>Implémenter des systèmes qui assurent une traçabilité complète</t>
  </si>
  <si>
    <t>Communication régulière entre les équipes de développement et d'exploitation</t>
  </si>
  <si>
    <t>Une communication régulière existe-t-elle entre les équipes de développement et d'exploitation ?</t>
  </si>
  <si>
    <t>Comptes rendus de réunions, rapports de communication inter-équipes</t>
  </si>
  <si>
    <t>Communication insuffisante entre équipes</t>
  </si>
  <si>
    <t>Risques de malentendus et travail en silo</t>
  </si>
  <si>
    <t>Favoriser des outils de collaboration et organiser des réunions régulières</t>
  </si>
  <si>
    <t>Validation des livrables et des jalons par les parties prenantes concernées</t>
  </si>
  <si>
    <t>Les livrables et jalons sont-ils validés par les parties prenantes concernées ?</t>
  </si>
  <si>
    <t>Rapport de validation des livrables, procès-verbaux de réunions</t>
  </si>
  <si>
    <t>Livrables non validés</t>
  </si>
  <si>
    <t>Qualité réduite et non-conformité aux attentes</t>
  </si>
  <si>
    <t>Mettre en œuvre un processus rigoureux de validation des livrables</t>
  </si>
  <si>
    <t>S’assurer que l'accès aux bibliothèques de production est réglementé</t>
  </si>
  <si>
    <t>Existence d'une procédure formelle pour gérer l'accès aux bibliothèques de production</t>
  </si>
  <si>
    <t>Existe-t-il une procédure formelle pour gérer l'accès aux bibliothèques de production ?</t>
  </si>
  <si>
    <t>Documentation des procédures d’accès, matrice des rôles</t>
  </si>
  <si>
    <t>Mauvaise définition des accès</t>
  </si>
  <si>
    <t>Risques d’accès non autorisé ou accès excessif</t>
  </si>
  <si>
    <t>Réévaluer et clarifier les permissions d’accès</t>
  </si>
  <si>
    <t>Attribution des droits d'accès basée sur les rôles et les responsabilités</t>
  </si>
  <si>
    <t>Les droits d'accès sont-ils attribués en fonction des rôles et responsabilités ?</t>
  </si>
  <si>
    <t>Matrice des droits d’accès, charte des rôles</t>
  </si>
  <si>
    <t xml:space="preserve">Droits d'accès inappropriés </t>
  </si>
  <si>
    <t>Exploitation des systèmes et violations de sécurité</t>
  </si>
  <si>
    <t>Limiter les accès aux rôles nécessaires et effectuer des audits réguliers</t>
  </si>
  <si>
    <t>Journalisation des accès aux bibliothèques de production</t>
  </si>
  <si>
    <t>Les accès aux bibliothèques de production sont-ils journalisés ?</t>
  </si>
  <si>
    <t>Journaux d’accès, rapports d’audit des accès</t>
  </si>
  <si>
    <t>Impossible de retracer les incidents</t>
  </si>
  <si>
    <t>Activer et surveiller la journalisation dans les systèmes</t>
  </si>
  <si>
    <t>Révision régulière des droits d'accès</t>
  </si>
  <si>
    <t>Les droits d'accès sont-ils révisés régulièrement ?</t>
  </si>
  <si>
    <t>Historique des révisions, rapport de conformité</t>
  </si>
  <si>
    <t>Révisions non effectuées régulièrement</t>
  </si>
  <si>
    <t>Découverte tardive d’erreurs et risques accrus</t>
  </si>
  <si>
    <t>Mettre en place une politique de révision périodique</t>
  </si>
  <si>
    <t>Mise en place de contrôles pour prévenir les modifications non autorisées</t>
  </si>
  <si>
    <t>Des contrôles sont-ils mis en place pour prévenir les modifications non autorisées ?</t>
  </si>
  <si>
    <t>Documentation des contrôles, journal des modifications</t>
  </si>
  <si>
    <t>Changements non documentés</t>
  </si>
  <si>
    <t>Difficulté à comprendre l’historique des modifications</t>
  </si>
  <si>
    <t>Maintenir un registre de tous les changements effectués</t>
  </si>
  <si>
    <t>Vérifier que la maintenance de la séparation des tâches est effective</t>
  </si>
  <si>
    <t>Définition claire des rôles et des responsabilités pour les tâches sensibles</t>
  </si>
  <si>
    <t>Les rôles et responsabilités pour les tâches sensibles sont-ils clairement définis ?</t>
  </si>
  <si>
    <t>Description des rôles, charte des responsabilités</t>
  </si>
  <si>
    <t>Définitions floues des rôles</t>
  </si>
  <si>
    <t>Documenter et diffuser clairement les rôles attribués</t>
  </si>
  <si>
    <t>Implémentation de contrôles pour prévenir les conflits d'intérêts</t>
  </si>
  <si>
    <t>Des contrôles sont-ils implémentés pour prévenir les conflits d'intérêts ?</t>
  </si>
  <si>
    <t>Politique de contrôle des conflits, rapport de conformité</t>
  </si>
  <si>
    <t>Conflits d’intérêts mal gérés</t>
  </si>
  <si>
    <t>Décisions biaisées et manque de transparence</t>
  </si>
  <si>
    <t>Appliquer des politiques claires pour éviter les conflits d’intérêts</t>
  </si>
  <si>
    <t>Journalisation des activités des utilisateurs ayant des privilèges élevés</t>
  </si>
  <si>
    <t>Les activités des utilisateurs ayant des privilèges élevés sont-elles journalisées ?</t>
  </si>
  <si>
    <t>Journaux d’audit, rapports d’accès privilégié</t>
  </si>
  <si>
    <t>Absence de surveillance des utilisateurs privilégiés</t>
  </si>
  <si>
    <t>Exploitation non autorisée des privilèges</t>
  </si>
  <si>
    <t>Introduire une surveillance régulière des comptes privilégiés</t>
  </si>
  <si>
    <t>Révision régulière des rôles et des responsabilités</t>
  </si>
  <si>
    <t>Les rôles et responsabilités sont-ils révisés régulièrement ?</t>
  </si>
  <si>
    <t>Rapports d’évaluation des rôles, documentation des mises à jour des responsabilités</t>
  </si>
  <si>
    <t>Rôles ou responsabilités obsolètes</t>
  </si>
  <si>
    <t>Inefficacité et duplication des efforts</t>
  </si>
  <si>
    <t>Réévaluer et adapter régulièrement les rôles et responsabilités</t>
  </si>
  <si>
    <t>Formation des utilisateurs sur l'importance de la séparation des tâches</t>
  </si>
  <si>
    <t>Les utilisateurs sont-ils formés sur l'importance de la séparation des tâches ?</t>
  </si>
  <si>
    <t>Programme de formation, rapport de participation des utilisateurs</t>
  </si>
  <si>
    <t>Absence de formation des utilisateurs</t>
  </si>
  <si>
    <t>Mauvaise utilisation des systèmes</t>
  </si>
  <si>
    <t>Organiser des sessions de formation adaptées aux besoins</t>
  </si>
  <si>
    <t>S’assurer que l'équipe actuelle en charge de la maintenance est autonome et compétente</t>
  </si>
  <si>
    <t>Membres de l'équipe possédant les compétences techniques et fonctionnelles nécessaires</t>
  </si>
  <si>
    <t>Les membres de l'équipe possèdent-ils les compétences techniques et fonctionnelles nécessaires ?</t>
  </si>
  <si>
    <t>CV des membres, résultats d’évaluations des compétences</t>
  </si>
  <si>
    <t>Compétences insuffisantes</t>
  </si>
  <si>
    <t>Failles dans la gestion et erreurs fréquentes</t>
  </si>
  <si>
    <t>Identifier les besoins et fournir des formations ciblées</t>
  </si>
  <si>
    <t>Existence d'un plan de formation continue pour l'équipe de maintenance</t>
  </si>
  <si>
    <t>Un plan de formation continue pour l'équipe de maintenance existe-t-il ?</t>
  </si>
  <si>
    <t>Plan de formation continue, calendrier des sessions</t>
  </si>
  <si>
    <t>Manque de formation continue</t>
  </si>
  <si>
    <t>Obsolescence des compétences</t>
  </si>
  <si>
    <t>Instaurer un programme de développement continu des compétences</t>
  </si>
  <si>
    <t>Documentation des connaissances et des procédures de maintenance</t>
  </si>
  <si>
    <t>Les connaissances et procédures de maintenance sont-elles documentées ?</t>
  </si>
  <si>
    <t>Guides de maintenance, base de connaissances</t>
  </si>
  <si>
    <t>Documentation de maintenance insuffisante</t>
  </si>
  <si>
    <t>Retards et inefficacités dans la gestion de la maintenance</t>
  </si>
  <si>
    <t>Tenir une documentation complète et à jour pour chaque système</t>
  </si>
  <si>
    <t>Capacité de l'équipe à résoudre les problèmes et à répondre aux incidents</t>
  </si>
  <si>
    <t>L'équipe est-elle capable de résoudre les problèmes et de répondre aux incidents ?</t>
  </si>
  <si>
    <t>Rapport d’évaluation des performances, historique des incidents résolus</t>
  </si>
  <si>
    <t>Performances non évaluées</t>
  </si>
  <si>
    <t>Absence d’amélioration et maintien des inefficacités</t>
  </si>
  <si>
    <t>Mettre en place des processus d’évaluation régulière des performances</t>
  </si>
  <si>
    <t>Evaluation régulière des performances de l'équipe de maintenance</t>
  </si>
  <si>
    <t>Les performances de l'équipe de maintenance sont-elles évaluées régulièrement ?</t>
  </si>
  <si>
    <t>Rapports d’évaluation des performances</t>
  </si>
  <si>
    <t>Plan de maintenance inexistant ou mal appliqué</t>
  </si>
  <si>
    <t>Augmentation des pannes et dégradations</t>
  </si>
  <si>
    <t>Élaborer et mettre en œuvre un plan de maintenance détaillé</t>
  </si>
  <si>
    <t>S’assurer de l’existence de procédure formalisée et standard de maintenance de l’application</t>
  </si>
  <si>
    <t>Existence d'un plan de maintenance documenté</t>
  </si>
  <si>
    <t>Un plan de maintenance documenté existe-t-il ?</t>
  </si>
  <si>
    <t>Plan de maintenance, rapport de stratégie</t>
  </si>
  <si>
    <t>Activités mal planifiées ou non réalisées</t>
  </si>
  <si>
    <t>Délais non respectés et inefficience dans l’exécution</t>
  </si>
  <si>
    <t>Formaliser un plan détaillé et surveiller la réalisation des tâches</t>
  </si>
  <si>
    <t>Définition des activités de maintenance préventive et corrective</t>
  </si>
  <si>
    <t>Les activités de maintenance préventive et corrective sont-elles définies ?</t>
  </si>
  <si>
    <t>Liste des activités préventives/correctives, calendrier de maintenance</t>
  </si>
  <si>
    <t>Absence d'outils adaptés</t>
  </si>
  <si>
    <t>Inefficacité dans les opérations</t>
  </si>
  <si>
    <t>Investir dans des outils adaptés aux besoins et les intégrer efficacement</t>
  </si>
  <si>
    <t>Utilisation d'outils de gestion des incidents et des problèmes</t>
  </si>
  <si>
    <t>Des outils de gestion des incidents et des problèmes sont-ils utilisés ?</t>
  </si>
  <si>
    <t>Liste des outils de gestion (exemple : ServiceNow), rapports d’incidents</t>
  </si>
  <si>
    <t>Tests insuffisants ou inexistants</t>
  </si>
  <si>
    <t>Failles non détectées et dysfonctionnements fréquents</t>
  </si>
  <si>
    <t>Effectuer des tests rigoureux et réguliers pour garantir la qualité</t>
  </si>
  <si>
    <t>Mise en place de procédures de test et de validation des modifications</t>
  </si>
  <si>
    <t>Des procédures de test et de validation des modifications sont-elles mises en place ?</t>
  </si>
  <si>
    <t>Plan de tests, procédure de validation</t>
  </si>
  <si>
    <t>Changements non communiqués</t>
  </si>
  <si>
    <t>Confusion et interruption des processus</t>
  </si>
  <si>
    <t>Documenter et communiquer tous les changements aux parties concernées</t>
  </si>
  <si>
    <t>Communication des changements et des mises à jour aux utilisateurs</t>
  </si>
  <si>
    <t>Les changements et mises à jour sont-ils communiqués aux utilisateurs ?</t>
  </si>
  <si>
    <t>Rapports de communication des changements</t>
  </si>
  <si>
    <t>Schéma directeur obsolète ou mal aligné aux objectifs stratégiques</t>
  </si>
  <si>
    <t>Dysfonctionnement et inadéquation stratégique</t>
  </si>
  <si>
    <t>Mettre à jour et aligner le schéma directeur sur les objectifs</t>
  </si>
  <si>
    <t>Adéquation de l'application aux besoins</t>
  </si>
  <si>
    <t>Vérifier qu’un Schéma-directeur du système d’information existe et est à jour</t>
  </si>
  <si>
    <t>Existence d'un Schéma-directeur du système d'information (SDSI) documenté</t>
  </si>
  <si>
    <t>Un Schéma-directeur du système d'information (SDSI) documenté existe-t-il ?</t>
  </si>
  <si>
    <t>Schéma directeur documenté, plan stratégique IT</t>
  </si>
  <si>
    <t>Absence d'évaluation approfondie</t>
  </si>
  <si>
    <t>Risques non identifiés ou mal gérés</t>
  </si>
  <si>
    <t>Réaliser une évaluation complète et fréquente des risques</t>
  </si>
  <si>
    <t>Le SDSI couvre tous les aspects du système d'information</t>
  </si>
  <si>
    <t>Le SDSI couvre-t-il tous les aspects du système d'information ?</t>
  </si>
  <si>
    <t>Rapport d’évaluation du SDSI</t>
  </si>
  <si>
    <t>Stratégies mal alignées</t>
  </si>
  <si>
    <t>Décisions inefficaces et déviation des objectifs</t>
  </si>
  <si>
    <t>Alignement stratégique avec les objectifs organisationnels</t>
  </si>
  <si>
    <t>Le SDSI est aligné sur la stratégie de l'entreprise</t>
  </si>
  <si>
    <t>Le SDSI est-il aligné sur la stratégie de l'entreprise ?</t>
  </si>
  <si>
    <t>Documentation de l’alignement stratégique</t>
  </si>
  <si>
    <t>Mises à jour non suivies</t>
  </si>
  <si>
    <t>Instabilité du système et failles potentielles</t>
  </si>
  <si>
    <t>Mettre en place un suivi systématique des mises à jour</t>
  </si>
  <si>
    <t>Le SDSI est mis à jour régulièrement</t>
  </si>
  <si>
    <t>Le SDSI est-il mis à jour régulièrement ?</t>
  </si>
  <si>
    <t>Historique des mises à jour</t>
  </si>
  <si>
    <t>Information mal diffusée</t>
  </si>
  <si>
    <t>Manque de coordination et erreurs fréquentes</t>
  </si>
  <si>
    <t>Utiliser des outils collaboratifs pour partager les informations</t>
  </si>
  <si>
    <t>Le SDSI est communiqué aux parties prenantes concernées</t>
  </si>
  <si>
    <t>Le SDSI est-il communiqué aux parties prenantes concernées ?</t>
  </si>
  <si>
    <t>Liste de diffusion, rapports de communication</t>
  </si>
  <si>
    <t>Non-évaluation de l'alignement stratégique</t>
  </si>
  <si>
    <t>Ressources mal utilisées et inefficacité globale</t>
  </si>
  <si>
    <t>Intégrer des revues régulières de l’alignement stratégique</t>
  </si>
  <si>
    <t>S’assurer qu’une évaluation de l’alignement stratégique de l’application avec les orientation de l’entreprise a été réalisée</t>
  </si>
  <si>
    <t>Existence d'un document d'évaluation de l'alignement stratégique</t>
  </si>
  <si>
    <t>Un document d'évaluation de l'alignement stratégique existe-t-il ?</t>
  </si>
  <si>
    <t>Document d’évaluation de l’alignement stratégique</t>
  </si>
  <si>
    <t>Évaluations superficielles</t>
  </si>
  <si>
    <t>Résultats insuffisants et décisions biaisées</t>
  </si>
  <si>
    <t>Réaliser des analyses détaillées et approfondies</t>
  </si>
  <si>
    <t>L'évaluation couvre les aspects fonctionnels, techniques et financiers</t>
  </si>
  <si>
    <t>L'évaluation couvre-t-elle les aspects fonctionnels, techniques et financiers ?</t>
  </si>
  <si>
    <t>Rapports d’évaluation détaillés</t>
  </si>
  <si>
    <t>Experts non qualifiés</t>
  </si>
  <si>
    <t>Erreurs majeures et inefficacité dans les processus</t>
  </si>
  <si>
    <t>Engager ou former des experts compétents</t>
  </si>
  <si>
    <t>L'évaluation est réalisée par des experts qualifiés</t>
  </si>
  <si>
    <t>L'évaluation est-elle réalisée par des experts qualifiés ?</t>
  </si>
  <si>
    <t>Profil des évaluateurs, rapport d’expertise</t>
  </si>
  <si>
    <t>Absence de mise à jour</t>
  </si>
  <si>
    <t>Décisions basées sur des données périmées</t>
  </si>
  <si>
    <t>Actualiser régulièrement les données et analyses</t>
  </si>
  <si>
    <t>L'évaluation est mise à jour régulièrement</t>
  </si>
  <si>
    <t>L'évaluation est-elle mise à jour régulièrement ?</t>
  </si>
  <si>
    <t>Rapports de mise à jour de l’évaluation</t>
  </si>
  <si>
    <t>Résultats mal communiqués</t>
  </si>
  <si>
    <t>Confusion et résistance aux conclusions</t>
  </si>
  <si>
    <t>Standardiser le processus de communication des résultats</t>
  </si>
  <si>
    <t>Les résultats de l'évaluation sont communiqués aux parties prenantes concernées</t>
  </si>
  <si>
    <t>Les résultats de l'évaluation sont-ils communiqués aux parties prenantes concernées ?</t>
  </si>
  <si>
    <t>Documentation de communication des résultats</t>
  </si>
  <si>
    <t>Spécifications incomplètes ou imprécises</t>
  </si>
  <si>
    <t>Mauvaise conception et risques d’incompatibilité</t>
  </si>
  <si>
    <t>Clarifier et documenter minutieusement les spécifications</t>
  </si>
  <si>
    <t>S’assurer que la définition des spécifications ou les critères de choix de la solution a été clairement établie</t>
  </si>
  <si>
    <t>Existence d'un document de spécifications ou de critères de choix</t>
  </si>
  <si>
    <t>Un document de spécifications ou de critères de choix existe-t-il ?</t>
  </si>
  <si>
    <t>Document de spécifications, cahier des charges</t>
  </si>
  <si>
    <t>Critères non validés</t>
  </si>
  <si>
    <t>Solutions non adaptées et insatisfaction des utilisateurs</t>
  </si>
  <si>
    <t>Valider les critères avec des experts et parties prenantes</t>
  </si>
  <si>
    <t>Les spécifications ou les critères de choix sont clairs, précis et mesurables</t>
  </si>
  <si>
    <t>Les spécifications ou critères de choix sont-ils clairs, précis et mesurables ?</t>
  </si>
  <si>
    <t>Documentation des critères de choix validés</t>
  </si>
  <si>
    <t>Validation insuffisante</t>
  </si>
  <si>
    <t>Défauts et dysfonctionnements non détectés</t>
  </si>
  <si>
    <t>Mettre en place des tests rigoureux avant déploiement</t>
  </si>
  <si>
    <t>Les spécifications ou les critères de choix sont validés par les parties prenantes concernées</t>
  </si>
  <si>
    <t>Les spécifications ou critères de choix sont-ils validés par les parties prenantes concernées ?</t>
  </si>
  <si>
    <t>Rapports de validation, signatures des parties prenantes</t>
  </si>
  <si>
    <t>Critères de comparaison partiels</t>
  </si>
  <si>
    <t>Décisions biaisées et manque d’équité</t>
  </si>
  <si>
    <t>Compléter et harmoniser les critères de comparaison</t>
  </si>
  <si>
    <t>Les spécifications ou les critères de choix sont utilisés pour évaluer les solutions potentielles</t>
  </si>
  <si>
    <t>Les spécifications ou critères de choix sont-ils utilisés pour évaluer les solutions potentielles ?</t>
  </si>
  <si>
    <t>Matrice d’évaluation des solutions, documentation de comparaison</t>
  </si>
  <si>
    <t>Processus de sélection non documenté</t>
  </si>
  <si>
    <t>Difficulté à justifier les choix effectués</t>
  </si>
  <si>
    <t>Documenter toutes les étapes du processus de sélection</t>
  </si>
  <si>
    <t>Le processus de sélection de la solution est documenté</t>
  </si>
  <si>
    <t>Le processus de sélection de la solution est-il documenté ?</t>
  </si>
  <si>
    <t>Documentation du processus de sélection</t>
  </si>
  <si>
    <t>Rôles mal définis ou mal répartis</t>
  </si>
  <si>
    <t>Confusion et inefficacité dans l’exécution des tâches</t>
  </si>
  <si>
    <t>Revoir et clarifier la répartition des rôles</t>
  </si>
  <si>
    <t>Vérifier que les tâches des utilisateurs dans l’application sont clairement définies</t>
  </si>
  <si>
    <t>Existence d'une documentation des rôles et des responsabilités des utilisateurs</t>
  </si>
  <si>
    <t>Une documentation des rôles et des responsabilités des utilisateurs existe-t-elle ?</t>
  </si>
  <si>
    <t>Charte des rôles, description des responsabilités</t>
  </si>
  <si>
    <t>Tâches mal documentées</t>
  </si>
  <si>
    <t>Pertes de temps et erreurs dans les opérations</t>
  </si>
  <si>
    <t>Tenir un registre précis et détaillé des tâches effectuées</t>
  </si>
  <si>
    <t>Les tâches des utilisateurs sont définies de manière précise et détaillée</t>
  </si>
  <si>
    <t>Les tâches des utilisateurs sont-elles définies de manière précise et détaillée ?</t>
  </si>
  <si>
    <t>Guide des tâches des utilisateurs, procédures définies</t>
  </si>
  <si>
    <t>Processus non alignés avec les objectifs</t>
  </si>
  <si>
    <t>Inefficacité globale et gaspillage de ressources</t>
  </si>
  <si>
    <t>Revoir et ajuster les processus pour qu’ils soutiennent les objectifs</t>
  </si>
  <si>
    <t>Les tâches des utilisateurs sont alignées sur les processus métier</t>
  </si>
  <si>
    <t>Les tâches des utilisateurs sont-elles alignées sur les processus métier ?</t>
  </si>
  <si>
    <t>Documentation de l’alignement des tâches et processus</t>
  </si>
  <si>
    <t>Utilisateurs non formés</t>
  </si>
  <si>
    <t>Erreurs fréquentes et mauvaise utilisation des systèmes</t>
  </si>
  <si>
    <t>Instaurer des programmes de formation adaptés</t>
  </si>
  <si>
    <t>Les utilisateurs sont formés sur leurs tâches et responsabilités</t>
  </si>
  <si>
    <t>Les utilisateurs sont-ils formés sur leurs tâches et responsabilités ?</t>
  </si>
  <si>
    <t>Rapports de formation, supports de formation</t>
  </si>
  <si>
    <t>Maintien des inefficacités et absence d’améliorations</t>
  </si>
  <si>
    <t>Mettre en place des indicateurs et audits de performances</t>
  </si>
  <si>
    <t>Les performances des utilisateurs sont évaluées régulièrement</t>
  </si>
  <si>
    <t>Les performances des utilisateurs sont-elles évaluées régulièrement ?</t>
  </si>
  <si>
    <t>Absence de systèmes parallèles</t>
  </si>
  <si>
    <t>Interruption totale en cas de panne</t>
  </si>
  <si>
    <t>Déployer des systèmes de secours ou parallèles</t>
  </si>
  <si>
    <t>Vérifier que des systèmes parallèles sont maintenus en activité</t>
  </si>
  <si>
    <t>Existence de systèmes parallèles pour les fonctions critiques</t>
  </si>
  <si>
    <t>Des systèmes parallèles pour les fonctions critiques existent-ils ?</t>
  </si>
  <si>
    <t>Documentation des systèmes parallèles, plan de secours</t>
  </si>
  <si>
    <t>Systèmes parallèles non testés régulièrement</t>
  </si>
  <si>
    <t>Dysfonctionnements non détectés</t>
  </si>
  <si>
    <t>Effectuer des tests périodiques des systèmes de secours</t>
  </si>
  <si>
    <t>Les systèmes parallèles sont maintenus à jour et testés régulièrement</t>
  </si>
  <si>
    <t>Les systèmes parallèles sont-ils maintenus à jour et testés régulièrement ?</t>
  </si>
  <si>
    <t>Historique des tests et mises à jour des systèmes</t>
  </si>
  <si>
    <t>Manque de formation aux systèmes parallèles</t>
  </si>
  <si>
    <t>Difficulté à basculer vers les systèmes de secours</t>
  </si>
  <si>
    <t>Former les équipes à l’utilisation des systèmes parallèles</t>
  </si>
  <si>
    <t>Les utilisateurs sont formés à l'utilisation des systèmes parallèles</t>
  </si>
  <si>
    <t>Les utilisateurs sont-ils formés à l'utilisation des systèmes parallèles ?</t>
  </si>
  <si>
    <t>Rapports de formation, guides utilisateurs</t>
  </si>
  <si>
    <t>Procédures de basculement non documentées</t>
  </si>
  <si>
    <t>Retards en cas de transition entre systèmes</t>
  </si>
  <si>
    <t>Documenter et diffuser les procédures de basculement</t>
  </si>
  <si>
    <t>Les procédures de basculement vers les systèmes parallèles sont documentées</t>
  </si>
  <si>
    <t>Les procédures de basculement vers les systèmes parallèles sont-elles documentées ?</t>
  </si>
  <si>
    <t>Documentation de basculement</t>
  </si>
  <si>
    <t>Performances des systèmes non surveillées</t>
  </si>
  <si>
    <t>Dégradations non détectées et inefficacité</t>
  </si>
  <si>
    <t>Mettre en place des outils de surveillance continue</t>
  </si>
  <si>
    <t>Les performances des systèmes parallèles sont surveillées</t>
  </si>
  <si>
    <t>Les performances des systèmes parallèles sont-elles surveillées?</t>
  </si>
  <si>
    <t>Rapports de surveillance des performances</t>
  </si>
  <si>
    <t xml:space="preserve">Mauvaise gestion des délais et des tâches </t>
  </si>
  <si>
    <t>Planifier minutieusement les tâches avec des échéances réalistes</t>
  </si>
  <si>
    <t>Performance et de la rentabilité</t>
  </si>
  <si>
    <t>Vérifier qu’une évaluation de la rentabilité existe</t>
  </si>
  <si>
    <t>Existence d'un document d'évaluation de la rentabilité</t>
  </si>
  <si>
    <t>Un document d'évaluation de la rentabilité existe-t-il ?</t>
  </si>
  <si>
    <t>Document d’évaluation de la rentabilité, analyse coûts-bénéfices</t>
  </si>
  <si>
    <t>Surestimation des bénéfices ou sous-estimation des coûts</t>
  </si>
  <si>
    <t>Budgets déséquilibrés et attentes irréalistes</t>
  </si>
  <si>
    <t>Réaliser une analyse coûts-bénéfices détaillée et réaliste</t>
  </si>
  <si>
    <t>L'évaluation prend en compte les coûts et les bénéfices de l'application</t>
  </si>
  <si>
    <t>L'évaluation prend-elle en compte les coûts et les bénéfices de l'application ?</t>
  </si>
  <si>
    <t>Analyse coûts-bénéfices, tableau comparatif des avantages et dépenses</t>
  </si>
  <si>
    <t>Omissions dans l’analyse ou biais dans les hypothèses</t>
  </si>
  <si>
    <t>Décisions erronées et inefficaces</t>
  </si>
  <si>
    <t>Revoir et valider les hypothèses avec des experts</t>
  </si>
  <si>
    <t>Profil des évaluateurs, CV ou certifications</t>
  </si>
  <si>
    <t>Manque de qualifications ou de certifications adéquates</t>
  </si>
  <si>
    <t>Inefficacité et risques accrus</t>
  </si>
  <si>
    <t>Engager du personnel qualifié ou organiser des formations ciblées</t>
  </si>
  <si>
    <t>Historique des mises à jour, rapport d’évaluation</t>
  </si>
  <si>
    <t>Absence de documentation complète des modifications apportées</t>
  </si>
  <si>
    <t>Confusion et difficulté à retracer les changements</t>
  </si>
  <si>
    <t>Maintenir une documentation claire et à jour</t>
  </si>
  <si>
    <t>Rapports de communication, comptes rendus de réunion</t>
  </si>
  <si>
    <t>Communication insuffisante ou mal interprétée entre les parties prenantes</t>
  </si>
  <si>
    <t>Projets mal coordonnés et erreurs fréquentes</t>
  </si>
  <si>
    <t>Améliorer les outils de communication et clarifier les messages</t>
  </si>
  <si>
    <t>S’assurer qu’une intégration des coûts de déploiement a été réalisée</t>
  </si>
  <si>
    <t>Les coûts de déploiement sont identifiés et documentés</t>
  </si>
  <si>
    <t>Les coûts de déploiement sont-ils identifiés et documentés ?</t>
  </si>
  <si>
    <t>Budget de projet, documentation des coûts</t>
  </si>
  <si>
    <t>Dépassement du budget initial sans justification appropriée</t>
  </si>
  <si>
    <t>Perte de contrôle financier et dépassements non maîtrisés</t>
  </si>
  <si>
    <t>Établir un suivi strict des dépenses et justifier les écarts</t>
  </si>
  <si>
    <t>Les coûts de déploiement sont intégrés dans le budget du projet</t>
  </si>
  <si>
    <t>Les coûts de déploiement sont-ils intégrés dans le budget du projet ?</t>
  </si>
  <si>
    <t>Plan budgétaire, feuilles de calcul</t>
  </si>
  <si>
    <t xml:space="preserve">Prévisions budgétaires inadéquates </t>
  </si>
  <si>
    <t>Ressources insuffisantes pour réaliser les objectifs</t>
  </si>
  <si>
    <t>Réaliser une analyse budgétaire approfondie et réaliste</t>
  </si>
  <si>
    <t>Les coûts de déploiement sont suivis et contrôlés</t>
  </si>
  <si>
    <t>Les coûts de déploiement sont-ils suivis et contrôlés ?</t>
  </si>
  <si>
    <t>Rapports de suivi des coûts, documentation de contrôle budgétaire</t>
  </si>
  <si>
    <t>Données incohérentes ou erreurs dans le suivi des dépenses</t>
  </si>
  <si>
    <t>Décisions financières erronées</t>
  </si>
  <si>
    <t>Automatiser le suivi des dépenses avec des outils fiables</t>
  </si>
  <si>
    <t>Les écarts entre les coûts prévus et les coûts réels sont analysés</t>
  </si>
  <si>
    <t>Les écarts entre les coûts prévus et les coûts réels sont-ils analysés ?</t>
  </si>
  <si>
    <t>Analyse des écarts, rapports financiers</t>
  </si>
  <si>
    <t>Échec dans l’identification des écarts critiques</t>
  </si>
  <si>
    <t>Maintien des inefficacités et aggravation des problèmes</t>
  </si>
  <si>
    <t>Réaliser régulièrement une analyse des écarts</t>
  </si>
  <si>
    <t>Les leçons apprises sont documentées pour les projets futurs</t>
  </si>
  <si>
    <t>Les leçons apprises sont-elles documentées pour les projets futurs ?</t>
  </si>
  <si>
    <t>Document récapitulatif des leçons apprises</t>
  </si>
  <si>
    <t>Manque d’intégration des leçons dans les processus futurs</t>
  </si>
  <si>
    <t>Répétition des erreurs précédentes</t>
  </si>
  <si>
    <t>Documenter et intégrer systématiquement les leçons apprises</t>
  </si>
  <si>
    <t>S’assurer qu’une étude sérieuse des offres du marché a été réalisée</t>
  </si>
  <si>
    <t>Existence d'un document d'étude des offres du marché</t>
  </si>
  <si>
    <t>Un document d'étude des offres du marché existe-t-il ?</t>
  </si>
  <si>
    <t>Étude de marché, rapports d’analyse des offres</t>
  </si>
  <si>
    <t>Analyse biaisée ou données obsolètes</t>
  </si>
  <si>
    <t>Résultats inefficaces ou inadaptés</t>
  </si>
  <si>
    <t>Mettre à jour régulièrement les données et analyses</t>
  </si>
  <si>
    <t>L'étude couvre les aspects fonctionnels, techniques et financiers</t>
  </si>
  <si>
    <t>L'étude couvre-t-elle les aspects fonctionnels, techniques et financiers ?</t>
  </si>
  <si>
    <t>Dossier d’évaluation, cahier des charges</t>
  </si>
  <si>
    <t>Non-respect des critères fixés dans le cahier des charges</t>
  </si>
  <si>
    <t>Incompatibilité avec les besoins définis</t>
  </si>
  <si>
    <t>Suivre rigoureusement les critères du cahier des charges</t>
  </si>
  <si>
    <t>L'étude est réalisée par des experts qualifiés</t>
  </si>
  <si>
    <t>L'étude est-elle réalisée par des experts qualifiés ?</t>
  </si>
  <si>
    <t>Preuves de qualification des experts, rapports d’évaluation</t>
  </si>
  <si>
    <t>Absence de validation ou de vérification des compétences déclarées</t>
  </si>
  <si>
    <t>Erreurs dues à un manque de qualification</t>
  </si>
  <si>
    <t>Vérifier systématiquement les qualifications et certifications</t>
  </si>
  <si>
    <t>L'étude est mise à jour régulièrement</t>
  </si>
  <si>
    <t>L'étude est-elle mise à jour régulièrement ?</t>
  </si>
  <si>
    <t>Décisions non documentées ou mal archivées</t>
  </si>
  <si>
    <t>Perte de traçabilité et manque de justification</t>
  </si>
  <si>
    <t>Documenter et archiver toutes les décisions prises</t>
  </si>
  <si>
    <t>Les résultats de l'étude sont utilisés pour prendre des décisions éclairées</t>
  </si>
  <si>
    <t>Les résultats de l'étude sont-ils utilisés pour prendre des décisions éclairées ?</t>
  </si>
  <si>
    <t>Documentation des décisions prises</t>
  </si>
  <si>
    <t xml:space="preserve">Échéances irréalistes </t>
  </si>
  <si>
    <t>Retards fréquents dans la réalisation des projets</t>
  </si>
  <si>
    <t>Définir des délais réalistes avec des marges de manœuvre</t>
  </si>
  <si>
    <t>Vérifier que les délais de mise en œuvre de l’application ont été pris en compte</t>
  </si>
  <si>
    <t>Les délais de mise en œuvre sont identifiés et documentés</t>
  </si>
  <si>
    <t>Les délais de mise en œuvre sont-ils identifiés et documentés ?</t>
  </si>
  <si>
    <t>Planning de projet, calendrier de mise en œuvre</t>
  </si>
  <si>
    <t>Absence de plans de contingence ou de scénarios alternatifs</t>
  </si>
  <si>
    <t>Aucune réponse rapide en cas d’imprévus</t>
  </si>
  <si>
    <t>Élaborer des plans de contingence détaillés</t>
  </si>
  <si>
    <t>Les délais de mise en œuvre sont intégrés dans le plan de projet</t>
  </si>
  <si>
    <t>Les délais de mise en œuvre sont-ils intégrés dans le plan de projet ?</t>
  </si>
  <si>
    <t>Plan de projet détaillé, diagramme de Gantt</t>
  </si>
  <si>
    <t>Non-respect des délais ou absence de mesures correctives</t>
  </si>
  <si>
    <t>Perturbation des opérations et insatisfaction des parties prenantes</t>
  </si>
  <si>
    <t>Mettre en place un suivi des échéances avec des ajustements si nécessaire</t>
  </si>
  <si>
    <t>Les délais de mise en œuvre sont suivis et contrôlés</t>
  </si>
  <si>
    <t>Les délais de mise en œuvre sont-ils suivis et contrôlés ?</t>
  </si>
  <si>
    <t>Rapports de suivi des délais, documentation de contrôle</t>
  </si>
  <si>
    <t>Absence de réponses adaptées à des écarts détectés</t>
  </si>
  <si>
    <t>Répétition des problèmes et inefficacités</t>
  </si>
  <si>
    <t>Proposer et mettre en œuvre des actions correctives adaptées</t>
  </si>
  <si>
    <t>Les écarts entre les délais prévus et les délais réels sont analysés</t>
  </si>
  <si>
    <t>Les écarts entre les délais prévus et les délais réels sont-ils analysés ?</t>
  </si>
  <si>
    <t>Analyse des écarts, rapports de performance</t>
  </si>
  <si>
    <t>Ignorer les recommandations issues des bilans précédents</t>
  </si>
  <si>
    <t>Persistances des erreurs et manque d’amélioration</t>
  </si>
  <si>
    <t>Implémenter les recommandations des bilans</t>
  </si>
  <si>
    <t>Retour d’expérience documenté, bilan post-projet</t>
  </si>
  <si>
    <t>Analyse insuffisante des performances globales</t>
  </si>
  <si>
    <t>Décisions non optimisées</t>
  </si>
  <si>
    <t>Effectuer une évaluation complète des performances</t>
  </si>
  <si>
    <t>S’assurer qu’un bilan post-projet a été réalisé</t>
  </si>
  <si>
    <t>Existence d'un document de bilan post-projet</t>
  </si>
  <si>
    <t>Un document de bilan post-projet existe-t-il ?</t>
  </si>
  <si>
    <t>Rapport de bilan post-projet, rapport d’audit final</t>
  </si>
  <si>
    <t>Certification invalide ou biaisée</t>
  </si>
  <si>
    <t>Perte de crédibilité et risques de conformité</t>
  </si>
  <si>
    <t>Vérifier l’authenticité et la pertinence des certifications</t>
  </si>
  <si>
    <t>Le bilan couvre les aspects fonctionnels, techniques, financiers et organisationnels</t>
  </si>
  <si>
    <t>Le bilan couvre-t-il les aspects fonctionnels, techniques, financiers et organisationnels ?</t>
  </si>
  <si>
    <t>Rapport de synthèse global, tableau comparatif</t>
  </si>
  <si>
    <t>Absence de mise en œuvre des actions recommandées</t>
  </si>
  <si>
    <t>Maintien des problèmes identifiés</t>
  </si>
  <si>
    <t>Assurer le suivi de la mise en œuvre des recommandations</t>
  </si>
  <si>
    <t>Le bilan est réalisé par des experts qualifiés</t>
  </si>
  <si>
    <t>Le bilan est-il réalisé par des experts qualifiés ?</t>
  </si>
  <si>
    <t>Certification ou validation par des experts, méthodologie utilisée</t>
  </si>
  <si>
    <t>Direction stratégique mal définie ou incohérente</t>
  </si>
  <si>
    <t>Objectifs mal alignés et décisions inefficaces</t>
  </si>
  <si>
    <t>Revoir et clarifier la stratégie avec les parties prenantes</t>
  </si>
  <si>
    <t>Le bilan est communiqué aux parties prenantes concernées</t>
  </si>
  <si>
    <t>Le bilan est-il communiqué aux parties prenantes concernées ?</t>
  </si>
  <si>
    <t>Rapports de communication, présentations aux parties prenantes</t>
  </si>
  <si>
    <t>Tests incomplets ou documentation des compatibilités absente</t>
  </si>
  <si>
    <t>Failles non identifiées et risques d’incompatibilité</t>
  </si>
  <si>
    <t>Réaliser des tests exhaustifs et documenter les résultats</t>
  </si>
  <si>
    <t>Les recommandations du bilan sont mises en œuvre</t>
  </si>
  <si>
    <t>Les recommandations du bilan sont-elles mises en œuvre ?</t>
  </si>
  <si>
    <t>Plan d’action basé sur les recommandations, rapports de suivi</t>
  </si>
  <si>
    <t>Non-prise en compte des besoins futurs de mise à l’échelle</t>
  </si>
  <si>
    <t>Solutions inadaptées à la croissance ou à l’évolution</t>
  </si>
  <si>
    <t>Intégrer les prévisions de scalabilité dans les plans</t>
  </si>
  <si>
    <t>Evolutivité/pérennité de l'application</t>
  </si>
  <si>
    <t>Vérifier que les technologies utilisées sont conformes aux aspirations de l’entité</t>
  </si>
  <si>
    <t>Les technologies utilisées sont alignées sur la stratégie de l'entité</t>
  </si>
  <si>
    <t>Les technologies utilisées sont-elles alignées sur la stratégie de l'entité ?</t>
  </si>
  <si>
    <t>Schéma directeur, analyse stratégique</t>
  </si>
  <si>
    <t>Clauses de maintenance insuffisantes ou ambiguës</t>
  </si>
  <si>
    <t>Manque de support adéquat en cas de problème</t>
  </si>
  <si>
    <t>Négocier et documenter des clauses de maintenance détaillées</t>
  </si>
  <si>
    <t>Les technologies utilisées sont compatibles avec l'infrastructure existante</t>
  </si>
  <si>
    <t>Les technologies utilisées sont-elles compatibles avec l'infrastructure existante ?</t>
  </si>
  <si>
    <t>Rapport de compatibilité, tests techniques</t>
  </si>
  <si>
    <t>Documentation technique incomplète ou difficile à comprendre</t>
  </si>
  <si>
    <t>Difficulté à maintenir ou corriger les systèmes</t>
  </si>
  <si>
    <t>Tenir une documentation claire et complète</t>
  </si>
  <si>
    <t>Les technologies utilisées sont évolutives et adaptables</t>
  </si>
  <si>
    <t>Les technologies utilisées sont-elles évolutives et adaptables ?</t>
  </si>
  <si>
    <t>Analyse de scalabilité, documentation technique</t>
  </si>
  <si>
    <t>Études non représentatives ou biaisées</t>
  </si>
  <si>
    <t>Décisions fondées sur des données inexactes</t>
  </si>
  <si>
    <t>S’assurer de la représentativité et de la qualité des études</t>
  </si>
  <si>
    <t>Les technologies utilisées sont supportées par l'éditeur</t>
  </si>
  <si>
    <t>Les technologies utilisées sont-elles supportées par l'éditeur ?</t>
  </si>
  <si>
    <t>Contrat de support, accord de maintenance</t>
  </si>
  <si>
    <t>Architecture mal documentée ou inadéquate pour les besoins</t>
  </si>
  <si>
    <t>Problèmes de performance ou d’évolutivité</t>
  </si>
  <si>
    <t>Documenter et concevoir une architecture adaptée</t>
  </si>
  <si>
    <t>Les technologies utilisées sont documentées et maintenues</t>
  </si>
  <si>
    <t>Les technologies utilisées sont-elles documentées et maintenues ?</t>
  </si>
  <si>
    <t>Guides techniques, documentation utilisateur</t>
  </si>
  <si>
    <t>Échec dans l’identification des problèmes d’interopérabilité</t>
  </si>
  <si>
    <t>Dysfonctionnements lors de l’intégration</t>
  </si>
  <si>
    <t>Effectuer des tests approfondis d’interopérabilité</t>
  </si>
  <si>
    <t>Vérifier que les technologies utilisées sont matures</t>
  </si>
  <si>
    <t>Les technologies utilisées sont éprouvées et stables</t>
  </si>
  <si>
    <t>Les technologies utilisées sont-elles éprouvées et stables ?</t>
  </si>
  <si>
    <t>Études de cas, documentation de validation</t>
  </si>
  <si>
    <t>API mal documentée ou non conforme aux standards</t>
  </si>
  <si>
    <t>Difficulté d’intégration et compatibilité limitée</t>
  </si>
  <si>
    <t>Documenter les API et garantir leur conformité aux normes</t>
  </si>
  <si>
    <t>Les technologies utilisées sont largement adoptées par le marché</t>
  </si>
  <si>
    <t>Les technologies utilisées sont-elles largement adoptées par le marché ?</t>
  </si>
  <si>
    <t>Étude de marché, statistiques de référence</t>
  </si>
  <si>
    <t>Décalages importants entre attentes et réalisations</t>
  </si>
  <si>
    <t>Effectuer des analyses coûts-bénéfices réalistes</t>
  </si>
  <si>
    <t>Les technologies utilisées sont supportées par une communauté active</t>
  </si>
  <si>
    <t>Les technologies utilisées sont-elles supportées par une communauté active ?</t>
  </si>
  <si>
    <t>Rapports d’analyse communautaire, forums de support</t>
  </si>
  <si>
    <t>Décisions biaisées et inefficaces</t>
  </si>
  <si>
    <t>Valider les hypothèses avec des experts et actualiser régulièrement</t>
  </si>
  <si>
    <t>Les technologies utilisées sont-elles documentées et maintenues?</t>
  </si>
  <si>
    <t>Certificats de conformité, documentation des normes respectées</t>
  </si>
  <si>
    <t>Inefficacité et erreurs dans la mise en œuvre</t>
  </si>
  <si>
    <t>Engager ou former du personnel qualifié</t>
  </si>
  <si>
    <t>Les technologies utilisées sont conformes aux normes et standards en vigueur</t>
  </si>
  <si>
    <t>Les technologies utilisées sont-elles conformes aux normes et standards en vigueur ?</t>
  </si>
  <si>
    <t>Diagramme d’architecture, documentation de conception</t>
  </si>
  <si>
    <t>Confusion et perte d’historique des modifications effectuées</t>
  </si>
  <si>
    <t>Tenir un registre détaillé et à jour des changements apportés</t>
  </si>
  <si>
    <t>S’assurer que les technologies utilisées peuvent s’adapter à la croissance</t>
  </si>
  <si>
    <t>Les technologies utilisées sont évolutives et scalables</t>
  </si>
  <si>
    <t>Les technologies utilisées sont-elles évolutives et scalables ?</t>
  </si>
  <si>
    <t>Rapports de compatibilité, documentation technique</t>
  </si>
  <si>
    <t>Malentendus, décisions incohérentes et travail en silo</t>
  </si>
  <si>
    <t>Mettre en place des outils de collaboration et organiser des réunions de clarification régulières</t>
  </si>
  <si>
    <t>Les technologies utilisées sont compatibles avec les nouvelles versions et les mises à jour</t>
  </si>
  <si>
    <t>Les technologies utilisées sont-elles compatibles avec les nouvelles versions et les mises à jour ?</t>
  </si>
  <si>
    <t>Guide de configuration, tutoriels utilisateurs</t>
  </si>
  <si>
    <t>Dérapages financiers pouvant conduire à des pertes importantes</t>
  </si>
  <si>
    <t>Établir un suivi régulier des dépenses et justifier systématiquement les écarts</t>
  </si>
  <si>
    <t>Les technologies utilisées sont supportées par une architecture ouverte et modulaire</t>
  </si>
  <si>
    <t>Les technologies utilisées sont-elles supportées par une architecture ouverte et modulaire ?</t>
  </si>
  <si>
    <t>Manuel utilisateur, historique des mises à jour</t>
  </si>
  <si>
    <t>Prévisions budgétaires inadéquates entraînant des pénuries</t>
  </si>
  <si>
    <t>Ressources insuffisantes pour achever le projet</t>
  </si>
  <si>
    <t>Réaliser une analyse budgétaire détaillée et intégrer une marge de sécurité</t>
  </si>
  <si>
    <t>Certificats de conformité, documentation des audits</t>
  </si>
  <si>
    <t>Mauvaise allocation des ressources et décisions biaisées</t>
  </si>
  <si>
    <t>Automatiser le suivi budgétaire avec des outils fiables et réaliser des audits fréquents</t>
  </si>
  <si>
    <t>Les technologies utilisées sont-elles conformes aux normes et standards en vigueur?</t>
  </si>
  <si>
    <t>Tests d’intégration, rapports de compatibilité</t>
  </si>
  <si>
    <t>Effectuer des revues régulières pour détecter et analyser les écarts.</t>
  </si>
  <si>
    <t>S’assurer que l’application est modulaire et adaptable</t>
  </si>
  <si>
    <t>L'application est conçue avec une architecture modulaire</t>
  </si>
  <si>
    <t>L'application est-elle conçue avec une architecture modulaire ?</t>
  </si>
  <si>
    <t>Documentation des API, rapports de conformité</t>
  </si>
  <si>
    <t>Répétition des erreurs passées</t>
  </si>
  <si>
    <t>Documenter systématiquement les leçons apprises et les intégrer aux processus standards</t>
  </si>
  <si>
    <t>L'application est compatible avec les composants et les modules existants</t>
  </si>
  <si>
    <t>L'application est-elle compatible avec les composants et modules existants ?</t>
  </si>
  <si>
    <t>Profil de l’équipe d’intégration, rapports de performance</t>
  </si>
  <si>
    <t>Résultats non pertinents et décisions inefficaces</t>
  </si>
  <si>
    <t>Mettre à jour les données fréquemment et inclure des revues critiques dans l’analyse</t>
  </si>
  <si>
    <t>L'application est facile à configurer et à personnaliser</t>
  </si>
  <si>
    <t>L'application est-elle facile à configurer et à personnaliser ?</t>
  </si>
  <si>
    <t>Produit non conforme aux attentes et insatisfaction des utilisateurs</t>
  </si>
  <si>
    <t>Respecter rigoureusement les spécifications définies dans le cahier des charges et assurer un contrôle qualité</t>
  </si>
  <si>
    <t>L'application est documentée et maintenue</t>
  </si>
  <si>
    <t>L'application est-elle documentée et maintenue ?</t>
  </si>
  <si>
    <t>Mauvaise qualité des livrables ou risques liés à des compétences insuffisantes</t>
  </si>
  <si>
    <t>Valider les qualifications via des vérifications approfondies et engager des experts certifiés</t>
  </si>
  <si>
    <t>L'application est conforme aux normes et standards en vigueur</t>
  </si>
  <si>
    <t>L'application est-elle conforme aux normes et standards en vigueur ?</t>
  </si>
  <si>
    <t>Absence de traçabilité et difficultés à justifier les choix effectués</t>
  </si>
  <si>
    <t>Documenter et archiver toutes les décisions importantes avec des processus clairs</t>
  </si>
  <si>
    <t>S’assurer que l'application peut s’intégrer dans le système de l’entité</t>
  </si>
  <si>
    <t>L'application est compatible avec les autres applications et systèmes de l'entité</t>
  </si>
  <si>
    <t>L'application est-elle compatible avec les autres applications et systèmes de l'entité ?</t>
  </si>
  <si>
    <t>Échéances irréalistes entraînant des retards</t>
  </si>
  <si>
    <t>Non-respect des délais et insatisfaction des parties prenantes</t>
  </si>
  <si>
    <t>Définir des échéances réalistes et intégrer des marges de sécurité dans la planification</t>
  </si>
  <si>
    <t>L'application utilise des interfaces et des protocoles standard</t>
  </si>
  <si>
    <t>L'application utilise-t-elle des interfaces et des protocoles standards ?</t>
  </si>
  <si>
    <t>Paralysie en cas d'imprévus ou de problèmes majeurs</t>
  </si>
  <si>
    <t>Élaborer des plans de contingence pour anticiper les différents scénarios</t>
  </si>
  <si>
    <t>Mettre en place un suivi actif des délais et des mécanismes correctifs en cas de déviations</t>
  </si>
  <si>
    <t>Persistance des problèmes identifiés</t>
  </si>
  <si>
    <t>Analyser les écarts en profondeur et proposer des plans d’action adaptés</t>
  </si>
  <si>
    <t>L'application est supportée par une équipe d'intégration compétente</t>
  </si>
  <si>
    <t>L'application est-elle supportée par une équipe d'intégration compétente ?</t>
  </si>
  <si>
    <t>Perpétuation des erreurs et manque d'amélioration continue</t>
  </si>
  <si>
    <t>Suivre et implémenter systématiquement les recommandations des bilans précédents</t>
  </si>
  <si>
    <t xml:space="preserve">                                     Domaine</t>
  </si>
  <si>
    <t xml:space="preserve">                                   Points de contrôle</t>
  </si>
  <si>
    <t xml:space="preserve">                                                             Objectifs de contrôle</t>
  </si>
  <si>
    <t xml:space="preserve">                                                                                                                          Critères d'évaluation</t>
  </si>
  <si>
    <t xml:space="preserve">                                                        Questions d'évaluation</t>
  </si>
  <si>
    <t xml:space="preserve">   Réponses</t>
  </si>
  <si>
    <t xml:space="preserve">                      Documents requis</t>
  </si>
  <si>
    <t xml:space="preserve">                                           Risques</t>
  </si>
  <si>
    <t xml:space="preserve">                   Criticité</t>
  </si>
  <si>
    <t xml:space="preserve">                                      Conséquences</t>
  </si>
  <si>
    <t xml:space="preserve">                                          Recommandations</t>
  </si>
  <si>
    <t>Rôle et positionnement de l'informatique dans l'organisation</t>
  </si>
  <si>
    <t>Vérifier qu’ont été créés des Comités « informatique » (stratégique, pilotage,..) regroupant les différentes directions de l’Organisation en charge de recenser les besoins et les opportunités, gérer les priorités et suivre les projets</t>
  </si>
  <si>
    <t>Les Comités "informatique" sont officiellement créés et documentés (PV de réunion, charte de fonctionnement)</t>
  </si>
  <si>
    <t>Les Comités "informatique" sont-ils officiellement créés et documentés (PV de réunion, charte de fonctionnement) ?</t>
  </si>
  <si>
    <t>Charte des comités informatiques</t>
  </si>
  <si>
    <t>Absence de formalisation des rôles</t>
  </si>
  <si>
    <t>Élevée</t>
  </si>
  <si>
    <t>Décisions non alignées, perte de confiance</t>
  </si>
  <si>
    <t>Validation par la DG cruciale pour légitimité</t>
  </si>
  <si>
    <t>Procès-verbaux (PV) de réunions</t>
  </si>
  <si>
    <t>Décisions non suivies ou non partagées</t>
  </si>
  <si>
    <t>Retards projets, divergences métiers/DSI</t>
  </si>
  <si>
    <t>PV clairs et diffusés améliorent la traçabilité</t>
  </si>
  <si>
    <t>Les directions métiers participent activement aux comités, avec une représentation équilibrée</t>
  </si>
  <si>
    <t>Les directions métiers participent-elles activement aux comités, avec une représentation équilibrée ?</t>
  </si>
  <si>
    <t>Liste des membres désignés</t>
  </si>
  <si>
    <t>Représentation déséquilibrée</t>
  </si>
  <si>
    <t>Besoins métiers mal pris en compte</t>
  </si>
  <si>
    <t>Établir des quotas par direction</t>
  </si>
  <si>
    <t>Feuilles de présence</t>
  </si>
  <si>
    <t>Participation irrégulière</t>
  </si>
  <si>
    <t>Faible</t>
  </si>
  <si>
    <t>Manque d'engagement</t>
  </si>
  <si>
    <t>Lier la participation aux objectifs individuels</t>
  </si>
  <si>
    <t>Les réunions sont tenues à une fréquence régulière (trimestrielle, semestrielle) avec un taux de participation satisfaisant</t>
  </si>
  <si>
    <t>Les réunions sont-elles tenues à une fréquence régulière (trimestrielle, semestrielle) avec un taux de participation satisfaisant ?</t>
  </si>
  <si>
    <t>Calendrier annuel</t>
  </si>
  <si>
    <t>Délais non respectés</t>
  </si>
  <si>
    <t>Accumulation de sujets</t>
  </si>
  <si>
    <t>Planifier 1 an à l'avance</t>
  </si>
  <si>
    <t>Statistiques de participation</t>
  </si>
  <si>
    <t>Quorum non atteint</t>
  </si>
  <si>
    <t>Décisions non valides</t>
  </si>
  <si>
    <t>Prévoir un système de délégation</t>
  </si>
  <si>
    <t>Les décisions prises sont formalisées et suivies, avec des comptes-rendus partagés</t>
  </si>
  <si>
    <t>Les décisions prises sont-elles formalisées et suivies, avec des comptes-rendus partagés ?</t>
  </si>
  <si>
    <t>Registre des décisions</t>
  </si>
  <si>
    <t>Non-application</t>
  </si>
  <si>
    <t>Blocages opérationnels</t>
  </si>
  <si>
    <t>Assigner un responsable par décision</t>
  </si>
  <si>
    <t>Dashboard de suivi</t>
  </si>
  <si>
    <t>Dérive des délais</t>
  </si>
  <si>
    <t>Retards projets</t>
  </si>
  <si>
    <t>Revue mensuelle obligatoire</t>
  </si>
  <si>
    <t>Les priorités définies par les comités sont alignées sur la stratégie globale de l’organisation</t>
  </si>
  <si>
    <t>Les priorités définies par les comités sont-elles alignées sur la stratégie globale de l’organisation ?</t>
  </si>
  <si>
    <t>Feuille de route SI</t>
  </si>
  <si>
    <t>Projets non stratégiques</t>
  </si>
  <si>
    <t>Gaspillage de ressources</t>
  </si>
  <si>
    <t>Validation annuelle par le COMEX</t>
  </si>
  <si>
    <t>Budget détaillé</t>
  </si>
  <si>
    <t>Déséquilibre financier</t>
  </si>
  <si>
    <t>Manque de fonds pour priorités</t>
  </si>
  <si>
    <t>Revue trimestrielle</t>
  </si>
  <si>
    <t>Vérifier l’existence d’une charte informatique ou de tout autre document définissant le rôle et le périmètre de responsabilité de la DSI</t>
  </si>
  <si>
    <t>Un document officiel (charte, politique) définit le rôle et les responsabilités de la DSI</t>
  </si>
  <si>
    <t>Un document officiel (charte, politique) définit-il le rôle et les responsabilités de la DSI ?</t>
  </si>
  <si>
    <t>Charte de la DSI</t>
  </si>
  <si>
    <t>Périmètre flou</t>
  </si>
  <si>
    <t>Conflits de responsabilités</t>
  </si>
  <si>
    <t>Inclure un organigramme</t>
  </si>
  <si>
    <t>Politique SI</t>
  </si>
  <si>
    <t>Non-conformité</t>
  </si>
  <si>
    <t>Sanctions</t>
  </si>
  <si>
    <t>Validation juridique</t>
  </si>
  <si>
    <t>Le périmètre d’intervention de la DSI est clairement délimité</t>
  </si>
  <si>
    <t>Le périmètre d’intervention de la DSI est -il clairement délimité ?</t>
  </si>
  <si>
    <t>Cartographie processus</t>
  </si>
  <si>
    <t>Empiètement métiers</t>
  </si>
  <si>
    <t>Doublons</t>
  </si>
  <si>
    <t>Mise à jour annuelle</t>
  </si>
  <si>
    <t>Matrice RACI</t>
  </si>
  <si>
    <t>Délégations floues</t>
  </si>
  <si>
    <t>Retards décisionnels</t>
  </si>
  <si>
    <t>Former les managers</t>
  </si>
  <si>
    <t>Le document fait référence aux obligations légales et normes sectorielles applicables</t>
  </si>
  <si>
    <t>Le document fait-il référence aux obligations légales et normes sectorielles applicables ?</t>
  </si>
  <si>
    <t>Registre conformité</t>
  </si>
  <si>
    <t>Amendes réglementaires</t>
  </si>
  <si>
    <t>Sanctions financières</t>
  </si>
  <si>
    <t>Audit semestriel</t>
  </si>
  <si>
    <t>Procédures de mise à jour</t>
  </si>
  <si>
    <t>Non-actualisation</t>
  </si>
  <si>
    <t>Automatiser les alertes</t>
  </si>
  <si>
    <t>La charte est validée et signée par les instances dirigeantes concernées</t>
  </si>
  <si>
    <t>La charte est-elle validée et signée par les instances dirigeantes concernées ?</t>
  </si>
  <si>
    <t>PV de validation</t>
  </si>
  <si>
    <t>Non légitimité</t>
  </si>
  <si>
    <t>Rejet par les métiers</t>
  </si>
  <si>
    <t>Signature électronique</t>
  </si>
  <si>
    <t>Plan de diffusion</t>
  </si>
  <si>
    <t>Non accessibilité</t>
  </si>
  <si>
    <t>Non application</t>
  </si>
  <si>
    <t>Publier sur l'intranet</t>
  </si>
  <si>
    <t>La charte est diffusée et accessible à l’ensemble des collaborateurs concernés</t>
  </si>
  <si>
    <t>La charte est-elle diffusée et accessible à l’ensemble des collaborateurs concernés ?</t>
  </si>
  <si>
    <t>Registre de diffusion</t>
  </si>
  <si>
    <t>Non-connaissance des règles</t>
  </si>
  <si>
    <t>Non-respect des processus</t>
  </si>
  <si>
    <t>Mettre en place un accusé de lecture</t>
  </si>
  <si>
    <t>Plateforme collaborative</t>
  </si>
  <si>
    <t>Accès difficile</t>
  </si>
  <si>
    <t>Faible adoption</t>
  </si>
  <si>
    <t>Centraliser sur l'intranet</t>
  </si>
  <si>
    <t>Évaluer le degré d’implication et de maîtrise des organes de gestion dans les systèmes d’information de l’Organisation</t>
  </si>
  <si>
    <t>Les dirigeants participent activement aux comités stratégiques informatiques</t>
  </si>
  <si>
    <t>Les dirigeants participent-ils activement aux comités stratégiques informatiques ?</t>
  </si>
  <si>
    <t>PV COMEX</t>
  </si>
  <si>
    <t>Décisions bloquées</t>
  </si>
  <si>
    <t>Paralysie</t>
  </si>
  <si>
    <t>Quorum C-level</t>
  </si>
  <si>
    <t>Plan communication</t>
  </si>
  <si>
    <t>Manque visibilité</t>
  </si>
  <si>
    <t>Démotivation</t>
  </si>
  <si>
    <t>Synthèses mensuelles</t>
  </si>
  <si>
    <t>La direction générale comprend les enjeux clés des systèmes d’information</t>
  </si>
  <si>
    <t>La direction générale comprend t-elle les enjeux clés des systèmes d’information ?</t>
  </si>
  <si>
    <t>PV de formation</t>
  </si>
  <si>
    <t>Incompréhension</t>
  </si>
  <si>
    <t>Mauvaises décisions</t>
  </si>
  <si>
    <t>Formation annuelle</t>
  </si>
  <si>
    <t>Évaluation compétences</t>
  </si>
  <si>
    <t>Lacunes persistantes</t>
  </si>
  <si>
    <t>Investissements inadaptés</t>
  </si>
  <si>
    <t>Coaching individuel</t>
  </si>
  <si>
    <t>Les budgets alloués aux projets informatiques reflètent les priorités stratégiques</t>
  </si>
  <si>
    <t>Les budgets alloués aux projets informatiques reflètent-ils les priorités stratégiques ?</t>
  </si>
  <si>
    <t>Budget projet</t>
  </si>
  <si>
    <t>Déséquilibre</t>
  </si>
  <si>
    <t>Projets non financés</t>
  </si>
  <si>
    <t>Alignement stratégique</t>
  </si>
  <si>
    <t>Rapport d'exécution</t>
  </si>
  <si>
    <t>Dérives</t>
  </si>
  <si>
    <t>Dépassements</t>
  </si>
  <si>
    <t>Alertes automatiques</t>
  </si>
  <si>
    <t>Les dirigeants suivent des formations sur les enjeux de la gouvernance des SI</t>
  </si>
  <si>
    <t>Les dirigeants suivent-ils des formations sur les enjeux de la gouvernance des SI ?</t>
  </si>
  <si>
    <t>Planning formation</t>
  </si>
  <si>
    <t>Manque de culture SI</t>
  </si>
  <si>
    <t>Décisions inadaptées</t>
  </si>
  <si>
    <t>Obligation annuelle</t>
  </si>
  <si>
    <t>Évaluations</t>
  </si>
  <si>
    <t>Lacunes non traitées</t>
  </si>
  <si>
    <t>Risques persistants</t>
  </si>
  <si>
    <t>Suivi RH</t>
  </si>
  <si>
    <t>La direction réagit rapidement en cas d’incident majeur impactant les SI</t>
  </si>
  <si>
    <t>La direction réagit-elle rapidement en cas d’incident majeur impactant les SI ?</t>
  </si>
  <si>
    <t>PRA/PCA</t>
  </si>
  <si>
    <t>Temps d'arrêt longs</t>
  </si>
  <si>
    <t>Pertes financières</t>
  </si>
  <si>
    <t>Tests trimestriels</t>
  </si>
  <si>
    <t>Compte-rendu incident</t>
  </si>
  <si>
    <t>Répétition erreurs</t>
  </si>
  <si>
    <t>Perte de confiance</t>
  </si>
  <si>
    <t>Revue post-mortem</t>
  </si>
  <si>
    <t>Vérifier en pratique que le leadership des grands projets est assuré par les organes de gestion</t>
  </si>
  <si>
    <t>Un sponsor métier est désigné pour chaque projet majeur</t>
  </si>
  <si>
    <t>Un sponsor métier est-il désigné pour chaque projet majeur ?</t>
  </si>
  <si>
    <t>Matrice responsabilités</t>
  </si>
  <si>
    <t>Portage insuffisant</t>
  </si>
  <si>
    <t>Échec projet</t>
  </si>
  <si>
    <t>Validation COMEX</t>
  </si>
  <si>
    <t>PV de lancement</t>
  </si>
  <si>
    <t>Engagement faible</t>
  </si>
  <si>
    <t>Retards</t>
  </si>
  <si>
    <t>Évaluation performance</t>
  </si>
  <si>
    <t>Les dirigeants participent aux revues d’avancement des projets clés</t>
  </si>
  <si>
    <t>Les dirigeants participent-ils aux revues d’avancement des projets clés ?</t>
  </si>
  <si>
    <t>Planning revues</t>
  </si>
  <si>
    <t>Décisions tardives</t>
  </si>
  <si>
    <t>Bloquer agendas</t>
  </si>
  <si>
    <t>Comptes-rendus</t>
  </si>
  <si>
    <t>Actions non suivies</t>
  </si>
  <si>
    <t>Assigner des responsables</t>
  </si>
  <si>
    <t>Les livrables majeurs sont validés par les instances dirigeantes concernées</t>
  </si>
  <si>
    <t>Les livrables majeurs sont-ils validés par les instances dirigeantes concernées ?</t>
  </si>
  <si>
    <t>Procès-verbal validation</t>
  </si>
  <si>
    <t>Rejet livrable</t>
  </si>
  <si>
    <t>Checklist formelle</t>
  </si>
  <si>
    <t>Fiche de recette</t>
  </si>
  <si>
    <t>Bugs non détectés</t>
  </si>
  <si>
    <t>Coûts supplémentaires</t>
  </si>
  <si>
    <t>Tests automatisés</t>
  </si>
  <si>
    <t>Les comités de risques projet impliquent les responsables métiers et la direction</t>
  </si>
  <si>
    <t>Les comités de risques projet impliquent-ils les responsables métiers et la direction ?</t>
  </si>
  <si>
    <t>Registre des risques</t>
  </si>
  <si>
    <t>Risques ignorés</t>
  </si>
  <si>
    <t>Échecs projets</t>
  </si>
  <si>
    <t>Réunions bimestrielles</t>
  </si>
  <si>
    <t>Plans d'action</t>
  </si>
  <si>
    <t>Non mise en œuvre</t>
  </si>
  <si>
    <t>Exposition aux risques</t>
  </si>
  <si>
    <t>Suivi dédié</t>
  </si>
  <si>
    <t>La communication interne sur les projets est portée par les dirigeants</t>
  </si>
  <si>
    <t>La communication interne sur les projets est-elle portée par les dirigeants ?</t>
  </si>
  <si>
    <t>Manque d'adhésion</t>
  </si>
  <si>
    <t>Résistance au changement</t>
  </si>
  <si>
    <t>Messages vidéo</t>
  </si>
  <si>
    <t>Sondages feedback</t>
  </si>
  <si>
    <t>Baisse productivité</t>
  </si>
  <si>
    <t>Communication régulière</t>
  </si>
  <si>
    <t>Vérifier que les métiers assurent leur rôle de MOA</t>
  </si>
  <si>
    <t>Les besoins métiers sont formalisés dans des cahiers des charges ou spécifications</t>
  </si>
  <si>
    <t>Les besoins métiers sont-ils formalisés dans des cahiers des charges ou spécifications ?</t>
  </si>
  <si>
    <t>Cahier des charges</t>
  </si>
  <si>
    <t>Solution inadaptée</t>
  </si>
  <si>
    <t>Validation formelle</t>
  </si>
  <si>
    <t>Protocole recette</t>
  </si>
  <si>
    <t>Non-qualité</t>
  </si>
  <si>
    <t>Refus utilisateurs</t>
  </si>
  <si>
    <t>Tests utilisateurs</t>
  </si>
  <si>
    <t>Un chef de projet MOA est désigné pour chaque projet ou domaine clé</t>
  </si>
  <si>
    <t>Un chef de projet MOA est-il désigné pour chaque projet ou domaine clé ?</t>
  </si>
  <si>
    <t>Organigramme projet</t>
  </si>
  <si>
    <t>Manque de pilotage</t>
  </si>
  <si>
    <t>Nomination formelle</t>
  </si>
  <si>
    <t>Fiche de mission</t>
  </si>
  <si>
    <t>Conflits</t>
  </si>
  <si>
    <t>Définition claire des rôles</t>
  </si>
  <si>
    <t>Les spécifications fonctionnelles sont validées par les métiers avant développement</t>
  </si>
  <si>
    <t>Les spécifications fonctionnelles sont-elles validées par les métiers avant développement ?</t>
  </si>
  <si>
    <t>Écart besoins</t>
  </si>
  <si>
    <t>Refus livrable</t>
  </si>
  <si>
    <t>Signature obligatoire</t>
  </si>
  <si>
    <t>Versionning</t>
  </si>
  <si>
    <t>Modifications non tracées</t>
  </si>
  <si>
    <t>Incohérences</t>
  </si>
  <si>
    <t>Outil collaboratif</t>
  </si>
  <si>
    <t>Les budgets MOA sont engagés pour financer les études et l’accompagnement utilisateurs</t>
  </si>
  <si>
    <t>Les budgets MOA sont-ils engagés pour financer les études et l’accompagnement utilisateurs ?</t>
  </si>
  <si>
    <t>Budget prévisionnel</t>
  </si>
  <si>
    <t>Sous-financement</t>
  </si>
  <si>
    <t>Accompagnement insuffisant</t>
  </si>
  <si>
    <t>Validation financière</t>
  </si>
  <si>
    <t>Reporting</t>
  </si>
  <si>
    <t>Manque de visibilité</t>
  </si>
  <si>
    <t>Des réunions régulières entre MOA et MOE permettent d’ajuster les projets en cours</t>
  </si>
  <si>
    <t>Des réunions régulières entre MOA et MOE permettent-elles d’ajuster les projets en cours ?</t>
  </si>
  <si>
    <t>Planning réunions</t>
  </si>
  <si>
    <t>Décrochage</t>
  </si>
  <si>
    <t>Livraison inadaptée</t>
  </si>
  <si>
    <t>Fréquence minimale</t>
  </si>
  <si>
    <t>Outil de suivi partagé</t>
  </si>
  <si>
    <t>Planification stratégique</t>
  </si>
  <si>
    <t>Vérifier la couverture du périmètre fonctionnel</t>
  </si>
  <si>
    <t>Le périmètre fonctionnel couvre l’ensemble des processus métiers critiques de l’organisation</t>
  </si>
  <si>
    <t>Le périmètre fonctionnel couvre t-il l’ensemble des processus métiers critiques de l’organisation ?</t>
  </si>
  <si>
    <t>Zones non couvertes</t>
  </si>
  <si>
    <t>Risques opérationnels</t>
  </si>
  <si>
    <t>Revue annuelle</t>
  </si>
  <si>
    <t>Analyse d'impact</t>
  </si>
  <si>
    <t>Faiblesses non traitées</t>
  </si>
  <si>
    <t>Vulnérabilités</t>
  </si>
  <si>
    <t>Ateliers métiers</t>
  </si>
  <si>
    <t>Les applications supportant les fonctions clés sont clairement identifiées et documentées</t>
  </si>
  <si>
    <t>Les applications supportant les fonctions clés sont-elles clairement identifiées et documentées ?</t>
  </si>
  <si>
    <t>Inventaire applicatif</t>
  </si>
  <si>
    <t>Incidents majeurs</t>
  </si>
  <si>
    <t>Classification par criticité</t>
  </si>
  <si>
    <t>Documentation technique</t>
  </si>
  <si>
    <t>Dépendances cachées</t>
  </si>
  <si>
    <t>Effet domino</t>
  </si>
  <si>
    <t>Mise à jour continue</t>
  </si>
  <si>
    <t>Les zones non couvertes par le système d’information sont recensées et justifiées</t>
  </si>
  <si>
    <t>Les zones non couvertes par le système d’information sont-elles recensées et justifiées ?</t>
  </si>
  <si>
    <t>Registre des gaps</t>
  </si>
  <si>
    <t>Risques non gérés</t>
  </si>
  <si>
    <t>Pertes d'opportunités</t>
  </si>
  <si>
    <t>Revue semestrielle</t>
  </si>
  <si>
    <t>Plan de correction</t>
  </si>
  <si>
    <t>Retards traitement</t>
  </si>
  <si>
    <t>Accumulation problèmes</t>
  </si>
  <si>
    <t>Priorisation claire</t>
  </si>
  <si>
    <t>Les dépendances entre applications et processus métiers sont cartographiées</t>
  </si>
  <si>
    <t>Les dépendances entre applications et processus métiers sont-elles cartographiées ?</t>
  </si>
  <si>
    <t>Schéma d'architecture</t>
  </si>
  <si>
    <t>Points de rupture</t>
  </si>
  <si>
    <t>Incidents en cascade</t>
  </si>
  <si>
    <t>Matrice d'impact</t>
  </si>
  <si>
    <t>Temps de réparation longs</t>
  </si>
  <si>
    <t>Simulation de crise</t>
  </si>
  <si>
    <t>Les fonctions obsolètes ou redondantes sont identifiées et planifiées pour suppression</t>
  </si>
  <si>
    <t>Les fonctions obsolètes ou redondantes sont-elles identifiées et planifiées pour suppression ?</t>
  </si>
  <si>
    <t>Plan de retrait</t>
  </si>
  <si>
    <t>Dette technique</t>
  </si>
  <si>
    <t>Coûts de maintenance</t>
  </si>
  <si>
    <t>Planning formalisé</t>
  </si>
  <si>
    <t>Analyse coûts/bénéfices</t>
  </si>
  <si>
    <t>Retards élimination</t>
  </si>
  <si>
    <t>Accumulation</t>
  </si>
  <si>
    <t>Budget dédié</t>
  </si>
  <si>
    <t>Vérifier l’existence d’une analyse à jour des procédures de pilotage et de mise à jour du plan informatique</t>
  </si>
  <si>
    <t>Les rôles et responsabilités dans la mise à jour du plan sont clairement attribués</t>
  </si>
  <si>
    <t>Les rôles et responsabilités dans la mise à jour du plan sont-ils clairement attribués ?</t>
  </si>
  <si>
    <t>Responsabilités floues</t>
  </si>
  <si>
    <t>Retards dans les mises à jour</t>
  </si>
  <si>
    <t>Formaliser dans les fiches de poste</t>
  </si>
  <si>
    <t>Procédure de mise à jour</t>
  </si>
  <si>
    <t>Processus non suivi</t>
  </si>
  <si>
    <t>Automatiser les rappels</t>
  </si>
  <si>
    <t>Les écarts entre le plan prévu et sa réalisation font l’objet d’analyses correctives</t>
  </si>
  <si>
    <t>Les écarts entre le plan prévu et sa réalisation font-ils l’objet d’analyses correctives ?</t>
  </si>
  <si>
    <t>Rapport d'écarts</t>
  </si>
  <si>
    <t>Dérives non détectées</t>
  </si>
  <si>
    <t>Revue trimestrielle obligatoire</t>
  </si>
  <si>
    <t>Plan d'actions correctives</t>
  </si>
  <si>
    <t>Retards de correction</t>
  </si>
  <si>
    <t>Suivi dans JIRA</t>
  </si>
  <si>
    <t>Les décisions d’ajustement du plan sont documentées et communiquées aux parties prenantes</t>
  </si>
  <si>
    <t>Les décisions d’ajustement du plan sont-elles documentées et communiquées aux parties prenantes ?</t>
  </si>
  <si>
    <t>PV de comité de pilotage</t>
  </si>
  <si>
    <t>Traçabilité perdue</t>
  </si>
  <si>
    <t>Archivage centralisé</t>
  </si>
  <si>
    <t>Newsletter interne</t>
  </si>
  <si>
    <t>Mauvaise communication</t>
  </si>
  <si>
    <t>Format standardisé</t>
  </si>
  <si>
    <t>Les budgets et ressources nécessaires à l’exécution du plan sont validés annuellement</t>
  </si>
  <si>
    <t>Les budgets et ressources nécessaires à l’exécution du plan sont-ils validés annuellement  ?</t>
  </si>
  <si>
    <t>Budget validé</t>
  </si>
  <si>
    <t>Sous/sur-financement</t>
  </si>
  <si>
    <t>Projets bloqués</t>
  </si>
  <si>
    <t>Reporting financier</t>
  </si>
  <si>
    <t>Vérifier l’existence des documents à jour d’urbanisme de l’Organisation</t>
  </si>
  <si>
    <t>Une cartographie applicative à jour reflète l’état du système d’information</t>
  </si>
  <si>
    <t>Une cartographie applicative à jour reflète t-elle l’état du système d’information ?</t>
  </si>
  <si>
    <t>Inventaire SI</t>
  </si>
  <si>
    <t>Vision obsolète</t>
  </si>
  <si>
    <t>Prises de décision erronées</t>
  </si>
  <si>
    <t>Mises à jour trimestrielles</t>
  </si>
  <si>
    <t>Diagramme d'architecture</t>
  </si>
  <si>
    <t>Outil dédié (ex: LeanIX)</t>
  </si>
  <si>
    <t>Les principes d’urbanisme (modularité, interopérabilité) sont formalisés et appliqués</t>
  </si>
  <si>
    <t>Les principes d’urbanisme (modularité, interopérabilité) sont-ils formalisés et appliqués ?</t>
  </si>
  <si>
    <t>Charte d'urbanisme</t>
  </si>
  <si>
    <t>Architecture désorganisée</t>
  </si>
  <si>
    <t>Coûts d'intégration élevés</t>
  </si>
  <si>
    <t>Validation par l'architecte</t>
  </si>
  <si>
    <t>Checklist de conformité</t>
  </si>
  <si>
    <t>Non-respect des normes</t>
  </si>
  <si>
    <t>Les flux de données entre applications sont documentés et optimisés</t>
  </si>
  <si>
    <t>Les flux de données entre applications sont-ils documentés et optimisés ?</t>
  </si>
  <si>
    <t>Catalogue de flux</t>
  </si>
  <si>
    <t>Goulots d'étranglement</t>
  </si>
  <si>
    <t>Performances dégradées</t>
  </si>
  <si>
    <t>Documentation automatisée</t>
  </si>
  <si>
    <t>Audit d'optimisation</t>
  </si>
  <si>
    <t>Surcoûts techniques</t>
  </si>
  <si>
    <t>Dépenses inutiles</t>
  </si>
  <si>
    <t>Outil d'analyse</t>
  </si>
  <si>
    <t>Les projets d’évolution du SI s’inscrivent dans la démarche d’urbanisme</t>
  </si>
  <si>
    <t>Les projets d’évolution du SI s’inscrivent-ils dans la démarche d’urbanisme ?</t>
  </si>
  <si>
    <t>Fiche de cadrage</t>
  </si>
  <si>
    <t>Solutions inadaptées</t>
  </si>
  <si>
    <t>Réussite compromise</t>
  </si>
  <si>
    <t>Validation architecturale</t>
  </si>
  <si>
    <t>Effets secondaires</t>
  </si>
  <si>
    <t>Régression</t>
  </si>
  <si>
    <t>Ateliers d'architecture</t>
  </si>
  <si>
    <t>La gouvernance de l’urbanisme implique les métiers et la DSI</t>
  </si>
  <si>
    <t>La gouvernance de l’urbanisme implique t-il les métiers et la DSI ?</t>
  </si>
  <si>
    <t>PV de comité</t>
  </si>
  <si>
    <t>Décisions unilatérales</t>
  </si>
  <si>
    <t>Parité de représentation</t>
  </si>
  <si>
    <t>Enquête de satisfaction</t>
  </si>
  <si>
    <t>Mauvaise adoption</t>
  </si>
  <si>
    <t>Feedback trimestriel</t>
  </si>
  <si>
    <t xml:space="preserve">Vérifier l’existence d’une analyse à jour des procédures de pilotage et de mise à jour du plan d’occupation des sols (POS) </t>
  </si>
  <si>
    <t>Le POS est documenté et accessible aux équipes techniques et métiers</t>
  </si>
  <si>
    <t>Le POS est-il  documenté et accessible aux équipes techniques et métiers ?</t>
  </si>
  <si>
    <t>Document POS</t>
  </si>
  <si>
    <t>Connaissances dispersées</t>
  </si>
  <si>
    <t>Décisions incohérentes</t>
  </si>
  <si>
    <t>Portail dédié</t>
  </si>
  <si>
    <t>FAQ technique</t>
  </si>
  <si>
    <t>Mauvaises pratiques</t>
  </si>
  <si>
    <t>Wiki interactif</t>
  </si>
  <si>
    <t>Les règles d’allocation des ressources (serveurs, stockage) sont formalisées</t>
  </si>
  <si>
    <t>Les règles d’allocation des ressources (serveurs, stockage) sont-elles formalisées ?</t>
  </si>
  <si>
    <t>Politique d'infra</t>
  </si>
  <si>
    <t>Surcharge des ressources</t>
  </si>
  <si>
    <t>Pannes</t>
  </si>
  <si>
    <t>Supervision automatisée</t>
  </si>
  <si>
    <t>Dashboard utilisation</t>
  </si>
  <si>
    <t>Gaspillage</t>
  </si>
  <si>
    <t>Coûts inutiles</t>
  </si>
  <si>
    <t>Alertes seuils</t>
  </si>
  <si>
    <t>Les procédures de mise à jour du POS intègrent les besoins métiers futurs</t>
  </si>
  <si>
    <t>Les procédures de mise à jour du POS intègrent-elles les besoins métiers futurs ?</t>
  </si>
  <si>
    <t>Roadmap technique</t>
  </si>
  <si>
    <t>Obsolescence</t>
  </si>
  <si>
    <t>Coûts de migration</t>
  </si>
  <si>
    <t>Veille technologique</t>
  </si>
  <si>
    <t>Benchmark sectoriel</t>
  </si>
  <si>
    <t>Retard technologique</t>
  </si>
  <si>
    <t>Perte compétitivité</t>
  </si>
  <si>
    <t>Les évolutions d’infrastructure suivent une planification pluriannuelle</t>
  </si>
  <si>
    <t>Les évolutions d’infrastructure suivent-elles une planification pluriannuelle ?</t>
  </si>
  <si>
    <t>Plan 3-5 ans</t>
  </si>
  <si>
    <t>Réactivité insuffisante</t>
  </si>
  <si>
    <t>Inadaptation</t>
  </si>
  <si>
    <t>Budget glissant</t>
  </si>
  <si>
    <t>Scénarios d'évolution</t>
  </si>
  <si>
    <t>Surprises</t>
  </si>
  <si>
    <t>Décisions urgentes</t>
  </si>
  <si>
    <t>Ateliers prospectifs</t>
  </si>
  <si>
    <t>Les audits réguliers vérifient la conformité entre POS réel et documenté</t>
  </si>
  <si>
    <t>Les audits réguliers vérifient-ils la conformité entre POS réel et documenté ?</t>
  </si>
  <si>
    <t>Rapport d'audit complet</t>
  </si>
  <si>
    <t>Non-détection d'écarts</t>
  </si>
  <si>
    <t>Risques sécurité non maîtrisés</t>
  </si>
  <si>
    <t>Automatiser les contrôles</t>
  </si>
  <si>
    <t>Retard dans les corrections</t>
  </si>
  <si>
    <t>Exposition prolongée aux risques</t>
  </si>
  <si>
    <t>Suivi mensuel par la direction</t>
  </si>
  <si>
    <t xml:space="preserve">Vérifier la cohérence et l’homogénéité des technologies </t>
  </si>
  <si>
    <t>Un référentiel des technologies autorisées est maintenu à jour</t>
  </si>
  <si>
    <t>Un référentiel des technologies autorisées est-il maintenu à jour ?</t>
  </si>
  <si>
    <t>Catalogue des technologies approuvées</t>
  </si>
  <si>
    <t>Utilisation de technologies obsolètes</t>
  </si>
  <si>
    <t>Vulnérabilités de sécurité</t>
  </si>
  <si>
    <t>Mettre à jour trimestriellement</t>
  </si>
  <si>
    <t>Procès-verbal de validation</t>
  </si>
  <si>
    <t>Approbations non formalisées</t>
  </si>
  <si>
    <t>Décisions contestables</t>
  </si>
  <si>
    <t>Signature électronique obligatoire</t>
  </si>
  <si>
    <t>Les écarts par rapport aux standards technologiques sont justifiés et planifiés</t>
  </si>
  <si>
    <t>Les écarts par rapport aux standards technologiques sont-ils justifiés et planifiés ?</t>
  </si>
  <si>
    <t>Demandes de dérogation</t>
  </si>
  <si>
    <t>Prolifération de technologies non standards</t>
  </si>
  <si>
    <t>Complexité accrue du parc</t>
  </si>
  <si>
    <t>Instaurer un comité de validation</t>
  </si>
  <si>
    <t>Décisions non documentées</t>
  </si>
  <si>
    <t>Les compétences internes sont alignées sur le paysage technologique cible</t>
  </si>
  <si>
    <t>Les compétences internes sont-elles alignées sur le paysage technologique cible ?</t>
  </si>
  <si>
    <t>Plan de développement des compétences</t>
  </si>
  <si>
    <t>Inadéquation des compétences</t>
  </si>
  <si>
    <t>Retards sur les projets clés</t>
  </si>
  <si>
    <t>Cartographier les besoins annuellement</t>
  </si>
  <si>
    <t>Évaluations individuelles</t>
  </si>
  <si>
    <t>Lacunes non identifiées</t>
  </si>
  <si>
    <t>Sous-performance persistante</t>
  </si>
  <si>
    <t>Entretiens semestriels</t>
  </si>
  <si>
    <t>Les coûts de licence et de maintenance sont optimisés par une approche consolidée</t>
  </si>
  <si>
    <t>Les coûts de licence et de maintenance sont-ils optimisés par une approche consolidée ?</t>
  </si>
  <si>
    <t>Inventaire des licences</t>
  </si>
  <si>
    <t>Sur-achat de licences</t>
  </si>
  <si>
    <t>Gaspillage budgétaire</t>
  </si>
  <si>
    <t>Dashboard d'utilisation</t>
  </si>
  <si>
    <t>Sous-utilisation des outils</t>
  </si>
  <si>
    <t>ROI insuffisant</t>
  </si>
  <si>
    <t>Un plan de migration progressive vers les standards est défini et budgété</t>
  </si>
  <si>
    <t>Un plan de migration progressive vers les standards est-il défini et budgété ?</t>
  </si>
  <si>
    <t>Feuille de route de migration</t>
  </si>
  <si>
    <t>Retard dans les migrations</t>
  </si>
  <si>
    <t>Coûts de maintenance élevés</t>
  </si>
  <si>
    <t>Calendrier des migrations</t>
  </si>
  <si>
    <t>Prolongation du risque</t>
  </si>
  <si>
    <t>Points mensuels de suivi</t>
  </si>
  <si>
    <t>Vérifier l’existence et l’unicité des référentiels (clients, fournisseurs, articles…) et des saisies</t>
  </si>
  <si>
    <t>Un processus de gestion des données maîtres (MDM) est en place et appliqué</t>
  </si>
  <si>
    <t>Un processus de gestion des données maîtres (MDM) est-il en place et appliqué ?</t>
  </si>
  <si>
    <t>Charte de gestion des données</t>
  </si>
  <si>
    <t>Incohérences dans les données</t>
  </si>
  <si>
    <t>Erreurs décisionnelles</t>
  </si>
  <si>
    <t>Nommer un data owner</t>
  </si>
  <si>
    <t>Les référentiels métiers critiques (clients, produits) sont identifiés et documentés</t>
  </si>
  <si>
    <t>Les référentiels métiers critiques (clients, produits) sont-ils identifiés et documentés ?</t>
  </si>
  <si>
    <t>Dictionnaire des données</t>
  </si>
  <si>
    <t>Interprétations divergentes</t>
  </si>
  <si>
    <t>Erreurs opérationnelles</t>
  </si>
  <si>
    <t>Validation par les métiers</t>
  </si>
  <si>
    <t>Les règles de saisie et de mise à jour des référentiels sont formalisées</t>
  </si>
  <si>
    <t>Les règles de saisie et de mise à jour des référentiels sont-elles formalisées ?</t>
  </si>
  <si>
    <t>Guide des bonnes pratiques</t>
  </si>
  <si>
    <t>Données erronées</t>
  </si>
  <si>
    <t>Analyses inexactes</t>
  </si>
  <si>
    <t>Intégrer des contrôles automatiques</t>
  </si>
  <si>
    <t>Les doublons dans les référentiels sont détectés et corrigés régulièrement</t>
  </si>
  <si>
    <t>Les doublons dans les référentiels sont-ils détectés et corrigés régulièrement ?</t>
  </si>
  <si>
    <t>Rapport de qualité des données</t>
  </si>
  <si>
    <t>Décisions basées sur des données erronées</t>
  </si>
  <si>
    <t>Nettoyage trimestriel</t>
  </si>
  <si>
    <t>La qualité des données est mesurée via des indicateurs dédiés</t>
  </si>
  <si>
    <t>La qualité des données est-elle mesurée via des indicateurs dédiés ?</t>
  </si>
  <si>
    <t>Tableau de bord qualité</t>
  </si>
  <si>
    <t>Indicateurs non fiables</t>
  </si>
  <si>
    <t>Définir des métriques claires</t>
  </si>
  <si>
    <t>Budgets et coûts informatiques</t>
  </si>
  <si>
    <t>Évaluer l’organisation et les processus existants</t>
  </si>
  <si>
    <t>Les processus budgétaires sont clairement documentés et communiqués</t>
  </si>
  <si>
    <t>Les processus budgétaires sont-ils clairement documentés et communiqués ?</t>
  </si>
  <si>
    <t>Manuel des procédures</t>
  </si>
  <si>
    <t>Non-respect des règles</t>
  </si>
  <si>
    <t>Dérives budgétaires</t>
  </si>
  <si>
    <t>Former les équipes</t>
  </si>
  <si>
    <t>Un calendrier budgétaire contraignant est établi et respecté</t>
  </si>
  <si>
    <t>Un calendrier budgétaire contraignant est-il établi et respecté ?</t>
  </si>
  <si>
    <t>Planning annuel</t>
  </si>
  <si>
    <t>Retards dans les validations</t>
  </si>
  <si>
    <t>Décisions dans l'urgence</t>
  </si>
  <si>
    <t>La coordination entre DSI et direction financière est effective</t>
  </si>
  <si>
    <t>La coordination entre DSI et direction financière est-elle effective ?</t>
  </si>
  <si>
    <t>Procès-verbal de comité</t>
  </si>
  <si>
    <t>Décisions non partagées</t>
  </si>
  <si>
    <t>Sous-optimisation</t>
  </si>
  <si>
    <t>Réunions mensuelles</t>
  </si>
  <si>
    <t>Les procédures de suivi des engagements sont opérationnelles</t>
  </si>
  <si>
    <t>Les procédures de suivi des engagements sont-elles opérationnelles ?</t>
  </si>
  <si>
    <t>Registre des engagements</t>
  </si>
  <si>
    <t>Dépenses non autorisées</t>
  </si>
  <si>
    <t>Dépassements budgétaires</t>
  </si>
  <si>
    <t>Workflow d'approbation</t>
  </si>
  <si>
    <t>Les mécanismes d'alerte sur les dérives budgétaires sont en place</t>
  </si>
  <si>
    <t>Les mécanismes d'alerte sur les dérives budgétaires sont-ils en place ?</t>
  </si>
  <si>
    <t>Détection tardive des dérives</t>
  </si>
  <si>
    <t>Dérives importantes</t>
  </si>
  <si>
    <t>Seuils prédéfinis</t>
  </si>
  <si>
    <t>Vérifier l’existence des ratios et des éléments de benchmark (interne et/ou externe, ratio coûts/CA, …)</t>
  </si>
  <si>
    <t>Des indicateurs clés de performance financière sont définis</t>
  </si>
  <si>
    <t>Des indicateurs clés de performance financière sont-ils définis ?</t>
  </si>
  <si>
    <t>Référentiel KPI</t>
  </si>
  <si>
    <t>Pilotage inefficace</t>
  </si>
  <si>
    <t>Décisions non éclairées</t>
  </si>
  <si>
    <t>Les coûts par utilisateur ou par poste sont mesurés</t>
  </si>
  <si>
    <t>Les coûts par utilisateur ou par poste sont-ils mesurés ?</t>
  </si>
  <si>
    <t>Rapport de coûts</t>
  </si>
  <si>
    <t>Allocation injuste</t>
  </si>
  <si>
    <t>Conflits internes</t>
  </si>
  <si>
    <t>Modèle ABC</t>
  </si>
  <si>
    <t>Les benchmarks externes sont exploités pour le pilotage</t>
  </si>
  <si>
    <t>Les benchmarks externes sont-ils exploités pour le pilotage ?</t>
  </si>
  <si>
    <t>Étude comparative</t>
  </si>
  <si>
    <t>Retard compétitif</t>
  </si>
  <si>
    <t>Perte d'avantage</t>
  </si>
  <si>
    <t>Veille active</t>
  </si>
  <si>
    <t>Les écarts par rapport aux référentiels font l'objet d'actions</t>
  </si>
  <si>
    <t>Les écarts par rapport aux référentiels font-ils l'objet d'actions ?</t>
  </si>
  <si>
    <t>Non-amélioration</t>
  </si>
  <si>
    <t>Revue mensuelle</t>
  </si>
  <si>
    <t>Les résultats des benchmarks sont partagés avec la direction</t>
  </si>
  <si>
    <t>Les résultats des benchmarks sont-ils partagés avec la direction ?</t>
  </si>
  <si>
    <t>Reporting direction</t>
  </si>
  <si>
    <t>Décisions non alignées</t>
  </si>
  <si>
    <t>Stratégie incohérente</t>
  </si>
  <si>
    <t>Tableau de bord dynamique</t>
  </si>
  <si>
    <t>Vérifier l'adéquation entre les budgets et les priorités stratégiques</t>
  </si>
  <si>
    <t>Les budgets sont alignés sur le plan stratégique informatique</t>
  </si>
  <si>
    <t>Les budgets sont-ils alignés sur le plan stratégique informatique ?</t>
  </si>
  <si>
    <t>Feuille de route budgétaire</t>
  </si>
  <si>
    <t>Désalignement stratégique</t>
  </si>
  <si>
    <t>Ressources mal allouées</t>
  </si>
  <si>
    <t>Revue trimestrielle DG/DSI</t>
  </si>
  <si>
    <t>Les budgets d'investissement sont priorisés en fonction des enjeux</t>
  </si>
  <si>
    <t>Les budgets d'investissement sont-ils priorisés en fonction des enjeux ?</t>
  </si>
  <si>
    <t>Grille de priorisation</t>
  </si>
  <si>
    <t>Projets non stratégiques financés</t>
  </si>
  <si>
    <t>Méthode de scoring objective</t>
  </si>
  <si>
    <t>Les arbitrages entre projets reflètent les orientations stratégiques</t>
  </si>
  <si>
    <t>Les arbitrages entre projets reflètent-ils les orientations stratégiques ?</t>
  </si>
  <si>
    <t>PV de comité d'arbitrage</t>
  </si>
  <si>
    <t>Éparpillement des efforts</t>
  </si>
  <si>
    <t>Référence systématique au plan stratégique</t>
  </si>
  <si>
    <t>Les budgets sont suffisants pour maintenir le patrimoine informatique</t>
  </si>
  <si>
    <t>Les budgets sont-ils suffisants pour maintenir le patrimoine informatique ?</t>
  </si>
  <si>
    <t>Budget dédié maintenance</t>
  </si>
  <si>
    <t>Dégradation du SI</t>
  </si>
  <si>
    <t>Allouer 20-30% du budget total</t>
  </si>
  <si>
    <t>Les budgets sont ajustés en cas de changement stratégique</t>
  </si>
  <si>
    <t>Les budgets sont-ils ajustés en cas de changement stratégique ?</t>
  </si>
  <si>
    <t>Avenants budgétaires</t>
  </si>
  <si>
    <t>Rigidité financière</t>
  </si>
  <si>
    <t>Incapacité à s'adapter</t>
  </si>
  <si>
    <t>Processus léger de révision</t>
  </si>
  <si>
    <t xml:space="preserve"> Analyser les mécanismes de contrôle et de suivi des dépenses</t>
  </si>
  <si>
    <t>Un dispositif de contrôle a priori des engagements existe</t>
  </si>
  <si>
    <t>Un dispositif de contrôle a priori des engagements existe-t-il ?</t>
  </si>
  <si>
    <t>Workflow de validation</t>
  </si>
  <si>
    <t>Engagements non contrôlés</t>
  </si>
  <si>
    <t>Validation à 2 niveaux</t>
  </si>
  <si>
    <t>Les procédures de régularisation des dépassements sont appliquées</t>
  </si>
  <si>
    <t>Les procédures de régularisation des dépassements sont-elles appliquées ?</t>
  </si>
  <si>
    <t>Procès-verbal de régularisation</t>
  </si>
  <si>
    <t>Tolérance aux écarts</t>
  </si>
  <si>
    <t>Culture du dépassement</t>
  </si>
  <si>
    <t>Sanctions systématiques</t>
  </si>
  <si>
    <t>Les écarts budgétaires font l'objet d'analyses mensuelles</t>
  </si>
  <si>
    <t>Les écarts budgétaires font-ils l'objet d'analyses mensuelles ?</t>
  </si>
  <si>
    <t>Détection tardive</t>
  </si>
  <si>
    <t>Correction impossible</t>
  </si>
  <si>
    <t>Réunion fixe mensuelle</t>
  </si>
  <si>
    <t>Les outils de suivi permettent une analyse fine des coûts</t>
  </si>
  <si>
    <t>Les outils de suivi permettent-ils une analyse fine des coûts ?</t>
  </si>
  <si>
    <t>Dashboard de coûts</t>
  </si>
  <si>
    <t>Pilotage approximatif</t>
  </si>
  <si>
    <t>Décisions non data-driven</t>
  </si>
  <si>
    <t>Intégration ERP/BI</t>
  </si>
  <si>
    <t>Les contrôles impliquent les différents niveaux hiérarchiques</t>
  </si>
  <si>
    <t>Les contrôles impliquent-ils les différents niveaux hiérarchiques ?</t>
  </si>
  <si>
    <t>Matrice de contrôles</t>
  </si>
  <si>
    <t>Fraude/erreurs non détectées</t>
  </si>
  <si>
    <t>Risques financiers</t>
  </si>
  <si>
    <t>Audit aléatoire</t>
  </si>
  <si>
    <t>Évaluer l'optimisation des coûts et la maîtrise des dépenses</t>
  </si>
  <si>
    <t>Des plans de rationalisation des coûts sont établis</t>
  </si>
  <si>
    <t>Des plans de rationalisation des coûts sont-ils établis ?</t>
  </si>
  <si>
    <t>Plan d'économies</t>
  </si>
  <si>
    <t>Gaspillage persistant</t>
  </si>
  <si>
    <t>Objectifs chiffrés</t>
  </si>
  <si>
    <t>Les possibilités de mutualisation sont exploitées</t>
  </si>
  <si>
    <t>Les possibilités de mutualisation sont-elles exploitées ?</t>
  </si>
  <si>
    <t>Étude de mutualisation</t>
  </si>
  <si>
    <t>Redondances coûteuses</t>
  </si>
  <si>
    <t>Surcoûts</t>
  </si>
  <si>
    <t>Inventaire partagé</t>
  </si>
  <si>
    <t>Les coûts cachés (shadow IT) sont identifiés et maîtrisés</t>
  </si>
  <si>
    <t>Les coûts cachés (shadow IT) sont identifiés et maîtrisés ?</t>
  </si>
  <si>
    <t>Inventaire applications</t>
  </si>
  <si>
    <t>Risques sécurité</t>
  </si>
  <si>
    <t>Politique stricte</t>
  </si>
  <si>
    <t>Les bonnes pratiques de réduction des coûts sont partagées</t>
  </si>
  <si>
    <t>Les bonnes pratiques de réduction des coûts sont partagées ?</t>
  </si>
  <si>
    <t>Guide d'optimisation</t>
  </si>
  <si>
    <t>Savoir non diffusé</t>
  </si>
  <si>
    <t>Économies manquées</t>
  </si>
  <si>
    <t>Newsletter mensuelle</t>
  </si>
  <si>
    <t>Les opportunités d'économies sont régulièrement identifiées</t>
  </si>
  <si>
    <t>Les opportunités d'économies sont-elles régulièrement identifiées ?</t>
  </si>
  <si>
    <t>Surcoûts relatifs</t>
  </si>
  <si>
    <t>Veille trimestrielle</t>
  </si>
  <si>
    <t>Mesure et suivi de la performance informatique</t>
  </si>
  <si>
    <t>Vérifier que des objectifs de court, moyen et long termes existent et sont assignés à la DSI (approche BSC) et que ces objectifs sont déclinés au sein de l’entité</t>
  </si>
  <si>
    <t>Les objectifs stratégiques de la DSI sont formalisés et alignés sur la stratégie globale de l'organisation</t>
  </si>
  <si>
    <t>Les objectifs stratégiques de la DSI sont-ils formalisés et alignés sur la stratégie globale de l'organisation ?</t>
  </si>
  <si>
    <t>Document stratégique</t>
  </si>
  <si>
    <t>Actions non alignées</t>
  </si>
  <si>
    <t>Échec stratégique</t>
  </si>
  <si>
    <t>Une déclinaison opérationnelle des objectifs existe pour chaque service de la DSI</t>
  </si>
  <si>
    <t>Une déclinaison opérationnelle des objectifs existe t-il pour chaque service de la DSI ?</t>
  </si>
  <si>
    <t>Contrats d'objectifs</t>
  </si>
  <si>
    <t>Silotisation</t>
  </si>
  <si>
    <t>Efforts dispersés</t>
  </si>
  <si>
    <t>Arbre d'alignement</t>
  </si>
  <si>
    <t>Les échéances (court/moyen/long terme) sont clairement définies pour chaque objectif</t>
  </si>
  <si>
    <t>Les échéances (court/moyen/long terme) sont-elles clairement définies pour chaque objectif ?</t>
  </si>
  <si>
    <t>Planning stratégique</t>
  </si>
  <si>
    <t>Urgence permanente</t>
  </si>
  <si>
    <t>Burn-out</t>
  </si>
  <si>
    <t>Jalons clairs</t>
  </si>
  <si>
    <t>Un système de pondération permet de hiérarchiser les objectifs selon leur importance</t>
  </si>
  <si>
    <t>Un système de pondération permet-il de hiérarchiser les objectifs selon leur importance ?</t>
  </si>
  <si>
    <t>Matrice de pondération</t>
  </si>
  <si>
    <t>Priorités floues</t>
  </si>
  <si>
    <t>Mauvais arbitrages</t>
  </si>
  <si>
    <t>Méthode AHP</t>
  </si>
  <si>
    <t>Les écarts font l'objet d'analyses et de plans d'action correctifs</t>
  </si>
  <si>
    <t>Les écarts font-ils l'objet d'analyses et de plans d'action correctifs ?</t>
  </si>
  <si>
    <t>Correction tardive</t>
  </si>
  <si>
    <t>Objectifs manqués</t>
  </si>
  <si>
    <t>Revues bimestrielles</t>
  </si>
  <si>
    <t>Vérifier l’existence d’un comité informatique regroupant les différentes directions de l’organisation</t>
  </si>
  <si>
    <t>La composition du comité inclut systématiquement les directions métiers concernées</t>
  </si>
  <si>
    <t>La composition du comité inclut-elle systématiquement les directions métiers concernées ?</t>
  </si>
  <si>
    <t>Charte de gouvernance</t>
  </si>
  <si>
    <t>Métiers exclus</t>
  </si>
  <si>
    <t>Rejet des solutions</t>
  </si>
  <si>
    <t>Parité stricte</t>
  </si>
  <si>
    <t>Un calendrier prévisionnel des réunions est établi et respecté</t>
  </si>
  <si>
    <t>Un calendrier prévisionnel des réunions est-il établi et respecté ?</t>
  </si>
  <si>
    <t>Agenda annuel</t>
  </si>
  <si>
    <t>Délais non tenus</t>
  </si>
  <si>
    <t>Les comptes-rendus sont formalisés et diffusés aux participants</t>
  </si>
  <si>
    <t>Les comptes-rendus sont-ils formalisés et diffusés aux participants ?</t>
  </si>
  <si>
    <t>Modèle de PV</t>
  </si>
  <si>
    <t>Décisions non tracées</t>
  </si>
  <si>
    <t>Archivage central</t>
  </si>
  <si>
    <t>Un mandat clair définit les missions et prérogatives du comité</t>
  </si>
  <si>
    <t>Un mandat clair définit-il les missions et prérogatives du comité ?</t>
  </si>
  <si>
    <t>Lettre de mission</t>
  </si>
  <si>
    <t>Pouvoirs flous</t>
  </si>
  <si>
    <t>Signature DG</t>
  </si>
  <si>
    <t>Les orientations stratégiques sont débattues et approuvées</t>
  </si>
  <si>
    <t>Les orientations stratégiques sont-elles débattues et approuvées ?</t>
  </si>
  <si>
    <t>PV de réflexion</t>
  </si>
  <si>
    <t>Stratégie imposée</t>
  </si>
  <si>
    <t>Non-adhésion</t>
  </si>
  <si>
    <t>Ateliers collaboratifs</t>
  </si>
  <si>
    <t>Évaluer la pertinence des indicateurs de qualité et de performance ainsi que les moyens et outils de mesure</t>
  </si>
  <si>
    <t>Le choix des indicateurs couvre les quatre perspectives du BSC (financière, clients, processus, apprentissage)</t>
  </si>
  <si>
    <t>Le choix des indicateurs couvre t-il les quatre perspectives du BSC (financière, clients, processus, apprentissage) ?</t>
  </si>
  <si>
    <t>Tableau de bord</t>
  </si>
  <si>
    <t>Vision incomplète</t>
  </si>
  <si>
    <t>5-8 indicateurs/perspective</t>
  </si>
  <si>
    <t>Les cibles associées à chaque indicateur sont ambitieuses mais réalistes</t>
  </si>
  <si>
    <t>Les cibles associées à chaque indicateur sont-elles ambitieuses mais réalistes ?</t>
  </si>
  <si>
    <t>Document de cibles</t>
  </si>
  <si>
    <t>Objectifs laxistes</t>
  </si>
  <si>
    <t>Sous-performance</t>
  </si>
  <si>
    <t>Méthode SMART</t>
  </si>
  <si>
    <t>La fréquence de mesure est adaptée à la nature de chaque indicateur</t>
  </si>
  <si>
    <t>La fréquence de mesure est-elle adaptée à la nature de chaque indicateur ?</t>
  </si>
  <si>
    <t>Calendrier de suivi</t>
  </si>
  <si>
    <t>Données obsolètes</t>
  </si>
  <si>
    <t>Décisions erronées</t>
  </si>
  <si>
    <t>Adaptée au cycle métier</t>
  </si>
  <si>
    <t>Les outils de collecte et d'analyse sont performants et adaptés</t>
  </si>
  <si>
    <t>Les outils de collecte et d'analyse sont-ils performants et adaptés ?</t>
  </si>
  <si>
    <t>Audit technique</t>
  </si>
  <si>
    <t>Données non fiables</t>
  </si>
  <si>
    <t>Analyses biaisées</t>
  </si>
  <si>
    <t>Solution intégrée</t>
  </si>
  <si>
    <t>Les responsables ont facilement accès aux résultats des indicateurs</t>
  </si>
  <si>
    <t>Les responsables ont-ils facilement accès aux résultats des indicateurs ?</t>
  </si>
  <si>
    <t>Portail décisionnel</t>
  </si>
  <si>
    <t>Culture non data-driven</t>
  </si>
  <si>
    <t>Réactivité faible</t>
  </si>
  <si>
    <t>Formations obligatoires</t>
  </si>
  <si>
    <t>Vérifier que la DSI tient un tableau de bord (idéalement de type BSC) permettant un suivi consolidé de la performance (opérationnelle et financière) et de la qualité des prestations informatiques</t>
  </si>
  <si>
    <t>La structure du tableau de bord reflète l'équilibre des perspectives BSC</t>
  </si>
  <si>
    <t>La structure du tableau de bord reflète t-il l'équilibre des perspectives BSC ?</t>
  </si>
  <si>
    <t>Modèle de tableau de bord BSC</t>
  </si>
  <si>
    <t>Déséquilibre des perspectives financières/opérationnelles</t>
  </si>
  <si>
    <t>Pilotage déséquilibré</t>
  </si>
  <si>
    <t>Révision semestrielle avec comité stratégique</t>
  </si>
  <si>
    <t>La présentation est visuelle et facilite l'analyse rapide</t>
  </si>
  <si>
    <t>La présentation est-elle visuelle et facilite t-elle l'analyse rapide ?</t>
  </si>
  <si>
    <t>Charte graphique des reportings</t>
  </si>
  <si>
    <t>Visualisation inefficace</t>
  </si>
  <si>
    <t>Erreurs d'interprétation</t>
  </si>
  <si>
    <t>Audit UX annuel</t>
  </si>
  <si>
    <t>Les données sont actualisées selon une fréquence définie</t>
  </si>
  <si>
    <t>Les données sont-elles actualisées selon une fréquence définie ?</t>
  </si>
  <si>
    <t>Calendrier de rafraîchissement des données</t>
  </si>
  <si>
    <t>Indicateurs obsolètes</t>
  </si>
  <si>
    <t>Décisions sur informations périmées</t>
  </si>
  <si>
    <t>Alimentation automatique</t>
  </si>
  <si>
    <t>L'accès au tableau de bord est possible pour tous les décideurs concernés</t>
  </si>
  <si>
    <t>L'accès au tableau de bord est-il possible pour tous les décideurs concernés ?</t>
  </si>
  <si>
    <t>Matrice des droits d'accès</t>
  </si>
  <si>
    <t>Décideurs sans visibilité</t>
  </si>
  <si>
    <t>Révision trimestrielle</t>
  </si>
  <si>
    <t>Les commentaires explicatifs accompagnent les indicateurs clés</t>
  </si>
  <si>
    <t>Les commentaires explicatifs accompagnent-ils les indicateurs clés ?</t>
  </si>
  <si>
    <t>Glossaire des indicateurs</t>
  </si>
  <si>
    <t>Actions contradictoires</t>
  </si>
  <si>
    <t>Validation métier</t>
  </si>
  <si>
    <t>Vérifier qu’il est systématiquement effectué un bilan après chaque projet et notamment un bilan économique (bilan rapproché des prévisions de l’étude préalable)</t>
  </si>
  <si>
    <t>Un modèle standardisé de bilan post-projet est utilisé</t>
  </si>
  <si>
    <t>Un modèle standardisé de bilan post-projet est-il utilisé ?</t>
  </si>
  <si>
    <t>Template de bilan projet</t>
  </si>
  <si>
    <t>Capitalisation hétérogène</t>
  </si>
  <si>
    <t>Non-amélioration continue</t>
  </si>
  <si>
    <t>La satisfaction des utilisateurs est systématiquement mesurée</t>
  </si>
  <si>
    <t>La satisfaction des utilisateurs est-elle systématiquement mesurée ?</t>
  </si>
  <si>
    <t>Questionnaire standardisé de satisfaction</t>
  </si>
  <si>
    <t>Besoins utilisateurs méconnus</t>
  </si>
  <si>
    <t>Analyse trimestrielle</t>
  </si>
  <si>
    <t>Les dysfonctionnements sont documentés pour éviter leur répétition</t>
  </si>
  <si>
    <t>Les dysfonctionnements sont-ils documentés pour éviter leur répétition ?</t>
  </si>
  <si>
    <t>Base de connaissances des incidents</t>
  </si>
  <si>
    <t>Répétition des erreurs</t>
  </si>
  <si>
    <t>Perte d'efficience</t>
  </si>
  <si>
    <t>Le bilan est réalisé dans un délai court après la clôture du projet</t>
  </si>
  <si>
    <t>Le bilan est-il réalisé dans un délai court après la clôture du projet ?</t>
  </si>
  <si>
    <t>Procédure de clôture accélérée</t>
  </si>
  <si>
    <t>Bilan différé</t>
  </si>
  <si>
    <t>Perte d'enseignements</t>
  </si>
  <si>
    <t>Délai max 15 jours</t>
  </si>
  <si>
    <t>Un suivi des actions correctives est mis en place</t>
  </si>
  <si>
    <t>Un suivi des actions correctives est-il mis en place ?</t>
  </si>
  <si>
    <t>Tracking des actions correctives</t>
  </si>
  <si>
    <t>Corrections partielles</t>
  </si>
  <si>
    <t>Problèmes récurrents</t>
  </si>
  <si>
    <t>Assignation responsable</t>
  </si>
  <si>
    <t>Organisation et structure de la DSI</t>
  </si>
  <si>
    <t>Vérifier l’existence d’un organigramme à jour de la DSI</t>
  </si>
  <si>
    <t>L'organigramme est disponible et accessible à l'ensemble des collaborateurs concernés</t>
  </si>
  <si>
    <t>L'organigramme est-il disponible et accessible à l'ensemble des collaborateurs concernés ?</t>
  </si>
  <si>
    <t>Organigramme officiel</t>
  </si>
  <si>
    <t>Structure opaque</t>
  </si>
  <si>
    <t>Confusion organisationnelle</t>
  </si>
  <si>
    <t>Mise à jour trimestrielle</t>
  </si>
  <si>
    <t>La version actuelle porte une date de mise à jour récente (moins de 6 mois)</t>
  </si>
  <si>
    <t>La version actuelle porte t-elle une date de mise à jour récente (moins de 6 mois) ?</t>
  </si>
  <si>
    <t>Journal des versions</t>
  </si>
  <si>
    <t>Document obsolète</t>
  </si>
  <si>
    <t>Information erronée</t>
  </si>
  <si>
    <t>Versionning automatisé</t>
  </si>
  <si>
    <t>Tous les services de la DSI y figurent sans omission</t>
  </si>
  <si>
    <t>Tous les services de la DSI y figurent-ils sans omission ?</t>
  </si>
  <si>
    <t>Cartographie complète des services</t>
  </si>
  <si>
    <t>Zones d'ombre organisationnelles</t>
  </si>
  <si>
    <t>Doublons/oublis</t>
  </si>
  <si>
    <t>Validation RH</t>
  </si>
  <si>
    <t>Les liens hiérarchiques sont représentés de manière non ambiguë</t>
  </si>
  <si>
    <t>Les liens hiérarchiques sont-ils représentés de manière non ambiguë ?</t>
  </si>
  <si>
    <t>Schéma des reporting lines</t>
  </si>
  <si>
    <t>Liens hiérarchiques flous</t>
  </si>
  <si>
    <t>Conflits de management</t>
  </si>
  <si>
    <t>Validation DG</t>
  </si>
  <si>
    <t>Les effectifs par service sont indiqués (nombre de postes pourvus/vacants)</t>
  </si>
  <si>
    <t>Les effectifs par service sont-ils indiqués (nombre de postes pourvus/vacants) ?</t>
  </si>
  <si>
    <t>Effectifs à jour</t>
  </si>
  <si>
    <t>Sous/sur-dimensionnement</t>
  </si>
  <si>
    <t>Surcharge ou gaspillage</t>
  </si>
  <si>
    <t>Mise à jour mensuelle</t>
  </si>
  <si>
    <t>Vérifier l’existence d’une définition de fonction et d’un partage clair des rôles et des responsabilités pour chaque poste figurant sur l’organigramme</t>
  </si>
  <si>
    <t>Des fiches de poste existent pour chaque fonction de l'organigramme</t>
  </si>
  <si>
    <t>Des fiches de poste existent-ils pour chaque fonction de l'organigramme ?</t>
  </si>
  <si>
    <t>Référentiel des fiches de poste</t>
  </si>
  <si>
    <t>Périmètres imprécis</t>
  </si>
  <si>
    <t>Validation hiérarchique</t>
  </si>
  <si>
    <t>Les responsabilités opérationnelles sont clairement délimitées</t>
  </si>
  <si>
    <t>Les responsabilités opérationnelles sont-elles clairement délimitées ?</t>
  </si>
  <si>
    <t>Chevauchernent de rôles</t>
  </si>
  <si>
    <t>Dilution des responsabilités</t>
  </si>
  <si>
    <t>Les missions principales sont décrites de manière exhaustive</t>
  </si>
  <si>
    <t>Les missions principales sont-elles décrites de manière exhaustive ?</t>
  </si>
  <si>
    <t>Référentiel des missions</t>
  </si>
  <si>
    <t>Attentes divergentes</t>
  </si>
  <si>
    <t>Alignement sur objectifs</t>
  </si>
  <si>
    <t>Les périmètres d'intervention précisent les limites de chaque fonction</t>
  </si>
  <si>
    <t>Les périmètres d'intervention précisent-ils les limites de chaque fonction ?</t>
  </si>
  <si>
    <t>Cartographie des périmètres</t>
  </si>
  <si>
    <t>Empiètements fonctionnels</t>
  </si>
  <si>
    <t>Conflits inter-services</t>
  </si>
  <si>
    <t>Délimitation écrite</t>
  </si>
  <si>
    <t>Les interactions avec les autres services sont documentées</t>
  </si>
  <si>
    <t xml:space="preserve">Les interactions avec les autres services sont-elles documentées ? </t>
  </si>
  <si>
    <t>Schéma des interfaces</t>
  </si>
  <si>
    <t>Silos organisationnels</t>
  </si>
  <si>
    <t>Processus rompus</t>
  </si>
  <si>
    <t>Revue processus</t>
  </si>
  <si>
    <t>Vérifier que l’ensemble des composantes d’une fonction informatique est convenablement pris en compte, notamment la veille technologique, la sécurité informatique, la fonction qualité &amp; méthodes, la gestion des ressources humaines, le contrôle de gestion, le support utilisateurs (de proximité et à distance), l’administration des serveurs</t>
  </si>
  <si>
    <t>Un responsable désigné couvre chaque fonction critique (sécurité, qualité, etc.)</t>
  </si>
  <si>
    <t>Un responsable désigné couvre t-il chaque fonction critique (sécurité, qualité, etc.) ?</t>
  </si>
  <si>
    <t>Désignation des responsables critiques</t>
  </si>
  <si>
    <t>Double signature</t>
  </si>
  <si>
    <t>Les processus clés sont documentés pour chaque domaine fonctionnel</t>
  </si>
  <si>
    <t>Les processus clés sont-ils documentés pour chaque domaine fonctionnel ?</t>
  </si>
  <si>
    <t>Documentation des processus clés</t>
  </si>
  <si>
    <t>Pratiques divergentes</t>
  </si>
  <si>
    <t>Référentiel unique</t>
  </si>
  <si>
    <t>Les compétences requises sont disponibles en interne ou externalisées</t>
  </si>
  <si>
    <t>Les compétences requises sont-elles disponibles en interne ou externalisées ?</t>
  </si>
  <si>
    <t>Inventaire des compétences</t>
  </si>
  <si>
    <t>Lacunes critiques</t>
  </si>
  <si>
    <t>Cartographie dynamique</t>
  </si>
  <si>
    <t>Les plans de continuité couvrent l'ensemble des fonctions sensibles</t>
  </si>
  <si>
    <t>Les plans de continuité couvrent-ils l'ensemble des fonctions sensibles ?</t>
  </si>
  <si>
    <t>Plan de continuité d'activité</t>
  </si>
  <si>
    <t>Arrêt d'activité</t>
  </si>
  <si>
    <t>Tests semestriels</t>
  </si>
  <si>
    <t>Les revues régulières évaluent la couverture fonctionnelle globale</t>
  </si>
  <si>
    <t>Les revues régulières évaluent-elles la couverture fonctionnelle globale ?</t>
  </si>
  <si>
    <t>Rapport de couverture fonctionnelle</t>
  </si>
  <si>
    <t>Failles de gouvernance</t>
  </si>
  <si>
    <t>Risques non couverts</t>
  </si>
  <si>
    <t>Audit annuel</t>
  </si>
  <si>
    <t>Évaluer l’adéquation des effectifs aux besoins et aux enjeux</t>
  </si>
  <si>
    <t>Le dimensionnement des équipes repose sur une analyse des charges réelles</t>
  </si>
  <si>
    <t>Le dimensionnement des équipes repose t-il sur une analyse des charges réelles ?</t>
  </si>
  <si>
    <t>Analyse de charge détaillée</t>
  </si>
  <si>
    <t>Ressources inadaptées</t>
  </si>
  <si>
    <t>Surcharge/oisiveté</t>
  </si>
  <si>
    <t>Outils de monitoring</t>
  </si>
  <si>
    <t>L'absentéisme est pris en compte dans le calcul des effectifs nécessaires</t>
  </si>
  <si>
    <t>L'absentéisme est-il pris en compte dans le calcul des effectifs nécessaires ?</t>
  </si>
  <si>
    <t>Calcul des taux d'absentéisme</t>
  </si>
  <si>
    <t>Sous-effectif chronique</t>
  </si>
  <si>
    <t>Prévisionnel RH</t>
  </si>
  <si>
    <t>Les recrutements sont planifiés en fonction des départs anticipés</t>
  </si>
  <si>
    <t>Les recrutements sont-ils planifiés en fonction des départs anticipés ?</t>
  </si>
  <si>
    <t>Plan de succession RH</t>
  </si>
  <si>
    <t>Perte de savoir-faire</t>
  </si>
  <si>
    <t>Discontinuité</t>
  </si>
  <si>
    <t>Programme de mentoring</t>
  </si>
  <si>
    <t>L'externalisation complète judicieusement les ressources internes</t>
  </si>
  <si>
    <t>L'externalisation complète t-elle judicieusement les ressources internes ?</t>
  </si>
  <si>
    <t>Politique d'externalisation</t>
  </si>
  <si>
    <t>Dépendance excessive</t>
  </si>
  <si>
    <t>Perte de contrôle</t>
  </si>
  <si>
    <t>Analyse coût/maîtrise</t>
  </si>
  <si>
    <t>Les plans de charge individuels sont régulièrement analysés</t>
  </si>
  <si>
    <t>Les plans de charge individuels sont-ils régulièrement analysés ?</t>
  </si>
  <si>
    <t>Suivi des charges individuelles</t>
  </si>
  <si>
    <t>Burn-out/sous-charge</t>
  </si>
  <si>
    <t>Entretiens mensuels</t>
  </si>
  <si>
    <t>Évaluer l’adéquation des qualifications du personnel avec les fonctions qu’ils occupent</t>
  </si>
  <si>
    <t>Les profils requis sont formalisés pour chaque poste</t>
  </si>
  <si>
    <t>Les profils requis sont-ils formalisés pour chaque poste ?</t>
  </si>
  <si>
    <t>Fiches de poste détaillées</t>
  </si>
  <si>
    <t>Les certifications obligatoires sont à jour pour les postes concernés</t>
  </si>
  <si>
    <t>Les certifications obligatoires sont-ils à jour pour les postes concernés ?</t>
  </si>
  <si>
    <t>Registre des certifications</t>
  </si>
  <si>
    <t>Non-conformité réglementaire</t>
  </si>
  <si>
    <t>Alertes de renouvellement</t>
  </si>
  <si>
    <t>Les évaluations annuelles mesurent les écarts de compétences</t>
  </si>
  <si>
    <t>Les évaluations annuelles mesurent-elles les écarts de compétences ?</t>
  </si>
  <si>
    <t>Rapports d'évaluation annuelle</t>
  </si>
  <si>
    <t>Stagnation des compétences</t>
  </si>
  <si>
    <t>Plans de développement individuels</t>
  </si>
  <si>
    <t>Les tests pratiques valident les compétences techniques critiques</t>
  </si>
  <si>
    <t>Les tests pratiques valident-ils les compétences techniques critiques ?</t>
  </si>
  <si>
    <t>Procès-verbaux de tests techniques</t>
  </si>
  <si>
    <t>Incompétence opérationnelle</t>
  </si>
  <si>
    <t>Erreurs critiques</t>
  </si>
  <si>
    <t>Double correction</t>
  </si>
  <si>
    <t>Le tutorat est organisé pour les postes sensibles</t>
  </si>
  <si>
    <t>Le tutorat est-il organisé pour les postes sensibles ?</t>
  </si>
  <si>
    <t>Charte de tutorat</t>
  </si>
  <si>
    <t>Transmission défaillante</t>
  </si>
  <si>
    <t>Binômes obligatoires</t>
  </si>
  <si>
    <t>Vérifier que l’expression des besoins, les spécifications fonctionnelles et la recette des applications sont effectuées par les utilisateurs</t>
  </si>
  <si>
    <t>Des correspondants métiers sont officiellement désignés par domaine</t>
  </si>
  <si>
    <t>Des correspondants métiers sont-ils officiellement désignés par domaine ?</t>
  </si>
  <si>
    <t>Matrice des correspondants métiers</t>
  </si>
  <si>
    <t>Besoins mal exprimés</t>
  </si>
  <si>
    <t>Mandat écrit</t>
  </si>
  <si>
    <t>Les processus de recueil des besoins sont formalisés et connus</t>
  </si>
  <si>
    <t>Les processus de recueil des besoins sont-ils formalisés et connus ?</t>
  </si>
  <si>
    <t>Guide des processus métiers</t>
  </si>
  <si>
    <t>Demandes informelles</t>
  </si>
  <si>
    <t>Formation obligatoire</t>
  </si>
  <si>
    <t>Les formations utilisateurs sont organisées avant les mises en production</t>
  </si>
  <si>
    <t>Les formations utilisateurs sont-elles organisées avant les mises en production ?</t>
  </si>
  <si>
    <t>Planning de formation utilisateurs</t>
  </si>
  <si>
    <t>Échec de déploiement</t>
  </si>
  <si>
    <t>Validation des acquis</t>
  </si>
  <si>
    <t>Les validations intermédiaires impliquent systématiquement les métiers</t>
  </si>
  <si>
    <t>Les validations intermédiaires impliquent-elles systématiquement les métiers ?</t>
  </si>
  <si>
    <t>PV de validation métier</t>
  </si>
  <si>
    <t>Écarts non détectés</t>
  </si>
  <si>
    <t>Rejet en production</t>
  </si>
  <si>
    <t>Checklist signée</t>
  </si>
  <si>
    <t>Les bonnes pratiques sont capitalisées et partagées</t>
  </si>
  <si>
    <t>Les bonnes pratiques sont-elles capitalisées et partagées ?</t>
  </si>
  <si>
    <t>Base de connaissances</t>
  </si>
  <si>
    <t>Réinvention permanente</t>
  </si>
  <si>
    <t>Productivité faible</t>
  </si>
  <si>
    <t>Système de notation</t>
  </si>
  <si>
    <t>Vérifier que les tâches, les locaux et les environnements relatifs aux fonctions études et exploitation, qu’ils soient assurés ou fournis en interne, ou externalisés, sont séparés</t>
  </si>
  <si>
    <t>Les accès logiques aux environnements sont strictement différenciés</t>
  </si>
  <si>
    <t>Les accès logiques aux environnements sont-ils strictement différenciés ?</t>
  </si>
  <si>
    <t>Confusion des rôles</t>
  </si>
  <si>
    <t>Failles de sécurité</t>
  </si>
  <si>
    <t>Les outils de suivi permettent de tracer les interventions croisées</t>
  </si>
  <si>
    <t>Les outils de suivi permettent-ils de tracer les interventions croisées ?</t>
  </si>
  <si>
    <t>Logs d'activité consolidés</t>
  </si>
  <si>
    <t>Traçabilité incomplète</t>
  </si>
  <si>
    <t>Audit impossible</t>
  </si>
  <si>
    <t>Archivage sécurisé</t>
  </si>
  <si>
    <t>Les locaux sont physiquement distincts lorsque c'est possible</t>
  </si>
  <si>
    <t>Les locaux sont-ils physiquement distincts ?</t>
  </si>
  <si>
    <t>Plan d'implantation physique</t>
  </si>
  <si>
    <t>Contamination des zones</t>
  </si>
  <si>
    <t>Compromission</t>
  </si>
  <si>
    <t>Contrôles d'accès</t>
  </si>
  <si>
    <t>Les non-conformités font l'objet de sanctions disciplinaires</t>
  </si>
  <si>
    <t>Les non-conformités font-elles l'objet de sanctions disciplinaires ?</t>
  </si>
  <si>
    <t>Règlement disciplinaire</t>
  </si>
  <si>
    <t>Culture du non-respect</t>
  </si>
  <si>
    <t>Application systématique</t>
  </si>
  <si>
    <t>Les audits ponctuels vérifient le respect de la séparation des tâches</t>
  </si>
  <si>
    <t>Les audits ponctuels vérifient-ils le respect de la séparation des tâches ?</t>
  </si>
  <si>
    <t>Rapports d'audit</t>
  </si>
  <si>
    <t>Non-conformités persistantes</t>
  </si>
  <si>
    <t>Risques récurrents</t>
  </si>
  <si>
    <t>Plan de remédiation</t>
  </si>
  <si>
    <t>Vérifier l’existence d’une procédure de mise en production</t>
  </si>
  <si>
    <t>Un document officiel décrit l'ensemble du processus</t>
  </si>
  <si>
    <t>Un document officiel décrit-il l'ensemble du processus ?</t>
  </si>
  <si>
    <t>Manuel de processus</t>
  </si>
  <si>
    <t>Version unique centralisée</t>
  </si>
  <si>
    <t>Les rôles et responsabilités de chaque acteur sont précisés</t>
  </si>
  <si>
    <t>Les rôles et responsabilités de chaque acteur sont-ils précisés ?</t>
  </si>
  <si>
    <t>Les prérequis obligatoires (tests, documentation) sont listés</t>
  </si>
  <si>
    <t>Les prérequis obligatoires (tests, documentation) sont-ils listés ?</t>
  </si>
  <si>
    <t>Checklist des prérequis</t>
  </si>
  <si>
    <t>Livraisons incomplètes</t>
  </si>
  <si>
    <t>Retours en arrière</t>
  </si>
  <si>
    <t>Validation en amont</t>
  </si>
  <si>
    <t>La procédure est testée au moins une fois par an via un exercice pratique</t>
  </si>
  <si>
    <t>La procédure est-elle testée au moins une fois par an via un exercice pratique ?</t>
  </si>
  <si>
    <t>Compte-rendu d'exercice</t>
  </si>
  <si>
    <t>Procédures non testées</t>
  </si>
  <si>
    <t>Échec en situation réelle</t>
  </si>
  <si>
    <t>Scénarios variés</t>
  </si>
  <si>
    <t>Les améliorations sont intégrées après chaque retour d'expérience</t>
  </si>
  <si>
    <t>Les améliorations sont-elles intégrées après chaque retour d'expérience ?</t>
  </si>
  <si>
    <t>Registre des améliorations</t>
  </si>
  <si>
    <t>Non-évolution</t>
  </si>
  <si>
    <t>Boucle qualité formalisée</t>
  </si>
  <si>
    <t>Lorsque les organisations le permettent, vérifier que les différentes tâches d'administration des bases de données -DBA- sont séparées entre les études et l’exploitation</t>
  </si>
  <si>
    <t>Les comptes d'accès sont distincts entre les environnements</t>
  </si>
  <si>
    <t>Les comptes d'accès sont-ils distincts entre les environnements ?</t>
  </si>
  <si>
    <t>Politique des comptes</t>
  </si>
  <si>
    <t>Contamination des envs</t>
  </si>
  <si>
    <t>Authentification forte</t>
  </si>
  <si>
    <t>Les journaux d'activité permettent un audit complet des interventions</t>
  </si>
  <si>
    <t>Les journaux d'activité permettent-ils un audit complet des interventions ?</t>
  </si>
  <si>
    <t>Journaux détaillés</t>
  </si>
  <si>
    <t>Preuve manquante</t>
  </si>
  <si>
    <t>Non-imputabilité</t>
  </si>
  <si>
    <t>Conservation 1 an</t>
  </si>
  <si>
    <t>Les scripts de modification en production nécessitent une double validation</t>
  </si>
  <si>
    <t>Les scripts de modification en production nécessitent-ils une double validation ?</t>
  </si>
  <si>
    <t>Procédure de validation</t>
  </si>
  <si>
    <t>Modifications non contrôlées</t>
  </si>
  <si>
    <t>Pannes en production</t>
  </si>
  <si>
    <t>Workflow à 4 yeux</t>
  </si>
  <si>
    <t>Les rotations de personnel maintiennent ce principe dans la durée</t>
  </si>
  <si>
    <t>Les rotations de personnel maintiennent-elles ce principe dans la durée ?</t>
  </si>
  <si>
    <t>Plan de rotation</t>
  </si>
  <si>
    <t>Familiarité excessive</t>
  </si>
  <si>
    <t>Contournement des règles</t>
  </si>
  <si>
    <t>Changement trimestriel</t>
  </si>
  <si>
    <t>Les sauvegardes critiques sont verrouillées en écriture</t>
  </si>
  <si>
    <t>Les sauvegardes critiques sont-elles verrouillées en écriture ?</t>
  </si>
  <si>
    <t>Procédure de sauvegarde</t>
  </si>
  <si>
    <t>Altération des backups</t>
  </si>
  <si>
    <t>Perte de données</t>
  </si>
  <si>
    <t>Test de restauration</t>
  </si>
  <si>
    <t xml:space="preserve">Vérifier que la séparation des tâches est maintenue et assurée lors de la rotation des équipes, des vacances et du départ d'un personnel </t>
  </si>
  <si>
    <t>Les check-lists de passation incluent ce point critique</t>
  </si>
  <si>
    <t>Les check-lists de passation incluent-elles ce point critique ?</t>
  </si>
  <si>
    <t>Checklist de passation</t>
  </si>
  <si>
    <t>Oublis critiques</t>
  </si>
  <si>
    <t>Validation croisée</t>
  </si>
  <si>
    <t>Les procédures de remplacement formalisent les règles à respecter</t>
  </si>
  <si>
    <t>Les procédures de remplacement formalisent-elles les règles à respecter ?</t>
  </si>
  <si>
    <t>Guide de remplacement</t>
  </si>
  <si>
    <t>Erreurs humaines</t>
  </si>
  <si>
    <t>Formation spécifique</t>
  </si>
  <si>
    <t>Les périodes de transition font l'objet d'une surveillance accrue</t>
  </si>
  <si>
    <t>Les périodes de transition font-elles l'objet d'une surveillance accrue?</t>
  </si>
  <si>
    <t>Plan de surveillance</t>
  </si>
  <si>
    <t>Failles pendant les transitions</t>
  </si>
  <si>
    <t>Exploitation des vulnérabilités</t>
  </si>
  <si>
    <t>Monitoring renforcé</t>
  </si>
  <si>
    <t>Les managers vérifient systématiquement ce point lors des changements</t>
  </si>
  <si>
    <t>Les managers vérifient-ils systématiquement ce point lors des changements ?</t>
  </si>
  <si>
    <t>Checklist manageriale</t>
  </si>
  <si>
    <t>Contrôles inconsistants</t>
  </si>
  <si>
    <t>Laxisme progressif</t>
  </si>
  <si>
    <t>Audit surprise</t>
  </si>
  <si>
    <t>Les comptes temporaires sont créés avec des droits restreints si nécessaire</t>
  </si>
  <si>
    <t>Les comptes temporaires sont-ils créés avec des droits restreints si nécessaire ?</t>
  </si>
  <si>
    <t>Politique des comptes temporaires</t>
  </si>
  <si>
    <t>Privilèges excessifs</t>
  </si>
  <si>
    <t>Abus de droits</t>
  </si>
  <si>
    <t>Expiration automatique</t>
  </si>
  <si>
    <t>Évaluer le caractère « raisonnable » du turn-over de la DSI (5 à 15% / an)</t>
  </si>
  <si>
    <t>Les statistiques sont calculées mensuellement par catégorie de personnel</t>
  </si>
  <si>
    <t>Les statistiques sont-elles calculées mensuellement par catégorie de personnel ?</t>
  </si>
  <si>
    <t>Tableau de bord RH mensuel</t>
  </si>
  <si>
    <t>Décisions sur données obsolètes</t>
  </si>
  <si>
    <t>Politiques inadaptées</t>
  </si>
  <si>
    <t>Automatisation du reporting</t>
  </si>
  <si>
    <t>Les causes des départs sont analysées</t>
  </si>
  <si>
    <t>Les causes des départs sont-elles analysées ?</t>
  </si>
  <si>
    <t>Rapport d'analyse des départs</t>
  </si>
  <si>
    <t>Turnover non maîtrisé</t>
  </si>
  <si>
    <t>Entretiens de départ systématiques</t>
  </si>
  <si>
    <t>Les plans de rétention sont activés lorsque les seuils sont dépassés</t>
  </si>
  <si>
    <t>Les plans de rétention sont-ils activés lorsque les seuils sont dépassés ?</t>
  </si>
  <si>
    <t>Procédure de rétention</t>
  </si>
  <si>
    <t>Départs clés non anticipés</t>
  </si>
  <si>
    <t>Discontinuité opérationnelle</t>
  </si>
  <si>
    <t>Seuils d'alerte prédéfinis</t>
  </si>
  <si>
    <t>Les services critiques font l'objet d'une surveillance particulière</t>
  </si>
  <si>
    <t>Les services critiques font-ils l'objet d'une surveillance particulière ?</t>
  </si>
  <si>
    <t>Liste des services critiques</t>
  </si>
  <si>
    <t>Désorganisation majeure</t>
  </si>
  <si>
    <t>Impact métier</t>
  </si>
  <si>
    <t>Double compétence obligatoire</t>
  </si>
  <si>
    <t>Les prévisions de départs anticipés sont prises en compte</t>
  </si>
  <si>
    <t>Les prévisions de départs anticipés sont-elles prises en compte ?</t>
  </si>
  <si>
    <t>Prévisions des départs RH</t>
  </si>
  <si>
    <t>Plans de succession obsolètes</t>
  </si>
  <si>
    <t>Gaps de compétences</t>
  </si>
  <si>
    <t>Modèle prédictif basé sur données historiques</t>
  </si>
  <si>
    <t>Évaluer la capacité de l’Organisation à gérer les carrières des informaticiens</t>
  </si>
  <si>
    <t>Les mobilités horizontales sont encouragées pour diversifier les compétences</t>
  </si>
  <si>
    <t>Les mobilités horizontales sont-elles encouragées pour diversifier les compétences ?</t>
  </si>
  <si>
    <t>Politique de mobilité interne</t>
  </si>
  <si>
    <t>Programme de rotation annuelle</t>
  </si>
  <si>
    <t>Des parcours types existent pour les principales familles de métiers</t>
  </si>
  <si>
    <t>Des parcours types existent-ils pour les principales familles de métiers ,?</t>
  </si>
  <si>
    <t>Référentiel des parcours métiers</t>
  </si>
  <si>
    <t>Évolutions chaotiques</t>
  </si>
  <si>
    <t>Gestion de carrière inefficace</t>
  </si>
  <si>
    <t>Ateliers d'orientation trimestriels</t>
  </si>
  <si>
    <t>Les plans de succession existent pour les postes clés</t>
  </si>
  <si>
    <t>Les plans de succession existent-ils pour les postes clés ?</t>
  </si>
  <si>
    <t>Matrice des successions</t>
  </si>
  <si>
    <t>Vacance prolongée</t>
  </si>
  <si>
    <t>Blocage décisionnel</t>
  </si>
  <si>
    <t>Plans individuels de développement</t>
  </si>
  <si>
    <t>Les possibilités d'évolution interne sont clairement communiquées</t>
  </si>
  <si>
    <t>Les possibilités d'évolution interne sont-elles clairement communiquées ?</t>
  </si>
  <si>
    <t>Communication sur les évolutions</t>
  </si>
  <si>
    <t>Meilleure main-d'œuvre quitte</t>
  </si>
  <si>
    <t>Perte de talents</t>
  </si>
  <si>
    <t>Portail carrière interactif</t>
  </si>
  <si>
    <t>Les mentors sont désignés pour accompagner les hauts potentiels</t>
  </si>
  <si>
    <t>Les mentors sont-ils désignés pour accompagner les hauts potentiels ?</t>
  </si>
  <si>
    <t>Programme de mentorat</t>
  </si>
  <si>
    <t>Déclin des compétences</t>
  </si>
  <si>
    <t>Appariement stratégique mentor-mentoré</t>
  </si>
  <si>
    <t xml:space="preserve">Vérifier l’adéquation du niveau de rémunération du personnel informatique et évaluer le « moral » des équipes </t>
  </si>
  <si>
    <t>Une grille salariale formalisée couvre l'ensemble des métiers de la DSI</t>
  </si>
  <si>
    <t>Une grille salariale formalisée couvre t-elle l'ensemble des métiers de la DSI ?</t>
  </si>
  <si>
    <t>Grille salariale officielle</t>
  </si>
  <si>
    <t>Inéquités</t>
  </si>
  <si>
    <t>Benchmark sectoriel annuel</t>
  </si>
  <si>
    <t>Les politiques de variable sont clairement définies et équitables</t>
  </si>
  <si>
    <t>Les politiques de variable sont-elles clairement définies et équitables ?</t>
  </si>
  <si>
    <t>Charte du variable</t>
  </si>
  <si>
    <t>Sentiment d'injustice</t>
  </si>
  <si>
    <t>Commission paritaire</t>
  </si>
  <si>
    <t>Une enquête de satisfaction-rémunération a été réalisée dans les 12 mois</t>
  </si>
  <si>
    <t>Une enquête de satisfaction-rémunération a t-elle été réalisée dans les 12 mois ?</t>
  </si>
  <si>
    <t>Rapport d'enquête satisfaction</t>
  </si>
  <si>
    <t>Démotivation cachée</t>
  </si>
  <si>
    <t>Turnover passif</t>
  </si>
  <si>
    <t>Enquête anonyme annuelle</t>
  </si>
  <si>
    <t>Un plan de revalorisation existe pour les métiers sous tension</t>
  </si>
  <si>
    <t>Un plan de revalorisation existe t-il pour les métiers sous tension ?</t>
  </si>
  <si>
    <t>Plan de revalorisation</t>
  </si>
  <si>
    <t>Pénurie de compétences</t>
  </si>
  <si>
    <t>Ajustements semestriels</t>
  </si>
  <si>
    <t>Des comparatifs sectoriels annuels permettent d'ajuster les rémunérations</t>
  </si>
  <si>
    <t>Des comparatifs sectoriels annuels permettent-ils d'ajuster les rémunérations ?</t>
  </si>
  <si>
    <t>Étude comparative sectorielle</t>
  </si>
  <si>
    <t>Rémunération non compétitive</t>
  </si>
  <si>
    <t>Fuite des talents</t>
  </si>
  <si>
    <t>Abonnement à des bases de données fiables</t>
  </si>
  <si>
    <t>Évaluer la dépendance de l’Organisation vis-à-vis d’une ou plusieurs personnes</t>
  </si>
  <si>
    <t>Les connaissances essentielles sont documentées et partagées</t>
  </si>
  <si>
    <t>Les connaissances essentielles sont-elles documentées et partagées ?</t>
  </si>
  <si>
    <t>Base de connaissances métiers</t>
  </si>
  <si>
    <t>Risque opérationnel</t>
  </si>
  <si>
    <t>Système de contribution obligatoire</t>
  </si>
  <si>
    <t>Des doublures techniques ont été formées pour les compétences rares</t>
  </si>
  <si>
    <t>Des doublures techniques ont-elles été formées pour les compétences rares ?</t>
  </si>
  <si>
    <t>Plan de doublure technique</t>
  </si>
  <si>
    <t>Point unique de défaillance</t>
  </si>
  <si>
    <t>Blocage production</t>
  </si>
  <si>
    <t>Rotation programmée</t>
  </si>
  <si>
    <t>Les alertes RH sont activées en cas de risque de départ d'un expert</t>
  </si>
  <si>
    <t>Les alertes RH sont-elles activées en cas de risque de départ d'un expert ?</t>
  </si>
  <si>
    <t>Système d'alerte RH</t>
  </si>
  <si>
    <t>Départ surprise</t>
  </si>
  <si>
    <t>Perte critique</t>
  </si>
  <si>
    <t>Indicateurs avancés (absentéisme, etc.)</t>
  </si>
  <si>
    <t>Les procédures critiques ne reposent pas sur une seule personne</t>
  </si>
  <si>
    <t>Les procédures critiques ne reposent-elles pas sur une seule personne ?</t>
  </si>
  <si>
    <t>Matrice de roulement</t>
  </si>
  <si>
    <t>Dépendance individuelle</t>
  </si>
  <si>
    <t>Vulnérabilité</t>
  </si>
  <si>
    <t>Politique de "4 yeux"</t>
  </si>
  <si>
    <t>Des plans de succession existent pour les postes stratégiques</t>
  </si>
  <si>
    <t>Des plans de succession existent-ils pour les postes stratégiques ?</t>
  </si>
  <si>
    <t>Plan de succession stratégique</t>
  </si>
  <si>
    <t>Leadership vacant</t>
  </si>
  <si>
    <t>Crise direction</t>
  </si>
  <si>
    <t>Préparation sur 2 ans</t>
  </si>
  <si>
    <t>Vérifier que les contrats des informaticiens contiennent des clauses spécifiques de confidentialité et de non-concurrence</t>
  </si>
  <si>
    <t>100% des contrats contiennent une clause de confidentialité adaptée</t>
  </si>
  <si>
    <t>100% des contrats contiennent-ils une clause de confidentialité adaptée ?</t>
  </si>
  <si>
    <t>Modèle de clause de confidentialité</t>
  </si>
  <si>
    <t>Fuite d'information</t>
  </si>
  <si>
    <t>Préjudice concurrentiel</t>
  </si>
  <si>
    <t>Validation juridique annuelle</t>
  </si>
  <si>
    <t>Les sanctions en cas de violation sont dissuasives et réalistes</t>
  </si>
  <si>
    <t>Les sanctions en cas de violation sont-elles dissuasives et réalistes ?</t>
  </si>
  <si>
    <t>Barème des sanctions</t>
  </si>
  <si>
    <t>Non-dissuasion</t>
  </si>
  <si>
    <t>Répétition d'incidents</t>
  </si>
  <si>
    <t>Gradation claire des peines</t>
  </si>
  <si>
    <t>Les employés ont reçu une information claire sur ces clauses</t>
  </si>
  <si>
    <t>Les employés ont-ils reçu une information claire sur ces clauses ?</t>
  </si>
  <si>
    <t>PV de formation aux clauses</t>
  </si>
  <si>
    <t>Méconnaissance des règles</t>
  </si>
  <si>
    <t>Violations involontaires</t>
  </si>
  <si>
    <t>Quiz de validation</t>
  </si>
  <si>
    <t>Un registre des restrictions est tenu à jour par les RH</t>
  </si>
  <si>
    <t>Un registre des restrictions est-il tenu à jour par les RH ?</t>
  </si>
  <si>
    <t>Registre des restrictions</t>
  </si>
  <si>
    <t>Contrôle inefficace</t>
  </si>
  <si>
    <t>Conflits post-départ</t>
  </si>
  <si>
    <t>Un contrôle juridique annuel vérifie la conformité des clauses</t>
  </si>
  <si>
    <t>Un contrôle juridique annuel vérifie t-il la conformité des clauses ?</t>
  </si>
  <si>
    <t>Rapport de contrôle juridique</t>
  </si>
  <si>
    <t>Nullité des clauses</t>
  </si>
  <si>
    <t>Audit externe biannuel</t>
  </si>
  <si>
    <t>Vérifier si les informaticiens sont- dispensés de préavis en cas de rupture brutale du contrat de travail</t>
  </si>
  <si>
    <t>Les préavis applicables sont conformes aux conventions collectives</t>
  </si>
  <si>
    <t>Les préavis applicables sont-ils conformes aux conventions collectives ?</t>
  </si>
  <si>
    <t>Tableau des préavis</t>
  </si>
  <si>
    <t>Litiges</t>
  </si>
  <si>
    <t>Coûts juridiques</t>
  </si>
  <si>
    <t>Veille conventionnelle</t>
  </si>
  <si>
    <t>Les procédures de départ protègent les actifs informationnels</t>
  </si>
  <si>
    <t>Les procédures de départ protègent-elles les actifs informationnels ?</t>
  </si>
  <si>
    <t>Checklist de départ</t>
  </si>
  <si>
    <t>Fuite de données</t>
  </si>
  <si>
    <t>Risque concurrentiel</t>
  </si>
  <si>
    <t>Procédure de sortie sécurisée</t>
  </si>
  <si>
    <t>Les délais de préavis sont adaptés à la criticité des fonctions</t>
  </si>
  <si>
    <t>Les délais de préavis sont-ils adaptés à la criticité des fonctions ?</t>
  </si>
  <si>
    <t>Grille des préavis adaptés</t>
  </si>
  <si>
    <t>Transition chaotique</t>
  </si>
  <si>
    <t>Perte de connaissances</t>
  </si>
  <si>
    <t>Échelle mobile selon criticité</t>
  </si>
  <si>
    <t>Les statistiques des départs analysent les motifs de rupture</t>
  </si>
  <si>
    <t>Les statistiques des départs analysent-elles les motifs de rupture ?</t>
  </si>
  <si>
    <t>Analyse des motifs de départ</t>
  </si>
  <si>
    <t>Causes récurrentes</t>
  </si>
  <si>
    <t>Turnover persistant</t>
  </si>
  <si>
    <t>Actions correctives ciblées</t>
  </si>
  <si>
    <t>Un bilan des connaissances est réalisé avant le départ</t>
  </si>
  <si>
    <t>Un bilan des connaissances est-il réalisé avant le départ ?</t>
  </si>
  <si>
    <t>Bilan de connaissances</t>
  </si>
  <si>
    <t>Baisse de performance</t>
  </si>
  <si>
    <t>Entretien formel avec transmission</t>
  </si>
  <si>
    <t>Vérifier l’existence d’un plan de formation nominatif pour l’ensemble des informaticiens</t>
  </si>
  <si>
    <t>Un budget formation est alloué annuellement</t>
  </si>
  <si>
    <t>Un budget formation est-il alloué annuellement ?</t>
  </si>
  <si>
    <t>Budget formation annuel</t>
  </si>
  <si>
    <t>Sous-investissement en compétences</t>
  </si>
  <si>
    <t>Obsolescence des savoirs</t>
  </si>
  <si>
    <t>Allocation minimum de 2% de la masse salariale</t>
  </si>
  <si>
    <t>Les besoins individuels sont identifiés lors des entretiens annuels</t>
  </si>
  <si>
    <t>Les besoins individuels sont-ils identifiés lors des entretiens annuels ?</t>
  </si>
  <si>
    <t>Fiches d'entretien individuel</t>
  </si>
  <si>
    <t>Besoins non identifiés</t>
  </si>
  <si>
    <t>Formations inadaptées</t>
  </si>
  <si>
    <t>Modèle standardisé avec rubrique dédiée</t>
  </si>
  <si>
    <t>Un calendrier prévisionnel est établi et communiqué</t>
  </si>
  <si>
    <t>Un calendrier prévisionnel est-il établi et communiqué ?</t>
  </si>
  <si>
    <t>Planning annuel de formation</t>
  </si>
  <si>
    <t>Organisation chaotique</t>
  </si>
  <si>
    <t>Annulations de sessions</t>
  </si>
  <si>
    <t>Publication trimestrielle actualisée</t>
  </si>
  <si>
    <t>Les certifications métier font l'objet d'un suivi particulier</t>
  </si>
  <si>
    <t>Les certifications métier font-elles l'objet d'un suivi particulier ?</t>
  </si>
  <si>
    <t>Sanctions/invalidations</t>
  </si>
  <si>
    <t>Alertes automatiques 90j avant expiration</t>
  </si>
  <si>
    <t>Le taux de réalisation du plan est suivi trimestriellement</t>
  </si>
  <si>
    <t>Le taux de réalisation du plan est-il suivi trimestriellement ?</t>
  </si>
  <si>
    <t>Reporting trimestriel</t>
  </si>
  <si>
    <t>Dérive des engagements</t>
  </si>
  <si>
    <t>Budget non consommé</t>
  </si>
  <si>
    <t>Points d'étape mensuels</t>
  </si>
  <si>
    <t>Vérifier que l’effort de formation est adapté, suffisant et qu’il s’inscrit dans la durée</t>
  </si>
  <si>
    <t>Le nombre d'heures moyen par collaborateur est ≥ 40h/an</t>
  </si>
  <si>
    <t>Le nombre d'heures moyen par collaborateur est-il ≥ 40h/an ?</t>
  </si>
  <si>
    <t>Statistiques d'heures formées</t>
  </si>
  <si>
    <t>Sous-formation chronique</t>
  </si>
  <si>
    <t>Déqualification</t>
  </si>
  <si>
    <t>Intégration aux objectifs managers</t>
  </si>
  <si>
    <t>Les formations diplômantes sont encouragées et financées</t>
  </si>
  <si>
    <t>Les formations diplômantes sont-elles encouragées et financées ?</t>
  </si>
  <si>
    <t>Politique de formations diplômantes</t>
  </si>
  <si>
    <t>Attractivité réduite</t>
  </si>
  <si>
    <t>Prise en charge à 100% avec engagement</t>
  </si>
  <si>
    <t>L'application des acquis est évaluée 3 mois après la formation</t>
  </si>
  <si>
    <t>L'application des acquis est-elle évaluée 3 mois après la formation ?</t>
  </si>
  <si>
    <t>Évaluations post-formation</t>
  </si>
  <si>
    <t>Transfert non effectif</t>
  </si>
  <si>
    <t>ROI faible</t>
  </si>
  <si>
    <t>Grille d'évaluation standardisée</t>
  </si>
  <si>
    <t>Les parcours de montée en compétence sont individualisés</t>
  </si>
  <si>
    <t>Les parcours de montée en compétence sont-ils individualisés ?</t>
  </si>
  <si>
    <t>Parcours individualisés</t>
  </si>
  <si>
    <t>Développement inégal</t>
  </si>
  <si>
    <t>Compétences déséquilibrées</t>
  </si>
  <si>
    <t>Entretien de cadrage initial</t>
  </si>
  <si>
    <t>Les compétences transverses (soft skills) sont développées</t>
  </si>
  <si>
    <t>Les compétences transverses (soft skills) sont-elles développées ?</t>
  </si>
  <si>
    <t>Programme soft skills</t>
  </si>
  <si>
    <t>Déficit relationnel</t>
  </si>
  <si>
    <t>Ateliers pratiques trimestriels</t>
  </si>
  <si>
    <t>Cadre législatif et réglementaire Camerounais</t>
  </si>
  <si>
    <t>Vérifier que les prescriptions légales découlant des loi de 2010 sur le cybersécurité et la cyber criminalité ; ainsi que les transactions électroniques sont connues et respectées</t>
  </si>
  <si>
    <t>Une veille réglementaire active est mise en place pour suivre les évolutions légales.</t>
  </si>
  <si>
    <t>Une veille réglementaire active est-elle mise en place pour suivre les évolutions légales ?</t>
  </si>
  <si>
    <t>Bulletin de veille réglementaire</t>
  </si>
  <si>
    <t>Non-conformité légale</t>
  </si>
  <si>
    <t>Sanctions pénales</t>
  </si>
  <si>
    <t>Abonnement service spécialisé + validation juridique</t>
  </si>
  <si>
    <t>Une analyse d'impact a été réalisée sur les processus métiers sensibles</t>
  </si>
  <si>
    <t>Une analyse d'impact a-t-elle été réalisée sur les processus métiers sensibles ?</t>
  </si>
  <si>
    <t>Rapport d'analyse d'impact</t>
  </si>
  <si>
    <t>Processus non conformes</t>
  </si>
  <si>
    <t>Nullité des actes</t>
  </si>
  <si>
    <t>Audit semestriel par processus critique</t>
  </si>
  <si>
    <t>Les textes officiels sont accessibles aux équipes concernées</t>
  </si>
  <si>
    <t>Les textes officiels sont-ils accessibles aux équipes concernées ?</t>
  </si>
  <si>
    <t>Portail documentaire légal</t>
  </si>
  <si>
    <t>Méconnaissance des textes</t>
  </si>
  <si>
    <t>Erreurs d'application</t>
  </si>
  <si>
    <t>Mise à jour hebdomadaire + alertes</t>
  </si>
  <si>
    <t>Des procédures internes formalisent les obligations légales pour chaque service</t>
  </si>
  <si>
    <t>Des procédures internes formalisent-elles les obligations légales pour chaque service ?</t>
  </si>
  <si>
    <t>Guide des obligations légales par service</t>
  </si>
  <si>
    <t>Mise à jour semestrielle avec validation juridique</t>
  </si>
  <si>
    <t>Un référent légal désigné assure le suivi des conformités</t>
  </si>
  <si>
    <t>Un référent légal désigné assure t-il le suivi des conformités ?</t>
  </si>
  <si>
    <t>Désignation officielle du référent conformité</t>
  </si>
  <si>
    <t>Suivi discontinu</t>
  </si>
  <si>
    <t>Manquements non détectés</t>
  </si>
  <si>
    <t>Nomination écrite + compte-rendu mensuel</t>
  </si>
  <si>
    <t>Vérifier que les articles sur la fraude informatique sont connus et que des mesures préventives ont été prises</t>
  </si>
  <si>
    <t>Une classification des risques de fraude a été établie par type de menace</t>
  </si>
  <si>
    <t>Une classification des risques de fraude a-t-elle été établie par type de menace ?</t>
  </si>
  <si>
    <t>Matrice des risques de fraude</t>
  </si>
  <si>
    <t>Vulnérabilités non couvertes</t>
  </si>
  <si>
    <t>Préjudices financiers</t>
  </si>
  <si>
    <t>Actualisation annuelle + tests de résistance</t>
  </si>
  <si>
    <t>Des contrôles d'accès physiques et logiques limitent les opportunités de fraude</t>
  </si>
  <si>
    <t>Des contrôles d'accès physiques et logiques limitent-ils les opportunités de fraude ?</t>
  </si>
  <si>
    <t>Politique de contrôle d'accès</t>
  </si>
  <si>
    <t>Fraude facilitée</t>
  </si>
  <si>
    <t>Détournements</t>
  </si>
  <si>
    <t>Revue trimestrielle des habilitations</t>
  </si>
  <si>
    <t>Les articles de la loi cybercriminalité sont affichés dans les zones sensibles</t>
  </si>
  <si>
    <t>Les articles de la loi cybercriminalité sont-ils affichés dans les zones sensibles ?</t>
  </si>
  <si>
    <t>Affiches réglementaires</t>
  </si>
  <si>
    <t>Non-respect involontaire</t>
  </si>
  <si>
    <t>Emplacements stratégiques + multilinguisme</t>
  </si>
  <si>
    <t>Des simulations de tentatives de fraude testent régulièrement les dispositifs</t>
  </si>
  <si>
    <t>Des simulations de tentatives de fraude testent-elles régulièrement les dispositifs ;</t>
  </si>
  <si>
    <t>Scénarios de tests anti-fraude</t>
  </si>
  <si>
    <t>Failles non détectées</t>
  </si>
  <si>
    <t>Système contournable</t>
  </si>
  <si>
    <t>Simulations surprises biannuelles</t>
  </si>
  <si>
    <t>Les mouvements financiers électroniques nécessitent une double validation</t>
  </si>
  <si>
    <t>Les mouvements financiers électroniques nécessitent-ils une double validation ?</t>
  </si>
  <si>
    <t>Procédure de double signature électronique</t>
  </si>
  <si>
    <t>Détournements possibles</t>
  </si>
  <si>
    <t>Séparation stricte des rôles</t>
  </si>
  <si>
    <t>Vérifier que les articles sur l’usage de moyens de chiffrement et de la signature électronique sont connues respectées</t>
  </si>
  <si>
    <t>Les algorithmes de chiffrement utilisés sont homologués par l'ART</t>
  </si>
  <si>
    <t>Les algorithmes de chiffrement utilisés sont-ils homologués par l'ART ?</t>
  </si>
  <si>
    <t>Certificat d'homologation des algorithmes</t>
  </si>
  <si>
    <t>Chiffrement faible</t>
  </si>
  <si>
    <t>Interception de données</t>
  </si>
  <si>
    <t>Veille technologique trimestrielle</t>
  </si>
  <si>
    <t>Les certificats électroniques en usage sont émis par des prestataires agréés</t>
  </si>
  <si>
    <t>Les certificats électroniques en usage sont-ils émis par des prestataires agréés ?</t>
  </si>
  <si>
    <t>Registre des certificats électroniques</t>
  </si>
  <si>
    <t>Authentification compromise</t>
  </si>
  <si>
    <t>Usurpation d'identité</t>
  </si>
  <si>
    <t>Renouvellement anticipé systématique</t>
  </si>
  <si>
    <t>Les documents contractuels électroniques intègrent les mentions légales</t>
  </si>
  <si>
    <t>Les documents contractuels électroniques intègrent-ils les mentions légales ?</t>
  </si>
  <si>
    <t>Modèle contractuel électronique standard</t>
  </si>
  <si>
    <t>Nullité des contrats</t>
  </si>
  <si>
    <t>Risques juridiques</t>
  </si>
  <si>
    <t>Validation annuelle par huissier</t>
  </si>
  <si>
    <t>Une politique de gestion des clés documentée est strictement appliquée</t>
  </si>
  <si>
    <t>Une politique de gestion des clés documentée est-elle strictement appliquée ?</t>
  </si>
  <si>
    <t>Politique de gestion des clés cryptographiques</t>
  </si>
  <si>
    <t>Atteinte à la confidentialité</t>
  </si>
  <si>
    <t>Rotation trimestrielle + coffre-fort HSMs</t>
  </si>
  <si>
    <t>L'archivage des preuves électroniques garantit leur intégrité</t>
  </si>
  <si>
    <t>L'archivage des preuves électroniques garantit-elle leur intégrité ?</t>
  </si>
  <si>
    <t>Procédure d'archivage probant</t>
  </si>
  <si>
    <t>Preuves électroniques altérées</t>
  </si>
  <si>
    <t>Perte de recours juridique</t>
  </si>
  <si>
    <t>Horodatage certifié + double stockage géolocalisé</t>
  </si>
  <si>
    <t>Vérifier que la loi sur l’archivage électronique est connue et respectée</t>
  </si>
  <si>
    <t>Une politique d'archivage documente les durées légales par type de document</t>
  </si>
  <si>
    <t>Une politique d'archivage documente t-elle les durées légales par type de document ?</t>
  </si>
  <si>
    <t>Tableau des durées légales de conservation</t>
  </si>
  <si>
    <t>Destruction prématurée</t>
  </si>
  <si>
    <t>Sanctions administratives</t>
  </si>
  <si>
    <t>Système d'alerte automatique</t>
  </si>
  <si>
    <t>Les supports de stockage répondent aux exigences de non-altération</t>
  </si>
  <si>
    <t>Les supports de stockage répondent-ils aux exigences de non-altération ?</t>
  </si>
  <si>
    <t>Certificat de conformité des supports</t>
  </si>
  <si>
    <t>Altération des données</t>
  </si>
  <si>
    <t>Données illisibles</t>
  </si>
  <si>
    <t>Tests annuels de restauration</t>
  </si>
  <si>
    <t>Les métadonnées obligatoires sont systématiquement renseignées</t>
  </si>
  <si>
    <t>Les métadonnées obligatoires sont-elles systématiquement renseignées ?</t>
  </si>
  <si>
    <t>Modèle de métadonnées obligatoires</t>
  </si>
  <si>
    <t>Documents introuvables</t>
  </si>
  <si>
    <t>Inefficacité opérationnelle</t>
  </si>
  <si>
    <t>Validation par archiviste professionnel</t>
  </si>
  <si>
    <t>Les accès aux archives sont tracés et limités aux personnes autorisées</t>
  </si>
  <si>
    <t>Les accès aux archives sont-ils tracés et limités aux personnes autorisées ?</t>
  </si>
  <si>
    <t>Journal des accès aux archives</t>
  </si>
  <si>
    <t>Fuites d'information</t>
  </si>
  <si>
    <t>Système biométrique + limite de durée</t>
  </si>
  <si>
    <t>Un plan de migration périodique prévient l'obsolescence des formats</t>
  </si>
  <si>
    <t>Un plan de migration périodique prévient-il l'obsolescence des formats ?</t>
  </si>
  <si>
    <t>Plan de migration des formats</t>
  </si>
  <si>
    <t>Obsolescence technique</t>
  </si>
  <si>
    <t>Perte définitive de données</t>
  </si>
  <si>
    <t>Cycle maximal de 3 ans</t>
  </si>
  <si>
    <t>Vérifier que les articles sur la propriété intellectuelle / logiciel « pirate » sont connus respectés</t>
  </si>
  <si>
    <t>Un inventaire exhaustif des logiciels en exploitation est maintenu</t>
  </si>
  <si>
    <t>Un inventaire exhaustif des logiciels en exploitation est-il maintenu ?</t>
  </si>
  <si>
    <t>Inventaire logiciel centralisé</t>
  </si>
  <si>
    <t>Usage non autorisé</t>
  </si>
  <si>
    <t>Amendes et poursuites</t>
  </si>
  <si>
    <t>Scan réseau hebdomadaire automatisé</t>
  </si>
  <si>
    <t>Les audits logiciels internes détectent les installations non autorisées</t>
  </si>
  <si>
    <t>Les audits logiciels internes détectent-ils les installations non autorisées ?</t>
  </si>
  <si>
    <t>Rapport d'audit logiciel</t>
  </si>
  <si>
    <t>Licences manquantes</t>
  </si>
  <si>
    <t>Outil de gestion dédié (ex: Snow)</t>
  </si>
  <si>
    <t>Les alertes sur les mises à jour critiques sont configurées chez tous les éditeurs</t>
  </si>
  <si>
    <t>Les alertes sur les mises à jour critiques sont-elles configurées chez tous les éditeurs ?</t>
  </si>
  <si>
    <t>Registre des mises à jour critiques</t>
  </si>
  <si>
    <t>Vulnérabilités exploitées</t>
  </si>
  <si>
    <t>Cyberattaques</t>
  </si>
  <si>
    <t>Monitoring temps réel + patching automatique</t>
  </si>
  <si>
    <t>Les collaborateurs ont signé une charte d'usage des logiciels</t>
  </si>
  <si>
    <t>Les collaborateurs ont-ils signé une charte d'usage des logiciels ?</t>
  </si>
  <si>
    <t>Charte d'usage des logiciels signée</t>
  </si>
  <si>
    <t>Utilisation abusive</t>
  </si>
  <si>
    <t>Responsabilité engagée</t>
  </si>
  <si>
    <t>Rappel annuel obligatoire + quiz</t>
  </si>
  <si>
    <t>Les sanctions disciplinaires pour usage de logiciels piratés sont appliquées</t>
  </si>
  <si>
    <t>Les sanctions disciplinaires pour usage de logiciels piratés sont-elles appliquées ?</t>
  </si>
  <si>
    <t>Tolérance aux infractions</t>
  </si>
  <si>
    <t>Récurrence des abus</t>
  </si>
  <si>
    <t>Application systématique + communication</t>
  </si>
  <si>
    <t xml:space="preserve">DOMAINE </t>
  </si>
  <si>
    <t xml:space="preserve">POINT DE CONTRÔLE </t>
  </si>
  <si>
    <t xml:space="preserve">OBJECTIF DE CONTRÔLE </t>
  </si>
  <si>
    <t xml:space="preserve">CRITERE D'EVALUATION </t>
  </si>
  <si>
    <t xml:space="preserve">QUESTION D'EVALUATION </t>
  </si>
  <si>
    <t xml:space="preserve">documents requis </t>
  </si>
  <si>
    <t>risque</t>
  </si>
  <si>
    <t xml:space="preserve">criticité </t>
  </si>
  <si>
    <t xml:space="preserve">conséquence </t>
  </si>
  <si>
    <t xml:space="preserve">recommandation </t>
  </si>
  <si>
    <t>AUDIT ET CONTRÔLE DES PROJETS INFORMATIQUE</t>
  </si>
  <si>
    <t xml:space="preserve">Obectifs et enjeux du projet </t>
  </si>
  <si>
    <t xml:space="preserve">S’assurer qu’une étude de la valeur et des études d'opportunité et d'impacts ont été réalisées </t>
  </si>
  <si>
    <t>Existence d’un document formalisé d’étude d’opportunité</t>
  </si>
  <si>
    <t>Existe-t-il un document formalisé d’étude d’opportunité ?</t>
  </si>
  <si>
    <t>Non-évaluation complète de l'opportunité</t>
  </si>
  <si>
    <t>Décision basée sur des informations incomplètes, entraînant un projet mal orienté.</t>
  </si>
  <si>
    <t>Effectuer une analyse approfondie des opportunités avant la prise de décision.</t>
  </si>
  <si>
    <t>Analyse des coûts, bénéfices et risques clairement présentée</t>
  </si>
  <si>
    <t>L’analyse présente-t-elle clairement les coûts, les bénéfices et les risques ?</t>
  </si>
  <si>
    <t>Analyse coûts-bénéfices-risques</t>
  </si>
  <si>
    <t>Mauvaise estimation des coûts et bénéfices</t>
  </si>
  <si>
    <t>Surcoût ou manque de rentabilité du projet, impactant sa viabilité.</t>
  </si>
  <si>
    <t>Réaliser une estimation détaillée des coûts et bénéfices en impliquant toutes les parties prenantes.</t>
  </si>
  <si>
    <t>Identification et évaluation des impacts organisationnels et techniques</t>
  </si>
  <si>
    <t>Les impacts organisationnels et techniques sont-ils identifiés et évalués ?</t>
  </si>
  <si>
    <t>Étude d’impact organisationnel et technique</t>
  </si>
  <si>
    <t>Impacts organisationnels ou techniques non identifiés</t>
  </si>
  <si>
    <t>Problèmes de coordination ou dysfonctionnements non anticipés, affectant le succès du projet.</t>
  </si>
  <si>
    <t>Identifier et évaluer les impacts organisationnels et techniques à chaque phase du projet.</t>
  </si>
  <si>
    <t>Prise en compte des scénarios alternatifs ou de non-réalisation</t>
  </si>
  <si>
    <t>Des scénarios alternatifs ou celui de la non-réalisation ont-ils été pris en compte ?</t>
  </si>
  <si>
    <t>Étude d’opportunité avec scénarios alternatifs</t>
  </si>
  <si>
    <t>Non-considération de scénarios alternatifs</t>
  </si>
  <si>
    <t>Absence de solutions adaptées en cas de changement, réduisant la flexibilité du projet.</t>
  </si>
  <si>
    <t>Considérer plusieurs scénarios alternatifs avant de prendre une décision finale.</t>
  </si>
  <si>
    <t>Validation de l’étude par les parties prenantes clés</t>
  </si>
  <si>
    <t>L’étude d’opportunité a-t-elle été validée par les parties prenantes clés ?</t>
  </si>
  <si>
    <t>PV de validation de l’étude d’opportunité</t>
  </si>
  <si>
    <t>Absence de validation par les parties prenantes</t>
  </si>
  <si>
    <t>Manque d'adhésion et de soutien, entraînant des conflits et une mauvaise exécution.</t>
  </si>
  <si>
    <t>Assurer une validation continue du projet par les parties prenantes tout au long de son cycle de vie.</t>
  </si>
  <si>
    <t>S’assurer qu’un bilan critique des processus existants a été effectué</t>
  </si>
  <si>
    <t>Cartographie des processus existants disponible et à jour</t>
  </si>
  <si>
    <t>Existe-t-il une cartographie des processus existants, à jour et disponible ?</t>
  </si>
  <si>
    <t>Cartographie des processus existants à jour</t>
  </si>
  <si>
    <t>Cartographie obsolète ou incomplète des processus</t>
  </si>
  <si>
    <t>Perte de visibilité sur les processus, entraînant inefficacité et erreurs.</t>
  </si>
  <si>
    <t>Mettre à jour régulièrement la cartographie des processus pour refléter l’évolution des besoins et des systèmes.</t>
  </si>
  <si>
    <t>Analyse des inefficiences ou dysfonctionnements documentée</t>
  </si>
  <si>
    <t>Les inefficiences ou dysfonctionnements des processus sont-ils documentés ?</t>
  </si>
  <si>
    <t>Rapport d’analyse des dysfonctionnements</t>
  </si>
  <si>
    <t>Maintien des inefficiences ou dysfonctionnements non détectés</t>
  </si>
  <si>
    <t>Non-amélioration des processus existants, entraînant des coûts supplémentaires.</t>
  </si>
  <si>
    <t>Mettre en place un suivi continu des inefficiences et dysfonctionnements pour les détecter rapidement.</t>
  </si>
  <si>
    <t>Collecte d’avis des utilisateurs sur les processus actuels</t>
  </si>
  <si>
    <t>Les utilisateurs ont-ils été consultés sur les processus actuels ?</t>
  </si>
  <si>
    <t>Compte-rendu de consultation utilisateurs</t>
  </si>
  <si>
    <t>Non-prise en compte des retours des utilisateurs</t>
  </si>
  <si>
    <t>Insatisfaction des utilisateurs, manque d’engagement et mauvaise adoption des solutions.</t>
  </si>
  <si>
    <t>Collecter activement les retours des utilisateurs pour ajuster les solutions en fonction de leurs besoins réels.</t>
  </si>
  <si>
    <t>Rapport comparatif entre les processus actuels et les bonnes pratiques</t>
  </si>
  <si>
    <t>Un rapport comparatif existe-t-il entre les processus actuels et les bonnes pratiques ?</t>
  </si>
  <si>
    <t>Rapport d’écart processus / bonnes pratiques</t>
  </si>
  <si>
    <t>Écart entre les processus actuels et les bonnes pratiques</t>
  </si>
  <si>
    <t>Disparité entre les pratiques actuelles et les meilleures pratiques, entraînant des inefficacités.</t>
  </si>
  <si>
    <t>Comparer les processus actuels aux meilleures pratiques pour combler les écarts.</t>
  </si>
  <si>
    <t>Prise en compte de la performance actuelle (indicateurs, KPI)</t>
  </si>
  <si>
    <t>La performance actuelle est-elle analysée à l’aide d’indicateurs ou de KPI ?</t>
  </si>
  <si>
    <t>Tableau de bord des KPI actuels</t>
  </si>
  <si>
    <t>Absence d’indicateurs de performance clairs et mesurables</t>
  </si>
  <si>
    <t>Manque de mesures de performance, rendant difficile l'évaluation des progrès du projet.</t>
  </si>
  <si>
    <t>Définir des indicateurs de performance clairs et mesurables dès le début du projet.</t>
  </si>
  <si>
    <t>S’assurer que le choix de recourir à un nouveau système est obtenu après optimisation des processus concernés et vérification que cette optimisation ne suffit pas à apporter par elle-même les gains de performance attendus</t>
  </si>
  <si>
    <t>Étude d’optimisation des processus réalisée en amont</t>
  </si>
  <si>
    <t>Une étude d’optimisation des processus a-t-elle été réalisée en amont ?</t>
  </si>
  <si>
    <t>Rapport d’étude d’optimisation des processus</t>
  </si>
  <si>
    <t>Négligence des optimisations des processus en amont</t>
  </si>
  <si>
    <t>Perte d'opportunités d'optimisation, impactant la compétitivité et les coûts.</t>
  </si>
  <si>
    <t>Optimiser les processus en amont pour réduire les inefficiences et les coûts à long terme.</t>
  </si>
  <si>
    <t>Simulation ou projection des gains après optimisation sans SI</t>
  </si>
  <si>
    <t>Une simulation ou projection des gains sans SI a-t-elle été effectuée ?</t>
  </si>
  <si>
    <t>Simulation des gains hors SI</t>
  </si>
  <si>
    <t>Mauvaise estimation des gains d’optimisation sans SI</t>
  </si>
  <si>
    <t>Sous-performance du projet à cause de solutions mal adaptées.</t>
  </si>
  <si>
    <t>Evaluer avec précision les gains d’optimisation possibles, y compris sans systèmes informatiques.</t>
  </si>
  <si>
    <t>Rapport de justification du recours à une solution SI</t>
  </si>
  <si>
    <t>Un rapport de justification du recours à une solution SI est-il disponible ?</t>
  </si>
  <si>
    <t>Note de justification du recours au SI</t>
  </si>
  <si>
    <t>Justification insuffisante de l’usage d’une solution SI</t>
  </si>
  <si>
    <t>Justification insuffisante, rendant le choix de la solution difficile à défendre.</t>
  </si>
  <si>
    <t>Justifier clairement le recours à une solution SI en comparant les alternatives disponibles.</t>
  </si>
  <si>
    <t>Analyse des écarts entre performance attendue et optimisation seule</t>
  </si>
  <si>
    <t>Les écarts entre les performances attendues et l’optimisation sans SI ont-ils été analysés ?</t>
  </si>
  <si>
    <t>Rapport d’analyse des écarts avec optimisation sans SI</t>
  </si>
  <si>
    <t>Sous-estimation des écarts entre performance attendue et optimisation</t>
  </si>
  <si>
    <t>Manque de visibilité sur les écarts, créant de mauvaises attentes et des ajustements inappropriés.</t>
  </si>
  <si>
    <t>Identifier les écarts potentiels entre les performances attendues et les gains d’optimisation avant de prendre des décisions.</t>
  </si>
  <si>
    <t>Validation du raisonnement par la direction ou comité projet</t>
  </si>
  <si>
    <t>Le raisonnement ayant conduit à une solution SI a-t-il été validé par la direction ou un comité projet ?</t>
  </si>
  <si>
    <t>PV de validation du recours au SI</t>
  </si>
  <si>
    <t>Décision non validée par la direction ou le comité projet</t>
  </si>
  <si>
    <t>Décisions prises sans une vue d'ensemble, créant des conflits ou une mauvaise direction.</t>
  </si>
  <si>
    <t>Valider les décisions stratégiques avec la direction ou le comité de pilotage avant tout lancement.</t>
  </si>
  <si>
    <t>S’assure que les objectifs et périmètres du projet sont définis, partagés et stabilisés</t>
  </si>
  <si>
    <t>Document de cadrage/projet validé et diffusé</t>
  </si>
  <si>
    <t>Existe-t-il un document de cadrage ou de projet validé et diffusé ?</t>
  </si>
  <si>
    <t>Document de cadrage ou note de cadrage projet</t>
  </si>
  <si>
    <t>Mauvaise communication ou manque de diffusion du cadrage</t>
  </si>
  <si>
    <t>Absence de communication, créant des malentendus et un manque d'alignement.</t>
  </si>
  <si>
    <t>Communiquer efficacement le cadrage du projet à toutes les parties prenantes pour garantir une compréhension partagée.</t>
  </si>
  <si>
    <t>Objectifs SMART (Spécifiques, Mesurables, etc.) formalisés</t>
  </si>
  <si>
    <t>Les objectifs du projet sont-ils formalisés selon la méthode SMART ?</t>
  </si>
  <si>
    <t>Fiche d’objectifs SMART du projet</t>
  </si>
  <si>
    <t>Formulation imprécise des objectifs</t>
  </si>
  <si>
    <t>Objectifs flous, entraînant une confusion dans les attentes et la direction du projet.</t>
  </si>
  <si>
    <t>Définir des objectifs clairs, précis et mesurables pour éviter toute ambiguïté dans leur réalisation.</t>
  </si>
  <si>
    <t>Périmètre du projet clairement décrit et approuvé</t>
  </si>
  <si>
    <t>Le périmètre du projet est-il clairement décrit et approuvé ?</t>
  </si>
  <si>
    <t>Description formelle du périmètre du projet</t>
  </si>
  <si>
    <t>Périmètre mal défini ou flou</t>
  </si>
  <si>
    <t>Manque de clarté dans les responsabilités, entraînant un travail redondant ou non couvert.</t>
  </si>
  <si>
    <t>Définir un périmètre précis et validé pour éviter les dérives et les malentendus.</t>
  </si>
  <si>
    <t>Revue formelle des changements de périmètre (gestion des écarts)</t>
  </si>
  <si>
    <t>Existe-t-il une revue formelle des changements de périmètre ?</t>
  </si>
  <si>
    <t>Procédure de revue de périmètre</t>
  </si>
  <si>
    <t>Gestion inadéquate des changements de périmètre</t>
  </si>
  <si>
    <t>Mauvaise gestion des attentes, impactant la qualité des livrables.</t>
  </si>
  <si>
    <t>Gérer les changements de périmètre avec rigueur et transparence pour éviter toute perturbation.</t>
  </si>
  <si>
    <t>Communication des objectifs aux parties prenantes clés</t>
  </si>
  <si>
    <t>Les objectifs ont-ils été communiqués aux parties prenantes clés ?</t>
  </si>
  <si>
    <t>Plan de communication initial ou note d’information</t>
  </si>
  <si>
    <t>Mauvaise communication des objectifs aux parties prenantes</t>
  </si>
  <si>
    <t>Difficulté à mesurer le succès, entraînant une mauvaise gestion des priorités.</t>
  </si>
  <si>
    <t>Assurer une bonne communication des objectifs et de leur évolution tout au long du projet.</t>
  </si>
  <si>
    <t>S’assurer que les principales orientations du système cible ont été explicitées</t>
  </si>
  <si>
    <t>Schéma directeur ou dossier d’architecture cible rédigé</t>
  </si>
  <si>
    <t>Un schéma directeur ou dossier d’architecture cible est-il rédigé ?</t>
  </si>
  <si>
    <t>Schéma directeur SI ou dossier d’architecture cible</t>
  </si>
  <si>
    <t>Non-alignment de l’architecture cible avec les besoins</t>
  </si>
  <si>
    <t>Non-prise en compte des évolutions, rendant la solution non durable.</t>
  </si>
  <si>
    <t>S’assurer que l’architecture cible est bien alignée avec les besoins réels des utilisateurs et de l'organisation.</t>
  </si>
  <si>
    <t>Description fonctionnelle et technique du système cible</t>
  </si>
  <si>
    <t>Le système cible est-il décrit de manière fonctionnelle et technique ?</t>
  </si>
  <si>
    <t>Dossier de description fonctionnelle et technique du SI cible</t>
  </si>
  <si>
    <t>Mauvaise ou insuffisante description du système cible</t>
  </si>
  <si>
    <t>Non-réalisation des tests nécessaires, rendant la solution moins fiable et augmentant les risques.</t>
  </si>
  <si>
    <t>Décrire de manière exhaustive et précise le système cible pour éviter toute confusion lors de son développement.</t>
  </si>
  <si>
    <t>Alignement du système cible avec la stratégie de l’entité</t>
  </si>
  <si>
    <t>Le système cible est-il aligné avec la stratégie de l’entité ?</t>
  </si>
  <si>
    <t>Alignement stratégique documenté</t>
  </si>
  <si>
    <t>Incompatibilité avec la stratégie de l’entité</t>
  </si>
  <si>
    <t>Décisions prises sur la base de solutions inadaptées aux objectifs.</t>
  </si>
  <si>
    <t>Vérifier la compatibilité de la solution avec la stratégie de l’entité avant de procéder à son adoption.</t>
  </si>
  <si>
    <t>Consultation des utilisateurs finaux et responsables métiers</t>
  </si>
  <si>
    <t>Les utilisateurs finaux et responsables métiers ont-ils été consultés ?</t>
  </si>
  <si>
    <t>Compte-rendu de consultations métiers et utilisateurs</t>
  </si>
  <si>
    <t>Non-consultation des utilisateurs ou métiers</t>
  </si>
  <si>
    <t>Problèmes de compatibilité, entraînant des coûts d'intégration et de maintenance élevés.</t>
  </si>
  <si>
    <t>Impliquer activement les utilisateurs ou les métiers dans toutes les phases du projet pour garantir son adéquation avec les besoins réels.</t>
  </si>
  <si>
    <t>Existence de livrables validés décrivant les choix technologiques majeurs</t>
  </si>
  <si>
    <t>Des livrables validés décrivent-ils les choix technologiques majeurs ?</t>
  </si>
  <si>
    <t>Fiches de choix technologiques validées</t>
  </si>
  <si>
    <t>Choix technologiques non validés ou mal documentés</t>
  </si>
  <si>
    <t>Absence de validation d'options critiques, augmentant les risques techniques.</t>
  </si>
  <si>
    <t>Valider les choix technologiques avec des experts internes ou externes et les documenter de manière détaillée.</t>
  </si>
  <si>
    <t xml:space="preserve">Etudes d'opportunité et expression des besoins </t>
  </si>
  <si>
    <t xml:space="preserve">S'assurer que l'expression détaillée des besoins est formalisée dans un cahier des charges fait par la MOA </t>
  </si>
  <si>
    <t>Cahier des charges rédigé et validé par la maîtrise d’ouvrage</t>
  </si>
  <si>
    <t>Le cahier des charges a-t-il été rédigé et validé par la MOA ?</t>
  </si>
  <si>
    <t>Cahier des charges fonctionnel validé</t>
  </si>
  <si>
    <t>Cahier des charges incomplet ou mal validé</t>
  </si>
  <si>
    <t>Solutions mal adaptées aux besoins métiers, causant une mauvaise adoption et de l'insatisfaction.</t>
  </si>
  <si>
    <t>Valider et compléter le cahier des charges en impliquant les parties prenantes afin d’éviter toute omission.</t>
  </si>
  <si>
    <t>Besoins fonctionnels et non fonctionnels clairement définis</t>
  </si>
  <si>
    <t>Les besoins fonctionnels et non fonctionnels sont-ils clairement définis ?</t>
  </si>
  <si>
    <t>Expression des besoins (fonctionnels et non fonctionnels)</t>
  </si>
  <si>
    <t>Besoins fonctionnels mal définis ou incomplets</t>
  </si>
  <si>
    <t>Manque de traçabilité, créant une confusion dans la gestion des exigences.</t>
  </si>
  <si>
    <t>Clarifier et formaliser les besoins fonctionnels afin de garantir que toutes les attentes sont prises en compte.</t>
  </si>
  <si>
    <t>Prise en compte des contraintes métier et réglementaires</t>
  </si>
  <si>
    <t>Les contraintes métier et réglementaires ont-elles été prises en compte ?</t>
  </si>
  <si>
    <t>Document de prise en compte des contraintes métiers et réglementaires</t>
  </si>
  <si>
    <t>Non-prise en compte des contraintes métier et réglementaires</t>
  </si>
  <si>
    <t>Négligence des aspects réglementaires, entraînant des non-conformités et des pénalités.</t>
  </si>
  <si>
    <t>Tenir compte des contraintes métier et réglementaires dans l’ensemble du processus de décision.</t>
  </si>
  <si>
    <t>Traçabilité des besoins vers les exigences utilisateurs</t>
  </si>
  <si>
    <t>Existe-t-il une traçabilité des besoins vers les exigences utilisateurs ?</t>
  </si>
  <si>
    <t>Matrice de traçabilité besoins / exigences</t>
  </si>
  <si>
    <t>Manque de traçabilité des besoins utilisateurs</t>
  </si>
  <si>
    <t>Absence d’adéquation entre les solutions et les exigences, entraînant des erreurs et des révisions coûteuses.</t>
  </si>
  <si>
    <t>Assurer la traçabilité complète des besoins utilisateurs pour faciliter leur gestion tout au long du projet.</t>
  </si>
  <si>
    <t>Implication des utilisateurs dans la phase de recueil des besoins</t>
  </si>
  <si>
    <t>Les utilisateurs ont-ils été impliqués dans la phase de recueil des besoins ?</t>
  </si>
  <si>
    <t>Compte-rendu des ateliers de recueil des besoins</t>
  </si>
  <si>
    <t>Sous-implication des utilisateurs dans le recueil des besoins</t>
  </si>
  <si>
    <t>Choix technologiques non optimaux, entraînant des coûts plus élevés ou une performance inférieure.</t>
  </si>
  <si>
    <t>Impliquer les utilisateurs dans le recueil des besoins pour obtenir des informations complètes et précises.</t>
  </si>
  <si>
    <t>S’assurer que le cahier des charges préconise une solution fonctionnellement et techniquement pertinente au regard des besoins exprimés</t>
  </si>
  <si>
    <t>Adéquation des fonctionnalités proposées avec les besoins exprimés</t>
  </si>
  <si>
    <t>Les fonctionnalités proposées répondent-elles aux besoins exprimés ?</t>
  </si>
  <si>
    <t>Matrice de couverture des besoins vs. fonctionnalités</t>
  </si>
  <si>
    <t>Non-adéquation des fonctionnalités proposées aux besoins</t>
  </si>
  <si>
    <t>Manque de consultation des parties prenantes, conduisant à des choix inadaptés ou non soutenus.</t>
  </si>
  <si>
    <t>S’assurer que les fonctionnalités proposées répondent réellement aux besoins exprimés par les utilisateurs.</t>
  </si>
  <si>
    <t>Analyse comparative des différentes solutions étudiées</t>
  </si>
  <si>
    <t>Une analyse comparative des différentes solutions a-t-elle été effectuée ?</t>
  </si>
  <si>
    <t>Analyse comparative de solutions</t>
  </si>
  <si>
    <t>Mauvaise évaluation des solutions possibles</t>
  </si>
  <si>
    <t>Non-conformité avec les exigences fonctionnelles, entraînant des ajustements coûteux ou des rejets de la solution.</t>
  </si>
  <si>
    <t>Evaluer avec soin les différentes solutions possibles avant de prendre une décision définitive.</t>
  </si>
  <si>
    <t>Pertinence de l’architecture technique proposée</t>
  </si>
  <si>
    <t>L’architecture technique proposée est-elle pertinente ?</t>
  </si>
  <si>
    <t>Dossier d’architecture technique validé</t>
  </si>
  <si>
    <t>Choix d’architecture technique non pertinent</t>
  </si>
  <si>
    <t>Problèmes de communication des priorités, entraînant une mauvaise gestion des attentes.</t>
  </si>
  <si>
    <t>Choisir une architecture technique en fonction des besoins à long terme, avec une évaluation des risques et de la maintenabilité.</t>
  </si>
  <si>
    <t>Évaluation de la maintenabilité et de l’évolutivité de la solution</t>
  </si>
  <si>
    <t>La solution choisie est-elle maintenable et évolutive ?</t>
  </si>
  <si>
    <t>Note de maintien en conditions opérationnelles</t>
  </si>
  <si>
    <t>Négligence sur la maintenabilité ou évolutivité de la solution</t>
  </si>
  <si>
    <t>Sous-estimation des besoins, conduisant à un manque de ressources ou de temps.</t>
  </si>
  <si>
    <t>Vérifier la maintenabilité et l’évolutivité des solutions proposées avant leur adoption.</t>
  </si>
  <si>
    <t>Validation du choix de solution par les parties prenantes</t>
  </si>
  <si>
    <t>Le choix de la solution a-t-il été validé par les parties prenantes ?</t>
  </si>
  <si>
    <t>PV de validation du choix de la solution</t>
  </si>
  <si>
    <t>Validation des choix par des parties prenantes non représentatives</t>
  </si>
  <si>
    <t>Non-prise en compte des besoins métiers dans la solution, entraînant une inadéquation avec la réalité du terrain.</t>
  </si>
  <si>
    <t>Valider les choix de l'architecture et des parties prenantes représentatives de l'ensemble des intérêts.</t>
  </si>
  <si>
    <t>S’assurer que les exigences utilisateurs, les populations ciblées, les options et principes de gestion retenus sont précisés et priorisés</t>
  </si>
  <si>
    <t>Identification claire des populations cibles</t>
  </si>
  <si>
    <t>Les populations cibles ont-elles été clairement identifiées ?</t>
  </si>
  <si>
    <t>Fiche de description des populations cibles</t>
  </si>
  <si>
    <t>Mauvaise identification des populations cibles</t>
  </si>
  <si>
    <t>Perte de temps et d’efficacité due à des processus non optimisés.</t>
  </si>
  <si>
    <t>Identifier correctement les populations cibles afin de garantir la pertinence de la solution pour tous les utilisateurs.</t>
  </si>
  <si>
    <t>Exigences utilisateurs classées par priorité ou criticité</t>
  </si>
  <si>
    <t>Les exigences utilisateurs sont-elles classées par priorité ou criticité ?</t>
  </si>
  <si>
    <t>Grille de priorisation des exigences</t>
  </si>
  <si>
    <t>Mauvaises priorités dans les exigences utilisateurs</t>
  </si>
  <si>
    <t>Problèmes liés à des dépendances extérieures, créant des retards ou des surcoûts.</t>
  </si>
  <si>
    <t>Prioriser correctement les exigences des utilisateurs en fonction de leur impact et de leur urgence.</t>
  </si>
  <si>
    <t>Description des scénarios d’usage représentatifs</t>
  </si>
  <si>
    <t>Des scénarios d’usage représentatifs sont-ils décrits ?</t>
  </si>
  <si>
    <t>Dossier de scénarios d’usage</t>
  </si>
  <si>
    <t>Utilisation de scénarios d’usage non représentatifs</t>
  </si>
  <si>
    <t>Non-évaluation des impacts, créant des surprises à un stade avancé du projet.</t>
  </si>
  <si>
    <t>Utiliser des scénarios d’usage représentatifs pour tester la solution et en garantir l’adéquation.</t>
  </si>
  <si>
    <t>Validation formelle des principes de gestion avec les métiers</t>
  </si>
  <si>
    <t>Les principes de gestion ont-ils été validés formellement avec les métiers ?</t>
  </si>
  <si>
    <t>Document de validation des principes de gestion</t>
  </si>
  <si>
    <t>Non-validation des principes de gestion avec les métiers</t>
  </si>
  <si>
    <t>Mauvaise communication des risques, rendant leur gestion difficile.</t>
  </si>
  <si>
    <t>Valider les principes de gestion avec les métiers pour assurer l’alignement des objectifs et des processus.</t>
  </si>
  <si>
    <t>Documentation des arbitrages effectués entre options</t>
  </si>
  <si>
    <t>Les arbitrages entre options ont-ils été documentés ?</t>
  </si>
  <si>
    <t>Rapport sur les arbitrages documentés</t>
  </si>
  <si>
    <t>Non-documentation des arbitrages entre options</t>
  </si>
  <si>
    <t>Absence de révision des plans, entraînant des projets mal pilotés et des risques non maîtrisés.</t>
  </si>
  <si>
    <t>Documenter tous les arbitrages et décisions concernant les options afin de faciliter la traçabilité et la justification.</t>
  </si>
  <si>
    <t xml:space="preserve">S’assurer que le projet est cohérent avec le plan directeur informatique </t>
  </si>
  <si>
    <t>Alignement des objectifs du projet avec les orientations stratégiques du SI</t>
  </si>
  <si>
    <t>Les objectifs du projet sont-ils alignés avec les orientations stratégiques du SI ?</t>
  </si>
  <si>
    <t>Note d’alignement stratégique SI / projet</t>
  </si>
  <si>
    <t>Déviation des objectifs du projet par rapport à la stratégie SI</t>
  </si>
  <si>
    <t>Problèmes de maintenance futurs, créant des coûts additionnels à long terme.</t>
  </si>
  <si>
    <t>S'assurer que les objectifs du projet sont bien en ligne avec la stratégie SI de l'entreprise.</t>
  </si>
  <si>
    <t>Inclusion du projet dans le portefeuille stratégique du DSI</t>
  </si>
  <si>
    <t>Le projet est-il intégré dans le portefeuille stratégique du DSI ?</t>
  </si>
  <si>
    <t>Portefeuille de projets SI actualisé</t>
  </si>
  <si>
    <t>Exclusion du projet du portefeuille stratégique du DSI</t>
  </si>
  <si>
    <t>Risques de sécurité et de compatibilité non pris en compte, entraînant des violations ou des défaillances.</t>
  </si>
  <si>
    <t>Inclure le projet dans le portefeuille stratégique du DSI pour garantir qu’il bénéficie de la visibilité et des ressources nécessaires.</t>
  </si>
  <si>
    <t>Vérification de la compatibilité avec les standards technologiques du plan directeur</t>
  </si>
  <si>
    <t>La compatibilité avec les standards technologiques du plan directeur est-elle vérifiée ?</t>
  </si>
  <si>
    <t>Vérification de conformité aux standards techniques</t>
  </si>
  <si>
    <t>Non-respect des standards technologiques</t>
  </si>
  <si>
    <t>Erreurs coûteuses dues à un manque d'anticipation sur les risques techniques.</t>
  </si>
  <si>
    <t>Respecter les standards technologiques établis pour assurer la cohérence et la compatibilité avec l’infrastructure existante.</t>
  </si>
  <si>
    <t>Prise en compte des priorités d’investissement du plan directeur</t>
  </si>
  <si>
    <t>Les priorités d’investissement du plan directeur sont-elles prises en compte ?</t>
  </si>
  <si>
    <t>Plan directeur SI avec priorités d’investissement</t>
  </si>
  <si>
    <t>Non-alignment avec le plan directeur du SI</t>
  </si>
  <si>
    <t>Incapacité à répondre aux incidents rapidement, augmentant le temps d'indisponibilité.</t>
  </si>
  <si>
    <t>S’assurer que le projet est aligné avec le plan directeur du SI pour éviter des incohérences à long terme.</t>
  </si>
  <si>
    <t>Approbation formelle du projet par le comité stratégique SI</t>
  </si>
  <si>
    <t>Le projet a-t-il reçu une approbation formelle du comité stratégique SI ?</t>
  </si>
  <si>
    <t>PV d’approbation du comité stratégique SI</t>
  </si>
  <si>
    <t>Non-prise en compte des priorités du plan directeur</t>
  </si>
  <si>
    <t>Planification inadéquate, entraînant des retards ou un mauvais usage des ressources.</t>
  </si>
  <si>
    <t>Tenir compte des priorités du plan directeur du SI lors de la planification du projet.</t>
  </si>
  <si>
    <t>S’assurer que le projet est cohérent avec le SI actuel ou futur</t>
  </si>
  <si>
    <t>Analyse d’impact sur les systèmes existants</t>
  </si>
  <si>
    <t>Les impacts sur les systèmes existants ont-ils été analysés ?</t>
  </si>
  <si>
    <t>Étude d’impact sur systèmes existants</t>
  </si>
  <si>
    <t>Approbation sans validation par le comité stratégique</t>
  </si>
  <si>
    <t>Non-suivi des progrès du projet, créant des erreurs ou une mauvaise gestion des priorités.</t>
  </si>
  <si>
    <t>Obtenir une validation préalable du comité stratégique avant toute décision importante.</t>
  </si>
  <si>
    <t>Conformité avec les standards d’urbanisation du SI</t>
  </si>
  <si>
    <t>Le projet est-il conforme aux standards d’urbanisation du SI ?</t>
  </si>
  <si>
    <t>Vérification des règles d’urbanisation SI</t>
  </si>
  <si>
    <t>Impact négatif sur les systèmes existants</t>
  </si>
  <si>
    <t>Problèmes de lisibilité du projet, réduisant la capacité à prendre des décisions informées.</t>
  </si>
  <si>
    <t>Evaluer l'impact potentiel du projet sur les systèmes existants afin d’éviter des perturbations.</t>
  </si>
  <si>
    <t>Intégration prévue avec les applications existantes</t>
  </si>
  <si>
    <t>L’intégration avec les applications existantes est-elle prévue ?</t>
  </si>
  <si>
    <t>Dossier d’intégration applicative</t>
  </si>
  <si>
    <t>Non-conformité avec les standards d'urbanisation du SI</t>
  </si>
  <si>
    <t>Désorganisation du projet, entraînant un retard dans la réalisation des objectifs.</t>
  </si>
  <si>
    <t>Vérifier que le projet respecte les standards d'urbanisation du SI pour garantir une intégration efficace.</t>
  </si>
  <si>
    <t>Prise en compte de la roadmap technologique du SI</t>
  </si>
  <si>
    <t>La roadmap technologique du SI a-t-elle été prise en compte ?</t>
  </si>
  <si>
    <t>Roadmap technologique du SI</t>
  </si>
  <si>
    <t>Intégration difficile avec les applications existantes</t>
  </si>
  <si>
    <t>Non-suivi des risques, rendant difficile la gestion des imprévus.</t>
  </si>
  <si>
    <t>Prévoir une stratégie d'intégration adéquate avec les applications existantes pour éviter les conflits ou les incompatibilités.</t>
  </si>
  <si>
    <t>Existence de livrables d’architecture technique compatibles avec le SI cible</t>
  </si>
  <si>
    <t>Des livrables d’architecture technique compatibles avec le SI cible existent-ils ?</t>
  </si>
  <si>
    <t>Livrables d’architecture technique alignés SI cible</t>
  </si>
  <si>
    <t>Non-prise en compte de la roadmap technologique</t>
  </si>
  <si>
    <t>Absence de soutien directionnel, réduisant l’efficacité des décisions et de l’équipe projet.</t>
  </si>
  <si>
    <t>Intégrer la roadmap technologique dans le plan de projet pour garantir une évolution harmonieuse.</t>
  </si>
  <si>
    <t xml:space="preserve">S’assurer que la direction est bien impliquée dans le projet </t>
  </si>
  <si>
    <t>Présence de la direction dans les comités de pilotage</t>
  </si>
  <si>
    <t>La direction est-elle présente dans les comités de pilotage ?</t>
  </si>
  <si>
    <t>Ordres du jour et PV des comités de pilotage</t>
  </si>
  <si>
    <t>Architecture technique incompatible avec le SI cible</t>
  </si>
  <si>
    <t>Non-prise en compte des priorités métiers, entraînant un échec de l’implémentation des solutions.</t>
  </si>
  <si>
    <t>S’assurer que l’architecture technique est compatible avec le SI cible pour éviter des dérives ou des obstacles à l’intégration.</t>
  </si>
  <si>
    <t>Suivi régulier du projet par le sponsor ou un représentant de la direction</t>
  </si>
  <si>
    <t>Le projet est-il suivi régulièrement par le sponsor ou un représentant de la direction ?</t>
  </si>
  <si>
    <t>Fiche de suivi sponsor / direction</t>
  </si>
  <si>
    <t>Manque de présence de la direction dans les comités de pilotage</t>
  </si>
  <si>
    <t>Manque de coordination entre équipes, augmentant le risque de conflits et de retards.</t>
  </si>
  <si>
    <t>Impliquer la direction dans les comités de pilotage pour garantir l’engagement et la prise de décision rapide.</t>
  </si>
  <si>
    <t>Appui de la direction dans les décisions majeures</t>
  </si>
  <si>
    <t>La direction soutient-elle activement les décisions majeures du projet ?</t>
  </si>
  <si>
    <t>Notes de communication de la direction</t>
  </si>
  <si>
    <t>Suivi insuffisant du projet par la direction</t>
  </si>
  <si>
    <t>Problèmes de validation des décisions, créant des erreurs dans les processus décisionnels.</t>
  </si>
  <si>
    <t>Assurer un suivi régulier du projet par la direction pour garantir sa progression et sa bonne exécution.</t>
  </si>
  <si>
    <t>Communication formelle de la direction sur le projet</t>
  </si>
  <si>
    <t>La direction communique-t-elle formellement sur le projet ?</t>
  </si>
  <si>
    <t>Validation formelle de l’engagement des ressources</t>
  </si>
  <si>
    <t>Manque d’appui de la direction dans les décisions clés</t>
  </si>
  <si>
    <t>Manque de structure de gouvernance, entraînant une mauvaise gestion et un projet incohérent.</t>
  </si>
  <si>
    <t>Obtenir un appui constant de la direction pour prendre des décisions clés et assurer la réussite du projet.</t>
  </si>
  <si>
    <t>Engagement des ressources validé au niveau de la direction</t>
  </si>
  <si>
    <t>L’engagement des ressources a-t-il été validé au niveau de la direction ?</t>
  </si>
  <si>
    <t>Organigramme projet avec fiches de rôle</t>
  </si>
  <si>
    <t>Mauvaise communication formelle de la direction</t>
  </si>
  <si>
    <t>Échec dans l’accomplissement des objectifs à cause d'une mauvaise planification ou d'un manque de ressources.</t>
  </si>
  <si>
    <t>Communiquer formellement la vision de la direction et les priorités du projet pour une compréhension claire par toutes les parties.</t>
  </si>
  <si>
    <t xml:space="preserve">S’assurer que les acteurs de l'équipe projet et leurs
responsabilités sont bien identifiés </t>
  </si>
  <si>
    <t>Organisation projet formalisée (organigramme, fiches de rôle)</t>
  </si>
  <si>
    <t>L’organisation projet est-elle formalisée avec organigramme et fiches de rôle ?</t>
  </si>
  <si>
    <t>Liste nominative des acteurs projet</t>
  </si>
  <si>
    <t>Engagement insuffisant des ressources validées</t>
  </si>
  <si>
    <t>Manque de visibilité ou de préparation avant les réunions, réduisant l'efficacité des prises de décision.</t>
  </si>
  <si>
    <t>Garantir l’engagement des ressources validées en fonction des besoins du projet et de la charge de travail estimée.</t>
  </si>
  <si>
    <t>Acteurs désignés et disponibles selon leurs rôles</t>
  </si>
  <si>
    <t>Les acteurs projet ont-ils été désignés et sont-ils disponibles selon leurs rôles ?</t>
  </si>
  <si>
    <t>RACI ou document de répartition des responsabilités</t>
  </si>
  <si>
    <t>Mauvaise organisation projet ou manquement de documentation</t>
  </si>
  <si>
    <t>Risques d’indisponibilité des ressources critiques, entraînant des interruptions dans le projet.</t>
  </si>
  <si>
    <t>Structurer le projet et la documentation de manière claire pour éviter toute ambiguïté dans l’organisation.</t>
  </si>
  <si>
    <t>Description claire des responsabilités de chacun</t>
  </si>
  <si>
    <t>Les responsabilités de chacun sont-elles clairement décrites ?</t>
  </si>
  <si>
    <t>PV de validation organisation projet</t>
  </si>
  <si>
    <t>Manque de disponibilité des acteurs désignés</t>
  </si>
  <si>
    <t>Ralentissement du projet dû à une mauvaise évaluation des risques.</t>
  </si>
  <si>
    <t>Assurer la disponibilité des acteurs clés pour éviter des retards dans l'exécution du projet.</t>
  </si>
  <si>
    <t>Validation de l’organisation projet par le comité de pilotage</t>
  </si>
  <si>
    <t>L’organisation projet a-t-elle été validée par le comité de pilotage ?</t>
  </si>
  <si>
    <t>Organigramme versionné avec date de mise à jour</t>
  </si>
  <si>
    <t>Absence de clarification des responsabilités</t>
  </si>
  <si>
    <t>Retards significatifs si la révision des plannings n'est pas faite régulièrement.</t>
  </si>
  <si>
    <t>Clarifier les responsabilités et veiller à leur respect pour éviter toute confusion dans l'exécution.</t>
  </si>
  <si>
    <t>Mise à jour de l’organigramme en cas d’évolution des ressources</t>
  </si>
  <si>
    <t>L’organigramme est-il mis à jour en cas de changement de ressources ?</t>
  </si>
  <si>
    <t>Planning global projet validé</t>
  </si>
  <si>
    <t>Validation non formalisée de l’organisation projet</t>
  </si>
  <si>
    <t>Problèmes d’intégration si les responsabilités sont mal réparties ou non suivies.</t>
  </si>
  <si>
    <t>Formaliser la validation de l’organisation du projet pour garantir sa solidité et sa cohérence.</t>
  </si>
  <si>
    <t xml:space="preserve">planification </t>
  </si>
  <si>
    <t xml:space="preserve">S’assurer qu’il existe un planning directeur commun à tout le
projet </t>
  </si>
  <si>
    <t>lanning global du projet formalisé et partagé</t>
  </si>
  <si>
    <t>Le planning global du projet est-il formalisé et partagé ?</t>
  </si>
  <si>
    <t>Planning des phases, jalons et livrables</t>
  </si>
  <si>
    <t>Manque de mise à jour de l’organigramme en cas d’évolution</t>
  </si>
  <si>
    <t>Non-prise en compte des besoins réels, entraînant un échec du projet à répondre aux attentes.</t>
  </si>
  <si>
    <t>Mettre à jour l’organigramme du projet en cas d’évolution pour garantir une organisation claire et à jour.</t>
  </si>
  <si>
    <t>Intégration des grandes phases, jalons, livrables clés</t>
  </si>
  <si>
    <t>Le planning intègre-t-il les grandes phases, jalons et livrables clés ?</t>
  </si>
  <si>
    <t>Planning directeur et plannings détaillés alignés</t>
  </si>
  <si>
    <t>Mauvaise planification du projet ou non partage</t>
  </si>
  <si>
    <t>Retards dans l'exécution, surcoût, mauvaise qualité de livraison, confusion au sein de l’équipe projet.</t>
  </si>
  <si>
    <t>Partager et valider régulièrement la planification du projet avec toutes les parties prenantes pour garantir son bon déroulement.</t>
  </si>
  <si>
    <t>Cohérence entre le planning directeur et les plannings détaillés</t>
  </si>
  <si>
    <t>Le planning directeur est-il cohérent avec les plannings détaillés ?</t>
  </si>
  <si>
    <t>PV de validation des plannings par responsables de lots</t>
  </si>
  <si>
    <t>Non-cohérence entre le planning directeur et les plannings détaillés</t>
  </si>
  <si>
    <t>Difficulté à respecter les délais, risque de non-respect des objectifs.</t>
  </si>
  <si>
    <t>Assurer une cohérence totale entre le planning directeur et les plannings détaillés.</t>
  </si>
  <si>
    <t>Validation du planning par les responsables de chaque lot ou domaine</t>
  </si>
  <si>
    <t>Le planning a-t-il été validé par les responsables de chaque lot ou domaine ?</t>
  </si>
  <si>
    <t>Planning directeur versionné avec historique</t>
  </si>
  <si>
    <t>Non-validation des plannings par les responsables</t>
  </si>
  <si>
    <t>Risque de mauvaise gestion du projet, décision non validée, responsabilité floue.</t>
  </si>
  <si>
    <t>Valider les plannings avec les responsables concernés pour garantir leur pertinence et leur réalisme.</t>
  </si>
  <si>
    <t>Mises à jour régulières du planning directeur en cas de changement</t>
  </si>
  <si>
    <t>Le planning directeur est-il mis à jour régulièrement en cas de changement ?</t>
  </si>
  <si>
    <t>Plan de projet complet (lots, livrables, délais, ressources)</t>
  </si>
  <si>
    <t>Mise à jour insuffisante ou inappropriée du planning</t>
  </si>
  <si>
    <t>Risque de non-alignement avec les objectifs du projet, problèmes d'organisation.</t>
  </si>
  <si>
    <t>Mettre à jour régulièrement le planning du projet pour tenir compte des imprévus ou ajustements nécessaires.</t>
  </si>
  <si>
    <t>S’assurer qu’il existe un plan de projet initial</t>
  </si>
  <si>
    <t>Plan de projet rédigé dès la phase de lancement</t>
  </si>
  <si>
    <t>Un plan de projet a-t-il été rédigé dès la phase de lancement ?</t>
  </si>
  <si>
    <t>PV de validation du plan par MOA et MOE</t>
  </si>
  <si>
    <t>Planification incomplète dès la phase de lancement</t>
  </si>
  <si>
    <t>Risque de retard de livraison, mauvaise préparation des phases suivantes du projet.</t>
  </si>
  <si>
    <t>Finaliser le planning dès la phase de lancement et éviter les modifications fréquentes.</t>
  </si>
  <si>
    <t>Définition des lots, livrables, ressources et délais</t>
  </si>
  <si>
    <t>Les lots, livrables, ressources et délais sont-ils bien définis ?</t>
  </si>
  <si>
    <t>Budget prévisionnel intégré au plan de projet</t>
  </si>
  <si>
    <t>Mauvaises prévisions des lots, livrables ou ressources</t>
  </si>
  <si>
    <t>Non-respect des délais, maldistribution des tâches et des ressources.</t>
  </si>
  <si>
    <t>Réaliser une estimation réaliste des lots, livrables et ressources dès le début du projet.</t>
  </si>
  <si>
    <t>Plan validé par la maîtrise d’ouvrage et la maîtrise d’œuvre</t>
  </si>
  <si>
    <t>Le plan est-il validé par la MOA et la MOE ?</t>
  </si>
  <si>
    <t>Référencement documentaire du plan</t>
  </si>
  <si>
    <t>Non-réalisation de mises à jour régulières du plan</t>
  </si>
  <si>
    <t>Risque de non-atteinte des objectifs en raison de l'absence de mise à jour en temps réel.</t>
  </si>
  <si>
    <t>Réaliser des mises à jour régulières du plan en fonction de l’évolution des besoins et des ressources.</t>
  </si>
  <si>
    <t>Intégration d’un budget prévisionnel dans le plan</t>
  </si>
  <si>
    <t>Un budget prévisionnel est-il intégré dans le plan de projet ?</t>
  </si>
  <si>
    <t>Historique des versions du plan</t>
  </si>
  <si>
    <t>Non-suivi des écarts entre prévision et réalité</t>
  </si>
  <si>
    <t>Risque d’écarts entre la planification et la réalité, difficultés d’anticipation.</t>
  </si>
  <si>
    <t>Suivre de près les écarts entre les prévisions et la réalité afin d’ajuster rapidement les actions à prendre.</t>
  </si>
  <si>
    <t>Référencement du plan dans la documentation projet</t>
  </si>
  <si>
    <t>Le plan est-il référencé dans la documentation projet ?</t>
  </si>
  <si>
    <t>Suivi des écarts prévision/réalisation</t>
  </si>
  <si>
    <t>Révision insuffisante du plan après chaque phase majeure</t>
  </si>
  <si>
    <t>Mauvaise gestion des ressources, retard de réalisation des jalons.</t>
  </si>
  <si>
    <t>Réviser régulièrement le plan de projet après chaque phase majeure pour intégrer les enseignements tirés.</t>
  </si>
  <si>
    <t xml:space="preserve">S’assurer que ce plan de projet a été révisé </t>
  </si>
  <si>
    <t>Existence de versions successives du plan avec historique des modifications</t>
  </si>
  <si>
    <t>Existe-t-il des versions successives du plan avec un historique des modifications ?</t>
  </si>
  <si>
    <t>PV de révision post-revue de phase</t>
  </si>
  <si>
    <t>Non-prise en compte des risques dans la révision du plan</t>
  </si>
  <si>
    <t>Risque d'oublier certains risques, impact sur la planification et la gestion des ressources.</t>
  </si>
  <si>
    <t>Prendre en compte les risques et réviser les plans en fonction de ceux-ci pour éviter des dérives.</t>
  </si>
  <si>
    <t>Suivi des écarts entre prévision et réalisation</t>
  </si>
  <si>
    <t>Les écarts entre prévision et réalisation sont-ils suivis ?</t>
  </si>
  <si>
    <t>Plan actualisé en fonction des risques</t>
  </si>
  <si>
    <t>Non-validation des révisions par les responsables concernés</t>
  </si>
  <si>
    <t>Risque d'inefficacité dans la prise de décisions, perte de temps dans les phases critiques.</t>
  </si>
  <si>
    <t>Valider systématiquement les révisions du plan avec les responsables concernés avant de les appliquer.</t>
  </si>
  <si>
    <t>Révision du plan après chaque phase majeure ou revue de projet</t>
  </si>
  <si>
    <t>Le plan est-il révisé après chaque phase majeure ou revue de projet ?</t>
  </si>
  <si>
    <t>PV de validation après chaque révision</t>
  </si>
  <si>
    <t>Révision des plans trop tardive ou incohérente</t>
  </si>
  <si>
    <t>Risque de perte de contrôle sur l’évolution du projet, erreurs de gestion.</t>
  </si>
  <si>
    <t>Eviter des révisions tardives et incohérentes en anticipant les ajustements nécessaires.</t>
  </si>
  <si>
    <t>Plan mis à jour en fonction des risques identifiés</t>
  </si>
  <si>
    <t>Le plan est-il mis à jour en fonction des risques identifiés ?</t>
  </si>
  <si>
    <t>Plans détaillés par lot ou sous-projet</t>
  </si>
  <si>
    <t>Mauvaise gestion des ressources humaines</t>
  </si>
  <si>
    <t>Mauvaise gestion des ressources humaines, surcharge de travail ou sous-utilisation.</t>
  </si>
  <si>
    <t>Optimiser la gestion des ressources humaines en fonction des besoins du projet et des compétences disponibles.</t>
  </si>
  <si>
    <t>Nouvelle version validée à chaque révision</t>
  </si>
  <si>
    <t>Chaque révision du plan fait-elle l’objet d’une nouvelle validation ?</t>
  </si>
  <si>
    <t>Planning détaillé avec tâches, durées, dépendances</t>
  </si>
  <si>
    <t>Mauvaise optimisation des charges entre les équipes</t>
  </si>
  <si>
    <t>Problèmes de communication interne, perte d’efficacité.</t>
  </si>
  <si>
    <t>Répartir les charges entre les équipes pour éviter les déséquilibres et garantir une gestion optimale des ressources.</t>
  </si>
  <si>
    <t>S’assurer qu’il existe des plans détaillés</t>
  </si>
  <si>
    <t>Plans détaillés disponibles pour chaque lot ou sous-projet</t>
  </si>
  <si>
    <t>Des plans détaillés sont-ils disponibles pour chaque lot ou sous-projet ?</t>
  </si>
  <si>
    <t>Liste des responsables d’activités</t>
  </si>
  <si>
    <t>Manque de visibilité sur la charge restante et la capacité projetée</t>
  </si>
  <si>
    <t>Manque de clarté sur les tâches à réaliser, manque de performance.</t>
  </si>
  <si>
    <t>Augmenter la visibilité sur la charge restante et la capacité projetée pour éviter des sous-estimations.</t>
  </si>
  <si>
    <t>Description des tâches, durées, ressources et dépendances</t>
  </si>
  <si>
    <t>Les tâches, durées, ressources et dépendances sont-elles décrites ?</t>
  </si>
  <si>
    <t>Alignement entre plannings détaillés et planning directeur</t>
  </si>
  <si>
    <t>Mauvaise réallocation des ressources en cas d’imprévus</t>
  </si>
  <si>
    <t>Risque de perte de visibilité sur les progrès du projet, mauvaise gestion des priorités.</t>
  </si>
  <si>
    <t>Réallouer les ressources rapidement en cas d’imprévus pour minimiser les retards.</t>
  </si>
  <si>
    <t>Responsables identifiés pour chaque activité</t>
  </si>
  <si>
    <t>Des responsables sont-ils identifiés pour chaque activité ?</t>
  </si>
  <si>
    <t>Outil de planification utilisé (ex. Gantt, Trello)</t>
  </si>
  <si>
    <t>Négligence des risques spécifiques au type de projet</t>
  </si>
  <si>
    <t>Échec dans la résolution des problèmes imprévus, baisse de qualité du projet.</t>
  </si>
  <si>
    <t>Identifier et traiter les risques spécifiques liés au type de projet pour éviter des échecs.</t>
  </si>
  <si>
    <t>Plans compatibles avec le planning directeur</t>
  </si>
  <si>
    <t>Les plans détaillés sont-ils compatibles avec le planning directeur ?</t>
  </si>
  <si>
    <t>Historique des révisions des plans</t>
  </si>
  <si>
    <t>Mauvaise analyse de la criticité des risques</t>
  </si>
  <si>
    <t>Incapacité à anticiper les risques spécifiques, impact sur la performance du projet.</t>
  </si>
  <si>
    <t>Analyser les risques de manière détaillée et classer leur criticité pour une gestion proactive.</t>
  </si>
  <si>
    <t>Outils de suivi utilisés pour les plans détaillés (ex. Gantt, Trello, etc.)</t>
  </si>
  <si>
    <t>Des outils de suivi (ex. Gantt, Trello) sont-ils utilisés pour les plans détaillés ?</t>
  </si>
  <si>
    <t>Rapport d’avancement avec ajustements documentés</t>
  </si>
  <si>
    <t>Plans de réponse aux risques inappropriés ou incomplets</t>
  </si>
  <si>
    <t>Mauvaise prise en charge des risques stratégiques ou opérationnels.</t>
  </si>
  <si>
    <t>Concevoir des plans de réponse aux risques appropriés et en tenir compte dans la gestion quotidienne du projet.</t>
  </si>
  <si>
    <t>S’assurer que ces plans ont été révisés</t>
  </si>
  <si>
    <t>Historique des révisions disponible</t>
  </si>
  <si>
    <t>L’historique des révisions de plans est-il disponible ?</t>
  </si>
  <si>
    <t>PV de validation des révisions par responsables</t>
  </si>
  <si>
    <t>Non-suivi régulier du registre des risques</t>
  </si>
  <si>
    <t>Incapacité à atténuer efficacement les risques, perturbations dans le projet.</t>
  </si>
  <si>
    <t>Suivre régulièrement le registre des risques pour assurer une mise à jour constante.</t>
  </si>
  <si>
    <t>Révision des plans en fonction de l’avancement réel</t>
  </si>
  <si>
    <t>Les plans sont-ils révisés selon l’avancement réel du projet ?</t>
  </si>
  <si>
    <t>CR des comités avec point sur les plans</t>
  </si>
  <si>
    <t>Absence de révisions régulières des risques</t>
  </si>
  <si>
    <t>Absence de prise en compte de l'impact des risques, manque de réactivité.</t>
  </si>
  <si>
    <t>Réévaluer les risques de manière périodique pour prendre en compte les nouveaux éléments et les imprévus.</t>
  </si>
  <si>
    <t>Ajustement des plans selon les ressources et contraintes rencontrées</t>
  </si>
  <si>
    <t>Les plans sont-ils ajustés en fonction des ressources et contraintes rencontrées ?</t>
  </si>
  <si>
    <t>Tableau de suivi de l’affectation des ressources</t>
  </si>
  <si>
    <t>Oubli des risques techniques spécifiques à la solution</t>
  </si>
  <si>
    <t>Manque de visibilité sur les progrès du projet, retard dans l’atteinte des objectifs.</t>
  </si>
  <si>
    <t>Considérer spécifiquement les risques techniques liés à la solution envisagée pour éviter des perturbations.</t>
  </si>
  <si>
    <t>Validation des révisions par les responsables concernés</t>
  </si>
  <si>
    <t>Les révisions sont-elles validées par les responsables concernés ?</t>
  </si>
  <si>
    <t>Prise en compte des contraintes RH documentée</t>
  </si>
  <si>
    <t>Dépendance excessive vis-à-vis de technologies externes</t>
  </si>
  <si>
    <t>Non-assurance d’une gestion proactive des risques, altération des processus du projet.</t>
  </si>
  <si>
    <t>Diversifier les solutions et ne pas trop dépendre de technologies externes pour limiter les risques.</t>
  </si>
  <si>
    <t>Révision systématique lors des comités de suivi</t>
  </si>
  <si>
    <t>Les comités de suivi incluent-ils une révision systématique des plans ?</t>
  </si>
  <si>
    <t>Rapport d’optimisation de charge inter-équipes</t>
  </si>
  <si>
    <t>Non-évaluation de la maturité des technologies utilisées</t>
  </si>
  <si>
    <t>Mauvaise révision des risques après chaque étape importante, manque de réactivité face aux imprévus.</t>
  </si>
  <si>
    <t>Evaluer la maturité des technologies utilisées pour éviter des surprises pendant la phase de mise en œuvre.</t>
  </si>
  <si>
    <t>S’assurer que les plans intègrent une gestion optimale des ressources</t>
  </si>
  <si>
    <t>Affectation des ressources alignée avec les disponibilités réelles</t>
  </si>
  <si>
    <t>L’affectation des ressources est-elle alignée avec leur disponibilité réelle ?</t>
  </si>
  <si>
    <t>Indicateur de charge restante vs. capacité</t>
  </si>
  <si>
    <t>Absence de solutions de contournement en cas de défaillance</t>
  </si>
  <si>
    <t>Risque d’erreur dans les choix technologiques, défaillance du projet.</t>
  </si>
  <si>
    <t>Prévoir des solutions de contournement en cas de défaillance pour garantir la continuité du projet.</t>
  </si>
  <si>
    <t>Prise en compte des congés, formations et autres contraintes humaines</t>
  </si>
  <si>
    <t>Les contraintes humaines (congés, formations) sont-elles prises en compte ?</t>
  </si>
  <si>
    <t>Procédure de réallocation de ressources</t>
  </si>
  <si>
    <t>Non-prise en compte des risques de sécurité et de compatibilité</t>
  </si>
  <si>
    <t>Risque d'interruption du projet en cas de défaillance de la technologie externe.</t>
  </si>
  <si>
    <t>Intégrer les risques de sécurité et de compatibilité dans l’analyse globale des risques.</t>
  </si>
  <si>
    <t>Optimisation des charges entre les différentes équipes</t>
  </si>
  <si>
    <t>La charge est-elle optimisée entre les différentes équipes ?</t>
  </si>
  <si>
    <t>Registre des risques projet</t>
  </si>
  <si>
    <t>Mauvaise identification des risques spécifiques au projet</t>
  </si>
  <si>
    <t>Risques de faible performance technique, erreurs critiques non identifiées.</t>
  </si>
  <si>
    <t>Identifier spécifiquement les risques liés au projet et mettre en place des plans d'atténuation adaptés.</t>
  </si>
  <si>
    <t>Visibilité sur la charge restante et la capacité projetée</t>
  </si>
  <si>
    <t>Existe-t-il une visibilité sur la charge restante et la capacité projetée ?</t>
  </si>
  <si>
    <t>Analyse des risques (criticité, probabilité)</t>
  </si>
  <si>
    <t>Mise à jour insuffisante du registre des risques</t>
  </si>
  <si>
    <t>Absence de préparation aux risques techniques, impact négatif sur la livraison.</t>
  </si>
  <si>
    <t>Mettre à jour régulièrement le registre des risques pour refléter l'évolution de la situation du projet.</t>
  </si>
  <si>
    <t>Mécanisme de réallocation des ressources en cas d’imprévus</t>
  </si>
  <si>
    <t>Un mécanisme de réallocation des ressources est-il prévu en cas d’imprévus ?</t>
  </si>
  <si>
    <t>Plan de réponse aux risques majeurs</t>
  </si>
  <si>
    <t>Absence d'analyse d'impact ou de plan de traitement des risques</t>
  </si>
  <si>
    <t>Risques opérationnels majeurs si la technologie échoue ou devient obsolète.</t>
  </si>
  <si>
    <t>Analyser l'impact de chaque risque et prévoir un plan de traitement adapté pour limiter leur impact.</t>
  </si>
  <si>
    <t xml:space="preserve">S’assurer qu’il existe une évaluation des risques liés à la nature du projet </t>
  </si>
  <si>
    <t>Identification des risques spécifiques au type de projet (ex. complexité, innovation)</t>
  </si>
  <si>
    <t>Les risques spécifiques au type de projet sont-ils identifiés ?</t>
  </si>
  <si>
    <t>Mise à jour régulière du registre des risques</t>
  </si>
  <si>
    <t>Mauvaise communication des risques aux parties prenantes</t>
  </si>
  <si>
    <t>Manque de solutions de secours, prolongation des délais.</t>
  </si>
  <si>
    <t>Communiquer régulièrement sur les risques aux parties prenantes pour garantir une gestion transparente.</t>
  </si>
  <si>
    <t>Analyse de criticité et probabilité de survenue</t>
  </si>
  <si>
    <t>Les risques sont-ils analysés en termes de criticité et de probabilité ?</t>
  </si>
  <si>
    <t>Procédure de revue périodique des risques</t>
  </si>
  <si>
    <t>Non-suivi des plans d'atténuation ou des mesures correctives</t>
  </si>
  <si>
    <t>Risque de mise en échec du projet, données compromises, non-conformité.</t>
  </si>
  <si>
    <t>Suivre de près l’efficacité des plans d'atténuation et des mesures correctives pour garantir leur efficacité.</t>
  </si>
  <si>
    <t>Élaboration de plans de réponse aux risques majeurs</t>
  </si>
  <si>
    <t>Des plans de réponse aux risques majeurs sont-ils élaborés ?</t>
  </si>
  <si>
    <t>Liste des risques techniques documentés</t>
  </si>
  <si>
    <t>Analyse insuffisante des points critiques du planning</t>
  </si>
  <si>
    <t>Identification incorrecte des risques spécifiques, absence d’outils d’atténuation.</t>
  </si>
  <si>
    <t>Analyser régulièrement les points critiques du planning et agir rapidement en cas de dérives.</t>
  </si>
  <si>
    <t>Suivi régulier du registre des risques</t>
  </si>
  <si>
    <t>Le registre des risques est-il suivi régulièrement ?</t>
  </si>
  <si>
    <t>Analyse des dépendances technologiques</t>
  </si>
  <si>
    <t>Mauvaise évaluation des marges de manœuvre</t>
  </si>
  <si>
    <t>Mauvaise communication de l'impact des risques sur le projet, perturbation des équipes.</t>
  </si>
  <si>
    <t>Evaluer correctement les marges de manœuvre disponibles pour anticiper les retards ou obstacles éventuels.</t>
  </si>
  <si>
    <t>Révisions périodiques de l’évaluation des risques</t>
  </si>
  <si>
    <t>L’évaluation des risques fait-elle l’objet de révisions périodiques ?</t>
  </si>
  <si>
    <t>Évaluation de maturité technologique</t>
  </si>
  <si>
    <t>Dérive non anticipée par jalon</t>
  </si>
  <si>
    <t>Risques techniques non traités, risques d’échec pour le produit final.</t>
  </si>
  <si>
    <t>Anticiper les dérives à chaque jalon pour pouvoir prendre les mesures nécessaires en temps utile.</t>
  </si>
  <si>
    <t>S’assurer qu’il existe une évaluation des risques liés à la technologie utilisée</t>
  </si>
  <si>
    <t>Identification des risques techniques propres à la solution retenue</t>
  </si>
  <si>
    <t>Les risques techniques liés à la solution retenue sont-ils identifiés ?</t>
  </si>
  <si>
    <t>Plan de contournement en cas de défaillance</t>
  </si>
  <si>
    <t>Non-mise en place d'indicateurs d'alerte sur les retards</t>
  </si>
  <si>
    <t>Incapacité à gérer les imprévus, absence de plans de contingence, mauvaises décisions.</t>
  </si>
  <si>
    <t>Mettre en place des indicateurs d'alerte précoces pour identifier les retards avant qu'ils ne deviennent problématiques.</t>
  </si>
  <si>
    <t>Analyse des dépendances vis-à-vis de technologies externes</t>
  </si>
  <si>
    <t>Les dépendances technologiques externes sont-elles analysées ?</t>
  </si>
  <si>
    <t>Évaluation des risques de sécurité et de maintenance</t>
  </si>
  <si>
    <t>Plans de rattrapage inadaptés</t>
  </si>
  <si>
    <t>Pas de suivi des actions et de mesures correctives, erreur persistante.</t>
  </si>
  <si>
    <t>Mettre en place des plans de rattrapage réalistes pour pallier aux retards identifiés.</t>
  </si>
  <si>
    <t>Évaluation de la maturité des technologies utilisées</t>
  </si>
  <si>
    <t>La maturité des technologies utilisées est-elle évaluée ?</t>
  </si>
  <si>
    <t>Registre consolidé des risques projets actifs</t>
  </si>
  <si>
    <t>Mauvaise documentation de l’organigramme de pilotage</t>
  </si>
  <si>
    <t>Manque d’indicateurs de performance, mauvaise gestion des ressources.</t>
  </si>
  <si>
    <t>Documenter clairement l'organigramme de pilotage pour éviter toute ambiguïté dans la gestion du projet.</t>
  </si>
  <si>
    <t>Existence de solutions de contournement en cas de défaillance</t>
  </si>
  <si>
    <t>Des solutions de contournement sont-elles prévues en cas de défaillance ?</t>
  </si>
  <si>
    <t>Tableau de bord d’analyse des impacts de risques</t>
  </si>
  <si>
    <t>Manque de communication des rôles et responsabilités</t>
  </si>
  <si>
    <t>Risque de décision incohérente, impact sur la phase de développement et les livrables.</t>
  </si>
  <si>
    <t>Assurer une communication claire et formelle des rôles et responsabilités à toutes les parties prenantes.</t>
  </si>
  <si>
    <t>Prise en compte des risques de sécurité, compatibilité et maintenance</t>
  </si>
  <si>
    <t>Les risques liés à la sécurité, compatibilité et maintenance sont-ils pris en compte ?</t>
  </si>
  <si>
    <t>Communication des risques aux parties prenantes</t>
  </si>
  <si>
    <t>Non-présentation de la structure lors des réunions</t>
  </si>
  <si>
    <t>Perception erronée du projet, mauvaise gestion des priorités.</t>
  </si>
  <si>
    <t>Présenter la structure organisationnelle lors des réunions pour assurer une bonne compréhension de l’équipe projet.</t>
  </si>
  <si>
    <t>S’assurer qu’il existe une évaluation des risques liés aux projets en cours</t>
  </si>
  <si>
    <t>Identification des risques propres à chaque projet actif</t>
  </si>
  <si>
    <t>Les risques propres à chaque projet actif sont-ils identifiés ?</t>
  </si>
  <si>
    <t>Tableau de suivi des mesures correctives</t>
  </si>
  <si>
    <t>Non-validation ou révision de la structure</t>
  </si>
  <si>
    <t>Retards ou échec de livraison, incapacité à suivre les progrès en temps réel.</t>
  </si>
  <si>
    <t>Réviser régulièrement la structure organisationnelle pour s'assurer qu'elle reste pertinente au fur et à mesure du projet.</t>
  </si>
  <si>
    <t>Existence d’un registre de risques mis à jour régulièrement</t>
  </si>
  <si>
    <t>Un registre des risques mis à jour existe-t-il ?</t>
  </si>
  <si>
    <t>Analyse des points critiques du planning</t>
  </si>
  <si>
    <t>Non-définition des niveaux de décision formalisés</t>
  </si>
  <si>
    <t>Décisions inefficaces, incapacité à coordonner les actions.</t>
  </si>
  <si>
    <t>Définir clairement les niveaux de décision et les formaliser pour éviter les conflits.</t>
  </si>
  <si>
    <t>Analyse d’impact et plan de traitement des risques en cours</t>
  </si>
  <si>
    <t>L’impact des risques en cours est-il analysé et traité ?</t>
  </si>
  <si>
    <t>Évaluation des marges de manœuvre</t>
  </si>
  <si>
    <t>Mauvaise gestion des délégations ou responsabilités</t>
  </si>
  <si>
    <t>Mauvaise qualité des livrables, incertitude sur les critères de validation.</t>
  </si>
  <si>
    <t>Garantir une gestion efficace des délégations et responsabilités pour assurer la fluidité du projet.</t>
  </si>
  <si>
    <t>Communication des risques aux parties prenantes concernées</t>
  </si>
  <si>
    <t>Les risques sont-ils communiqués aux parties prenantes concernées ?</t>
  </si>
  <si>
    <t>Anticipation des dérives à chaque jalon</t>
  </si>
  <si>
    <t>Mauvaise formation ou sensibilisation sur les délégations</t>
  </si>
  <si>
    <t>Risque de blocages dans l’avancement du projet, conflits de priorités.</t>
  </si>
  <si>
    <t>Assurer une formation appropriée sur les délégations pour maximiser leur efficacité.</t>
  </si>
  <si>
    <t>Suivi des plans d’atténuation et des mesures correctives</t>
  </si>
  <si>
    <t>Les plans d’atténuation et mesures correctives sont-ils suivis ?</t>
  </si>
  <si>
    <t>Indicateurs d’alerte de retard</t>
  </si>
  <si>
    <t>Absence de révision des délégations</t>
  </si>
  <si>
    <t>Retards majeurs, problèmes de validation et de déploiement.</t>
  </si>
  <si>
    <t>Réviser régulièrement les délégations pour garantir qu'elles sont adaptées à l’évolution du projet.</t>
  </si>
  <si>
    <t>S’assurer qu’il existe une évaluation des risques liés aux délais</t>
  </si>
  <si>
    <t>Les points critiques du planning ont-ils été analysés ?</t>
  </si>
  <si>
    <t>Plan de rattrapage en cas de dérive</t>
  </si>
  <si>
    <t>Mauvaise gestion des objectifs délégués</t>
  </si>
  <si>
    <t>Difficultés à gérer la charge de travail, erreurs dans la planification.</t>
  </si>
  <si>
    <t>Suivre de près l'exécution des objectifs délégués pour éviter toute confusion ou erreur.</t>
  </si>
  <si>
    <t>Évaluation des marges de manœuvre par phase</t>
  </si>
  <si>
    <t>Les marges de manœuvre par phase ont-elles été évaluées ?</t>
  </si>
  <si>
    <t>Organigramme de pilotage</t>
  </si>
  <si>
    <t>Non-suivi des décisions déléguées</t>
  </si>
  <si>
    <t>Risque de perte de productivité, erreurs de coordination dans les tâches.</t>
  </si>
  <si>
    <t>Suivre de près les décisions prises et s'assurer que les objectifs sont respectés.</t>
  </si>
  <si>
    <t>Anticipation des risques de dérive par jalon</t>
  </si>
  <si>
    <t>Les risques de dérive ont-ils été anticipés à chaque jalon ?</t>
  </si>
  <si>
    <t>RACI de pilotage formalisé</t>
  </si>
  <si>
    <t>Écarts entre décisions prévues et prises</t>
  </si>
  <si>
    <t>Augmentation des risques de surcharge, impact sur les ressources humaines.</t>
  </si>
  <si>
    <t>Mettre en place un processus de remontée des blocages et garantir une résolution rapide.</t>
  </si>
  <si>
    <t>Mise en place d’indicateurs d’alerte sur les retards</t>
  </si>
  <si>
    <t>Des indicateurs d’alerte sur les retards ont-ils été mis en place ?</t>
  </si>
  <si>
    <t>Présentation projet utilisée en réunions</t>
  </si>
  <si>
    <t>Manque de remontée des blocages aux niveaux supérieurs</t>
  </si>
  <si>
    <t>Mauvaise anticipation des risques, retard sur les livrables critiques.</t>
  </si>
  <si>
    <t>Mettre en place un comité de pilotage formel pour garantir la coordination et la prise de décision efficace.</t>
  </si>
  <si>
    <t>Plans de rattrapage définis pour les cas de dérive</t>
  </si>
  <si>
    <t>Des plans de rattrapage ont-ils été définis en cas de dérive ?</t>
  </si>
  <si>
    <t>Affichage ou publication intranet de l’organigramme</t>
  </si>
  <si>
    <t>Non-mise en place d’un comité de pilotage formel</t>
  </si>
  <si>
    <t>Absence de coordination efficace, perte d’information cruciale.</t>
  </si>
  <si>
    <t>Présenter régulièrement la charte de fonctionnement pour rappeler les engagements et les objectifs.</t>
  </si>
  <si>
    <t>instances de pilotage</t>
  </si>
  <si>
    <t xml:space="preserve">S’assurer que la structure de pilotage est formalisée et connue de tous les acteurs </t>
  </si>
  <si>
    <t>Organigramme de pilotage documenté</t>
  </si>
  <si>
    <t>Un organigramme de pilotage est-il documenté ?</t>
  </si>
  <si>
    <t>PV de validation de la structure projet</t>
  </si>
  <si>
    <t>Non-présentation de la charte de fonctionnement</t>
  </si>
  <si>
    <t>Risque de non-implication des utilisateurs clés, difficulté à prendre des décisions.</t>
  </si>
  <si>
    <t>Assurer un suivi rigoureux des actions décidées lors des comités pour garantir leur réalisation.</t>
  </si>
  <si>
    <t>Descriptions de rôles et responsabilités communiquées</t>
  </si>
  <si>
    <t>Les rôles et responsabilités sont-ils clairement décrits et communiqués ?</t>
  </si>
  <si>
    <t>Document de gouvernance avec niveaux de décision</t>
  </si>
  <si>
    <t>Non-suivi des actions décidées en comité</t>
  </si>
  <si>
    <t>Erreurs méthodologiques fréquentes, projet mal orienté.</t>
  </si>
  <si>
    <t>Créer un comité de projet opérationnel pour assurer le bon déroulement du projet au quotidien.</t>
  </si>
  <si>
    <t>Présentations de la structure lors des réunions projet</t>
  </si>
  <si>
    <t>La structure projet est-elle présentée lors des réunions ?</t>
  </si>
  <si>
    <t>Document de gouvernance diffusé aux acteurs</t>
  </si>
  <si>
    <t>Manque d’un comité de projet opérationnel</t>
  </si>
  <si>
    <t>Risque de mauvaise gouvernance, retard de prise de décision.</t>
  </si>
  <si>
    <t>Garantir une coordination efficace entre la MOA, la MOE et les parties prenantes pour éviter des malentendus.</t>
  </si>
  <si>
    <t>Affichage ou disponibilité sur l’intranet projet</t>
  </si>
  <si>
    <t>L’organigramme est-il affiché ou disponible sur l’intranet projet ?</t>
  </si>
  <si>
    <t>Support de formation ou note de sensibilisation</t>
  </si>
  <si>
    <t>Mauvaise coordination entre MOA, MOE et parties prenantes</t>
  </si>
  <si>
    <t>Augmentation des retards, mauvaise qualité du projet dû à des décisions non claires.</t>
  </si>
  <si>
    <t>Assurer la traçabilité de tous les échanges et décisions pour garantir la transparence et éviter les oublis.</t>
  </si>
  <si>
    <t>Validation de la structure par les responsables métier et SI</t>
  </si>
  <si>
    <t>La structure projet a-t-elle été validée par les responsables métier et SI ?</t>
  </si>
  <si>
    <t>Retours d’expérience sur la gouvernance</t>
  </si>
  <si>
    <t>Non-traçabilité des échanges et décisions</t>
  </si>
  <si>
    <t>Risque de mauvaise gestion des risques, échec des objectifs stratégiques.</t>
  </si>
  <si>
    <t>Impliquer systématiquement les utilisateurs dans les phases de tests pour garantir que la solution répond à leurs besoins.</t>
  </si>
  <si>
    <t>S’assurer que les différentes instances de pilotage connaissent leurs niveaux de délégation</t>
  </si>
  <si>
    <t>Niveaux de décision définis et formalisés</t>
  </si>
  <si>
    <t>Les niveaux de décision sont-ils définis et formalisés ?</t>
  </si>
  <si>
    <t>Fiches d’objectifs délégués</t>
  </si>
  <si>
    <t>Non-implication des utilisateurs dans les phases de tests</t>
  </si>
  <si>
    <t>Coordination insuffisante, ambiguïté sur les responsabilités.</t>
  </si>
  <si>
    <t>Choisir des membres clés pour la prise de décisions afin d’assurer que toutes les parties prenantes essentielles sont incluses.</t>
  </si>
  <si>
    <t>Document de gouvernance disponible et partagé</t>
  </si>
  <si>
    <t>Un document de gouvernance est-il disponible et partagé ?</t>
  </si>
  <si>
    <t>Indicateurs de suivi des décisions déléguées</t>
  </si>
  <si>
    <t>Non-choix de membres clés pour les décisions</t>
  </si>
  <si>
    <t>Mauvaise gestion de la qualité des livrables, incompréhension des priorités.</t>
  </si>
  <si>
    <t>Valider la composition des comités de projet pour garantir leur efficacité et leur pertinence.</t>
  </si>
  <si>
    <t>Formation ou sensibilisation sur les délégations prévues</t>
  </si>
  <si>
    <t>Les délégations sont-elles connues via une formation ou sensibilisation ?</t>
  </si>
  <si>
    <t>Analyse des écarts sur décisions déléguées</t>
  </si>
  <si>
    <t>Composition non validée des comités</t>
  </si>
  <si>
    <t>Réaction trop lente face à une crise, impact sur la phase finale.</t>
  </si>
  <si>
    <t>Mettre en place un dispositif de gestion de crise réactif et testé régulièrement.</t>
  </si>
  <si>
    <t>Cas pratiques de décisions prises selon les niveaux attendus</t>
  </si>
  <si>
    <t>Des exemples concrets montrent-ils l’application des niveaux de décision ?</t>
  </si>
  <si>
    <t>Compte-rendu sur efficacité des délégations</t>
  </si>
  <si>
    <t>Non-respect des plafonds réglementaires dans les comités</t>
  </si>
  <si>
    <t>Manque de contrôle dans les réunions, perte de temps et d’efficacité.</t>
  </si>
  <si>
    <t>Structurer les réunions avec un ordre du jour, un animateur et un suivi des décisions.</t>
  </si>
  <si>
    <t>Révision des délégations selon les retours d’expérience</t>
  </si>
  <si>
    <t>Les délégations ont-elles été révisées à partir des retours d’expérience ?</t>
  </si>
  <si>
    <t>Escalade formalisée des blocages</t>
  </si>
  <si>
    <t>Mauvaise répartition des rôles dans les comités</t>
  </si>
  <si>
    <t>Mauvaise gestion des ressources, retards dans l’atteinte des objectifs.</t>
  </si>
  <si>
    <t>Mettre en place une gestion prévisionnelle des ressources et un suivi régulier de leur disponibilité.</t>
  </si>
  <si>
    <t>S’assurer que les objectifs des délégations sont atteints</t>
  </si>
  <si>
    <t>Objectifs délégués clairement définis pour chaque instance</t>
  </si>
  <si>
    <t>Les objectifs délégués sont-ils clairement définis pour chaque instance ?</t>
  </si>
  <si>
    <t>PV d’installation du comité de pilotage</t>
  </si>
  <si>
    <t>Fonctionnement inefficace des comités</t>
  </si>
  <si>
    <t>Absence d’outils appropriés pour le suivi, perte de visibilité sur l’état du projet.</t>
  </si>
  <si>
    <t>Utiliser des outils de pilotage adaptés pour assurer un suivi précis de l’avancement.</t>
  </si>
  <si>
    <t>Des indicateurs permettent-ils de suivre les décisions déléguées ?</t>
  </si>
  <si>
    <t>Charte ou règlement intérieur du comité</t>
  </si>
  <si>
    <t>Non-représentation de la production dans les comités</t>
  </si>
  <si>
    <t>Erreurs dans la gestion des outils, manque de flexibilité dans l’application des processus.</t>
  </si>
  <si>
    <t>Former les équipes à l’usage des outils et adapter les processus aux besoins du projet.</t>
  </si>
  <si>
    <t>Analyse des écarts entre décisions prévues et décisions prises</t>
  </si>
  <si>
    <t>Les écarts entre décisions prévues et décisions prises sont-ils analysés ?</t>
  </si>
  <si>
    <t>CR réguliers des réunions du comité</t>
  </si>
  <si>
    <t>Manque de suivi de l'intégration production dans le planning</t>
  </si>
  <si>
    <t>Difficulté dans la coordination, des décalages dans la planification et la réalité.</t>
  </si>
  <si>
    <t>Mettre en œuvre une coordination proactive entre équipes et un alignement permanent du planning.</t>
  </si>
  <si>
    <t>Compte rendu régulier sur l’efficacité des délégations</t>
  </si>
  <si>
    <t>Un compte rendu régulier sur l’efficacité des délégations est-il produit ?</t>
  </si>
  <si>
    <t>Liste de présence avec représentant direction</t>
  </si>
  <si>
    <t>Non-communication fluide entre projet et exploitation</t>
  </si>
  <si>
    <t>Manque d'efficacité du suivi du projet, mauvaises estimations du temps et des ressources.</t>
  </si>
  <si>
    <t>Définir des indicateurs de suivi projet réalistes et les actualiser fréquemment.</t>
  </si>
  <si>
    <t>Remontée des blocages éventuels aux niveaux supérieurs</t>
  </si>
  <si>
    <t>Les blocages remontent-ils aux niveaux supérieurs ?</t>
  </si>
  <si>
    <t>Tableau de suivi des actions issues du comité</t>
  </si>
  <si>
    <t>Non-pertinence du rythme de réunion de comité</t>
  </si>
  <si>
    <t>Difficulté d’adaptation face aux besoins changeants du projet.</t>
  </si>
  <si>
    <t>Prévoir des mécanismes d’ajustement rapide pour répondre aux évolutions des besoins.</t>
  </si>
  <si>
    <t>S’assurer qu’il existe un comité de pilotage</t>
  </si>
  <si>
    <t>Mise en place d’un comité de pilotage formel</t>
  </si>
  <si>
    <t>Un comité de pilotage formel a-t-il été mis en place ?</t>
  </si>
  <si>
    <t>PV d’installation du comité projet opérationnel</t>
  </si>
  <si>
    <t>Mauvaise gestion de la méthodologie de gestion de projet</t>
  </si>
  <si>
    <t>Non-prise en compte des besoins réels du projet, impossibilité de prendre des décisions justes.</t>
  </si>
  <si>
    <t>Valider régulièrement les besoins réels avec les parties prenantes avant de prendre des décisions.</t>
  </si>
  <si>
    <t>Charte de fonctionnement ou règlement intérieur disponible</t>
  </si>
  <si>
    <t>Une charte ou un règlement intérieur du comité est-il disponible ?</t>
  </si>
  <si>
    <t>Liste des participants aux comités</t>
  </si>
  <si>
    <t>Absence de documentation méthodologique appropriée</t>
  </si>
  <si>
    <t>Manque de clarté dans les responsabilités, mauvaise exécution des tâches.</t>
  </si>
  <si>
    <t>Définir clairement les responsabilités de chacun dès le début du projet.</t>
  </si>
  <si>
    <t>Réunions régulières avec comptes rendus documentés</t>
  </si>
  <si>
    <t>Des réunions régulières du comité sont-elles tenues avec compte rendu ?</t>
  </si>
  <si>
    <t>CR des réunions de suivi projet</t>
  </si>
  <si>
    <t>Absence de traçabilité des décisions si les comptes rendus ne sont pas formalisés</t>
  </si>
  <si>
    <t>Absence de réactivité face aux imprévus, mauvaise gestion des priorités.</t>
  </si>
  <si>
    <t>Anticiper les imprévus avec des scénarios alternatifs et revoir les priorités en conséquence.</t>
  </si>
  <si>
    <t>Présence d’un représentant de la direction</t>
  </si>
  <si>
    <t>Un représentant de la direction est-il présent dans ces réunions ?</t>
  </si>
  <si>
    <t>Plan de coordination MOA/MOE/autres parties</t>
  </si>
  <si>
    <t>Manque d’alignement stratégique sans implication de la direction</t>
  </si>
  <si>
    <t>Non-validation des processus et méthodologie du projet, incohérence dans les étapes.</t>
  </si>
  <si>
    <t>Valider et formaliser la méthodologie projet en amont avec les parties prenantes.</t>
  </si>
  <si>
    <t>Suivi des actions décidées en comité</t>
  </si>
  <si>
    <t>Le suivi des actions décidées en comité est-il effectif ?</t>
  </si>
  <si>
    <t>Registre des décisions prises en comité</t>
  </si>
  <si>
    <t>Risques d’actions non suivies ou oubliées</t>
  </si>
  <si>
    <t>Risques de retard de production, manque de retour d’expérience pour la qualité des processus.</t>
  </si>
  <si>
    <t>Mettre en place un retour d’expérience régulier pour améliorer les processus.</t>
  </si>
  <si>
    <t>S’assurer qu’il existe un comité de projet</t>
  </si>
  <si>
    <t>Existence d’un comité de projet opérationnel</t>
  </si>
  <si>
    <t>Un comité de projet opérationnel est-il mis en place ?</t>
  </si>
  <si>
    <t>Liste des représentants utilisateurs</t>
  </si>
  <si>
    <t>Gouvernance du projet insuffisante ou floue</t>
  </si>
  <si>
    <t>Retards dans la livraison, erreurs dans la gestion des ressources et des objectifs.</t>
  </si>
  <si>
    <t>Planifier les livraisons avec des marges et réévaluer les ressources selon l’avancement.</t>
  </si>
  <si>
    <t>Participants identifiés et disponibles</t>
  </si>
  <si>
    <t>Les participants aux comités sont-ils identifiés et disponibles ?</t>
  </si>
  <si>
    <t>CR des réunions de validation utilisateur</t>
  </si>
  <si>
    <t>Retards ou mauvaise qualité dus à une indisponibilité des parties prenantes</t>
  </si>
  <si>
    <t>Absence de suivi régulier, difficulté à garantir la conformité et la qualité du projet.</t>
  </si>
  <si>
    <t>Mettre en œuvre des revues régulières de conformité et de qualité sur le projet.</t>
  </si>
  <si>
    <t>Réunions de suivi projet tenues à fréquence adaptée</t>
  </si>
  <si>
    <t>Des réunions de suivi projet sont-elles tenues à fréquence adaptée ?</t>
  </si>
  <si>
    <t>Rapport d’intégration des retours utilisateurs</t>
  </si>
  <si>
    <t>Suivi inadapté au rythme du projet, avec perte de visibilité</t>
  </si>
  <si>
    <t>Problèmes d’intégration des équipes, perte de continuité du projet.</t>
  </si>
  <si>
    <t>Favoriser la cohésion d’équipe avec des points de synchronisation et des relais clairs.</t>
  </si>
  <si>
    <t>Coordination entre MOA, MOE et autres parties prenantes</t>
  </si>
  <si>
    <t>La coordination entre MOA, MOE et autres acteurs est-elle assurée ?</t>
  </si>
  <si>
    <t>Plan de communication utilisateurs finaux</t>
  </si>
  <si>
    <t>Manque de coordination pouvant générer des malentendus ou des conflits</t>
  </si>
  <si>
    <t>Problèmes d’efficacité, erreurs dans la répartition des tâches et la gestion des délais.</t>
  </si>
  <si>
    <t>Assurer une répartition des tâches équilibrée et adaptée aux compétences disponibles.</t>
  </si>
  <si>
    <t>Traçabilité des échanges et décisions prises</t>
  </si>
  <si>
    <t>Les décisions prises sont-elles tracées ?</t>
  </si>
  <si>
    <t>Plan d’implication utilisateur dans les tests</t>
  </si>
  <si>
    <t>Décisions non traçables ou contestables en cas de litige</t>
  </si>
  <si>
    <t>Manque de visibilité sur les tâches, impact sur la productivité globale du projet.</t>
  </si>
  <si>
    <t>Visualiser l’avancement par des outils collaboratifs et des jalons clairs.</t>
  </si>
  <si>
    <t>S’assurer qu’il existe un comité des utilisateurs ou, a minima,
une participation des utilisateurs</t>
  </si>
  <si>
    <t>Représentants utilisateurs présents dans les instances projet</t>
  </si>
  <si>
    <t>Des représentants utilisateurs sont-ils présents dans les instances ?</t>
  </si>
  <si>
    <t>Critères de sélection des membres de comités</t>
  </si>
  <si>
    <t>Décisions mal acceptées ou non représentatives sans voix des utilisateurs</t>
  </si>
  <si>
    <t>Risque d’erreur d’orientation, retard dans la prise de décisions.</t>
  </si>
  <si>
    <t>Mettre en place des mécanismes d’aide à la décision basés sur les faits projet.</t>
  </si>
  <si>
    <t>Organisation de réunions de recueil ou de validation utilisateurs</t>
  </si>
  <si>
    <t>Des réunions de recueil ou validation avec les utilisateurs sont-elles organisées ?</t>
  </si>
  <si>
    <t>Compte-rendu des réunions de recueil ou validation avec les utilisateurs</t>
  </si>
  <si>
    <t>Risque de rejet ou d’inadéquation si les utilisateurs ne sont pas consultés</t>
  </si>
  <si>
    <t>Retards de livraison, erreurs dans le suivi des indicateurs du projet.</t>
  </si>
  <si>
    <t>Définir et suivre des indicateurs pertinents pour la progression du projet.</t>
  </si>
  <si>
    <t>Feedback utilisateur intégré dans les décisions</t>
  </si>
  <si>
    <t>Le feedback utilisateur est-il intégré dans les décisions ?</t>
  </si>
  <si>
    <t>Synthèse des retours utilisateurs intégrés dans les décisions</t>
  </si>
  <si>
    <t>Méconnaissance des attentes réelles des utilisateurs</t>
  </si>
  <si>
    <t>Échec des livrables, impact sur la mise en production du projet.</t>
  </si>
  <si>
    <t>Mettre en place des phases de validation rigoureuses avant chaque mise en production.</t>
  </si>
  <si>
    <t>Communication adaptée vers les utilisateurs finaux</t>
  </si>
  <si>
    <t>La communication est-elle adaptée vers les utilisateurs finaux ?</t>
  </si>
  <si>
    <t>Plan de communication vers les utilisateurs finaux</t>
  </si>
  <si>
    <t>Résistance au changement due à un manque de communication</t>
  </si>
  <si>
    <t>Retard de mise en production, mauvaise coordination avec les équipes.</t>
  </si>
  <si>
    <t>Intégrer les équipes de production dans la planification et la coordination dès le début.</t>
  </si>
  <si>
    <t>Implication des utilisateurs dans les phases de tests</t>
  </si>
  <si>
    <t>Les utilisateurs sont-ils impliqués dans les phases de tests ?</t>
  </si>
  <si>
    <t>Plan de test avec implication des utilisateurs</t>
  </si>
  <si>
    <t>Faible couverture fonctionnelle ou mauvaise qualité des tests</t>
  </si>
  <si>
    <t>Risque de perte de performance du projet, incompatibilité avec les outils de suivi.</t>
  </si>
  <si>
    <t>Standardiser les outils de suivi et valider leur compatibilité avec le projet.</t>
  </si>
  <si>
    <t>S’assurer que les participants aux différents comités sont
représentatifs et ont le bon niveau de décision</t>
  </si>
  <si>
    <t>Choix des membres selon leur rôle et leur pouvoir décisionnel</t>
  </si>
  <si>
    <t>Les membres des comités sont-ils choisis selon leur rôle et leur pouvoir ?</t>
  </si>
  <si>
    <t>Liste des membres des comités avec leurs rôles et pouvoirs</t>
  </si>
  <si>
    <t>Décisions prises sans légitimité ou arbitrage impossible</t>
  </si>
  <si>
    <t>Manque de visibilité et d’adaptabilité face aux imprévus, impact sur les délais.</t>
  </si>
  <si>
    <t>Prévoir des marges d’adaptation dans les plannings et les budgets pour les imprévus.</t>
  </si>
  <si>
    <t>Représentation équilibrée des métiers et de la technique</t>
  </si>
  <si>
    <t>La représentation métiers/technique est-elle équilibrée ?</t>
  </si>
  <si>
    <t>Organigramme des membres métiers/techniques dans les comités</t>
  </si>
  <si>
    <t>Imbalance entre enjeux métiers et contraintes techniques</t>
  </si>
  <si>
    <t>Perturbation des priorités et conflits dans les décisions.</t>
  </si>
  <si>
    <t>Clarifier les priorités avec les parties prenantes et formaliser les arbitrages.</t>
  </si>
  <si>
    <t>Présence de décideurs pouvant arbitrer sur place</t>
  </si>
  <si>
    <t>Des décideurs pouvant arbitrer sont-ils présents ?</t>
  </si>
  <si>
    <t>Liste des décideurs présents dans les comités</t>
  </si>
  <si>
    <t>Blocages décisionnels en l’absence d’arbitre</t>
  </si>
  <si>
    <t>Décisions retardées ou non prises, impactant la progression du projet.</t>
  </si>
  <si>
    <t>Organiser des comités de décision réguliers pour fluidifier les validations.</t>
  </si>
  <si>
    <t>Validation de la composition des comités par la direction</t>
  </si>
  <si>
    <t>La direction valide-t-elle la composition des comités ?</t>
  </si>
  <si>
    <t>Validation de la direction sur la composition des comités</t>
  </si>
  <si>
    <t>Instances non pertinentes si non validées par la direction</t>
  </si>
  <si>
    <t>Manque de direction claire, création de confusion et d'inefficacité.</t>
  </si>
  <si>
    <t>Déléguer des responsabilités claires avec un référentiel commun et des objectifs partagés.</t>
  </si>
  <si>
    <t>Révision de la composition si nécessaire</t>
  </si>
  <si>
    <t>La composition des comités est-elle revue si besoin ?</t>
  </si>
  <si>
    <t>Document de révision périodique de la composition des comités</t>
  </si>
  <si>
    <t>Comité inadapté aux évolutions du projet</t>
  </si>
  <si>
    <t>Mauvais suivi du projet, non-adaptation aux besoins réels.</t>
  </si>
  <si>
    <t>Mettre en place une démarche de pilotage adaptée aux objectifs et aux évolutions du projet.</t>
  </si>
  <si>
    <t>S’assurer que les participants ne sont pas trop nombreux, au Cameroun un texte du Premier Ministre encadre le nombre de participants aux comités, commissions et groupe de travail</t>
  </si>
  <si>
    <t>Respect des plafonds fixés par la réglementation nationale</t>
  </si>
  <si>
    <t>Le nombre de participants respecte-t-il les plafonds réglementaires ?</t>
  </si>
  <si>
    <t>Document précisant les plafonds de participants dans les comités</t>
  </si>
  <si>
    <t>Non-conformité légale ou réglementaire</t>
  </si>
  <si>
    <t>Non-respect des obligations légales, sanctions financières et juridiques.</t>
  </si>
  <si>
    <t>Effectuer une veille réglementaire et impliquer un référent juridique dans le projet.</t>
  </si>
  <si>
    <t>Liste des participants validée en amont des réunions</t>
  </si>
  <si>
    <t>Les participants sont-ils validés en amont des réunions ?</t>
  </si>
  <si>
    <t>Liste validée des participants aux réunions</t>
  </si>
  <si>
    <t>Participants non légitimes ou inutiles, perte de temps en réunion</t>
  </si>
  <si>
    <t>Perte de temps, inefficacité des réunions, gestion peu optimale des ressources humaines.</t>
  </si>
  <si>
    <t>Cadencer les réunions avec un objectif clair et limiter leur durée.</t>
  </si>
  <si>
    <t>Répartition claire des rôles pour éviter les doublons</t>
  </si>
  <si>
    <t>La répartition des rôles dans les comités est-elle claire ?</t>
  </si>
  <si>
    <t>Document de répartition des rôles dans les comités</t>
  </si>
  <si>
    <t>Redondance des actions, manque de clarté des responsabilités</t>
  </si>
  <si>
    <t>Absence de clarté dans les responsabilités, tâches dupliquées, confusion.</t>
  </si>
  <si>
    <t>Établir une matrice RACI pour clarifier les responsabilités.</t>
  </si>
  <si>
    <t>Présence uniquement des profils indispensables</t>
  </si>
  <si>
    <t>Les comités incluent-ils uniquement les profils indispensables ?</t>
  </si>
  <si>
    <t>Procédures de rationalisation des comités</t>
  </si>
  <si>
    <t>Perte de productivité due à la surcharge des réunions</t>
  </si>
  <si>
    <t>Perte de temps et ressources, retards dans la progression du projet.</t>
  </si>
  <si>
    <t>Automatiser le suivi des tâches et mettre en place des outils de gestion collaborative.</t>
  </si>
  <si>
    <t>Rationalisation du fonctionnement des comités pour efficacité</t>
  </si>
  <si>
    <t>Le fonctionnement des comités est-il rationalisé pour plus d'efficacité ?</t>
  </si>
  <si>
    <t>Procès-verbal de participation de la production dans les comités</t>
  </si>
  <si>
    <t>Comités inefficaces et chronophages</t>
  </si>
  <si>
    <t>Inefficacité, perte de temps, frustration des participants.</t>
  </si>
  <si>
    <t>Former les animateurs de réunion à la gestion du temps et des décisions.</t>
  </si>
  <si>
    <t>S’assurer que les gestionnaires de la production sont intégrés
dans les structures de pilotage</t>
  </si>
  <si>
    <t>Représentation de la production dans les comités</t>
  </si>
  <si>
    <t>La production est-elle représentée dans les comités ?</t>
  </si>
  <si>
    <t>Documentation sur la participation de la production aux décisions</t>
  </si>
  <si>
    <t>Non-prise en compte des exigences de production</t>
  </si>
  <si>
    <t>Décisions retardées ou prises sans pertinence, impactant le projet.</t>
  </si>
  <si>
    <t>Formaliser un processus de validation rigoureux avant chaque mise en production.</t>
  </si>
  <si>
    <t>Participation aux décisions techniques et de mise en production</t>
  </si>
  <si>
    <t>La production participe-t-elle aux décisions techniques et de mise en prod ?</t>
  </si>
  <si>
    <t>Plan de pilotage intégrant les contraintes d’exploitation</t>
  </si>
  <si>
    <t>Risques techniques ou opérationnels non anticipés</t>
  </si>
  <si>
    <t>Risque de défaillance en production, services non conformes aux besoins.</t>
  </si>
  <si>
    <t>Instaurer un support technique actif et une équipe de gestion des incidents.</t>
  </si>
  <si>
    <t>Prise en compte des contraintes d’exploitation dans le pilotage</t>
  </si>
  <si>
    <t>Les contraintes d’exploitation sont-elles prises en compte dans le pilotage ?</t>
  </si>
  <si>
    <t>Planning d’intégration production suivi dans le projet</t>
  </si>
  <si>
    <t>Déploiement non viable ou non soutenable par la production</t>
  </si>
  <si>
    <t>Difficultés techniques ou opérationnelles, non-résolution des problèmes.</t>
  </si>
  <si>
    <t>Définir un plan de maintenance évolutif et documenté pour chaque service.</t>
  </si>
  <si>
    <t>Suivi de l’intégration production dans le planning projet</t>
  </si>
  <si>
    <t>L’intégration production est-elle suivie dans le planning ?</t>
  </si>
  <si>
    <t>Comptes rendus de la communication entre projet et exploitation</t>
  </si>
  <si>
    <t>Rupture entre les temporalités projet et production</t>
  </si>
  <si>
    <t>Système ou service non stable, difficulté d'entretien et de mise à jour.</t>
  </si>
  <si>
    <t>Alignement régulier entre les exigences métiers et les besoins de production.</t>
  </si>
  <si>
    <t>Communication fluide entre projet et exploitation</t>
  </si>
  <si>
    <t>La communication entre projet et exploitation est-elle fluide ?</t>
  </si>
  <si>
    <t>Plan de fréquence des comités selon leur criticité</t>
  </si>
  <si>
    <t>Manque d’alignement sur les objectifs d’exploitabilité</t>
  </si>
  <si>
    <t>Manque d’alignement sur les besoins de production, réduction de l’efficacité.</t>
  </si>
  <si>
    <t>Clarifier les rôles et responsabilités entre les équipes dès le début du projet.</t>
  </si>
  <si>
    <t>S’assurer que la fréquence des comités est appropriée</t>
  </si>
  <si>
    <t>Fréquence définie selon la criticité et le type de comité</t>
  </si>
  <si>
    <t>La fréquence des comités est-elle définie selon leur criticité ?</t>
  </si>
  <si>
    <t>Calendrier des comités partagé et suivi</t>
  </si>
  <si>
    <t>Mauvaise coordination entre équipes projet et exploitation</t>
  </si>
  <si>
    <t>Problèmes de coordination entre équipes, doublons, échecs d’intégration.</t>
  </si>
  <si>
    <t>Mettre en place un calendrier projet commun et partagé avec toutes les équipes.</t>
  </si>
  <si>
    <t>Calendrier partagé et respecté</t>
  </si>
  <si>
    <t>Le calendrier des comités est-il partagé et respecté ?</t>
  </si>
  <si>
    <t>Compte-rendu des réunions supplémentaires organisées</t>
  </si>
  <si>
    <t>Comités inadaptés en fréquence ou mal répartis dans le temps</t>
  </si>
  <si>
    <t>Suivi incohérent du projet, problèmes de calendrier.</t>
  </si>
  <si>
    <t>Organiser des points de synchronisation pour sécuriser les décisions importantes.</t>
  </si>
  <si>
    <t>Réunions supplémentaires organisées en cas de besoin</t>
  </si>
  <si>
    <t>Des réunions supplémentaires sont-elles organisées en cas de besoin ?</t>
  </si>
  <si>
    <t>Tableau de suivi du taux de présence et de participation</t>
  </si>
  <si>
    <t>Manque de visibilité ou de préparation aux réunions</t>
  </si>
  <si>
    <t>Retards dans la prise de décision, impact sur les délais et résultats du projet.</t>
  </si>
  <si>
    <t>Créer un dispositif d'engagement et de communication pour impliquer les parties prenantes.</t>
  </si>
  <si>
    <t>Analyse du taux de présence et de participation</t>
  </si>
  <si>
    <t>Le taux de présence et de participation est-il analysé ?</t>
  </si>
  <si>
    <t>Document d’évaluation du rythme des réunions</t>
  </si>
  <si>
    <t>Manque de réactivité face à un besoin urgent d’arbitrage</t>
  </si>
  <si>
    <t>Engagement faible des parties prenantes, absence de consensus.</t>
  </si>
  <si>
    <t>Établir un agenda clair et des jalons validés pour garantir le respect des délais.</t>
  </si>
  <si>
    <t>Évaluation périodique de la pertinence du rythme</t>
  </si>
  <si>
    <t>La pertinence du rythme des réunions est-elle évaluée régulièrement ?</t>
  </si>
  <si>
    <t>Charte de méthode de gestion de projet définie</t>
  </si>
  <si>
    <t>Implication faible ou absente de certains membres</t>
  </si>
  <si>
    <t>Mauvaise gestion du temps, impacts sur la livraison des livrables.</t>
  </si>
  <si>
    <t>Réévaluer périodiquement la méthode de travail pour l’adapter au contexte du projet.</t>
  </si>
  <si>
    <t xml:space="preserve">Méthodes et outils </t>
  </si>
  <si>
    <t xml:space="preserve">S’assurer qu’il existe une méthode de conduite de projet et
celle-ci est appliquée </t>
  </si>
  <si>
    <t>Méthode de gestion de projet définie (cycle en V, agile, hybride…)</t>
  </si>
  <si>
    <t>Une méthode de gestion de projet est-elle définie (cycle en V, agile, etc.) ?</t>
  </si>
  <si>
    <t>Documentation sur la méthode de gestion de projet</t>
  </si>
  <si>
    <t>Rythme inadapté à la maturité ou criticité du projet</t>
  </si>
  <si>
    <t>Non-adaptation du processus de travail, incertitude sur l’avancement.</t>
  </si>
  <si>
    <t>Suivre l'utilisation des ressources et adapter le staffing aux besoins projet.</t>
  </si>
  <si>
    <t>Documentation méthodologique disponible</t>
  </si>
  <si>
    <t>Une documentation sur la méthode est-elle disponible ?</t>
  </si>
  <si>
    <t>Planning des étapes, jalons et livrables du projet</t>
  </si>
  <si>
    <t>Méthodologie non définie menant à un pilotage empirique</t>
  </si>
  <si>
    <t>Mauvaise gestion des ressources, retards et dépassement des coûts.</t>
  </si>
  <si>
    <t>Mettre en place un contrôle qualité régulier à chaque phase du projet.</t>
  </si>
  <si>
    <t>Respect des étapes, livrables et jalons</t>
  </si>
  <si>
    <t>Les étapes, jalons et livrables sont-ils respectés ?</t>
  </si>
  <si>
    <t>Rapport d'audit interne sur l'application de la méthode</t>
  </si>
  <si>
    <t>Incohérence dans l’application de la méthode</t>
  </si>
  <si>
    <t>Réduction de la qualité des livrables et de la performance du projet.</t>
  </si>
  <si>
    <t>Définir des jalons critiques et les intégrer dans le planning directeur.</t>
  </si>
  <si>
    <t>Suivi de l’application à travers les audits internes</t>
  </si>
  <si>
    <t>L’application de la méthode est-elle suivie via des audits internes ?</t>
  </si>
  <si>
    <t>Rapport de formation des équipes à la méthode choisie</t>
  </si>
  <si>
    <t>Projets non cadrés, pertes de repères sans jalons ou livrables</t>
  </si>
  <si>
    <t>Retards dus à la mauvaise anticipation des jalons et des délais.</t>
  </si>
  <si>
    <t>Mettre en place des indicateurs fiables et partagés pour le suivi du projet.</t>
  </si>
  <si>
    <t>Formation des équipes à la méthode retenue</t>
  </si>
  <si>
    <t>Les équipes sont-elles formées à la méthode retenue ?</t>
  </si>
  <si>
    <t>Plan de découpage en lots et sous-tâches du projet</t>
  </si>
  <si>
    <t>Absence de retour d’expérience via les audits internes</t>
  </si>
  <si>
    <t>Suivi incohérent du projet, absence d’indicateurs fiables.</t>
  </si>
  <si>
    <t>Répartir équitablement les charges et adapter les plans selon les compétences.</t>
  </si>
  <si>
    <t>S’assurer que la méthode repose sur un découpage des projets en tâches</t>
  </si>
  <si>
    <t>Structuration des projets en lots et sous-tâches</t>
  </si>
  <si>
    <t>Les projets sont-ils structurés en lots et sous-tâches ?</t>
  </si>
  <si>
    <t>Outil de gestion de projet utilisé et rapport de suivi</t>
  </si>
  <si>
    <t>Équipes non préparées, erreurs méthodologiques fréquentes</t>
  </si>
  <si>
    <t>Sur-chargement de travail, erreurs fréquentes dues à une mauvaise répartition.</t>
  </si>
  <si>
    <t>Rappeler les responsabilités de chacun dans un document partagé et validé.</t>
  </si>
  <si>
    <t>Utilisation d’un outil de gestion permettant la visualisation</t>
  </si>
  <si>
    <t>Un outil de gestion est-il utilisé pour visualiser les tâches ?</t>
  </si>
  <si>
    <t>Liste des responsables identifiés par tâche</t>
  </si>
  <si>
    <t>Projets mal structurés, avec risques de glissements multiples</t>
  </si>
  <si>
    <t>Manque de clarté dans les responsabilités, erreurs non identifiées.</t>
  </si>
  <si>
    <t>Mettre en place un reporting régulier de l’avancement basé sur des indicateurs objectifs.</t>
  </si>
  <si>
    <t>Responsables identifiés par tâche</t>
  </si>
  <si>
    <t>Des responsables sont-ils identifiés par tâche ?</t>
  </si>
  <si>
    <t>Tableau de suivi granulaire de l’avancement des tâches</t>
  </si>
  <si>
    <t>Pilotage inefficace par manque de visibilité sur les tâches</t>
  </si>
  <si>
    <t>Difficulté à évaluer correctement les progrès, impact sur la perception du projet.</t>
  </si>
  <si>
    <t>Intégrer les jalons critiques au pilotage et suivre leur avancement.</t>
  </si>
  <si>
    <t>Suivi de l’avancement à un niveau granulaire</t>
  </si>
  <si>
    <t>L’avancement est-il suivi à un niveau granulaire ?</t>
  </si>
  <si>
    <t>Document d’indicateurs de pilotage par tâche</t>
  </si>
  <si>
    <t>Flou sur les responsabilités ou absence de redevabilité</t>
  </si>
  <si>
    <t>Absence de jalons critiques, retard dans la livraison du projet.</t>
  </si>
  <si>
    <t>Coordonner les calendriers entre les équipes métier, MOA et MOE.</t>
  </si>
  <si>
    <t>Indicateurs de pilotage par tâche ou lot</t>
  </si>
  <si>
    <t>Des indicateurs de pilotage sont-ils définis par tâche ou lot ?</t>
  </si>
  <si>
    <t>Plan d'attribution des tâches et responsabilité par document</t>
  </si>
  <si>
    <t>Retards ou surcoûts par mauvaise anticipation de l’avancement</t>
  </si>
  <si>
    <t>Manque de coordination, retard dans la mise en production, risques de défaillance.</t>
  </si>
  <si>
    <t>Intégrer les exigences dans les outils qualité et suivre leur implémentation.</t>
  </si>
  <si>
    <t>S’assurer que la méthode repose sur une attribution formelle
des responsabilités par tâche</t>
  </si>
  <si>
    <t>Attribution explicite des tâches dans un outil ou document</t>
  </si>
  <si>
    <t>Les tâches sont-elles attribuées dans un outil ou document formel ?</t>
  </si>
  <si>
    <t>Liste des responsabilités validées par les parties prenantes</t>
  </si>
  <si>
    <t>Suivi incomplet si indicateurs manquants ou mal définis</t>
  </si>
  <si>
    <t>Exigences mal intégrées dans le processus qualité, impact sur la conformité.</t>
  </si>
  <si>
    <t>Auditer régulièrement les processus qualité et mettre en place des mesures correctives.</t>
  </si>
  <si>
    <t>Validation des responsabilités par les parties prenantes</t>
  </si>
  <si>
    <t>Les responsabilités sont-elles validées par les parties prenantes ?</t>
  </si>
  <si>
    <t>Document des livrables définis par tâche</t>
  </si>
  <si>
    <t>Risques d’oubli ou de surcharge si les tâches ne sont pas claires</t>
  </si>
  <si>
    <t>Non-application des processus qualité, risques de non-conformité.</t>
  </si>
  <si>
    <t>Implémenter un dispositif de conformité continue basé sur des audits intermédiaires.</t>
  </si>
  <si>
    <t>Clarté sur les livrables attendus par tâche</t>
  </si>
  <si>
    <t>Les livrables attendus par tâche sont-ils clairement définis ?</t>
  </si>
  <si>
    <t>Document de suivi de l’engagement et réalisation des tâches</t>
  </si>
  <si>
    <t>Problèmes de pilotage si les responsabilités sont floues</t>
  </si>
  <si>
    <t>Risque d’échec dans la conformité et la livraison de produits finis.</t>
  </si>
  <si>
    <t>Définir des critères d’évaluation qualité clairs et partagés avec les équipes.</t>
  </si>
  <si>
    <t>Suivi de l’engagement et de la réalisation</t>
  </si>
  <si>
    <t>L’engagement et la réalisation sont-ils suivis ?</t>
  </si>
  <si>
    <t>Document d’ajustement des responsabilités en cas de changement</t>
  </si>
  <si>
    <t>Livrables manquants ou hors périmètre attendu</t>
  </si>
  <si>
    <t>Évaluation de la qualité floue, retard ou non-respect des attentes.</t>
  </si>
  <si>
    <t>Élaborer un plan qualité validé dès le lancement du projet.</t>
  </si>
  <si>
    <t>Réajustement si changement d’équipe ou de périmètre</t>
  </si>
  <si>
    <t>Les responsabilités sont-elles réajustées en cas de changement ?</t>
  </si>
  <si>
    <t>Liste des jalons de validation clairement définis</t>
  </si>
  <si>
    <t>Avancement réel mal mesuré, perception faussée du projet</t>
  </si>
  <si>
    <t>Planification de la qualité inadéquate, risques d'échec de validation.</t>
  </si>
  <si>
    <t>Déployer une méthodologie qualité formalisée et acceptée par les équipes.</t>
  </si>
  <si>
    <t xml:space="preserve">S’assurer que la méthode repose sur une identification précise des points de contrôle et des livrables </t>
  </si>
  <si>
    <t>Définition claire des jalons de validation</t>
  </si>
  <si>
    <t>Les jalons de validation sont-ils définis clairement ?</t>
  </si>
  <si>
    <t>Liste formalisée des livrables dès le début du projet</t>
  </si>
  <si>
    <t>Perte de continuité ou erreurs lors de changements d’équipe</t>
  </si>
  <si>
    <t>Absence de méthodologie efficace pour assurer la qualité.</t>
  </si>
  <si>
    <t>Valider et diffuser les exigences qualité auprès de toutes les parties prenantes.</t>
  </si>
  <si>
    <t>Liste des livrables formalisée dès le début du projet</t>
  </si>
  <si>
    <t>La liste des livrables est-elle formalisée dès le début du projet ?</t>
  </si>
  <si>
    <t>Processus de revue ou validation des livrables</t>
  </si>
  <si>
    <t>Projets sans contrôle d’étapes, risque de livrables invalides</t>
  </si>
  <si>
    <t>Absence de communication et validation des exigences qualité.</t>
  </si>
  <si>
    <t>Impliquer les utilisateurs finaux dans les phases de validation.</t>
  </si>
  <si>
    <t>Processus de revue ou de validation bien établi</t>
  </si>
  <si>
    <t>Un processus de revue ou validation des livrables est-il en place ?</t>
  </si>
  <si>
    <t>Suivi de production des livrables dans le planning</t>
  </si>
  <si>
    <t>Attentes mal fixées en amont, livrables inadéquats</t>
  </si>
  <si>
    <t>Risque de non-prise en compte des besoins finaux des utilisateurs.</t>
  </si>
  <si>
    <t>Mesurer régulièrement la satisfaction des parties prenantes par des enquêtes ciblées.</t>
  </si>
  <si>
    <t>Suivi de la production des livrables dans le planning</t>
  </si>
  <si>
    <t>La production des livrables est-elle suivie dans le planning ?</t>
  </si>
  <si>
    <t>Archivage systématique des livrables produits</t>
  </si>
  <si>
    <t>Failles de validation pouvant générer des erreurs critiques</t>
  </si>
  <si>
    <t>Résultats non conformes aux attentes des parties prenantes, insatisfaction.</t>
  </si>
  <si>
    <t>Impliquer les utilisateurs dans les phases amont pour clarifier les attentes.</t>
  </si>
  <si>
    <t>Les livrables produits sont-ils archivés systématiquement ?</t>
  </si>
  <si>
    <t>Feuilles de temps des ressources utilisées</t>
  </si>
  <si>
    <t>Non-respect du planning, décalage non identifié à temps</t>
  </si>
  <si>
    <t>Attentes non prises en compte, impact sur la satisfaction des utilisateurs.</t>
  </si>
  <si>
    <t>Élaborer des plans de test complets avec une couverture fonctionnelle exhaustive.</t>
  </si>
  <si>
    <t>S’assurer que la méthode repose sur un reporting des temps à travers une feuille de temps</t>
  </si>
  <si>
    <t>Feuilles de temps mises en place pour toutes les ressources</t>
  </si>
  <si>
    <t>Les feuilles de temps sont-elles utilisées par toutes les ressources ?</t>
  </si>
  <si>
    <t>Rapport hebdomadaire ou mensuel de suivi du temps</t>
  </si>
  <si>
    <t>Livrables introuvables ou non exploitables ultérieurement</t>
  </si>
  <si>
    <t>Tests incomplets, réduction de la couverture fonctionnelle.</t>
  </si>
  <si>
    <t>Mettre en place une procédure de validation formalisée des livrables avec les utilisateurs.</t>
  </si>
  <si>
    <t>Suivi hebdomadaire ou mensuel du temps passé</t>
  </si>
  <si>
    <t>Le temps passé est-il suivi de manière hebdomadaire ou mensuelle ?</t>
  </si>
  <si>
    <t>Document de comparaison du temps réel avec le temps prévu</t>
  </si>
  <si>
    <t>Suivi du temps approximatif ou inexistant</t>
  </si>
  <si>
    <t>Mauvaise validation des livrables, rejet des utilisateurs.</t>
  </si>
  <si>
    <t>Recueillir les retours utilisateurs à chaque itération pour ajuster les livrables.</t>
  </si>
  <si>
    <t>Comparaison avec le temps estimé dans le planning</t>
  </si>
  <si>
    <t>Le temps réel est-il comparé au temps prévu ?</t>
  </si>
  <si>
    <t>Document d’analyse des écarts entre le temps réel et prévu</t>
  </si>
  <si>
    <t>Sous-estimation ou dépassement du temps sans alerte</t>
  </si>
  <si>
    <t>Livrables inadaptés aux exigences des utilisateurs, mauvaise qualité.</t>
  </si>
  <si>
    <t>Mettre en place un processus de retour sur anomalies détectées pendant les tests.</t>
  </si>
  <si>
    <t>Analyse des écarts temps réel vs temps prévisionnel</t>
  </si>
  <si>
    <t>Les écarts entre temps réel et temps prévu sont-ils analysés ?</t>
  </si>
  <si>
    <t>Intégration des données de temps dans les outils de pilotage</t>
  </si>
  <si>
    <t>Planning inadapté aux charges réelles de travail</t>
  </si>
  <si>
    <t>Risques d’erreurs non identifiées, absence de feedback efficace.</t>
  </si>
  <si>
    <t>Traquer les résultats de tests dans des outils assurant leur traçabilité.</t>
  </si>
  <si>
    <t>Intégration des données dans les outils de pilotage</t>
  </si>
  <si>
    <t>Les données temps sont-elles intégrées dans les outils de pilotage ?</t>
  </si>
  <si>
    <t>Document de planification avec l’outil utilisé</t>
  </si>
  <si>
    <t>Non-maîtrise des écarts et dérives de charges</t>
  </si>
  <si>
    <t>Non-intégration des résultats des tests dans le processus décisionnel.</t>
  </si>
  <si>
    <t>Renforcer les tests de préproduction pour identifier les failles critiques.</t>
  </si>
  <si>
    <t xml:space="preserve">S’assurer que la méthode repose sur un outil de planification </t>
  </si>
  <si>
    <t>Utilisation d’un outil de planification (MS Project, Gantt, etc.)</t>
  </si>
  <si>
    <t>Un outil de planification est-il utilisé (ex. MS Project, Gantt) ?</t>
  </si>
  <si>
    <t>Accès à l’outil de planification partagé avec les acteurs concernés</t>
  </si>
  <si>
    <t>Décisions prises à l’aveugle sans vision consolidée</t>
  </si>
  <si>
    <t>Absence de traçabilité, difficultés de gestion des modifications et erreurs.</t>
  </si>
  <si>
    <t>Implémenter des plans de reprise en cas de perte ou instabilité système.</t>
  </si>
  <si>
    <t>Accès partagé à l’outil par tous les acteurs concernés</t>
  </si>
  <si>
    <t>L’accès à l’outil est-il partagé avec tous les acteurs concernés ?</t>
  </si>
  <si>
    <t>Mise à jour régulière du planning dans l’outil</t>
  </si>
  <si>
    <t>Suivi inefficace du projet et priorités mal gérées</t>
  </si>
  <si>
    <t>Non-détection de problèmes avant livraison, impact sur la production.</t>
  </si>
  <si>
    <t>Mettre en place des tests de robustesse et d’intégrité avant toute mise en production.</t>
  </si>
  <si>
    <t>Le planning est-il mis à jour régulièrement dans l’outil ?</t>
  </si>
  <si>
    <t>Outil de suivi automatique de l’avancement</t>
  </si>
  <si>
    <t>Mauvaise coordination si l’outil n’est pas partagé</t>
  </si>
  <si>
    <t>Risques d’erreurs critiques non corrigées avant la mise en production.</t>
  </si>
  <si>
    <t>Valider l’adhésion utilisateur à la solution par des ateliers d’appropriation.</t>
  </si>
  <si>
    <t>Suivi de l’avancement automatisé via l’outil</t>
  </si>
  <si>
    <t>L’avancement est-il suivi automatiquement via l’outil ?</t>
  </si>
  <si>
    <t>Tableaux de bord et rapports générés depuis l’outil</t>
  </si>
  <si>
    <t>Décalage entre planning affiché et réalité terrain</t>
  </si>
  <si>
    <t>Risque d’instabilité du système et de perte de données critiques.</t>
  </si>
  <si>
    <t>Consolider la planification avec un dispositif de gestion des imprévus.</t>
  </si>
  <si>
    <t>Tableaux de bord et rapports générés à partir de l’outil</t>
  </si>
  <si>
    <t>Des tableaux de bord et rapports sont-ils générés depuis l’outil ?</t>
  </si>
  <si>
    <t>Liste d’outils définis pour la gestion et suivi du projet</t>
  </si>
  <si>
    <t>Suivi manuel ou erroné si l’outil n’est pas utilisé efficacement</t>
  </si>
  <si>
    <t>Perte d’intégrité des informations et des processus après mise en production.</t>
  </si>
  <si>
    <t>Mettre en place une gouvernance claire entre équipes pour éviter les dérives.</t>
  </si>
  <si>
    <t xml:space="preserve">S’assurer que la méthode repose sur des outils </t>
  </si>
  <si>
    <t>Ensemble d’outils définis pour la gestion, la documentation et le suivi</t>
  </si>
  <si>
    <t>Un ensemble d’outils est-il défini pour la gestion et le suivi projet ?</t>
  </si>
  <si>
    <t>Validation des outils utilisés et maîtrise par les équipes</t>
  </si>
  <si>
    <t>Mauvaise lisibilité de l’état d’avancement pour les décideurs</t>
  </si>
  <si>
    <t>Insatisfaction des utilisateurs finaux, rejet de la solution.</t>
  </si>
  <si>
    <t>Harmoniser les critères de validation projet avec les parties prenantes.</t>
  </si>
  <si>
    <t>Outils validés et maîtrisés par les équipes</t>
  </si>
  <si>
    <t>Les outils sont-ils validés et bien maîtrisés par les équipes ?</t>
  </si>
  <si>
    <t>Liste de compatibilité des outils avec l’environnement technique</t>
  </si>
  <si>
    <t>Outils inadaptés à la taille ou à la nature du projet</t>
  </si>
  <si>
    <t>Délais non respectés, risque de perturbation majeure sur le projet.</t>
  </si>
  <si>
    <t>Mettre en œuvre un plan de gestion du changement avec actions concrètes.</t>
  </si>
  <si>
    <t>Compatibilité des outils avec l’environnement technique du projet</t>
  </si>
  <si>
    <t>Les outils sont-ils compatibles avec l’environnement technique ?</t>
  </si>
  <si>
    <t>Formations aux outils utilisées par les utilisateurs</t>
  </si>
  <si>
    <t>Perte de productivité si les outils ne sont pas maîtrisés</t>
  </si>
  <si>
    <t>Risque de déconnexion avec les objectifs de l’équipe, erreurs de coordination.</t>
  </si>
  <si>
    <t>Intégrer des périodes d’adaptation dans le planning pour faciliter la conduite du changement.</t>
  </si>
  <si>
    <t>Formation des utilisateurs aux outils utilisés</t>
  </si>
  <si>
    <t>Les utilisateurs sont-ils formés aux outils utilisés ?</t>
  </si>
  <si>
    <t>Suivi de l’utilisation des outils recommandés</t>
  </si>
  <si>
    <t>Incompatibilités techniques pouvant nuire à la performance</t>
  </si>
  <si>
    <t>Incohérence dans les critères de validation, risques d’échec de la livraison.</t>
  </si>
  <si>
    <t>Formaliser les retours utilisateurs et en faire un levier d’amélioration continue.</t>
  </si>
  <si>
    <t>Suivi de l’utilisation effective des outils recommandés</t>
  </si>
  <si>
    <t>L’utilisation effective des outils recommandés est-elle suivie ?</t>
  </si>
  <si>
    <t>Documents de choix d'outils selon la taille et complexité du projet</t>
  </si>
  <si>
    <t>Résistance à l’outil ou mauvaise utilisation</t>
  </si>
  <si>
    <t>Mauvaise gestion du changement, résistance au changement par les utilisateurs.</t>
  </si>
  <si>
    <t>Créer un comité de gestion du changement incluant les utilisateurs clés.</t>
  </si>
  <si>
    <t>S’assurer que les outils de suivi des délais et des coûts sont
adaptés</t>
  </si>
  <si>
    <t>Outils choisis selon la complexité et la taille du projet</t>
  </si>
  <si>
    <t>Les outils sont-ils choisis selon la complexité et la taille du projet ?</t>
  </si>
  <si>
    <t>Rapports générés par les outils avec indicateurs temps, budget</t>
  </si>
  <si>
    <t>Décalage entre la théorie et l’usage réel des outils</t>
  </si>
  <si>
    <t>Blocage du projet dû à un manque d’adaptation, erreurs dans la mise en œuvre.</t>
  </si>
  <si>
    <t>Intégrer les retours critiques dans les arbitrages et ajustements projet.</t>
  </si>
  <si>
    <t>Intégration des indicateurs de temps, budget, reste à faire</t>
  </si>
  <si>
    <t>Les outils intègrent-ils les indicateurs temps, budget, reste à faire ?</t>
  </si>
  <si>
    <t>Liste d’indicateurs de suivi dans les outils utilisés</t>
  </si>
  <si>
    <t>Outils trop complexes ou inadaptés au projet</t>
  </si>
  <si>
    <t>Manque de gestion efficace des retours utilisateurs, impact sur la qualité.</t>
  </si>
  <si>
    <t>Suivre la mise en œuvre des changements à travers des plans d’action détaillés.</t>
  </si>
  <si>
    <t>Rapports automatiques générés pour le pilotage</t>
  </si>
  <si>
    <t>Des rapports automatiques sont-ils générés pour le pilotage ?</t>
  </si>
  <si>
    <t>Conformité des outils avec la méthode de gestion du projet</t>
  </si>
  <si>
    <t>Pilotage partiel ou biaisé par absence de données clés</t>
  </si>
  <si>
    <t>Retards dus à une mauvaise coordination, impact sur le planning.</t>
  </si>
  <si>
    <t>Communiquer de manière structurée et régulière les changements à venir.</t>
  </si>
  <si>
    <t>Utilisation d’indicateurs clairs : avancement, dérive, reste à consommer</t>
  </si>
  <si>
    <t>Les indicateurs utilisés sont-ils clairs (avancement, dérive, reste) ?</t>
  </si>
  <si>
    <t>Documentation formelle du dispositif qualité</t>
  </si>
  <si>
    <t>Suivi manuel, perte de temps ou d’information</t>
  </si>
  <si>
    <t>Rejet des changements par les utilisateurs ou impact négatif sur leur travail.</t>
  </si>
  <si>
    <t>Évaluer systématiquement les impacts de chaque changement sur les jalons projet.</t>
  </si>
  <si>
    <t>Alignement des outils avec la méthode de conduite de projet</t>
  </si>
  <si>
    <t>Les outils sont-ils alignés avec la méthode de conduite du projet ?</t>
  </si>
  <si>
    <t>Accessibilité de la documentation qualité aux parties prenantes</t>
  </si>
  <si>
    <t>Suivi confus si les indicateurs ne sont pas clairs</t>
  </si>
  <si>
    <t>Non-prise en compte des retours critiques, mauvaise évolution du projet.</t>
  </si>
  <si>
    <t>Organiser des ateliers d’expression des besoins utilisateurs.</t>
  </si>
  <si>
    <t xml:space="preserve">qualité </t>
  </si>
  <si>
    <t>S’assurer qu’il existe un dispositif d'assurance qualité
documenté</t>
  </si>
  <si>
    <t>Le dispositif qualité est-il documenté formellement ?</t>
  </si>
  <si>
    <t>Document de révision périodique du dispositif qualité</t>
  </si>
  <si>
    <t>Méthode de pilotage contredite par les outils utilisés</t>
  </si>
  <si>
    <t>Dysfonctionnement dans la mise en place des changements nécessaires.</t>
  </si>
  <si>
    <t>Mettre en place une stratégie de communication auprès des parties prenantes.</t>
  </si>
  <si>
    <t>Accès facilité à la documentation pour les parties prenantes</t>
  </si>
  <si>
    <t>La documentation qualité est-elle accessible aux parties prenantes ?</t>
  </si>
  <si>
    <t>Validation par la direction du dispositif qualité</t>
  </si>
  <si>
    <t>Manque de cadre formel sur la qualité du projet</t>
  </si>
  <si>
    <t>Mauvaise communication sur les changements, confusion parmi les équipes.</t>
  </si>
  <si>
    <t>Adapter les processus métiers en fonction des nouvelles contraintes projet.</t>
  </si>
  <si>
    <t>Révision régulière du dispositif</t>
  </si>
  <si>
    <t>Le dispositif qualité est-il révisé régulièrement ?</t>
  </si>
  <si>
    <t>Conformité du dispositif qualité avec les référentiels</t>
  </si>
  <si>
    <t>Accès difficile aux procédures ou critères qualité</t>
  </si>
  <si>
    <t>Échec dans la gestion des impacts projet, retards dans la livraison.</t>
  </si>
  <si>
    <t>Mettre en œuvre des revues qualité systématiques des livrables clés.</t>
  </si>
  <si>
    <t>Validation du dispositif par la direction</t>
  </si>
  <si>
    <t>Le dispositif est-il validé par la direction ?</t>
  </si>
  <si>
    <t>Manuel qualité disponible et diffusé</t>
  </si>
  <si>
    <t>Perte de pertinence du dispositif qualité</t>
  </si>
  <si>
    <t>Absence de réponses claires aux besoins des utilisateurs, mécontentement.</t>
  </si>
  <si>
    <t>Mobiliser les parties prenantes à chaque étape stratégique du projet.</t>
  </si>
  <si>
    <t>Adéquation du dispositif avec les référentiels utilisés</t>
  </si>
  <si>
    <t>Le dispositif est-il conforme aux référentiels utilisés ?</t>
  </si>
  <si>
    <t>Plan de mise à jour régulière du manuel qualité</t>
  </si>
  <si>
    <t>Non-appropriation du cadre qualité par les responsables</t>
  </si>
  <si>
    <t>Non-adhésion des parties prenantes à cause d'une mauvaise information.</t>
  </si>
  <si>
    <t>Structurer les communications autour d’objectifs clairs et contextualisés.</t>
  </si>
  <si>
    <t>S’assurer qu’il existe un manuel d'assurance qualité de l'entité</t>
  </si>
  <si>
    <t>Un manuel qualité est-il disponible et diffusé ?</t>
  </si>
  <si>
    <t>Conformité du dispositif aux normes ISO 9001</t>
  </si>
  <si>
    <t>Inadéquation entre les standards et le projet audité</t>
  </si>
  <si>
    <t>Difficulté d’implémentation dans les processus métiers, impact sur l’efficacité.</t>
  </si>
  <si>
    <t>Utiliser des outils de pilotage intégrés pour améliorer la visibilité projet.</t>
  </si>
  <si>
    <t>Mise à jour régulière du manuel</t>
  </si>
  <si>
    <t>Le manuel qualité est-il mis à jour régulièrement ?</t>
  </si>
  <si>
    <t>Identification des processus qualité clés</t>
  </si>
  <si>
    <t>Méconnaissance ou non-respect des règles qualité</t>
  </si>
  <si>
    <t>Mauvaise gestion des erreurs critiques dans les livrables.</t>
  </si>
  <si>
    <t>Évaluer les compétences projet et former les membres de l’équipe.</t>
  </si>
  <si>
    <t>Conformité avec les normes (ex. ISO 9001)</t>
  </si>
  <si>
    <t>Le dispositif est-il conforme aux normes comme ISO 9001 ?</t>
  </si>
  <si>
    <t>Implication des responsables qualité dans la rédaction</t>
  </si>
  <si>
    <t>Obsolescence du cadre qualité ou inadaptation</t>
  </si>
  <si>
    <t>Manque d’implication des parties prenantes, projet désaligné avec les besoins.</t>
  </si>
  <si>
    <t>Organiser les tâches en fonction des objectifs et des urgences projet.</t>
  </si>
  <si>
    <t>Identification des processus de qualité clés</t>
  </si>
  <si>
    <t>Les processus qualité clés sont-ils identifiés ?</t>
  </si>
  <si>
    <t>Plan qualité spécifique au projet disponible</t>
  </si>
  <si>
    <t>Risques de non-conformité réglementaire ou normative</t>
  </si>
  <si>
    <t>Communication confuse, impact négatif sur la compréhension des objectifs.</t>
  </si>
  <si>
    <t>Clarifier les objectifs par des fiches de mission pour chaque acteur.</t>
  </si>
  <si>
    <t>Les responsables qualité sont-ils impliqués dans la rédaction ?</t>
  </si>
  <si>
    <t>Définition des responsabilités qualité dans le projet</t>
  </si>
  <si>
    <t>Oubli de processus qualité essentiels</t>
  </si>
  <si>
    <t>Risques de perte de contrôle sur l’avancement du projet, difficultés d’implémentation.</t>
  </si>
  <si>
    <t>Intégrer des indicateurs de progression dans les outils de suivi.</t>
  </si>
  <si>
    <t>S’assurer qu’il existe un plan d'assurance qualité du projet</t>
  </si>
  <si>
    <t>Un plan qualité spécifique est-il disponible pour le projet ?</t>
  </si>
  <si>
    <t>Suivi des jalons qualité dans le plan projet</t>
  </si>
  <si>
    <t>Mauvaise articulation entre qualité et pilotage projet</t>
  </si>
  <si>
    <t>Mauvaise validation des compétences et préparation des membres de l’équipe.</t>
  </si>
  <si>
    <t>Former les équipes projet aux outils, processus et enjeux du projet.</t>
  </si>
  <si>
    <t>Définition claire des responsabilités qualité</t>
  </si>
  <si>
    <t>Les responsabilités qualité sont-elles clairement définies ?</t>
  </si>
  <si>
    <t>Intégration du plan qualité dans le pilotage projet</t>
  </si>
  <si>
    <t>Plan qualité inexistant ou non utilisé</t>
  </si>
  <si>
    <t>Mauvaise gestion des priorités, impact sur l’efficacité de l’équipe.</t>
  </si>
  <si>
    <t>Mettre en place un plan de montée en compétence basé sur les livrables attendus.</t>
  </si>
  <si>
    <t>Suivi des jalons qualité</t>
  </si>
  <si>
    <t>Les jalons qualité sont-ils suivis ?</t>
  </si>
  <si>
    <t>Validation par la direction du plan qualité</t>
  </si>
  <si>
    <t>Tâches qualité non assumées ou mal réparties</t>
  </si>
  <si>
    <t>Problèmes de compréhension, réduction de la productivité.</t>
  </si>
  <si>
    <t>Définir les objectifs de performance et de qualité à chaque étape du projet.</t>
  </si>
  <si>
    <t>Intégration du plan dans le pilotage projet</t>
  </si>
  <si>
    <t>Le plan qualité est-il intégré dans le pilotage projet ?</t>
  </si>
  <si>
    <t>Documentation des objectifs qualité avec indicateurs</t>
  </si>
  <si>
    <t>Échéances qualité non respectées</t>
  </si>
  <si>
    <t>Perte de visibilité sur l’avancement des livrables, impact sur la coordination.</t>
  </si>
  <si>
    <t>Effectuer des enquêtes de satisfaction utilisateurs post-livraison.</t>
  </si>
  <si>
    <t>Validation du plan par la direction de projet</t>
  </si>
  <si>
    <t>Le plan qualité est-il validé par la direction de projet ?</t>
  </si>
  <si>
    <t>Communication des objectifs qualité à l’équipe projet</t>
  </si>
  <si>
    <t>Décalage entre pilotage et démarche qualité</t>
  </si>
  <si>
    <t>Manque de formation ou de préparation des membres de l’équipe, erreurs fréquentes.</t>
  </si>
  <si>
    <t>Prioriser les efforts selon la valeur métier et les attentes des utilisateurs.</t>
  </si>
  <si>
    <t>S’assurer que les objectifs de qualité du produit sont
formalisés</t>
  </si>
  <si>
    <t>Objectifs qualité documentés</t>
  </si>
  <si>
    <t>Les objectifs qualité sont-ils documentés ?</t>
  </si>
  <si>
    <t>Suivi des résultats qualité du projet</t>
  </si>
  <si>
    <t>Engagement flou sur les objectifs de qualité</t>
  </si>
  <si>
    <t>Risque de sous-performance, impact sur la qualité des livrables finaux.</t>
  </si>
  <si>
    <t>Instaurer un reporting qualité avec indicateurs d’alerte.</t>
  </si>
  <si>
    <t>Mesurabilité des objectifs (indicateurs associés)</t>
  </si>
  <si>
    <t>Les objectifs qualité sont-ils mesurables (indicateurs associés) ?</t>
  </si>
  <si>
    <t>Définition des objectifs de service (SLA)</t>
  </si>
  <si>
    <t>Objectifs non atteignables ou mal mesurés</t>
  </si>
  <si>
    <t>Objectifs mal atteints, perte de focus sur la performance et la qualité</t>
  </si>
  <si>
    <t>Clarifier les clauses contractuelles et responsabilités associées.</t>
  </si>
  <si>
    <t>Alignement avec les attentes utilisateurs</t>
  </si>
  <si>
    <t>Les objectifs sont-ils alignés avec les attentes utilisateurs ?</t>
  </si>
  <si>
    <t>Inclusions des SLA dans les contrats ou cahiers des charges</t>
  </si>
  <si>
    <t>Attentes utilisateur mal intégrées dans le dispositif qualité</t>
  </si>
  <si>
    <t>Insatisfaction des utilisateurs, mauvaise adoption de la solution</t>
  </si>
  <si>
    <t>Gérer activement les attentes des clients à travers une communication continue.</t>
  </si>
  <si>
    <t>Communication claire des objectifs à l’équipe projet</t>
  </si>
  <si>
    <t>Les objectifs qualité sont-ils communiqués clairement à l’équipe ?</t>
  </si>
  <si>
    <t>Mesure de la performance des services attendus</t>
  </si>
  <si>
    <t>Équipe mal informée sur les priorités qualité</t>
  </si>
  <si>
    <t>Mauvaise priorisation des efforts, impact négatif sur la qualité globale</t>
  </si>
  <si>
    <t>Impliquer les utilisateurs dans la définition des critères de succès.</t>
  </si>
  <si>
    <t>Suivi des résultats qualité produits</t>
  </si>
  <si>
    <t>Les résultats qualité sont-ils suivis ?</t>
  </si>
  <si>
    <t>Validation des niveaux de service par les utilisateurs</t>
  </si>
  <si>
    <t>Faible visibilité sur les résultats produits</t>
  </si>
  <si>
    <t>Absence de retour sur les performances, risques de déviation non détectés</t>
  </si>
  <si>
    <t>Mettre en place des KPIs pour suivre l’efficacité des services livrés.</t>
  </si>
  <si>
    <t xml:space="preserve">S’assurer que les objectifs de qualité de service attendu sont
formalisés </t>
  </si>
  <si>
    <t>Objectifs de service (SLA) définis</t>
  </si>
  <si>
    <t>Les objectifs de service (SLA) sont-ils définis ?</t>
  </si>
  <si>
    <t>Indicateurs qualité pour le suivi du service</t>
  </si>
  <si>
    <t>SLA absents ou non contractualisés</t>
  </si>
  <si>
    <t>Contrats peu clairs, litiges, manque de responsabilité des parties prenantes</t>
  </si>
  <si>
    <t>Organiser des ateliers de collaboration et de résolution de conflits.</t>
  </si>
  <si>
    <t>Inclusion des objectifs dans les contrats ou cahier des charges</t>
  </si>
  <si>
    <t>Les objectifs de service sont-ils inclus dans les contrats ou cahiers des charges ?</t>
  </si>
  <si>
    <t>Séparation claire entre AQ et développement</t>
  </si>
  <si>
    <t>Décalage entre prestations attendues et fournies</t>
  </si>
  <si>
    <t>Dégradation de la satisfaction client, mauvaise gestion des attentes</t>
  </si>
  <si>
    <t>Former les équipes aux objectifs qualité et aux processus associés.</t>
  </si>
  <si>
    <t>La performance des services attendus est-elle mesurée ?</t>
  </si>
  <si>
    <t>Définition des rôles AQ dans l’organigramme projet</t>
  </si>
  <si>
    <t>Non-prise en compte des besoins utilisateurs</t>
  </si>
  <si>
    <t>Manque d'alignement sur les attentes des utilisateurs, solution inappropriée</t>
  </si>
  <si>
    <t>Impliquer des auditeurs externes ou indépendants dans les revues qualité.</t>
  </si>
  <si>
    <t>Validation avec les utilisateurs finaux</t>
  </si>
  <si>
    <t>Les utilisateurs finaux valident-ils les niveaux de service ?</t>
  </si>
  <si>
    <t>Accessibilité de l’équipe AQ à la direction</t>
  </si>
  <si>
    <t>Absence de mesure sur la qualité de service réelle</t>
  </si>
  <si>
    <t>Impossible de mesurer l'efficacité des services, perte de contrôle</t>
  </si>
  <si>
    <t>Créer un dispositif d’escalade des problèmes non résolus.</t>
  </si>
  <si>
    <t>Suivi via des indicateurs qualité pertinents</t>
  </si>
  <si>
    <t>Des indicateurs qualité pertinents sont-ils utilisés pour le suivi ?</t>
  </si>
  <si>
    <t>Implication de l’équipe AQ dans les comités sans conflit</t>
  </si>
  <si>
    <t>Conflit d’intérêt entre développement et assurance qualité</t>
  </si>
  <si>
    <t>Conflits entre équipes, mauvaise collaboration, réduction de la qualité</t>
  </si>
  <si>
    <t>Favoriser les débats constructifs et les analyses contradictoires.</t>
  </si>
  <si>
    <t>S’assurer que le groupe assurance qualité est indépendant des équipes de développement du projet</t>
  </si>
  <si>
    <t>Organisation distincte entre AQ et développement</t>
  </si>
  <si>
    <t>Une séparation claire est-elle faite entre AQ et développement ?</t>
  </si>
  <si>
    <t>Documentation de la procédure AQ et sa diffusion</t>
  </si>
  <si>
    <t>Flou dans l’organisation de l’assurance qualité</t>
  </si>
  <si>
    <t>Incompréhension des objectifs qualité, confusion dans les processus</t>
  </si>
  <si>
    <t>Mettre en œuvre un processus de contrôle qualité structuré.</t>
  </si>
  <si>
    <t>Rôles définis dans l’organigramme projet</t>
  </si>
  <si>
    <t>Les rôles qualité sont-ils définis dans l’organigramme projet ?</t>
  </si>
  <si>
    <t>Formats et étapes des revues AQ définis</t>
  </si>
  <si>
    <t>Interventions biaisées sans indépendance de l’AQ</t>
  </si>
  <si>
    <t>Perte d’objectivité et d'indépendance dans les évaluations qualité</t>
  </si>
  <si>
    <t>Suivre l’exécution des plans qualité et leurs résultats.</t>
  </si>
  <si>
    <t>Liberté d’action et de décision de l’équipe AQ</t>
  </si>
  <si>
    <t>L’équipe AQ dispose-t-elle d’une liberté d’action et de décision ?</t>
  </si>
  <si>
    <t>Attributions des responsabilités de suivi des revues AQ</t>
  </si>
  <si>
    <t>Problèmes non remontés au niveau décisionnel</t>
  </si>
  <si>
    <t>Problèmes non adressés à temps, perte de contrôle, impact sur les livrables</t>
  </si>
  <si>
    <t>Définir des indicateurs objectifs pour évaluer les résultats qualité.</t>
  </si>
  <si>
    <t>Accès direct de l’équipe AQ à la direction</t>
  </si>
  <si>
    <t>L’équipe AQ a-t-elle un accès direct à la direction ?</t>
  </si>
  <si>
    <t>Suivi des revues AQ par des indicateurs dédiés</t>
  </si>
  <si>
    <t>Absence de contre-pouvoir ou d’avis tiers en comité</t>
  </si>
  <si>
    <t>Manque d'opposition constructive, décisions biaisées, baisse de qualité</t>
  </si>
  <si>
    <t>Documenter les décisions et retours d’expérience dans une base projet.</t>
  </si>
  <si>
    <t>Participation de l’AQ aux comités sans conflit d’intérêt</t>
  </si>
  <si>
    <t>L’AQ participe-t-elle aux comités sans conflit d’intérêt ?</t>
  </si>
  <si>
    <t>Archivage des résultats des revues AQ</t>
  </si>
  <si>
    <t>Démarche AQ absente ou incomplète</t>
  </si>
  <si>
    <t>Absence de méthodologie de contrôle, impact négatif sur la performance</t>
  </si>
  <si>
    <t>Suivre les actions correctives jusqu’à leur clôture effective.</t>
  </si>
  <si>
    <t>S’assurer qu’une procédure de suivi des revues d'assurance
qualité est formalisée</t>
  </si>
  <si>
    <t>Procédure AQ documentée et diffusée</t>
  </si>
  <si>
    <t>Une procédure AQ est-elle documentée et diffusée ?</t>
  </si>
  <si>
    <t>Traçabilité des actions issues des revues AQ</t>
  </si>
  <si>
    <t>Revues qualité inconsistantes ou non formalisées</t>
  </si>
  <si>
    <t>Pas de suivi des mesures de qualité, actions correctives inefficaces</t>
  </si>
  <si>
    <t>Mettre en œuvre un processus d’amélioration continue basé sur les retours.</t>
  </si>
  <si>
    <t>Étapes et formats des revues définis</t>
  </si>
  <si>
    <t>Les étapes et formats des revues AQ sont-ils définis ?</t>
  </si>
  <si>
    <t>Plan de mise en œuvre des recommandations</t>
  </si>
  <si>
    <t>Suivi flou ou défaillant des revues qualité</t>
  </si>
  <si>
    <t>Absence de repères objectifs, manque de fiabilité des résultats</t>
  </si>
  <si>
    <t>Réaliser des bilans réguliers et des revues de performance.</t>
  </si>
  <si>
    <t>Responsabilités de suivi attribuées</t>
  </si>
  <si>
    <t>Les responsabilités de suivi des revues sont-elles attribuées ?</t>
  </si>
  <si>
    <t>Suivi des actions dans les comités projets</t>
  </si>
  <si>
    <t>Pas d’indicateurs fiables sur la qualité projet</t>
  </si>
  <si>
    <t>Difficulté à retrouver des informations historiques, prise de décision hasardeuse</t>
  </si>
  <si>
    <t>Comparer les solutions proposées avec des benchmarks ou alternatives.</t>
  </si>
  <si>
    <t>Indicateurs de suivi des revues AQ</t>
  </si>
  <si>
    <t>Des indicateurs permettent-ils de suivre les revues AQ ?</t>
  </si>
  <si>
    <t>Validation des corrections ou ajustements</t>
  </si>
  <si>
    <t>Historique des décisions perdu ou inaccessible</t>
  </si>
  <si>
    <t>Actions non suivies, incapacité à évaluer leur impact, perte de contrôle</t>
  </si>
  <si>
    <t>Publier les décisions de façon transparente avec justification.</t>
  </si>
  <si>
    <t>Archivage systématique des résultats de revue</t>
  </si>
  <si>
    <t>Les résultats de revue sont-ils archivés systématiquement ?</t>
  </si>
  <si>
    <t>Capitalisation des retours d’expérience</t>
  </si>
  <si>
    <t>Actions qualité sans traçabilité ni suivi</t>
  </si>
  <si>
    <t>Faible impact sur l’amélioration continue, non-respect des bonnes pratiques</t>
  </si>
  <si>
    <t>Mettre en place un dispositif d’évaluation des bénéfices réels.</t>
  </si>
  <si>
    <t>S’assurer que les conclusions des revues d'assurance qualité
sont prises en compte par l'équipe projet</t>
  </si>
  <si>
    <t>Traçabilité des actions issues des revues</t>
  </si>
  <si>
    <t>Les actions issues des revues sont-elles traçables ?</t>
  </si>
  <si>
    <t>Liste des scénarios étudiés et documentée</t>
  </si>
  <si>
    <t>Non-implémentation des recommandations AQ</t>
  </si>
  <si>
    <t>Retrait des leçons des erreurs passées, répétition des mêmes problèmes</t>
  </si>
  <si>
    <t>Évaluer systématiquement l’impact des décisions par des simulations ou POC.</t>
  </si>
  <si>
    <t>Un plan de mise en œuvre des recommandations est-il formalisé ?</t>
  </si>
  <si>
    <t>Comparaison des avantages et inconvénients des scénarios</t>
  </si>
  <si>
    <t>Faible impact des recommandations sur le projet</t>
  </si>
  <si>
    <t>Décisions mal éclairées, choix basés sur des opinions plutôt que des faits</t>
  </si>
  <si>
    <t>Mettre en place un dispositif de suivi de l’efficacité des recommandations et réévaluer leur pertinence régulièrement.</t>
  </si>
  <si>
    <t>Le suivi des actions est-il effectué dans les comités projets ?</t>
  </si>
  <si>
    <t>Présentation des analyses de scénarios en comité</t>
  </si>
  <si>
    <t>Répétition des erreurs passées non analysées</t>
  </si>
  <si>
    <t>Absence de comparaisons entre solutions, choix arbitraires et non optimisés</t>
  </si>
  <si>
    <t>Intégrer un retour d’expérience systématique pour analyser les erreurs passées et en tirer des enseignements.</t>
  </si>
  <si>
    <t>Les corrections ou ajustements sont-ils validés ?</t>
  </si>
  <si>
    <t>Participation des parties prenantes aux analyses de scénarios</t>
  </si>
  <si>
    <t>Choix non argumentés ou scénarios non étudiés</t>
  </si>
  <si>
    <t>Absence de transparence, mauvaise gestion des attentes, confusion</t>
  </si>
  <si>
    <t>Documenter les choix avec des justifications basées sur des scénarios étudiés et comparés objectivement.</t>
  </si>
  <si>
    <t>Retours d’expérience capitalisés</t>
  </si>
  <si>
    <t>Les retours d’expérience sont-ils capitalisés ?</t>
  </si>
  <si>
    <t>Accessibilité et argumentation des documents de scénarios</t>
  </si>
  <si>
    <t>Choix orientés ou non comparés objectivement</t>
  </si>
  <si>
    <t>Résultats inadaptés, perte d’opportunités d’amélioration</t>
  </si>
  <si>
    <t>Mettre en place une grille de comparaison multicritères neutre pour les choix stratégiques.</t>
  </si>
  <si>
    <t>conception générale et analyse</t>
  </si>
  <si>
    <t xml:space="preserve">S’assurer qu’il existe une analyse des différents scénarios
possibles en termes de solution retenue </t>
  </si>
  <si>
    <t>Liste des scénarios étudiés formellement</t>
  </si>
  <si>
    <t>Une liste formelle des scénarios étudiés existe-t-elle ?</t>
  </si>
  <si>
    <t>Inclusion du scénario "statu quo" dans l’analyse</t>
  </si>
  <si>
    <t>Décisions prises sans concertation ni documentation</t>
  </si>
  <si>
    <t>Manque de contrôle sur l'impact des décisions, solutions inadaptées</t>
  </si>
  <si>
    <t>Formaliser les décisions de manière collaborative avec traçabilité des concertations.</t>
  </si>
  <si>
    <t>Comparaison des avantages/inconvénients de chaque scénario</t>
  </si>
  <si>
    <t>Une comparaison des avantages/inconvénients est-elle réalisée ?</t>
  </si>
  <si>
    <t>Evaluation de l’impact de l’inaction dans les scénarios</t>
  </si>
  <si>
    <t>Rejet utilisateur des scénarios retenus</t>
  </si>
  <si>
    <t>Risques non identifiés, impacts sur la qualité et la sécurité non anticipés</t>
  </si>
  <si>
    <t>Faire valider les scénarios retenus par les utilisateurs cibles via des ateliers ou prototypes.</t>
  </si>
  <si>
    <t>Présentation des analyses en comité</t>
  </si>
  <si>
    <t>Les analyses de scénarios sont-elles présentées en comité ?</t>
  </si>
  <si>
    <t>Justification du rejet du scénario "ne rien faire"</t>
  </si>
  <si>
    <t>Justifications insuffisantes pour rejeter le statu quo</t>
  </si>
  <si>
    <t>Solutions déployées avec des conséquences négatives sur l’organisation</t>
  </si>
  <si>
    <t>Réaliser une analyse approfondie du statu quo avec des critères objectifs avant toute décision.</t>
  </si>
  <si>
    <t>Participation des parties prenantes à la réflexion</t>
  </si>
  <si>
    <t>Les parties prenantes participent-elles à la réflexion ?</t>
  </si>
  <si>
    <t>Analyse coûts/bénéfices pour chaque scénario</t>
  </si>
  <si>
    <t>Absence d’analyse d’impact sur la situation actuelle</t>
  </si>
  <si>
    <t>Risques réglementaires, conséquences légales et financières</t>
  </si>
  <si>
    <t>Intégrer une analyse d’impact complète avant toute modification ou décision majeure.</t>
  </si>
  <si>
    <t>Documentation accessible et argumentée</t>
  </si>
  <si>
    <t>La documentation des scénarios est-elle accessible et argumentée ?</t>
  </si>
  <si>
    <t>Intégration de l’analyse dans les documents de décision</t>
  </si>
  <si>
    <t>Arbitrages peu crédibles sans analyse coûts-bénéfices</t>
  </si>
  <si>
    <t>Non-rentabilité du projet, pertes financières, perte de confiance</t>
  </si>
  <si>
    <t>Réaliser des études de coûts-bénéfices documentées pour appuyer les arbitrages.</t>
  </si>
  <si>
    <t>S’assurer que tous les scénarios ont été envisagés, même celui
de ne rien faire</t>
  </si>
  <si>
    <t>Présence du scénario « statu quo » dans l’analyse</t>
  </si>
  <si>
    <t>Le scénario « statu quo » est-il inclus dans l’analyse ?</t>
  </si>
  <si>
    <t>Documentation des contraintes techniques et organisationnelles</t>
  </si>
  <si>
    <t>Opacité sur les critères de choix retenus</t>
  </si>
  <si>
    <t>Échec de la planification financière, surcoûts, retards dans le projet</t>
  </si>
  <si>
    <t>Rendre publics les critères de choix et justifications des décisions pour transparence.</t>
  </si>
  <si>
    <t>Évaluation de l'impact de l'inaction</t>
  </si>
  <si>
    <t>L’impact de l’inaction est-il évalué ?</t>
  </si>
  <si>
    <t>Documentation des impacts sur les infrastructures</t>
  </si>
  <si>
    <t>Risques techniques et organisationnels non anticipés</t>
  </si>
  <si>
    <t>Choix basés sur des hypothèses erronées, perte d'opportunités</t>
  </si>
  <si>
    <t>Réaliser une analyse de risques complète incluant les aspects techniques et organisationnels.</t>
  </si>
  <si>
    <t>Le rejet du scénario « ne rien faire » est-il justifié ?</t>
  </si>
  <si>
    <t>Analyse des besoins en formation et support</t>
  </si>
  <si>
    <t>Solutions déployées sans prise en compte des impacts</t>
  </si>
  <si>
    <t>Problèmes à long terme non anticipés, impact sur la pérennité du projet</t>
  </si>
  <si>
    <t>Evaluer systématiquement les impacts des solutions avant leur implémentation.</t>
  </si>
  <si>
    <t>Une analyse coûts/bénéfices est-elle réalisée pour chaque scénario ?</t>
  </si>
  <si>
    <t>Evaluation de la faisabilité technique</t>
  </si>
  <si>
    <t>Déploiement impossible ou inadapté</t>
  </si>
  <si>
    <t>Solutions déployées sans vérification de leur conformité aux exigences</t>
  </si>
  <si>
    <t>Réaliser des tests de déploiement dans des environnements contrôlés avant généralisation.</t>
  </si>
  <si>
    <t>Présentation de cette analyse dans les documents de décision</t>
  </si>
  <si>
    <t>Cette analyse est-elle intégrée aux documents de décision ?</t>
  </si>
  <si>
    <t>Documentation des contraintes réglementaires et légales</t>
  </si>
  <si>
    <t>Déploiement en contradiction avec les réglementations</t>
  </si>
  <si>
    <t>Risques non couverts, mauvaise gestion des menaces sur la sécurité</t>
  </si>
  <si>
    <t>Vérifier systématiquement la conformité réglementaire avant toute mise en production.</t>
  </si>
  <si>
    <t>S’assurer que les contraintes liées aux technologies (besoins en matériels, en formation, en RH, contraintes juridiques, faisabilité opérationnelle, …) ont été prises en compte</t>
  </si>
  <si>
    <t>Identification des contraintes techniques et organisationnelles</t>
  </si>
  <si>
    <t>Les contraintes techniques et organisationnelles sont-elles identifiées ?</t>
  </si>
  <si>
    <t>Etude de rentabilité ou ROI pour le projet</t>
  </si>
  <si>
    <t>Investissements injustifiés ou peu rentables</t>
  </si>
  <si>
    <t>Non-conformité aux standards de sécurité, vulnérabilités exploitables</t>
  </si>
  <si>
    <t>Adosser les investissements à des analyses de rentabilité et d’opportunité détaillées.</t>
  </si>
  <si>
    <t>Impacts sur les infrastructures documentés</t>
  </si>
  <si>
    <t>Les impacts sur les infrastructures sont-ils documentés ?</t>
  </si>
  <si>
    <t>Chiffrage des coûts directs et indirects</t>
  </si>
  <si>
    <t>Mauvaise estimation des charges et coûts</t>
  </si>
  <si>
    <t>Risques juridiques, impacts financiers, sanctions possibles</t>
  </si>
  <si>
    <t>Mettre en place des processus rigoureux d’estimation des charges, avec marges de sécurité.</t>
  </si>
  <si>
    <t>Analyse des besoins en formation et en support</t>
  </si>
  <si>
    <t>Les besoins en formation et support sont-ils analysés ?</t>
  </si>
  <si>
    <t>Evaluation des bénéfices attendus</t>
  </si>
  <si>
    <t>Bénéfices surestimés ou non mesurables</t>
  </si>
  <si>
    <t>Défaillance dans la gestion des incidents, incapacité à résoudre rapidement</t>
  </si>
  <si>
    <t>Adosser les bénéfices projetés à des indicateurs mesurables, suivis pendant le projet.</t>
  </si>
  <si>
    <t>Évaluation de la faisabilité technique</t>
  </si>
  <si>
    <t>La faisabilité technique est-elle évaluée ?</t>
  </si>
  <si>
    <t>Analyse du coût total de possession (TCO)</t>
  </si>
  <si>
    <t>Décisions biaisées par manque de vision long terme</t>
  </si>
  <si>
    <t>Défaut de supervision, incapacité à détecter des anomalies à temps</t>
  </si>
  <si>
    <t>Prendre en compte les enjeux long terme dans la vision stratégique des décisions.</t>
  </si>
  <si>
    <t>Prise en compte des contraintes réglementaires et légales</t>
  </si>
  <si>
    <t>Les contraintes réglementaires et légales sont-elles prises en compte ?</t>
  </si>
  <si>
    <t>Validation documentaire par les instances décisionnelles</t>
  </si>
  <si>
    <t>Projets validés sur la base de documents incomplets</t>
  </si>
  <si>
    <t>Problèmes opérationnels non identifiés, impacts sur la production</t>
  </si>
  <si>
    <t>Refuser la validation de projets sans livrables documentaires complets et validés.</t>
  </si>
  <si>
    <t>S’assurer qu’une analyse économique (bénéfices attendus,
coûts de développement, de formation, de maintenance, …) a été intégrée au choix de la solution</t>
  </si>
  <si>
    <t>Présence d’une étude de rentabilité ou ROI</t>
  </si>
  <si>
    <t>Une étude de rentabilité ou ROI est-elle présente ?</t>
  </si>
  <si>
    <t>Identification des risques pour chaque scénario</t>
  </si>
  <si>
    <t>Sous-estimation ou négligence de certains risques</t>
  </si>
  <si>
    <t>Risques de mauvaise qualité des analyses, impact sur la prise de décision</t>
  </si>
  <si>
    <t>Mettre en place une analyse de risques rigoureuse et une surveillance continue.</t>
  </si>
  <si>
    <t>Les coûts directs et indirects sont-ils chiffrés ?</t>
  </si>
  <si>
    <t>Notation des risques (probabilité et impact)</t>
  </si>
  <si>
    <t>Arbitrages peu robustes sans méthode de cotation</t>
  </si>
  <si>
    <t>Absence de méthode, augmentation des erreurs techniques et organisationnelles</t>
  </si>
  <si>
    <t>S’appuyer sur une méthode de cotation objective et partagée pour tous les arbitrages.</t>
  </si>
  <si>
    <t>Évaluation des bénéfices attendus et mesurables</t>
  </si>
  <si>
    <t>Les bénéfices attendus sont-ils évalués et mesurables ?</t>
  </si>
  <si>
    <t>Plans de mitigation associés à chaque risque</t>
  </si>
  <si>
    <t>Absence de réponses prévues aux risques identifiés</t>
  </si>
  <si>
    <t>Risques de mauvaise gestion du modèle, erreurs d'interprétation</t>
  </si>
  <si>
    <t>Définir des plans de réponse aux risques dès leur identification.</t>
  </si>
  <si>
    <t>Le coût total de possession (TCO) est-il analysé ?</t>
  </si>
  <si>
    <t>Utilisation d’un registre de suivi des risques</t>
  </si>
  <si>
    <t>Suivi des risques absent ou mal intégré au projet</t>
  </si>
  <si>
    <t>Mauvaise gestion du projet, retards, baisse de performance</t>
  </si>
  <si>
    <t>Intégrer la gestion des risques dans les routines de pilotage projet.</t>
  </si>
  <si>
    <t>Documentation validée par les instances décisionnelles</t>
  </si>
  <si>
    <t>La documentation est-elle validée par les instances décisionnelles ?</t>
  </si>
  <si>
    <t>Validation des risques par responsables projet et métier</t>
  </si>
  <si>
    <t>Décisions prises sans validation des métiers</t>
  </si>
  <si>
    <t>Livrables incomplets, perte de confiance des parties prenantes</t>
  </si>
  <si>
    <t>Valider systématiquement les décisions clés avec les représentants métiers.</t>
  </si>
  <si>
    <t>S’assurer qu’une analyse des risques a été mise en place pour
chaque alternative</t>
  </si>
  <si>
    <t>Identification des risques par scénario</t>
  </si>
  <si>
    <t>Les risques sont-ils identifiés pour chaque scénario ?</t>
  </si>
  <si>
    <t>Grilles d’évaluation avec pondérations utilisées</t>
  </si>
  <si>
    <t>Critères de choix non objectifs ou incomplets</t>
  </si>
  <si>
    <t>Difficultés à intégrer les nouveaux membres, baisse d'efficacité</t>
  </si>
  <si>
    <t>Construire une grille de critères objectifs et validés pour toute prise de décision.</t>
  </si>
  <si>
    <t>Notation de probabilité et d’impact</t>
  </si>
  <si>
    <t>Les risques sont-ils notés (probabilité et impact) ?</t>
  </si>
  <si>
    <t>Critères techniques, fonctionnels et financiers mobilisés</t>
  </si>
  <si>
    <t>Absence de pluralité dans l’analyse ou biais d’équipe</t>
  </si>
  <si>
    <t>Manque d’expérience pratique, mauvaise application des concepts</t>
  </si>
  <si>
    <t>Favoriser une revue croisée des analyses par plusieurs équipes.</t>
  </si>
  <si>
    <t>Plans de mitigation associés</t>
  </si>
  <si>
    <t>Des plans de mitigation sont-ils associés à chaque risque ?</t>
  </si>
  <si>
    <t>Evaluation pluridisciplinaire des risques</t>
  </si>
  <si>
    <t>Conflits d’intérêts non identifiés</t>
  </si>
  <si>
    <t>Problèmes d’alignement avec les besoins réels, frustration des utilisateurs</t>
  </si>
  <si>
    <t>Instaurer un processus de détection et gestion des conflits d’intérêts.</t>
  </si>
  <si>
    <t>Suivi dans un registre de risques spécifique</t>
  </si>
  <si>
    <t>Un registre spécifique de suivi des risques est-il utilisé ?</t>
  </si>
  <si>
    <t>Formalisation de l’absence de conflits d’intérêts</t>
  </si>
  <si>
    <t>Perte de légitimité dans les décisions prises</t>
  </si>
  <si>
    <t>Non-conformité des livrables, réduction de la qualité du produit final</t>
  </si>
  <si>
    <t>Renforcer la transparence et la documentation des décisions pour assurer leur légitimité.</t>
  </si>
  <si>
    <t>Validation par les responsables projet et métier</t>
  </si>
  <si>
    <t>Les risques sont-ils validés par les responsables projet et métier ?</t>
  </si>
  <si>
    <t>Motivation et transparence de la décision</t>
  </si>
  <si>
    <t>Exigences de sécurité absentes des spécifications</t>
  </si>
  <si>
    <t>Retards dans la livraison, non-validation des livrables par les utilisateurs</t>
  </si>
  <si>
    <t>Intégrer les exigences de sécurité dès la rédaction des spécifications.</t>
  </si>
  <si>
    <t xml:space="preserve">S’assurer que le choix de la solution a été fait en toute
objectivité en se basant sur des critères d'évaluation pertinents </t>
  </si>
  <si>
    <t>Présence de grilles d’évaluation avec pondérations</t>
  </si>
  <si>
    <t>Des grilles d’évaluation avec pondérations sont-elles utilisées ?</t>
  </si>
  <si>
    <t>Intégration des exigences de sécurité dans les spécifications</t>
  </si>
  <si>
    <t>Risques non couverts faute d’implication SSI</t>
  </si>
  <si>
    <t>Incompatibilité entre les solutions développées et les besoins métiers</t>
  </si>
  <si>
    <t>Associer la SSI dès le lancement du projet et dans tous les arbitrages critiques.</t>
  </si>
  <si>
    <t>Critères techniques, fonctionnels, financiers utilisés</t>
  </si>
  <si>
    <t>Des critères techniques, fonctionnels et financiers sont-ils mobilisés ?</t>
  </si>
  <si>
    <t>Participation de la DSI sécurité à la rédaction des spécifications</t>
  </si>
  <si>
    <t>Défauts de sécurité opérationnelle</t>
  </si>
  <si>
    <t>Solutions incomplètes, manque de couverture fonctionnelle</t>
  </si>
  <si>
    <t>Réaliser des audits réguliers de sécurité opérationnelle.</t>
  </si>
  <si>
    <t>Participation pluridisciplinaire à l’évaluation</t>
  </si>
  <si>
    <t>L’évaluation est-elle pluridisciplinaire ?</t>
  </si>
  <si>
    <t>Documentation des mesures de sécurité opérationnelles</t>
  </si>
  <si>
    <t>Non-conformité aux politiques ou normes SSI</t>
  </si>
  <si>
    <t>Mauvaise coordination entre les équipes, inefficacité des développements</t>
  </si>
  <si>
    <t>Vérifier en continu la conformité aux normes et politiques SSI.</t>
  </si>
  <si>
    <t>Absence de conflit d’intérêts documentée</t>
  </si>
  <si>
    <t>L’absence de conflits d’intérêts est-elle formalisée ?</t>
  </si>
  <si>
    <t>Référence aux politiques SSI existantes dans les spécifications</t>
  </si>
  <si>
    <t>Sanctions en cas de non-respect réglementaire</t>
  </si>
  <si>
    <t>Risques critiques non traités, impact important sur le projet</t>
  </si>
  <si>
    <t>Mettre en place des mécanismes de contrôle et de sanction clairs en cas de non-conformité.</t>
  </si>
  <si>
    <t>Décision motivée et transparente</t>
  </si>
  <si>
    <t>La décision est-elle motivée et transparente ?</t>
  </si>
  <si>
    <t>Conformité aux normes ISO 27001, RGPD</t>
  </si>
  <si>
    <t>Contrôles absents ou flous</t>
  </si>
  <si>
    <t>Défauts non résolus, réplication des mêmes erreurs, mauvaise qualité</t>
  </si>
  <si>
    <t>Clarifier les responsabilités de chaque acteur en phase de production.</t>
  </si>
  <si>
    <t>S’assurer que les aspects de contrôle interne et de sécurité ont été pris en compte dans le cahier des charges</t>
  </si>
  <si>
    <t>Inclusion des exigences de sécurité dans les spécifications</t>
  </si>
  <si>
    <t>Les exigences de sécurité sont-elles incluses dans les spécifications ?</t>
  </si>
  <si>
    <t>Liste des contrôles d’exploitation prévue</t>
  </si>
  <si>
    <t>Responsabilités non assumées en production</t>
  </si>
  <si>
    <t>Problèmes de sécurité non détectés, exposition à des vulnérabilités</t>
  </si>
  <si>
    <t>Implémenter des outils de supervision et d’alerte en cas d’incident.</t>
  </si>
  <si>
    <t>Implication de la DSI sécurité dans la rédaction</t>
  </si>
  <si>
    <t>La DSI sécurité participe-t-elle à la rédaction des spécifications ?</t>
  </si>
  <si>
    <t>Attribution claire des responsabilités liées à la sécurité</t>
  </si>
  <si>
    <t>Absence d’alerte ou de supervision sur incidents</t>
  </si>
  <si>
    <t>Tests inefficaces, anomalies non identifiées ou ignorées</t>
  </si>
  <si>
    <t>Mettre en place des systèmes de détection automatisée des défaillances.</t>
  </si>
  <si>
    <t>Mesures de sécurité opérationnelles prévues</t>
  </si>
  <si>
    <t>Des mesures de sécurité opérationnelles sont-elles prévues ?</t>
  </si>
  <si>
    <t>Plan de supervision et d’alertes</t>
  </si>
  <si>
    <t>Défaillance du système non détectée</t>
  </si>
  <si>
    <t>Risques de sécurité non traités, incidents non pris en charge efficacement</t>
  </si>
  <si>
    <t>Former les équipes d’exploitation dès les phases amont du projet.</t>
  </si>
  <si>
    <t>Références aux politiques SSI existantes</t>
  </si>
  <si>
    <t>Les spécifications font-elles référence aux politiques SSI existantes ?</t>
  </si>
  <si>
    <t>Documentation des tests de contrôle sécurité</t>
  </si>
  <si>
    <t>Manque d’appropriation par les équipes d’exploitation</t>
  </si>
  <si>
    <t>Mauvaise communication des retours, absence de mise à jour du projet</t>
  </si>
  <si>
    <t>Appliquer strictement les méthodologies choisies et former les équipes à leur usage.</t>
  </si>
  <si>
    <t>Respect des normes en vigueur (ISO 27001, RGPD, etc.)</t>
  </si>
  <si>
    <t>Les normes (ISO 27001, RGPD…) sont-elles respectées ?</t>
  </si>
  <si>
    <t>Transfert de la documentation sécurité aux équipes d’exploitation</t>
  </si>
  <si>
    <t>Méthodologie mal appliquée, erreurs d’analyse</t>
  </si>
  <si>
    <t>Non-prise en compte des retours utilisateurs, impact sur la satisfaction</t>
  </si>
  <si>
    <t>Structurer l’approche projet avec des guides et jalons méthodologiques précis.</t>
  </si>
  <si>
    <t>S’assurer que les contrôles d'exploitation ont été identifiés</t>
  </si>
  <si>
    <t>Une liste de contrôles d’exploitation est-elle prévue ?</t>
  </si>
  <si>
    <t>Identification de la méthode d’analyse utilisée</t>
  </si>
  <si>
    <t>Dérives techniques par absence de méthode claire</t>
  </si>
  <si>
    <t>Absence d’analyse correcte des retours, perte de pertinence du projet</t>
  </si>
  <si>
    <t>Fournir des représentations simplifiées et pédagogiques du modèle pour faciliter sa compréhension.</t>
  </si>
  <si>
    <t>Responsabilités clairement attribuées</t>
  </si>
  <si>
    <t>Les responsabilités liées à la sécurité sont-elles clairement attribuées ?</t>
  </si>
  <si>
    <t>Utilisation formalisée de la méthode d’analyse dans les projets</t>
  </si>
  <si>
    <t>Difficulté de compréhension du modèle</t>
  </si>
  <si>
    <t>Documentation obsolète, mauvaise gestion des informations critiques</t>
  </si>
  <si>
    <t>Former les acteurs à l’approche retenue via des cas pratiques et simulations.</t>
  </si>
  <si>
    <t>Plan de supervision et d’alertes défini</t>
  </si>
  <si>
    <t>Un plan de supervision et d’alertes est-il défini ?</t>
  </si>
  <si>
    <t>Outils associés à la méthode d’analyse disponibles</t>
  </si>
  <si>
    <t>Non-maîtrise de l’approche par les acteurs</t>
  </si>
  <si>
    <t>Risque de perte d'informations importantes, difficultés d’accès aux données</t>
  </si>
  <si>
    <t>Mettre en place un processus de relecture et validation qualité des livrables d’analyse.</t>
  </si>
  <si>
    <t>Tests prévus pour les dispositifs de contrôle</t>
  </si>
  <si>
    <t>Des tests sont-ils prévus pour les dispositifs de contrôle ?</t>
  </si>
  <si>
    <t>Formation des acteurs à la méthode d’analyse</t>
  </si>
  <si>
    <t>Mauvaise qualité des livrables d’analyse</t>
  </si>
  <si>
    <t>Mauvaise gestion des informations, difficultés dans la mise en œuvre</t>
  </si>
  <si>
    <t>Vérifier systématiquement la conformité des méthodes utilisées à chaque étape.</t>
  </si>
  <si>
    <t>Documentation transmise aux équipes d’exploitation</t>
  </si>
  <si>
    <t>La documentation sécurité est-elle transmise aux équipes d’exploitation ?</t>
  </si>
  <si>
    <t>Documentation méthodologique complète disponible</t>
  </si>
  <si>
    <t>Non-conformité méthodologique ignorée</t>
  </si>
  <si>
    <t>Incapacité à anticiper les besoins futurs du projet, mauvaise adaptation</t>
  </si>
  <si>
    <t>S’appuyer sur des modèles et standards reconnus pour les livrables attendus.</t>
  </si>
  <si>
    <t xml:space="preserve">conception détaillée </t>
  </si>
  <si>
    <t xml:space="preserve">S’assurer qu’il existe une méthode d'analyse et de conception </t>
  </si>
  <si>
    <t>Méthode d’analyse (MERISE, UML, etc.) identifiée</t>
  </si>
  <si>
    <t>Une méthode d’analyse (MERISE, UML, etc.) est-elle identifiée ?</t>
  </si>
  <si>
    <t>Revue de conformité méthodologique réalisée</t>
  </si>
  <si>
    <t>Livrables non alignés aux standards attendus</t>
  </si>
  <si>
    <t>Absence de validation, impacts sur la fonctionnalité et l’efficacité</t>
  </si>
  <si>
    <t>Mettre en place des tableaux de bord de suivi des livrables pour détecter les écarts.</t>
  </si>
  <si>
    <t>Utilisation formalisée dans les projets</t>
  </si>
  <si>
    <t>Cette méthode est-elle utilisée de façon formalisée dans les projets ?</t>
  </si>
  <si>
    <t>Application de la méthode dans les livrables produits</t>
  </si>
  <si>
    <t>Échecs non identifiés à cause d’un manque de suivi</t>
  </si>
  <si>
    <t>Impact négatif sur la mise en production, risques de bugs et d’anomalies</t>
  </si>
  <si>
    <t>Réévaluer la méthode choisie en cas de dérive constatée.</t>
  </si>
  <si>
    <t>Outils associés disponibles et maîtrisés</t>
  </si>
  <si>
    <t>Les outils associés sont-ils disponibles et bien maîtrisés ?</t>
  </si>
  <si>
    <t>Suivi de la méthode par les chefs de projet ou responsables qualité</t>
  </si>
  <si>
    <t>Choix de méthode non justifié en cas de dérive</t>
  </si>
  <si>
    <t>Mauvaise gestion des exigences, impact sur la qualité du projet</t>
  </si>
  <si>
    <t>Impliquer un expert reconnu pour valider les résultats d’analyse.</t>
  </si>
  <si>
    <t>Formation dispensée aux acteurs concernés</t>
  </si>
  <si>
    <t>Les acteurs concernés sont-ils formés à cette méthode ?</t>
  </si>
  <si>
    <t>Justification des adaptations méthodologiques</t>
  </si>
  <si>
    <t>Résultats invalidés faute d’expertise validée</t>
  </si>
  <si>
    <t>Risques de retard et d’insatisfaction des utilisateurs, mauvaise adoption</t>
  </si>
  <si>
    <t>Renforcer la formation des membres projet sur les bases du métier et de la gestion de projet.</t>
  </si>
  <si>
    <t>Documentation méthodologique complète</t>
  </si>
  <si>
    <t>Une documentation méthodologique complète est-elle disponible ?</t>
  </si>
  <si>
    <t>Validation des adaptations méthodologiques par les experts</t>
  </si>
  <si>
    <t>Faibles compétences projets ou erreurs de base</t>
  </si>
  <si>
    <t>Non-adhésion au projet, manque d'implication des utilisateurs dans les tests</t>
  </si>
  <si>
    <t>Prévoir un dispositif d’intégration structuré des nouveaux arrivants.</t>
  </si>
  <si>
    <t>S’assurer que cette méthode est correctement utilisée</t>
  </si>
  <si>
    <t>Revue de conformité méthodologique en audit projet</t>
  </si>
  <si>
    <t>Une revue de conformité méthodologique est-elle réalisée en audit projet ?</t>
  </si>
  <si>
    <t>Formation et expérience de l’équipe projet</t>
  </si>
  <si>
    <t>Intégration difficile des nouveaux membres</t>
  </si>
  <si>
    <t>Manque de visibilité sur les avancées, décalage par rapport aux attentes</t>
  </si>
  <si>
    <t>Mettre en place des ateliers pratiques pour compléter l’apprentissage théorique.</t>
  </si>
  <si>
    <t>Application dans les livrables produits</t>
  </si>
  <si>
    <t>La méthode est-elle appliquée dans les livrables produits ?</t>
  </si>
  <si>
    <t>Support pour nouvelles recrues et exercices pratiques</t>
  </si>
  <si>
    <t>Compréhension théorique sans pratique suffisante</t>
  </si>
  <si>
    <t>Résistance au changement, conflits internes, mauvaise intégration des modifications</t>
  </si>
  <si>
    <t>Mettre en place un pilotage des compétences et des plans de renforcement ciblés.</t>
  </si>
  <si>
    <t>Suivi par les chefs de projet ou responsables qualité</t>
  </si>
  <si>
    <t>Le suivi est-il assuré par les chefs de projet ou responsables qualité ?</t>
  </si>
  <si>
    <t>Suivi et évaluation des compétences en interne</t>
  </si>
  <si>
    <t>Équipe peu performante ou non autonome</t>
  </si>
  <si>
    <t>Difficultés dans la gestion du changement, impact négatif sur l’équipe</t>
  </si>
  <si>
    <t>Mettre en œuvre des relectures croisées pour détecter incohérences et non-conformités.</t>
  </si>
  <si>
    <t>Adaptation en cas de besoin (avec justification)</t>
  </si>
  <si>
    <t>Des adaptations sont-elles justifiées en cas de besoin ?</t>
  </si>
  <si>
    <t>Documentation des blocages méthodologiques dans les livrables</t>
  </si>
  <si>
    <t>Incohérences ou non-conformités dans les livrables</t>
  </si>
  <si>
    <t>Mauvaise préparation pour la validation des changements, confusion possible</t>
  </si>
  <si>
    <t>Assurer une traçabilité complète des exigences et des évolutions de besoin.</t>
  </si>
  <si>
    <t>Validation par les experts concernés</t>
  </si>
  <si>
    <t>Les experts valident-ils les adaptations méthodologiques ?</t>
  </si>
  <si>
    <t>Vérification du respect des besoins exprimés</t>
  </si>
  <si>
    <t>Écarts entre besoins exprimés et solution développée</t>
  </si>
  <si>
    <t>Absence de traçabilité, problèmes lors des audits ou des contrôles futurs</t>
  </si>
  <si>
    <t>Intégrer des points d’échange réguliers avec les utilisateurs pour valider l’adéquation fonctionnelle.</t>
  </si>
  <si>
    <t>S’assurer que cette méthode est maîtrisée par l'équipe projet</t>
  </si>
  <si>
    <t>Équipe formée et expérimentée</t>
  </si>
  <si>
    <t>L’équipe projet est-elle formée et expérimentée ?</t>
  </si>
  <si>
    <t>Traçabilité des exigences dans les spécifications</t>
  </si>
  <si>
    <t>Exigences non tracées, oubli de fonctionnalités</t>
  </si>
  <si>
    <t>Documentation incomplète, erreurs répétées dans la gestion des changements</t>
  </si>
  <si>
    <t>Définir une couverture fonctionnelle minimale acceptable dès les premières phases.</t>
  </si>
  <si>
    <t>Appui disponible pour les nouvelles recrues</t>
  </si>
  <si>
    <t>Un appui est-il disponible pour les nouvelles recrues ?</t>
  </si>
  <si>
    <t>Validation formelle avec les utilisateurs des spécifications</t>
  </si>
  <si>
    <t>Déploiement mal accepté ou rejeté par les utilisateurs</t>
  </si>
  <si>
    <t>Risques liés à une mauvaise gestion de la transition, perte de données clés</t>
  </si>
  <si>
    <t>Mettre en place une gouvernance claire et régulière entre MOA et MOE.</t>
  </si>
  <si>
    <t>Exercices de mise en pratique réalisés</t>
  </si>
  <si>
    <t>Des exercices pratiques sont-ils organisés ?</t>
  </si>
  <si>
    <t>Utilisation de matrices de couverture fonctionnelle</t>
  </si>
  <si>
    <t>Manque de couverture fonctionnelle ou de contrôle</t>
  </si>
  <si>
    <t>Non-considération des besoins utilisateurs, faible qualité perçue du projet</t>
  </si>
  <si>
    <t>Intégrer une analyse de risques détaillée dès les premières phases du projet.</t>
  </si>
  <si>
    <t>Suivi des compétences et évaluations internes</t>
  </si>
  <si>
    <t>Les compétences sont-elles suivies et évaluées en interne ?</t>
  </si>
  <si>
    <t>Relecture croisée des spécifications par MOA/MOE</t>
  </si>
  <si>
    <t>Mauvaise coordination entre MOA/MOE sur les exigences</t>
  </si>
  <si>
    <t>Perte d’adhésion, baisse de motivation et d’implication des équipes</t>
  </si>
  <si>
    <t>Mettre en place un plan de traitement systématique des défauts détectés.</t>
  </si>
  <si>
    <t>Absence de blocages ou erreurs méthodologiques dans les livrables</t>
  </si>
  <si>
    <t>Les livrables ne présentent-ils pas de blocages méthodologiques ?</t>
  </si>
  <si>
    <t>Cartographie des points critiques réalisée</t>
  </si>
  <si>
    <t>Risques critiques non identifiés ou mal gérés</t>
  </si>
  <si>
    <t>Délais non respectés, difficultés à avancer efficacement dans le projet</t>
  </si>
  <si>
    <t>Utiliser des outils de tests et de qualité logicielle pour détecter les failles en continu.</t>
  </si>
  <si>
    <t>S’assurer que les spécifications détaillées sont exhaustives par rapport au cahier des charges</t>
  </si>
  <si>
    <t>Le respect des besoins exprimés est-il vérifié ?</t>
  </si>
  <si>
    <t>Définition des contrôles préventifs et correctifs</t>
  </si>
  <si>
    <t>Défauts récurrents ou anomalies non corrigées</t>
  </si>
  <si>
    <t>Choix de la méthode inadaptée, mauvaise gestion de la direction technique</t>
  </si>
  <si>
    <t>Mettre en place un plan qualité structuré avec indicateurs et audits.</t>
  </si>
  <si>
    <t>Traçabilité entre exigences et spécifications</t>
  </si>
  <si>
    <t>Une traçabilité existe-t-elle entre exigences et spécifications ?</t>
  </si>
  <si>
    <t>Envisagement de l’automatisation des contrôles</t>
  </si>
  <si>
    <t>Failles ou erreurs non détectées à temps</t>
  </si>
  <si>
    <t>Incohérence dans l’exécution des méthodologies, défaut de qualité générale</t>
  </si>
  <si>
    <t>Intégrer les équipes SSI dans toutes les phases critiques du projet.</t>
  </si>
  <si>
    <t>Validation formelle avec les utilisateurs</t>
  </si>
  <si>
    <t>Une validation formelle est-elle réalisée avec les utilisateurs ?</t>
  </si>
  <si>
    <t>Suivi régulier de l’efficacité des contrôles</t>
  </si>
  <si>
    <t>Suivi qualité inefficace ou inexistant</t>
  </si>
  <si>
    <t>Erreurs de compréhension et de communication entre les équipes</t>
  </si>
  <si>
    <t>Réaliser des analyses de vulnérabilité régulières sur les livrables.</t>
  </si>
  <si>
    <t>Des matrices de couverture fonctionnelle sont-elles utilisées ?</t>
  </si>
  <si>
    <t>Documentation des anomalies et corrections</t>
  </si>
  <si>
    <t>Risques de sécurité mal pilotés</t>
  </si>
  <si>
    <t>Manque d’adhésion des utilisateurs, échec de la mise en production</t>
  </si>
  <si>
    <t>Planifier des revues de sécurité en amont de toute mise en production.</t>
  </si>
  <si>
    <t>Révision croisée des spécifications par la MOA/MOE</t>
  </si>
  <si>
    <t>Les spécifications sont-elles relues par MOA/MOE (révision croisée) ?</t>
  </si>
  <si>
    <t>Identification du responsable SSI dans l’organigramme projet</t>
  </si>
  <si>
    <t>Équipes sécurité absentes des décisions</t>
  </si>
  <si>
    <t>Résistance au changement, impact sur l’intégration des solutions</t>
  </si>
  <si>
    <t>Faire valider chaque changement par l’équipe sécurité avant exécution.</t>
  </si>
  <si>
    <t>S’assurer qu’il existe des contrôles adaptés à chaque point
critique du système (préventifs et correctifs)</t>
  </si>
  <si>
    <t>Cartographie des points critiques</t>
  </si>
  <si>
    <t>Les points critiques sont-ils cartographiés ?</t>
  </si>
  <si>
    <t>Participation du responsable SSI aux ateliers et comités</t>
  </si>
  <si>
    <t>Vulnérabilités non identifiées dans les livrables</t>
  </si>
  <si>
    <t>Exposition aux attaques ou incidents non anticipés.</t>
  </si>
  <si>
    <t>Assurer une traçabilité complète des activités et décisions pour constituer des preuves.</t>
  </si>
  <si>
    <t>Contrôles préventifs et correctifs définis</t>
  </si>
  <si>
    <t>Des contrôles préventifs et correctifs sont-ils définis ?</t>
  </si>
  <si>
    <t>Validation des aspects sécurité des livrables</t>
  </si>
  <si>
    <t>Problèmes sécurité détectés trop tard</t>
  </si>
  <si>
    <t>Incapacité à protéger efficacement les données sensibles.</t>
  </si>
  <si>
    <t>Documenter et archiver les preuves critiques en cas d’incident.</t>
  </si>
  <si>
    <t>Automatisation des contrôles si possible</t>
  </si>
  <si>
    <t>L’automatisation des contrôles est-elle envisagée ?</t>
  </si>
  <si>
    <t>Intégration de la sécurité dans les processus de test et validation</t>
  </si>
  <si>
    <t>Changements risqués validés sans contrôle sécurité</t>
  </si>
  <si>
    <t>Mise en production de changements vulnérables, augmentant le risque de cyberattaque.</t>
  </si>
  <si>
    <t>Mettre en place des mécanismes de journalisation exhaustive.</t>
  </si>
  <si>
    <t>L’efficacité des contrôles est-elle suivie régulièrement ?</t>
  </si>
  <si>
    <t>Consultation du RSSI en cas de changement majeur</t>
  </si>
  <si>
    <t>Manque de preuve en cas d’incident</t>
  </si>
  <si>
    <t>Difficulté à identifier les responsables ou les causes de l’incident.</t>
  </si>
  <si>
    <t>Prévoir des procédures précises de réponse à incident avec rôles définis.</t>
  </si>
  <si>
    <t>Documentation des anomalies et corrections appliquées</t>
  </si>
  <si>
    <t>Les anomalies et corrections sont-elles documentées ?</t>
  </si>
  <si>
    <t>Mécanismes de traçabilité intégrés au système</t>
  </si>
  <si>
    <t>Risques juridiques ou opérationnels en cas de litige</t>
  </si>
  <si>
    <t>Sanctions légales, pertes financières ou réputationnelles.</t>
  </si>
  <si>
    <t>Sécuriser les preuves numériques en cas d’enquête post-incident.</t>
  </si>
  <si>
    <t>S’assurer que le responsable de la sécurité est impliqué dans le projet</t>
  </si>
  <si>
    <t>Responsable SSI identifié dans l’organigramme projet</t>
  </si>
  <si>
    <t>Un responsable SSI est-il identifié dans l’organigramme projet ?</t>
  </si>
  <si>
    <t>Non-modifiabilité des pistes d’audit</t>
  </si>
  <si>
    <t>Activités non traçables ou modifiables a posteriori</t>
  </si>
  <si>
    <t>Perte de capacité à auditer ou restaurer les actions passées.</t>
  </si>
  <si>
    <t>Identifier et mobiliser toutes les parties prenantes dès le démarrage.</t>
  </si>
  <si>
    <t>Participation aux ateliers et comités clés</t>
  </si>
  <si>
    <t>Ce responsable participe-t-il aux ateliers et comités clés ?</t>
  </si>
  <si>
    <t>Exhaustivité des logs (transactions critiques)</t>
  </si>
  <si>
    <t>Logs incomplets ou inutilisables</t>
  </si>
  <si>
    <t>Incapacité de suivre les événements critiques ou de diagnostiquer des incidents.</t>
  </si>
  <si>
    <t>Impliquer activement les utilisateurs dans la conception et les validations.</t>
  </si>
  <si>
    <t>Validation des aspects sécurité dans les livrables</t>
  </si>
  <si>
    <t>Les aspects sécurité des livrables sont-ils validés ?</t>
  </si>
  <si>
    <t>Consultation des logs en cas d’incident</t>
  </si>
  <si>
    <t>Impossibilité de réagir efficacement à un incident</t>
  </si>
  <si>
    <t>Délai dans la réponse aux incidents, augmentant l’impact.</t>
  </si>
  <si>
    <t>Obtenir systématiquement une validation formelle des livrables.</t>
  </si>
  <si>
    <t>Intégration dans les processus de test et validation</t>
  </si>
  <si>
    <t>La sécurité est-elle intégrée dans les processus de test et validation ?</t>
  </si>
  <si>
    <t>Archivage sécurisé des pistes d’audit</t>
  </si>
  <si>
    <t>Perte ou compromission de preuves en cas d’enquête</t>
  </si>
  <si>
    <t>Difficulté à reconstituer l’incident, menant à une réponse inefficace.</t>
  </si>
  <si>
    <t>Mettre en place un plan de communication structuré et régulier.</t>
  </si>
  <si>
    <t>Consultation pour tout changement majeur dans le système</t>
  </si>
  <si>
    <t>La consultation du RSSI est-elle prévue en cas de changement majeur ?</t>
  </si>
  <si>
    <t>Identification des parties prenantes et leur participation</t>
  </si>
  <si>
    <t>Parties prenantes absentes ou non engagées</t>
  </si>
  <si>
    <t>Retard dans la prise de décision ou absence de perspectives complètes.</t>
  </si>
  <si>
    <t>Clarifier les circuits décisionnels et les responsabilités dès le départ.</t>
  </si>
  <si>
    <t xml:space="preserve">S’assurer qu’il existe des pistes d'audit permettant de suivre la
totalité des transactions </t>
  </si>
  <si>
    <t>Des mécanismes de traçabilité sont-ils intégrés au système ?</t>
  </si>
  <si>
    <t>Communication régulière et adaptée avec les parties prenantes</t>
  </si>
  <si>
    <t>Mauvaise adhésion, décisions contestées</t>
  </si>
  <si>
    <t>Décisions mal orientées, perturbant la stratégie du projet.</t>
  </si>
  <si>
    <t>Renforcer la concertation en amont et assurer l’implication des parties prenantes clés dès les premières phases du projet.</t>
  </si>
  <si>
    <t>Pistes d’audit non modifiables</t>
  </si>
  <si>
    <t>Les pistes d’audit sont-elles non modifiables ?</t>
  </si>
  <si>
    <t>Implication des utilisateurs dans les comités et groupes de travail</t>
  </si>
  <si>
    <t>Acceptation faible des livrables si non validés</t>
  </si>
  <si>
    <t>Retards ou erreurs dans l’acceptation des livrables, créant des désaccords.</t>
  </si>
  <si>
    <t>Mettre en place un processus formel de validation des livrables avec la MOA avant leur diffusion.</t>
  </si>
  <si>
    <t>Exhaustivité des logs (transactions critiques incluses)</t>
  </si>
  <si>
    <t>Les logs sont-ils exhaustifs (transactions critiques incluses) ?</t>
  </si>
  <si>
    <t>Choix documenté de la méthode de développement</t>
  </si>
  <si>
    <t>Communication inefficace ou source de confusion</t>
  </si>
  <si>
    <t>Mauvaise gestion des attentes, créant des malentendus.</t>
  </si>
  <si>
    <t>Instaurer un plan de communication structuré, validé par les parties prenantes, avec des canaux et messages clairs.</t>
  </si>
  <si>
    <t>Consultabilité des logs en cas d’incident</t>
  </si>
  <si>
    <t>Les logs sont-ils consultables en cas d’incident ?</t>
  </si>
  <si>
    <t>Validation de la méthode de développement par les responsables</t>
  </si>
  <si>
    <t>Manque d’implication ou de légitimité des décisions</t>
  </si>
  <si>
    <t>Frustration des parties prenantes, menant à un échec de l’engagement.</t>
  </si>
  <si>
    <t>Clarifier les responsabilités de chaque acteur et documenter les décisions prises dans les comités.</t>
  </si>
  <si>
    <t>Les pistes d’audit sont-elles archivées de manière sécurisée ?</t>
  </si>
  <si>
    <t>Alignement de la méthode avec les exigences qualité</t>
  </si>
  <si>
    <t>Choix de méthode inadapté au contexte projet</t>
  </si>
  <si>
    <t>Impact sur la qualité des décisions et la réalisation des objectifs.</t>
  </si>
  <si>
    <t>Adapter la méthode projet au contexte spécifique (taille, enjeux, maturité) via une phase de cadrage adaptée.</t>
  </si>
  <si>
    <t>S’assurer que les acteurs concernés sont impliqués dans le
projet (utilisateurs, administrateurs de données, responsable sécurité,…)</t>
  </si>
  <si>
    <t>Identification des parties prenantes</t>
  </si>
  <si>
    <t>Les parties prenantes sont-elles identifiées ?</t>
  </si>
  <si>
    <t>Diffusion de la méthode aux équipes techniques</t>
  </si>
  <si>
    <t>Méthode mal documentée, incohérences dans l’exécution</t>
  </si>
  <si>
    <t>Choix erronés sur des aspects critiques du projet.</t>
  </si>
  <si>
    <t>Documenter la méthode utilisée, la diffuser à l’ensemble des intervenants et assurer sa cohérence d’application.</t>
  </si>
  <si>
    <t>Participation active aux phases clés</t>
  </si>
  <si>
    <t>Participent-elles activement aux phases clés ?</t>
  </si>
  <si>
    <t>Suivi de la conformité des pratiques de développement</t>
  </si>
  <si>
    <t>Risque de livrables non conformes aux besoins réels.</t>
  </si>
  <si>
    <t>Incapacité à réaliser les projets dans les délais et avec la qualité requise.</t>
  </si>
  <si>
    <t>Formaliser les besoins utilisateurs avec rigueur, et impliquer la MOA dans la validation continue des livrables.</t>
  </si>
  <si>
    <t>Validation des livrables par les utilisateurs</t>
  </si>
  <si>
    <t>Les livrables sont-ils validés par les utilisateurs ?</t>
  </si>
  <si>
    <t>Respect des étapes de la méthode dans les projets</t>
  </si>
  <si>
    <t>Risque d’acceptation de livrables incomplets ou erronés.</t>
  </si>
  <si>
    <t>Risques d’implémentation incohérente, créant des anomalies.</t>
  </si>
  <si>
    <t>Mettre en place un dispositif de relecture et de vérification croisée des livrables avant leur acceptation.</t>
  </si>
  <si>
    <t>Communication régulière et adaptée</t>
  </si>
  <si>
    <t>La communication avec les parties prenantes est-elle régulière et adaptée ?</t>
  </si>
  <si>
    <t>Compatibilité et configuration des outils utilisés</t>
  </si>
  <si>
    <t>Risque d’incompréhension ou de résistance des utilisateurs.</t>
  </si>
  <si>
    <t>Productivité réduite et incohérence dans la qualité du travail.</t>
  </si>
  <si>
    <t>Impliquer les utilisateurs finaux dès la conception et organiser des sessions de démonstration régulières.</t>
  </si>
  <si>
    <t>Implication dans les comités et groupes de travail</t>
  </si>
  <si>
    <t>Les utilisateurs sont-ils impliqués dans les comités et groupes de travail ?</t>
  </si>
  <si>
    <t>Organisation de feedbacks réguliers pour ajustement</t>
  </si>
  <si>
    <t>Risque de décisions non partagées ou mal comprises.</t>
  </si>
  <si>
    <t>Possibilité de mal comprendre ou appliquer la méthode, compromettant les résultats.</t>
  </si>
  <si>
    <t>Centraliser les décisions dans des comptes rendus formels diffusés à l’ensemble des parties concernées.</t>
  </si>
  <si>
    <t xml:space="preserve">développement, réalisation ou paramétrage </t>
  </si>
  <si>
    <t>S’assurer qu’il existe une méthode de développement</t>
  </si>
  <si>
    <t>Choix d’une méthode de développement adaptée</t>
  </si>
  <si>
    <t>Une méthode de développement est-elle choisie de manière adaptée ?</t>
  </si>
  <si>
    <t>Revue de code ou vérification formelle réalisée</t>
  </si>
  <si>
    <t>Risque de non-maîtrise du projet et d’inefficacité des développements.</t>
  </si>
  <si>
    <t>Risque d’écart entre les attentes des utilisateurs et les solutions proposées.</t>
  </si>
  <si>
    <t>Mettre en place un dispositif de pilotage rigoureux avec indicateurs de suivi, jalons et comité de suivi actif.</t>
  </si>
  <si>
    <t>Documentation de la méthode retenue</t>
  </si>
  <si>
    <t>Cette méthode est-elle documentée ?</t>
  </si>
  <si>
    <t>Formation des développeurs aux méthodes choisies</t>
  </si>
  <si>
    <t>Risque d’ambiguïté dans les pratiques de développement.</t>
  </si>
  <si>
    <t>Produits de mauvaise qualité ou non conformes aux exigences initiales.</t>
  </si>
  <si>
    <t>Définir des pratiques de développement claires, validées, et s’assurer de leur respect via des revues régulières.</t>
  </si>
  <si>
    <t>Validation par les responsables projet et technique</t>
  </si>
  <si>
    <t>Est-elle validée par les responsables projet et technique ?</t>
  </si>
  <si>
    <t>Disponibilité de support en cas de difficulté</t>
  </si>
  <si>
    <t>Risque d’incohérence entre les approches métiers et techniques.</t>
  </si>
  <si>
    <t>Réduction de l'efficacité due à des erreurs de développement.</t>
  </si>
  <si>
    <t>Instaurer un dialogue constant entre équipes techniques et métiers pour assurer la cohérence globale du projet.</t>
  </si>
  <si>
    <t>Alignement avec les exigences qualité</t>
  </si>
  <si>
    <t>Est-elle alignée avec les exigences qualité ?</t>
  </si>
  <si>
    <t>Evaluation des compétences techniques des développeurs</t>
  </si>
  <si>
    <t>Risque de non-qualité des livrables.</t>
  </si>
  <si>
    <t>Dégradation de la qualité du code et risques d'incompatibilité future.</t>
  </si>
  <si>
    <t>Imposer une validation formelle de chaque livrable avec critères qualité précis avant transmission.</t>
  </si>
  <si>
    <t>Diffusion auprès des équipes techniques</t>
  </si>
  <si>
    <t>Est-elle diffusée aux équipes techniques ?</t>
  </si>
  <si>
    <t>Exemples concrets d’application de la méthode disponibles</t>
  </si>
  <si>
    <t>Risque de mauvaise implémentation technique.</t>
  </si>
  <si>
    <t>Moins de contrôle sur le projet, entraînant des retards et des coûts supplémentaires.</t>
  </si>
  <si>
    <t>Organiser des revues techniques systématiques et impliquer les référents techniques dans l’évaluation des solutions.</t>
  </si>
  <si>
    <t>La conformité des pratiques de développement est-elle suivie ?</t>
  </si>
  <si>
    <t>Absence d’écart majeur lors de l’audit technique</t>
  </si>
  <si>
    <t>Risque de dérives dans les pratiques de développement.</t>
  </si>
  <si>
    <t>Absence de standards communs ou mauvaise application de ceux-ci.</t>
  </si>
  <si>
    <t>Contrôler l’application des pratiques de développement par des audits internes réguliers.</t>
  </si>
  <si>
    <t>Respect des étapes de la méthode</t>
  </si>
  <si>
    <t>Les étapes de la méthode sont-elles respectées ?</t>
  </si>
  <si>
    <t>Référencement des normes internes ou internationales</t>
  </si>
  <si>
    <t>Risque de développement non conforme à la méthodologie.</t>
  </si>
  <si>
    <t>Livrables non conformes aux spécifications des métiers ou des utilisateurs.</t>
  </si>
  <si>
    <t>Mettre en place une gouvernance projet qui veille au respect strict de la méthodologie choisie.</t>
  </si>
  <si>
    <t>Outils compatibles et correctement configurés</t>
  </si>
  <si>
    <t>Les outils sont-ils compatibles et bien configurés ?</t>
  </si>
  <si>
    <t>Liste formelle des documents obligatoires pour le projet</t>
  </si>
  <si>
    <t>Risque d’inefficacité ou de bugs liés à une mauvaise configuration.</t>
  </si>
  <si>
    <t>Risque de mauvaise exécution due à une mauvaise configuration.</t>
  </si>
  <si>
    <t>Prévoir un processus de configuration structuré et documenté, avec des environnements de test bien définis.</t>
  </si>
  <si>
    <t>Feedback régulier pour ajustement</t>
  </si>
  <si>
    <t>Un feedback régulier est-il organisé pour ajustement ?</t>
  </si>
  <si>
    <t>Modèles de livrables partagés et utilisés par toutes les parties</t>
  </si>
  <si>
    <t>Risque de stagnation ou d’inefficacité du processus.</t>
  </si>
  <si>
    <t>Inefficacité continue dans le processus de développement.</t>
  </si>
  <si>
    <t>Réévaluer régulièrement les pratiques projet et ajuster les processus inefficaces via un retour d’expérience.</t>
  </si>
  <si>
    <t>Revue de code ou vérification formelle</t>
  </si>
  <si>
    <t>Une revue de code ou vérification formelle est-elle réalisée ?</t>
  </si>
  <si>
    <t>Validation des documents selon les normes définies</t>
  </si>
  <si>
    <t>Risque de défauts non détectés ou de failles de sécurité.</t>
  </si>
  <si>
    <t>Découvertes tardives des défauts, compromettant les livrables.</t>
  </si>
  <si>
    <t>Appliquer une stratégie de test couvrant les aspects sécurité, fonctionnels et techniques avec des outils adaptés.</t>
  </si>
  <si>
    <t>S’assurer que cette méthode est parfaitement maîtrisée par les développeurs</t>
  </si>
  <si>
    <t>Formation réalisée pour tous les développeurs</t>
  </si>
  <si>
    <t>Tous les développeurs ont-ils été formés ?</t>
  </si>
  <si>
    <t>Archivage structuré et accessible des livrables du projet</t>
  </si>
  <si>
    <t>Risque de mauvaise compréhension ou d’erreurs de développement.</t>
  </si>
  <si>
    <t>Non-respect des délais de développement, provoquant des dysfonctionnements.</t>
  </si>
  <si>
    <t>Assurer des revues de code et des tests croisés entre développeurs pour prévenir les erreurs.</t>
  </si>
  <si>
    <t>Support disponible en cas de difficulté</t>
  </si>
  <si>
    <t>Un support est-il disponible en cas de difficulté ?</t>
  </si>
  <si>
    <t>Formation des développeurs aux normes en vigueur</t>
  </si>
  <si>
    <t>Risque de blocage ou de lenteur dans la résolution des problèmes.</t>
  </si>
  <si>
    <t>Problèmes de validation et ajustements tardifs.</t>
  </si>
  <si>
    <t>Formaliser une procédure d’escalade et de résolution des incidents avec délais d’intervention définis.</t>
  </si>
  <si>
    <t>Evaluation des compétences techniques</t>
  </si>
  <si>
    <t>Les compétences techniques sont-elles évaluées ?</t>
  </si>
  <si>
    <t>Suivi régulier des pratiques de développement pour conformité</t>
  </si>
  <si>
    <t>Risque d’inadéquation entre compétences et besoins.</t>
  </si>
  <si>
    <t>Manque de visibilité sur la qualité, réduisant les chances de succès.</t>
  </si>
  <si>
    <t>Évaluer les compétences des membres projet et compléter les manques par de la formation ciblée.</t>
  </si>
  <si>
    <t>Exemples concrets d'application de la méthode</t>
  </si>
  <si>
    <t>Des exemples concrets d’application de la méthode sont-ils disponibles ?</t>
  </si>
  <si>
    <t>Vérification systématique de la conformité des livrables</t>
  </si>
  <si>
    <t>Risque d’interprétations erronées de la méthode.</t>
  </si>
  <si>
    <t>Pannes ou failles de sécurité à cause de la qualité du code.</t>
  </si>
  <si>
    <t>Former tous les acteurs projet à la méthode utilisée et créer un guide de référence pratique.</t>
  </si>
  <si>
    <t>Absence d’écarts majeurs constatés en audit technique</t>
  </si>
  <si>
    <t>Aucun écart majeur n’a-t-il été constaté lors d’un audit technique ?</t>
  </si>
  <si>
    <t>Planification et réalisation des audits des pratiques de développement</t>
  </si>
  <si>
    <t>Risque de non-conformité technique du projet.</t>
  </si>
  <si>
    <t>Blocage dans la résolution des problèmes, ralentissant le projet.</t>
  </si>
  <si>
    <t>Effectuer des revues techniques et conformité à chaque étape du projet pour s'assurer du respect des standards.</t>
  </si>
  <si>
    <t>S’assurer qu’il existe des normes de documentation</t>
  </si>
  <si>
    <t>Normes internes ou internationales référencées (IEEE, etc.)</t>
  </si>
  <si>
    <t>Quelles normes internes ou internationales (ex : IEEE) sont référencées pour encadrer le projet ?</t>
  </si>
  <si>
    <t>Documentation des écarts aux pratiques attendues et actions correctives</t>
  </si>
  <si>
    <t>Risque de développement non aligné avec les normes de référence.</t>
  </si>
  <si>
    <t>Problèmes non identifiés ou mal gérés par une équipe sous-compétente.</t>
  </si>
  <si>
    <t>Aligner les développements avec les standards du marché ou les normes internes via des référentiels validés.</t>
  </si>
  <si>
    <t>Liste des documents obligatoires définie</t>
  </si>
  <si>
    <t>Une liste des documents obligatoires a-t-elle été formellement définie pour le projet ?</t>
  </si>
  <si>
    <t>Documentation complète et à jour de chaque composant développé</t>
  </si>
  <si>
    <t>Risque d’omissions critiques dans les livrables.</t>
  </si>
  <si>
    <t>Risques d'erreurs dans l'implémentation technique.</t>
  </si>
  <si>
    <t>Réaliser des relectures croisées des livrables et valider leur complétude avant validation finale.</t>
  </si>
  <si>
    <t>Modèles de livrables partagés</t>
  </si>
  <si>
    <t>Les modèles de livrables sont-ils partagés et utilisés par toutes les parties prenantes ?</t>
  </si>
  <si>
    <t>Accessibilité de la documentation à l’équipe projet</t>
  </si>
  <si>
    <t>Risque d’incohérence documentaire entre projets.</t>
  </si>
  <si>
    <t>Risque de mauvaise compréhension des pratiques et processus techniques.</t>
  </si>
  <si>
    <t>Harmoniser les formats documentaires et appliquer un plan de gestion documentaire commun à tous les projets.</t>
  </si>
  <si>
    <t>Validation des documents selon les normes</t>
  </si>
  <si>
    <t>Les documents sont-ils validés conformément aux normes définies ?</t>
  </si>
  <si>
    <t>Conformité de la documentation aux normes internes définies</t>
  </si>
  <si>
    <t>Risque de documentation non conforme aux attentes.</t>
  </si>
  <si>
    <t>Divergence de compréhension entre les équipes métiers et techniques.</t>
  </si>
  <si>
    <t>Mettre en œuvre une procédure de contrôle qualité documentaire intégrant des relectures systématiques.</t>
  </si>
  <si>
    <t>Archivage structuré des livrables projet</t>
  </si>
  <si>
    <t>Les livrables du projet sont-ils archivés de manière structurée et accessible ?</t>
  </si>
  <si>
    <t>Mécanisme de suivi des mises à jour de la documentation</t>
  </si>
  <si>
    <t>Risque de perte d’informations essentielles.</t>
  </si>
  <si>
    <t>Pertes importantes de qualité ou défauts dans les livrables finaux.</t>
  </si>
  <si>
    <t>Définir des règles strictes d’archivage et de nommage des documents pour garantir leur accessibilité.</t>
  </si>
  <si>
    <t>S’assurer que ces normes sont appliquées par les
développeurs</t>
  </si>
  <si>
    <t>Formation des développeurs aux normes</t>
  </si>
  <si>
    <t>Les développeurs ont-ils été formés aux normes en vigueur ?</t>
  </si>
  <si>
    <t>Relecture et validation de la documentation par les parties prenantes</t>
  </si>
  <si>
    <t>Risque de non-maîtrise des exigences normatives.</t>
  </si>
  <si>
    <t>Erreurs ou non-conformité dans l’implémentation du système.</t>
  </si>
  <si>
    <t>Intégrer les exigences normatives dès la phase de conception et les vérifier dans les revues de jalons.</t>
  </si>
  <si>
    <t>Suivi des pratiques de développement conformes</t>
  </si>
  <si>
    <t>Les pratiques de développement sont-elles régulièrement suivies pour s’assurer de leur conformité ?</t>
  </si>
  <si>
    <t>Validation systématique des documents par le responsable des études</t>
  </si>
  <si>
    <t>Risque de dérive par rapport aux pratiques attendues.</t>
  </si>
  <si>
    <t>Approches non alignées avec les bonnes pratiques.</t>
  </si>
  <si>
    <t>S’assurer de l’alignement du projet avec les bonnes pratiques définies au sein de l’organisation.</t>
  </si>
  <si>
    <t>Vérification de la conformité dans les livrables</t>
  </si>
  <si>
    <t>Une vérification de conformité est-elle systématiquement effectuée sur les livrables ?</t>
  </si>
  <si>
    <t>Suivi des commentaires et ajustements sur la documentation</t>
  </si>
  <si>
    <t>Risque de non-détection des non-conformités.</t>
  </si>
  <si>
    <t>Non-respect des exigences techniques spécifiques.</t>
  </si>
  <si>
    <t>Mettre en place un processus de revue interne dédié à l’identification précoce des non-conformités.</t>
  </si>
  <si>
    <t>Audit régulier des pratiques de développement</t>
  </si>
  <si>
    <t>Des audits réguliers des pratiques de développement sont-ils planifiés et réalisés ?</t>
  </si>
  <si>
    <t>Organisation de revues périodiques de la documentation</t>
  </si>
  <si>
    <t>Risque de répétition des erreurs techniques.</t>
  </si>
  <si>
    <t>Risque de validation erronée ou partielles des composants.</t>
  </si>
  <si>
    <t>Constituer une base d’erreurs récurrentes et sensibiliser les équipes à ces points critiques.</t>
  </si>
  <si>
    <t>Documentation des écarts et actions correctives</t>
  </si>
  <si>
    <t>Les écarts aux pratiques attendues sont-ils documentés avec des actions correctives ?</t>
  </si>
  <si>
    <t>Validation formelle des documents revus par le responsable du service</t>
  </si>
  <si>
    <t>Risque d’absence de preuve ou de traçabilité.</t>
  </si>
  <si>
    <t>Perte de documents essentiels ou perturbation des processus.</t>
  </si>
  <si>
    <t>Assurer la traçabilité de toutes les décisions et actions dans un outil partagé et accessible.</t>
  </si>
  <si>
    <t>S’assurer que les développements sont bien documentés</t>
  </si>
  <si>
    <t>Documentation complète pour chaque composant</t>
  </si>
  <si>
    <t>Chaque composant développé dispose-t-il d’une documentation complète et à jour ?</t>
  </si>
  <si>
    <t>Archivage fiable des documents validés</t>
  </si>
  <si>
    <t>Risque de blocage du transfert de connaissances.</t>
  </si>
  <si>
    <t>Risques d'erreurs dans la documentation, entraînant des retards ou pertes d'information.</t>
  </si>
  <si>
    <t>Prévoir une documentation complète des choix et paramètres pour assurer la transmission des connaissances.</t>
  </si>
  <si>
    <t>Accessibilité de la documentation pour l’équipe</t>
  </si>
  <si>
    <t>La documentation est-elle facilement accessible à l’ensemble de l’équipe projet ?</t>
  </si>
  <si>
    <t>Plan de test formel défini et validé</t>
  </si>
  <si>
    <t>Risque d’erreurs de compréhension technique.</t>
  </si>
  <si>
    <t>Manque de traçabilité, limitant l’auditabilité.</t>
  </si>
  <si>
    <t>Organiser des ateliers de clarification technique pour lever les incompréhensions potentielles.</t>
  </si>
  <si>
    <t>Conformité de la documentation avec les normes internes</t>
  </si>
  <si>
    <t>La documentation est-elle conforme aux normes internes définies ?</t>
  </si>
  <si>
    <t>Identification des types de tests à réaliser</t>
  </si>
  <si>
    <t>Risque de documentation obsolète ou inexacte.</t>
  </si>
  <si>
    <t>Absence de contrôle qualité dans la documentation.</t>
  </si>
  <si>
    <t>Mettre en place un processus de mise à jour documentaire aligné avec l’évolution du projet.</t>
  </si>
  <si>
    <t>Suivi des mises à jour de la documentation</t>
  </si>
  <si>
    <t>Un mécanisme de suivi des mises à jour de la documentation est-il en place ?</t>
  </si>
  <si>
    <t>Définition des critères de succès pour chaque test</t>
  </si>
  <si>
    <t>Risque d’erreurs non identifiées dans les documents.</t>
  </si>
  <si>
    <t>Documentation obsolète, nuisant à la bonne compréhension du projet.</t>
  </si>
  <si>
    <t>Mettre en œuvre une validation qualité documentaire en plusieurs étapes, incluant des tests de compréhension.</t>
  </si>
  <si>
    <t>Révision de la documentation par les parties prenantes</t>
  </si>
  <si>
    <t>La documentation est-elle relue et validée par les parties prenantes ?</t>
  </si>
  <si>
    <t>Suivi et documentation des résultats des tests</t>
  </si>
  <si>
    <t>Risque d’incompréhension persistante sur la documentation.</t>
  </si>
  <si>
    <t>Biais ou lacunes dans les documents d’audit.</t>
  </si>
  <si>
    <t>Simplifier la documentation et valider sa clarté avec des utilisateurs représentatifs.</t>
  </si>
  <si>
    <t>S’assurer que la documentation est revue par le responsable du service des études</t>
  </si>
  <si>
    <t>Validation des documents par le responsable des études</t>
  </si>
  <si>
    <t>Le responsable des études valide-t-il systématiquement les documents produits ?</t>
  </si>
  <si>
    <t>Programme de tests disponible pour tous les acteurs concernés</t>
  </si>
  <si>
    <t>Risque d’obsolescence documentaire.</t>
  </si>
  <si>
    <t>Inefficacité dans les processus de validation des tests.</t>
  </si>
  <si>
    <t>Intégrer la mise à jour documentaire comme une tâche obligatoire avant chaque livraison.</t>
  </si>
  <si>
    <t>Les commentaires et ajustements sur la documentation sont-ils suivis ?</t>
  </si>
  <si>
    <t>Document formel de planification de la mise en place disponible</t>
  </si>
  <si>
    <t>Risque de non-conformité documentaire.</t>
  </si>
  <si>
    <t>Problèmes avec la prise en compte des résultats d’essais, compromettant la qualité du projet.</t>
  </si>
  <si>
    <t>Soumettre tous les documents à une validation formelle avant diffusion dans le projet.</t>
  </si>
  <si>
    <t>Réalisation de revues périodiques</t>
  </si>
  <si>
    <t>Des revues périodiques de la documentation sont-elles organisées ?</t>
  </si>
  <si>
    <t>Validation du plan de mise en place par les parties prenantes</t>
  </si>
  <si>
    <t>Risque d’oubli de remarques importantes.</t>
  </si>
  <si>
    <t>Absence de prévisions adéquates pour les tests ou résultats mal pris en compte.</t>
  </si>
  <si>
    <t>Suivre un processus de gestion des remarques et intégrer les retours dans les versions futures.</t>
  </si>
  <si>
    <t>Validation formelle par le responsable du service</t>
  </si>
  <si>
    <t>Le responsable du service valide-t-il formellement les documents revus ?</t>
  </si>
  <si>
    <t>Plan adapté aux besoins spécifiques du projet</t>
  </si>
  <si>
    <t>Risque de persistance de non-conformités.</t>
  </si>
  <si>
    <t>Augmentation des risques de défauts en production.</t>
  </si>
  <si>
    <t>Créer un plan de traitement des non-conformités avec échéances et responsables désignés.</t>
  </si>
  <si>
    <t>Archivage des documents validés</t>
  </si>
  <si>
    <t>Les documents validés sont-ils archivés de manière fiable ?</t>
  </si>
  <si>
    <t>Suivi des étapes de mise en place assuré</t>
  </si>
  <si>
    <t>Risque de documents non validés circulant.</t>
  </si>
  <si>
    <t>Désorganisation du projet, affectant les livrables ou la mise en production.</t>
  </si>
  <si>
    <t>Restreindre la diffusion des documents non validés à des environnements de travail contrôlés.</t>
  </si>
  <si>
    <t>S’assurer qu’il existe un programme général de tests formalisé</t>
  </si>
  <si>
    <t>Planification formelle des tests</t>
  </si>
  <si>
    <t>Un plan de test formel a-t-il été défini et validé ?</t>
  </si>
  <si>
    <t>Identification des ressources nécessaires pour la mise en place</t>
  </si>
  <si>
    <t>Risque de tests mal organisés ou incomplets.</t>
  </si>
  <si>
    <t>Retards imprévus nuisant à la continuité du projet.</t>
  </si>
  <si>
    <t>Élaborer une stratégie de test formalisée avec des cas de test validés et des jeux de données représentatifs.</t>
  </si>
  <si>
    <t>Identification des tests à réaliser (fonctionnels, techniques, etc.)</t>
  </si>
  <si>
    <t>Les types de tests à réaliser (fonctionnels, techniques, etc.) sont-ils clairement identifiés ?</t>
  </si>
  <si>
    <t>Détail étape par étape des travaux à réaliser dans le plan</t>
  </si>
  <si>
    <t>Risque de couverture de test insuffisante.</t>
  </si>
  <si>
    <t>Incohérence entre les actions à réaliser et les moyens disponibles.</t>
  </si>
  <si>
    <t>Définir une stratégie de test couvrant tous les cas d’usage critiques et les exigences fonctionnelles.</t>
  </si>
  <si>
    <t>Les critères de succès pour chaque test sont-ils définis de manière précise ?</t>
  </si>
  <si>
    <t>Ordonnancement des travaux précisé dans le plan</t>
  </si>
  <si>
    <t>Risque de tests non représentatifs.</t>
  </si>
  <si>
    <t>Mauvaise interprétation des besoins, conduisant à des erreurs dans les décisions.</t>
  </si>
  <si>
    <t>Concevoir les jeux de tests avec des cas représentatifs, basés sur des scénarios réels d'utilisation.</t>
  </si>
  <si>
    <t>Suivi des résultats de tests prévus</t>
  </si>
  <si>
    <t>Les résultats des tests prévus sont-ils suivis et documentés ?</t>
  </si>
  <si>
    <t>Attribution des responsabilités pour chaque tâche dans le plan</t>
  </si>
  <si>
    <t>Risque d’anomalies non identifiées.</t>
  </si>
  <si>
    <t>Incohérences dans l'exécution du projet, engendrant des retards.</t>
  </si>
  <si>
    <t>Mettre en œuvre une batterie de tests exhaustive incluant tests unitaires, d’intégration et de validation.</t>
  </si>
  <si>
    <t>Disponibilité du programme pour tous les acteurs impliqués</t>
  </si>
  <si>
    <t>Le programme de tests est-il disponible pour tous les acteurs concernés ?</t>
  </si>
  <si>
    <t>Échéancier des activités défini et réaliste</t>
  </si>
  <si>
    <t>Risque de non-accès au programme par les parties prenantes.</t>
  </si>
  <si>
    <t>Absence de clarification des responsabilités, menant à des conflits internes.</t>
  </si>
  <si>
    <t>Ouvrir l’accès au programme aux parties prenantes clés via des environnements de test ou démonstration.</t>
  </si>
  <si>
    <t>S’assurer qu’il existe un plan de mise en place</t>
  </si>
  <si>
    <t>Document de planification de la mise en place disponible</t>
  </si>
  <si>
    <t>Un document formel de planification de la mise en place est-il disponible ?</t>
  </si>
  <si>
    <t>Alignement du plan de mise en place avec les objectifs du projet</t>
  </si>
  <si>
    <t>Risque de mauvaise organisation de la mise en place.</t>
  </si>
  <si>
    <t>Tests non complets, amenant des erreurs ou failles non détectées.</t>
  </si>
  <si>
    <t>Planifier les étapes de mise en œuvre avec des responsabilités claires et des échéances réalistes.</t>
  </si>
  <si>
    <t>Validation du plan par les parties prenantes</t>
  </si>
  <si>
    <t>Le plan de mise en place a-t-il été validé par les parties prenantes ?</t>
  </si>
  <si>
    <t>Documentation des tests réalisés par la MOE</t>
  </si>
  <si>
    <t>Risque de non-conformité avec les attentes.</t>
  </si>
  <si>
    <t>Risque de défaillance des tests ou d'éléments non couverts dans le processus.</t>
  </si>
  <si>
    <t>Formaliser les attentes métiers et vérifier systématiquement la conformité des livrables à ces attentes.</t>
  </si>
  <si>
    <t>Plan adapté aux besoins du projet</t>
  </si>
  <si>
    <t>Le plan est-il adapté aux besoins spécifiques du projet ?</t>
  </si>
  <si>
    <t>Suivi des résultats des tests réalisés par la MOE</t>
  </si>
  <si>
    <t>Risque de décalage entre plan et réalité du projet.</t>
  </si>
  <si>
    <t>Mauvaise coordination des tests, créant des redondances et inefficacité.</t>
  </si>
  <si>
    <t>Comparer régulièrement l’état d’avancement réel avec le planning initial pour identifier les écarts.</t>
  </si>
  <si>
    <t>Suivi des étapes de mise en place</t>
  </si>
  <si>
    <t>Le suivi des différentes étapes de la mise en place est-il assuré ?</t>
  </si>
  <si>
    <t>Validation formelle des tests fonctionnels et techniques</t>
  </si>
  <si>
    <t>Risque de dérive non détectée dans la planification.</t>
  </si>
  <si>
    <t>Mauvaise gestion des anomalies, laissant des erreurs critiques non corrigées.</t>
  </si>
  <si>
    <t>Mettre en place un suivi des jalons avec alertes sur les dérives de planning.</t>
  </si>
  <si>
    <t>Ressources nécessaires clairement identifiées</t>
  </si>
  <si>
    <t>Les ressources nécessaires à la mise en place sont-elles clairement identifiées ?</t>
  </si>
  <si>
    <t>Intégration des tests dans les processus de développement</t>
  </si>
  <si>
    <t>Risque d’insuffisance de moyens pour réaliser les travaux.</t>
  </si>
  <si>
    <t>Systèmes mal intégrés, augmentant le risque de bugs en production.</t>
  </si>
  <si>
    <t>Allouer les moyens humains, techniques et financiers nécessaires dès le lancement du projet.</t>
  </si>
  <si>
    <t xml:space="preserve">S’assurer que le plan de mise en place définit la nature des
travaux à réaliser et leur ordonnancement </t>
  </si>
  <si>
    <t>Détail des travaux à réaliser par étape</t>
  </si>
  <si>
    <t>Les travaux à réaliser sont-ils détaillés étape par étape dans le plan ?</t>
  </si>
  <si>
    <t>Suivi des résultats des tests dans le système de suivi du projet</t>
  </si>
  <si>
    <t>Risque de malentendus sur les actions à réaliser.</t>
  </si>
  <si>
    <t>Mauvaise prise en compte des retours utilisateurs dans le développement.</t>
  </si>
  <si>
    <t>Documenter et partager clairement les tâches attendues avec les personnes concernées.</t>
  </si>
  <si>
    <t>Ordonnancement des travaux dans le plan</t>
  </si>
  <si>
    <t>L’ordonnancement des travaux est-il clairement précisé dans le plan ?</t>
  </si>
  <si>
    <t>Vérification de la conformité des composants avec les spécifications</t>
  </si>
  <si>
    <t>Risque de désorganisation dans les exécutions.</t>
  </si>
  <si>
    <t>Risque d'instabilité ou dysfonctionnement en production.</t>
  </si>
  <si>
    <t>Structurer les activités par lots ou phases pour éviter la désorganisation et favoriser le pilotage.</t>
  </si>
  <si>
    <t>Responsabilité attribuée à chaque travail</t>
  </si>
  <si>
    <t>Chaque tâche ou travail a-t-il une responsabilité clairement attribuée ?</t>
  </si>
  <si>
    <t>Réalisation de tests unitaires pour chaque composant</t>
  </si>
  <si>
    <t>Risque de flou sur les responsabilités.</t>
  </si>
  <si>
    <t>Retards dans la mise en conformité ou mauvaise gestion des retours critiques.</t>
  </si>
  <si>
    <t>Affecter explicitement les responsabilités dans une matrice RACI validée.</t>
  </si>
  <si>
    <t>Échéancier des activités clairement défini</t>
  </si>
  <si>
    <t>Un échéancier des activités est-il défini de manière claire et réaliste ?</t>
  </si>
  <si>
    <t>Documentation complète des résultats des tests de chaque composant</t>
  </si>
  <si>
    <t>Risque de retards imprévus.</t>
  </si>
  <si>
    <t>Problèmes de validation des systèmes avant leur mise en production.</t>
  </si>
  <si>
    <t>Prévoir des marges de sécurité dans le planning pour absorber les retards éventuels.</t>
  </si>
  <si>
    <t>Alignement avec les objectifs du projet</t>
  </si>
  <si>
    <t>Le plan de mise en place est-il aligné avec les objectifs globaux du projet ?</t>
  </si>
  <si>
    <t>Validation des tests en collaboration avec la MOA</t>
  </si>
  <si>
    <t>Risque de résultats non alignés avec les objectifs.</t>
  </si>
  <si>
    <t>Non-alignement des attentes des utilisateurs avec les systèmes finaux.</t>
  </si>
  <si>
    <t>Définir des objectifs mesurables pour chaque livrable et les valider avec les parties prenantes.</t>
  </si>
  <si>
    <t xml:space="preserve">tests et recettes </t>
  </si>
  <si>
    <t>S’assurer que la MOE réalise des tests</t>
  </si>
  <si>
    <t>Les tests réalisés par la MOE sont-ils correctement documentés ?</t>
  </si>
  <si>
    <t>Suivi des anomalies identifiées et correction</t>
  </si>
  <si>
    <t>Risque d’absence de preuves des tests réalisés.</t>
  </si>
  <si>
    <t>Dérives dans les méthodologies utilisées.</t>
  </si>
  <si>
    <t>Archiver les résultats de test dans un référentiel partagé avec horodatage et responsable.</t>
  </si>
  <si>
    <t>Suivi des résultats des tests par la MOE</t>
  </si>
  <si>
    <t>Les résultats des tests réalisés par la MOE sont-ils suivis ?</t>
  </si>
  <si>
    <t>Plan global de tests couvrant tous les composants</t>
  </si>
  <si>
    <t>Risque de non-suivi des anomalies détectées.</t>
  </si>
  <si>
    <t>Non-respect de la qualité des tests ou des livrables.</t>
  </si>
  <si>
    <t>Suivre les anomalies via un outil de gestion avec statuts, priorités et dates de résolution.</t>
  </si>
  <si>
    <t>Validation des tests fonctionnels et techniques</t>
  </si>
  <si>
    <t>Les tests fonctionnels et techniques sont-ils validés formellement ?</t>
  </si>
  <si>
    <t>Vérification de l’intégration des tests fonctionnels et techniques</t>
  </si>
  <si>
    <t>Risque de tests incomplets ou non validés.</t>
  </si>
  <si>
    <t>Mauvaise gestion du changement, générant perturbations internes.</t>
  </si>
  <si>
    <t>Effectuer des revues formelles de complétude et de qualité des campagnes de test.</t>
  </si>
  <si>
    <t>Inclusion des tests dans les processus de développement</t>
  </si>
  <si>
    <t>Les tests sont-ils intégrés dans les processus de développement ?</t>
  </si>
  <si>
    <t>Exécution des tests sur tous les composants de l’application</t>
  </si>
  <si>
    <t>Risque d’intégration imparfaite dans le cycle de développement.</t>
  </si>
  <si>
    <t>Défaut d'adaptation aux nouvelles exigences du projet, affectant l'adhésion.</t>
  </si>
  <si>
    <t>Intégrer les tests dans le cycle agile ou en cascade avec points de contrôle formels à chaque phase.</t>
  </si>
  <si>
    <t>Résultats des tests intégrés dans le suivi projet</t>
  </si>
  <si>
    <t>Les résultats des tests sont-ils intégrés dans le système de suivi du projet ?</t>
  </si>
  <si>
    <t>Suivi et correction des anomalies pendant les tests</t>
  </si>
  <si>
    <t>Risque de non-prise en compte des résultats dans les décisions.</t>
  </si>
  <si>
    <t>Résistance au changement, impactant la performance du projet.</t>
  </si>
  <si>
    <t>Intégrer les retours de tests dans les comités de décision pour orienter les ajustements projet.</t>
  </si>
  <si>
    <t>S’assurer que la MOE s'assure que chacun des composants de
l'application fonctionne tel qu'il a été décrit dans le dossier de
spécifications</t>
  </si>
  <si>
    <t>Vérification de la conformité des composants aux spécifications</t>
  </si>
  <si>
    <t>Les composants sont-ils vérifiés pour leur conformité avec les spécifications ?</t>
  </si>
  <si>
    <t>Validation des tests par les parties prenantes</t>
  </si>
  <si>
    <t>Risque de décalage entre livrables et attentes.</t>
  </si>
  <si>
    <t>Méconnaissance des impacts des décisions prises sur le projet.</t>
  </si>
  <si>
    <t>Valider les livrables avec les utilisateurs finaux pour garantir leur conformité aux attentes.</t>
  </si>
  <si>
    <t>Tests unitaires réalisés pour chaque composant</t>
  </si>
  <si>
    <t>Des tests unitaires sont-ils réalisés pour chaque composant ?</t>
  </si>
  <si>
    <t>Réalisation de tests d’intégration avec les interfaces systèmes</t>
  </si>
  <si>
    <t>Risque d’anomalies non détectées au niveau composant.</t>
  </si>
  <si>
    <t>Mauvaise gestion de la communication liée aux changements apportés.</t>
  </si>
  <si>
    <t>Intégrer des tests de bas niveau dès la phase de développement sur chaque composant critique.</t>
  </si>
  <si>
    <t>Documentation des résultats des tests de chaque composant</t>
  </si>
  <si>
    <t>Les résultats des tests de chaque composant sont-ils documentés de manière complète ?</t>
  </si>
  <si>
    <t>Suivi des résultats des tests d’intégration</t>
  </si>
  <si>
    <t>Risque d’absence de preuves de test unitaire.</t>
  </si>
  <si>
    <t>Absence de validation complète, nuisant à la prise de décision.</t>
  </si>
  <si>
    <t>Exiger des preuves formelles des tests unitaires effectués (compte-rendu, logs, captures).</t>
  </si>
  <si>
    <t>Validation des tests avec la MOA</t>
  </si>
  <si>
    <t>Les tests sont-ils validés en collaboration avec la MOA ?</t>
  </si>
  <si>
    <t>Validation de la compatibilité des interfaces avec le SI existant</t>
  </si>
  <si>
    <t>Risque de non-traçabilité des tests.</t>
  </si>
  <si>
    <t>Risque de confusion ou perturbation des processus dans le projet.</t>
  </si>
  <si>
    <t>Mettre en œuvre une solution de gestion des tests avec traçabilité complète entre exigences et résultats.</t>
  </si>
  <si>
    <t>Suivi des anomalies et corrections</t>
  </si>
  <si>
    <t>Les anomalies identifiées sont-elles suivies et corrigées ?</t>
  </si>
  <si>
    <t>Réalisation de tests de performance sur les interfaces</t>
  </si>
  <si>
    <t>Risque de tests incomplets ou orientés MOE uniquement.</t>
  </si>
  <si>
    <t>Impact négatif sur la gestion du changement dans les équipes.</t>
  </si>
  <si>
    <t>Inclure les utilisateurs MOA/MOE dans la conception et l’exécution des cas de test.</t>
  </si>
  <si>
    <t xml:space="preserve">S’assurer que la MOE réalise des tests sur l'ensemble des
composants de l'application sur le plan fonctionnel et technique </t>
  </si>
  <si>
    <t>Planification des tests sur l'ensemble des composants</t>
  </si>
  <si>
    <t>Un plan global de tests couvre-t-il l’ensemble des composants ?</t>
  </si>
  <si>
    <t>Analyse des résultats des tests d'interface avec utilisateurs et responsables</t>
  </si>
  <si>
    <t>Risque de non-traitement des anomalies critiques.</t>
  </si>
  <si>
    <t>Manque de coordination des actions dans l’ensemble des processus.</t>
  </si>
  <si>
    <t>Suivre les anomalies critiques avec un plan d'action priorisé jusqu’à leur clôture formelle.</t>
  </si>
  <si>
    <t>Vérification de l'intégration des tests fonctionnels et techniques</t>
  </si>
  <si>
    <t>L’intégration des tests fonctionnels et techniques est-elle vérifiée ?</t>
  </si>
  <si>
    <t>Planification des tests utilisateurs</t>
  </si>
  <si>
    <t>Risque d’oubli ou de test incomplet sur certains composants.</t>
  </si>
  <si>
    <t>Désalignement entre les besoins du projet et les formations proposées.</t>
  </si>
  <si>
    <t>Établir une checklist couvrant tous les composants pour ne laisser aucun test de côté.</t>
  </si>
  <si>
    <t>Exécution des tests sur tous les composants de l'application</t>
  </si>
  <si>
    <t>Des tests sont-ils exécutés sur tous les composants de l’application ?</t>
  </si>
  <si>
    <t>Répartition équilibrée des utilisateurs pour les tests</t>
  </si>
  <si>
    <t>Risque de tests non coordonnés ou en double.</t>
  </si>
  <si>
    <t>Non-retour des utilisateurs sur la prise en main des outils ou systèmes.</t>
  </si>
  <si>
    <t>Centraliser la gestion des tests pour éviter les doublons et mieux coordonner les efforts.</t>
  </si>
  <si>
    <t>Suivi des anomalies et corrections détectées</t>
  </si>
  <si>
    <t>Les anomalies détectées pendant les tests sont-elles suivies jusqu’à correction ?</t>
  </si>
  <si>
    <t>Suivi précis des résultats des tests utilisateurs</t>
  </si>
  <si>
    <t>Risque de non-test d’éléments critiques du système.</t>
  </si>
  <si>
    <t>Incapacité de suivre les formations ou de les appliquer correctement.</t>
  </si>
  <si>
    <t>Identifier les composants critiques en amont et leur allouer une couverture de test renforcée.</t>
  </si>
  <si>
    <t>Validation des tests avec les parties prenantes</t>
  </si>
  <si>
    <t>Les tests sont-ils validés par l’ensemble des parties prenantes ?</t>
  </si>
  <si>
    <t>Prise en compte des retours utilisateurs pour ajuster le produit</t>
  </si>
  <si>
    <t>Risque d’anomalies non résolues avant livraison.</t>
  </si>
  <si>
    <t>Mauvais ciblage des profils de formation, entraînant des erreurs.</t>
  </si>
  <si>
    <t>Conditionner la livraison à la clôture de toutes les anomalies bloquantes ou critiques.</t>
  </si>
  <si>
    <t>S’assurer que la MOE réalise des tests sur les interfaces de
l'application dans le SI</t>
  </si>
  <si>
    <t>Tests d’intégration des interfaces avec les autres systèmes</t>
  </si>
  <si>
    <t>Des tests d’intégration ont-ils été réalisés pour les interfaces avec les autres systèmes ?</t>
  </si>
  <si>
    <t>Documentation complète des résultats des tests utilisateurs</t>
  </si>
  <si>
    <t>Risque de rejet par les utilisateurs finaux.</t>
  </si>
  <si>
    <t>Inadéquation de la formation aux responsabilités, réduisant son efficacité.</t>
  </si>
  <si>
    <t>Impliquer les utilisateurs finaux dans les phases de recette pour recueillir leur validation explicite.</t>
  </si>
  <si>
    <t>Les résultats des tests d’intégration sont-ils correctement suivis ?</t>
  </si>
  <si>
    <t>Comparaison des résultats des tests avec les exigences du cahier des charges</t>
  </si>
  <si>
    <t>Risque de rupture avec le SI existant.</t>
  </si>
  <si>
    <t>Risques de mauvaise gestion des compétences ou des ressources humaines.</t>
  </si>
  <si>
    <t>Réaliser des analyses d’impact sur le SI existant et effectuer des tests d’intégration approfondis.</t>
  </si>
  <si>
    <t>La compatibilité des interfaces avec le SI existant est-elle validée ?</t>
  </si>
  <si>
    <t>Identification des écarts entre application livrée et besoins de la MOA</t>
  </si>
  <si>
    <t>Risque de bugs en production.</t>
  </si>
  <si>
    <t>Mauvaise utilisation des ressources de formation, augmentant les coûts sans résultats.</t>
  </si>
  <si>
    <t>Réaliser des tests de non-régression et de charge avant la mise en production.</t>
  </si>
  <si>
    <t>Tests de performance sur les interfaces</t>
  </si>
  <si>
    <t>Des tests de performance sont-ils menés spécifiquement sur les interfaces ?</t>
  </si>
  <si>
    <t>Suivi des corrections nécessaires après identification des écarts</t>
  </si>
  <si>
    <t>Risque d’incompatibilité avec le SI actuel.</t>
  </si>
  <si>
    <t>Problèmes d'intégration de la formation dans la continuité du projet.</t>
  </si>
  <si>
    <t>Vérifier l’interopérabilité avec le SI en place grâce à des tests d’intégration croisés.</t>
  </si>
  <si>
    <t>Analyse des résultats avec les utilisateurs et responsables systèmes</t>
  </si>
  <si>
    <t>Les résultats des tests d’interface sont-ils analysés avec les utilisateurs et les responsables systèmes ?</t>
  </si>
  <si>
    <t>Validation formelle des tests réalisés par la MOA</t>
  </si>
  <si>
    <t>Risque de performances insuffisantes en production.</t>
  </si>
  <si>
    <t>Retards ou mauvais développement des compétences clés pour le projet.</t>
  </si>
  <si>
    <t>Mener des campagnes de performance réalistes en environnement de préproduction.</t>
  </si>
  <si>
    <t xml:space="preserve">S’assurer que des tests utilisateurs sont réalisés </t>
  </si>
  <si>
    <t>Des tests utilisateurs ont-ils été planifiés ?</t>
  </si>
  <si>
    <t>Document de synthèse des tests réalisés disponible</t>
  </si>
  <si>
    <t>Risque de rejet ou de blocage par les utilisateurs métier.</t>
  </si>
  <si>
    <t>Difficulté dans le transfert des connaissances, entraînant des pertes de compétences.</t>
  </si>
  <si>
    <t>Associer les utilisateurs métiers aux revues de livrables pour garantir leur acceptabilité.</t>
  </si>
  <si>
    <t>Répartition des utilisateurs dans les tests</t>
  </si>
  <si>
    <t>Les utilisateurs sont-ils répartis de manière équilibrée dans les tests ?</t>
  </si>
  <si>
    <t>Vérification des performances du système par rapport aux spécifications</t>
  </si>
  <si>
    <t>Risque d’exclusion d’utilisateurs clés.</t>
  </si>
  <si>
    <t>Problème de documentations obsolètes ou manquantes pour les utilisateurs.</t>
  </si>
  <si>
    <t>Recenser les utilisateurs clés dès le début du projet et s'assurer de leur participation active.</t>
  </si>
  <si>
    <t>Suivi des résultats des tests utilisateurs</t>
  </si>
  <si>
    <t>Les résultats des tests utilisateurs sont-ils suivis avec précision ?</t>
  </si>
  <si>
    <t>Réalisation de tests ergonomiques avec les utilisateurs</t>
  </si>
  <si>
    <t>Risque d’erreurs non identifiées par les utilisateurs.</t>
  </si>
  <si>
    <t>Risque de confusion due à des manuels non validés ou mal conçus.</t>
  </si>
  <si>
    <t>Prévoir une relecture utilisateur des livrables fonctionnels et ergonomiques.</t>
  </si>
  <si>
    <t>Prise en compte des retours utilisateurs dans les ajustements</t>
  </si>
  <si>
    <t>Les retours utilisateurs sont-ils pris en compte pour ajuster le produit ?</t>
  </si>
  <si>
    <t>Evaluation de la qualité des données en entrée et sortie</t>
  </si>
  <si>
    <t>Risque de mauvaise prise en compte des besoins finaux.</t>
  </si>
  <si>
    <t>Difficulté dans la prise en main du système par les utilisateurs.</t>
  </si>
  <si>
    <t>Mettre en place des ateliers de recueil et de validation des besoins avec les utilisateurs finaux.</t>
  </si>
  <si>
    <t>Documentation des tests utilisateurs et des retours</t>
  </si>
  <si>
    <t>Les tests utilisateurs et leurs résultats sont-ils correctement documentés ?</t>
  </si>
  <si>
    <t>Suivi des critères de performance (temps de réponse, stabilité)</t>
  </si>
  <si>
    <t>Risque d’absence de traçabilité des retours utilisateurs.</t>
  </si>
  <si>
    <t>Difficile de justifier les choix et actions. Risque de mauvaises décisions non détectées en temps utile.</t>
  </si>
  <si>
    <t>Centraliser les retours utilisateurs dans un outil dédié assurant la traçabilité et le traitement.</t>
  </si>
  <si>
    <t xml:space="preserve">S’assurer que les tests portent sur l'adéquation de l'application
livrée par la MOE avec les besoins exprimés par la MOA </t>
  </si>
  <si>
    <t>Comparaison des tests aux exigences spécifiées dans le cahier des charges</t>
  </si>
  <si>
    <t>Les résultats des tests sont-ils comparés aux exigences du cahier des charges ?</t>
  </si>
  <si>
    <t>Analyse des résultats techniques et ajustements nécessaires</t>
  </si>
  <si>
    <t>Risque de mauvaise adéquation aux exigences initiales.</t>
  </si>
  <si>
    <t>Développement non conforme aux besoins initiaux, créant des retouches coûteuses et des retards.</t>
  </si>
  <si>
    <t>S’assurer que les exigences exprimées sont bien reprises dans les spécifications fonctionnelles.</t>
  </si>
  <si>
    <t>Identification des écarts entre application livrée et besoins MOA</t>
  </si>
  <si>
    <t>Les écarts entre l’application livrée et les besoins exprimés par la MOA sont-ils identifiés ?</t>
  </si>
  <si>
    <t>Réalisation de tests avant la mise en production</t>
  </si>
  <si>
    <t>Risque de rejet du système par la MOA.</t>
  </si>
  <si>
    <t>Retard dans l’acceptation du projet, coût supplémentaire pour ajuster le système selon les besoins réels.</t>
  </si>
  <si>
    <t>Intégrer la MOA dans les validations intermédiaires et la décision finale de déploiement.</t>
  </si>
  <si>
    <t>Suivi des corrections et ajustements</t>
  </si>
  <si>
    <t>Les corrections et ajustements nécessaires sont-ils suivis après identification des écarts ?</t>
  </si>
  <si>
    <t>Mise à jour de la documentation après tests</t>
  </si>
  <si>
    <t>Risque de retards de mise en conformité.</t>
  </si>
  <si>
    <t>Risque de non-livraison du produit dans les délais, augmentation des coûts de conformité.</t>
  </si>
  <si>
    <t>Anticiper les obligations de conformité et intégrer leur traitement dans le planning projet.</t>
  </si>
  <si>
    <t>Validation par la MOA des tests réalisés</t>
  </si>
  <si>
    <t>La MOA valide-t-elle les tests réalisés de manière formelle ?</t>
  </si>
  <si>
    <t>Validation des tests par les responsables du projet</t>
  </si>
  <si>
    <t>Risque d’absence de validation finale.</t>
  </si>
  <si>
    <t>L'absence de validation finale peut entraîner un déploiement de système défectueux ou incomplet.</t>
  </si>
  <si>
    <t>Planifier et documenter une validation finale complète avec PV signé par les parties prenantes.</t>
  </si>
  <si>
    <t>Document de synthèse sur les tests réalisés</t>
  </si>
  <si>
    <t>Un document de synthèse des tests réalisés est-il disponible ?</t>
  </si>
  <si>
    <t>Suivi des actions post-tests pour correction et ajustement</t>
  </si>
  <si>
    <t>Risque de non-conformité fonctionnelle.</t>
  </si>
  <si>
    <t>Non-conformité des fonctionnalités attendues avec des retours utilisateurs négatifs et des coûts supplémentaires.</t>
  </si>
  <si>
    <t>Vérifier la couverture fonctionnelle totale avec les spécifications initiales avant livraison.</t>
  </si>
  <si>
    <t>’assurer que les tests portent sur l'acceptation technique du
système (ergonomie, performance, qualité des entrées/sorties…)</t>
  </si>
  <si>
    <t>Vérification de la performance du système par rapport aux spécifications</t>
  </si>
  <si>
    <t>La performance du système est-elle vérifiée par rapport aux spécifications initiales ?</t>
  </si>
  <si>
    <t>Documentation des incidents et des solutions trouvées</t>
  </si>
  <si>
    <t>Risque d’ergonomie inadaptée au besoin réel.</t>
  </si>
  <si>
    <t>Mauvaise expérience utilisateur, pouvant entraîner une faible adoption du système.</t>
  </si>
  <si>
    <t>Impliquer les utilisateurs dans le maquettage et les tests ergonomiques dès la conception.</t>
  </si>
  <si>
    <t>Tests ergonomiques réalisés avec les utilisateurs</t>
  </si>
  <si>
    <t>Des tests ergonomiques sont-ils réalisés avec les utilisateurs ?</t>
  </si>
  <si>
    <t>Gestion des tests post-mise en production</t>
  </si>
  <si>
    <t>Risque de qualité dégradée dans les données manipulées.</t>
  </si>
  <si>
    <t>Données erronées ou perdues affectant la prise de décision et l’efficacité des processus.</t>
  </si>
  <si>
    <t>Vérifier l’intégrité, la cohérence et la qualité des données par des contrôles automatisés.</t>
  </si>
  <si>
    <t>Évaluation de la qualité des entrées et sorties des données</t>
  </si>
  <si>
    <t>La qualité des données en entrée et sortie est-elle évaluée ?</t>
  </si>
  <si>
    <t>Ajustements suite aux retours des utilisateurs après la mise en productio</t>
  </si>
  <si>
    <t>Risque de performances non atteintes.</t>
  </si>
  <si>
    <t>Perte de performance en conditions réelles, impactant l'efficacité du système et l'expérience utilisateur.</t>
  </si>
  <si>
    <t>Mener des tests de performance avec des outils spécialisés avant le go-live.</t>
  </si>
  <si>
    <t>Suivi des critères de performance (temps de réponse, stabilité, etc.)</t>
  </si>
  <si>
    <t>Les critères de performance (temps de réponse, stabilité, etc.) sont-ils suivis ?</t>
  </si>
  <si>
    <t>Tableau de suivi des critères de performance (temps de réponse, stabilité, etc.)</t>
  </si>
  <si>
    <t>Risque d’instabilité du système en production.</t>
  </si>
  <si>
    <t>Système non stable et sujet à des pannes fréquentes.</t>
  </si>
  <si>
    <t>Réaliser des tests de stabilité prolongés en environnement de préproduction.</t>
  </si>
  <si>
    <t>Les résultats techniques sont-ils analysés et des ajustements nécessaires sont-ils effectués ?</t>
  </si>
  <si>
    <t>Rapport d’analyse des résultats techniques et ajustements effectués</t>
  </si>
  <si>
    <t>Risque de mise en production prématurée.</t>
  </si>
  <si>
    <t>Système mis en production sans tests suffisants, ce qui peut entraîner des interruptions de service.</t>
  </si>
  <si>
    <t>Suivre une grille de critères de mise en production avec validation préalable formelle.</t>
  </si>
  <si>
    <t>S’assurer qu’il existe des tests de pré-exploitation</t>
  </si>
  <si>
    <t>Tests réalisés avant la mise en production</t>
  </si>
  <si>
    <t>Des tests ont-ils été réalisés avant la mise en production ?</t>
  </si>
  <si>
    <t>Plan de tests avant mise en production</t>
  </si>
  <si>
    <t>Risque de bugs critiques non anticipés.</t>
  </si>
  <si>
    <t>Problèmes majeurs dans le système, créant des coûts de correction élevés et des pertes de données.</t>
  </si>
  <si>
    <t>Tester les scénarios critiques en conditions dégradées pour anticiper les bugs graves.</t>
  </si>
  <si>
    <t>Validation de l’environnement de production par les tests</t>
  </si>
  <si>
    <t>L’environnement de production a-t-il été validé par les tests ?</t>
  </si>
  <si>
    <t>Rapport de validation de l’environnement de production par les tests</t>
  </si>
  <si>
    <t>Risque de défaillance technique en exploitation.</t>
  </si>
  <si>
    <t>Interruption du service ou du projet, avec un impact sur les opérations.</t>
  </si>
  <si>
    <t>Mettre en place une supervision technique robuste dès la phase de déploiement.</t>
  </si>
  <si>
    <t>Tests de montée en charge et de sécurité</t>
  </si>
  <si>
    <t>Des tests de montée en charge et de sécurité ont-ils été réalisés ?</t>
  </si>
  <si>
    <t>Rapport des tests de montée en charge et de sécurité réalisés</t>
  </si>
  <si>
    <t>Risque de résultats erronés ou insuffisants.</t>
  </si>
  <si>
    <t>Résultats peu fiables ou erronés affectant la performance du système.</t>
  </si>
  <si>
    <t>Effectuer des simulations de résultats pour tester les cas limites ou erronés.</t>
  </si>
  <si>
    <t>Documentation des résultats de pré-exploitation</t>
  </si>
  <si>
    <t>Les résultats des tests de pré-exploitation sont-ils correctement documentés ?</t>
  </si>
  <si>
    <t>Rapport de documentation des résultats des tests de pré-exploitation</t>
  </si>
  <si>
    <t>Risque de régression fonctionnelle.</t>
  </si>
  <si>
    <t>Fonctionnalité dégradée, nécessitant un retour en arrière pour rectifier le problème.</t>
  </si>
  <si>
    <t>Réaliser systématiquement des tests de non-régression après toute modification.</t>
  </si>
  <si>
    <t>Évaluation de la conformité aux exigences de production</t>
  </si>
  <si>
    <t>La conformité aux exigences de production est-elle évaluée ?</t>
  </si>
  <si>
    <t>Document de conformité aux exigences de production</t>
  </si>
  <si>
    <t>Risque de dysfonctionnement majeur lors de la mise en production.</t>
  </si>
  <si>
    <t>Pannes graves affectant la production, nécessitant une intervention rapide et coûteuse.</t>
  </si>
  <si>
    <t>Exécuter un plan de test de mise en production en environnement représentatif.</t>
  </si>
  <si>
    <t>S’assurer que ces tests s'assurent de la bonne intégration de
l'application dans l'environnement de production</t>
  </si>
  <si>
    <t>Vérification de l'intégration de l'application avec l’infrastructure</t>
  </si>
  <si>
    <t>L'intégration de l'application avec l'infrastructure a-t-elle été vérifiée ?</t>
  </si>
  <si>
    <t>Rapport d’intégration avec l’infrastructure validée</t>
  </si>
  <si>
    <t>Risque de rupture d’interopérabilité.</t>
  </si>
  <si>
    <t>Problèmes de compatibilité entre les systèmes, nécessitant des interventions urgentes pour rétablir l'interopérabilité.</t>
  </si>
  <si>
    <t>Tester les échanges entre systèmes via des cas d'interopérabilité spécifiques.</t>
  </si>
  <si>
    <t>Tests de compatibilité avec les autres systèmes en production</t>
  </si>
  <si>
    <t>Des tests de compatibilité avec les autres systèmes en production ont-ils été réalisés ?</t>
  </si>
  <si>
    <t>Rapport de tests de compatibilité avec les autres systèmes en production</t>
  </si>
  <si>
    <t>Risque d’anomalies critiques non détectées.</t>
  </si>
  <si>
    <t>Non-détection d'anomalies critiques entraînant une perte de confiance dans le système.</t>
  </si>
  <si>
    <t>Renforcer la détection des anomalies critiques avec des campagnes de test orientées risques.</t>
  </si>
  <si>
    <t>Tests de performance en environnement réel</t>
  </si>
  <si>
    <t>Des tests de performance en environnement réel ont-ils été effectués ?</t>
  </si>
  <si>
    <t>Résultats des tests de performance en environnement réel</t>
  </si>
  <si>
    <t>Risque de livrable non validé malgré des défauts majeurs.</t>
  </si>
  <si>
    <t>Livraison de produits non validés avec des défauts majeurs affectant leur performance.</t>
  </si>
  <si>
    <t>Refuser tout livrable dont les défauts n’ont pas été traités ou documentés.</t>
  </si>
  <si>
    <t>Les résultats des tests d’intégration sont-ils suivis et analysés ?</t>
  </si>
  <si>
    <t>Suivi et analyse des résultats des tests d’intégration</t>
  </si>
  <si>
    <t>Risque de mauvaise intégration dans l’écosystème SI.</t>
  </si>
  <si>
    <t>Intégration difficile avec d'autres systèmes, générant des coûts supplémentaires pour rétablir la conformité.</t>
  </si>
  <si>
    <t>Vérifier l’adéquation technique de l'application au SI cible avec des tests de bout en bout.</t>
  </si>
  <si>
    <t>Validation de la préparation à la mise en production</t>
  </si>
  <si>
    <t>La préparation à la mise en production a-t-elle été validée ?</t>
  </si>
  <si>
    <t>Risque de rupture dans les flux entre applications.</t>
  </si>
  <si>
    <t>Flux d'information non fonctionnels, entraînant des erreurs ou des pertes de données.</t>
  </si>
  <si>
    <t>Tester l’ensemble des flux applicatifs en condition réelle ou simulée.</t>
  </si>
  <si>
    <t>S’assurer que l'application est recettée</t>
  </si>
  <si>
    <t>Présence d'une recette fonctionnelle et technique</t>
  </si>
  <si>
    <t>Une recette fonctionnelle et technique est-elle disponible ?</t>
  </si>
  <si>
    <t>Document de recette fonctionnelle et technique</t>
  </si>
  <si>
    <t>Risque de perte ou altération des données.</t>
  </si>
  <si>
    <t>Perte de données critiques en raison de défauts techniques, pouvant entraîner une rupture de service.</t>
  </si>
  <si>
    <t>Appliquer des politiques de sauvegarde et restauration systématiques sur les données.</t>
  </si>
  <si>
    <t>Validation de la recette par les parties prenantes</t>
  </si>
  <si>
    <t>La recette a-t-elle été validée par les parties prenantes ?</t>
  </si>
  <si>
    <t>Procès-verbal de validation de la recette par les parties prenantes</t>
  </si>
  <si>
    <t>Risque d’incident majeur en production.</t>
  </si>
  <si>
    <t>Perte de données ou interruption de service, entraînant des coûts élevés pour récupérer et restaurer les données.</t>
  </si>
  <si>
    <t>Préparer un plan de continuité et un support renforcé lors du démarrage en production.</t>
  </si>
  <si>
    <t>Suivi des anomalies et retours utilisateurs lors de la recette</t>
  </si>
  <si>
    <t>Les anomalies et retours utilisateurs lors de la recette sont-ils suivis ?</t>
  </si>
  <si>
    <t>Compte-rendu des anomalies et retours utilisateurs lors de la recette</t>
  </si>
  <si>
    <t>Risque de saturation ou effondrement des performances.</t>
  </si>
  <si>
    <t>Pannes dans le service avec des répercussions immédiates sur l’exploitation du projet.</t>
  </si>
  <si>
    <t>Réaliser des tests de montée en charge et de résistance sur l’environnement cible.</t>
  </si>
  <si>
    <t>Documentation des actions correctives prises</t>
  </si>
  <si>
    <t>Les actions correctives prises sont-elles correctement documentées ?</t>
  </si>
  <si>
    <t>Documentation des actions correctives prises lors de la recette</t>
  </si>
  <si>
    <t>Risque de non-respect des jalons de recette.</t>
  </si>
  <si>
    <t>Saturation du système ou dysfonctionnement complet de l’infrastructure.</t>
  </si>
  <si>
    <t>Organiser les recettes autour de jalons clairs et validés par les différentes parties prenantes.</t>
  </si>
  <si>
    <t>Validation finale de la recette avant mise en production</t>
  </si>
  <si>
    <t>La recette a-t-elle été validée de manière finale avant la mise en production ?</t>
  </si>
  <si>
    <t>Risque de désengagement des utilisateurs clés.</t>
  </si>
  <si>
    <t>Non-respect des critères définis, retardant la production du livrable final.</t>
  </si>
  <si>
    <t>Maintenir l’implication des utilisateurs clés via des comités, formations et tests utilisateurs.</t>
  </si>
  <si>
    <t>S’assurer que l'application s'intègre bien dans l'ensemble du SI</t>
  </si>
  <si>
    <t>Vérification de l’intégration technique avec les autres systèmes du SI</t>
  </si>
  <si>
    <t>L’intégration technique avec les autres systèmes du SI a-t-elle été vérifiée ?</t>
  </si>
  <si>
    <t>Rapport de vérification de l’intégration technique avec les autres systèmes du SI</t>
  </si>
  <si>
    <t>Risque d’absence de critère objectif de validation.</t>
  </si>
  <si>
    <t>Moins d'implication des utilisateurs, réduisant la qualité des retours et des tests du système.</t>
  </si>
  <si>
    <t>Définir des critères de validation objectifs, mesurables et partagés dès le début du projet.</t>
  </si>
  <si>
    <t>Tests de communication entre les différentes applications du SI</t>
  </si>
  <si>
    <t>Des tests de communication entre les différentes applications du SI ont-ils été réalisés ?</t>
  </si>
  <si>
    <t>Rapport des tests de communication entre applications du SI</t>
  </si>
  <si>
    <t>Risque de tests mal suivis ou incohérents.</t>
  </si>
  <si>
    <t>Manque de critères clairs pour valider la solution, entraînant un déploiement de système non optimisé.</t>
  </si>
  <si>
    <t>Piloter les campagnes de test avec des indicateurs de suivi et des outils centralisés.</t>
  </si>
  <si>
    <t>Évaluation de la compatibilité des données entre systèmes</t>
  </si>
  <si>
    <t>La compatibilité des données entre les systèmes a-t-elle été évaluée ?</t>
  </si>
  <si>
    <t>Document d’évaluation de la compatibilité des données entre systèmes</t>
  </si>
  <si>
    <t>Risque de non-conformité fonctionnelle à la fin du projet.</t>
  </si>
  <si>
    <t>Tests non concluants ou incohérents, rendant difficile de garantir la qualité du système.</t>
  </si>
  <si>
    <t>Vérifier en bout de chaîne la conformité fonctionnelle par rapport au périmètre initial.</t>
  </si>
  <si>
    <t>Suivi de la mise en production et des premières retours</t>
  </si>
  <si>
    <t>Les retours sur la mise en production et les premières réactions sont-ils suivis ?</t>
  </si>
  <si>
    <t>Suivi des retours sur la mise en production et premières réactions</t>
  </si>
  <si>
    <t>Risque de mauvaise gestion du changement.</t>
  </si>
  <si>
    <t>Problème fonctionnel non détecté à temps, entraînant une livraison non conforme aux attentes.</t>
  </si>
  <si>
    <t>Anticiper les résistances au changement par une démarche de conduite du changement adaptée.</t>
  </si>
  <si>
    <t>Tests de montée en charge avec l’ensemble du SI</t>
  </si>
  <si>
    <t>Des tests de montée en charge ont-ils été réalisés avec l'ensemble du SI ?</t>
  </si>
  <si>
    <t>Rapport des tests de montée en charge réalisés avec l’ensemble du SI</t>
  </si>
  <si>
    <t>Risque de perturbation du projet par les changements.</t>
  </si>
  <si>
    <t>Mauvaise gestion du changement, entraînant une perte de réactivité dans le projet.</t>
  </si>
  <si>
    <t>Accompagner les évolutions du projet par une gestion maîtrisée et documentée des changements.</t>
  </si>
  <si>
    <t>S’assurer qu’il existe une procédure formalisée de recette finale destinée à accepter formellement l'application</t>
  </si>
  <si>
    <t>Documentation de la procédure de recette finale</t>
  </si>
  <si>
    <t>La procédure de recette finale est-elle documentée ?</t>
  </si>
  <si>
    <t>Document de procédure de recette finale</t>
  </si>
  <si>
    <t>Risque de rejet des changements par les utilisateurs.</t>
  </si>
  <si>
    <t>Perturbation du projet par l’introduction de changements non maîtrisés, retardant le processus de développement.</t>
  </si>
  <si>
    <t>Impliquer les utilisateurs dans la validation des changements et adapter les solutions en conséquence.</t>
  </si>
  <si>
    <t>Implication des parties prenantes dans la recette</t>
  </si>
  <si>
    <t>Les parties prenantes sont-elles bien impliquées dans la recette ?</t>
  </si>
  <si>
    <t>Plan de recette détaillant les rôles et responsabilités</t>
  </si>
  <si>
    <t>Risque de décisions prises sans validation.</t>
  </si>
  <si>
    <t>Non-acceptation des changements par les utilisateurs, conduisant à une adoption faible du système.</t>
  </si>
  <si>
    <t>Instaurer un processus de validation systématique pour toute décision impactant le projet.</t>
  </si>
  <si>
    <t>Critères de validation de la recette clairement définis</t>
  </si>
  <si>
    <t>Les critères de validation de la recette sont-ils clairement définis ?</t>
  </si>
  <si>
    <t>Document des critères de validation de la recette</t>
  </si>
  <si>
    <t>Risque de perte de traçabilité sur les changements.</t>
  </si>
  <si>
    <t>Prise de décisions sans validation, entraînant des incohérences et des actions non alignées.</t>
  </si>
  <si>
    <t>Assurer une documentation des changements complète, claire et maintenue à jour.</t>
  </si>
  <si>
    <t>Suivi des tests de recette et des résultats</t>
  </si>
  <si>
    <t>Les tests de recette et leurs résultats sont-ils suivis et documentés ?</t>
  </si>
  <si>
    <t>Suivi et documentation des tests de recette et résultats</t>
  </si>
  <si>
    <t>Risque de validation partielle ou orientée.</t>
  </si>
  <si>
    <t>Manque de traçabilité, créant des problèmes pour la gestion du projet et la prise de décisions éclairées.</t>
  </si>
  <si>
    <t>Soumettre les validations à des relectures croisées et à des critères communs d’acceptation.</t>
  </si>
  <si>
    <t>Validation de la conformité avec le cahier des charges</t>
  </si>
  <si>
    <t>La conformité avec le cahier des charges a-t-elle été validée ?</t>
  </si>
  <si>
    <t>Document de validation de la conformité avec le cahier des charges</t>
  </si>
  <si>
    <t>Risque de confusion dans la documentation de changement.</t>
  </si>
  <si>
    <t>Validation partielle des changements, risquant de ne pas répondre à l'ensemble des besoins.</t>
  </si>
  <si>
    <t>Uniformiser la documentation de changement et vérifier sa lisibilité pour tous les profils.</t>
  </si>
  <si>
    <t xml:space="preserve">conduite du changement et mise en œuvre </t>
  </si>
  <si>
    <t>S’assurer qu’il existe une synthèse de l'évaluation des
changements</t>
  </si>
  <si>
    <t>Synthèse des changements documentée et validée</t>
  </si>
  <si>
    <t>Une synthèse des changements est-elle documentée et validée ?</t>
  </si>
  <si>
    <t>Risque de non-traitement des non-conformités.</t>
  </si>
  <si>
    <t>Documentation confuse, causant des erreurs dans la mise en œuvre du changement.</t>
  </si>
  <si>
    <t>Prévoir un traitement formel de toutes les non-conformités identifiées.</t>
  </si>
  <si>
    <t>Analyse des impacts des changements sur le projet</t>
  </si>
  <si>
    <t>L'impact des changements sur le projet a-t-il été analysé ?</t>
  </si>
  <si>
    <t>Analyse de l'impact des changements sur le projet</t>
  </si>
  <si>
    <t>Risque de non-maîtrise des impacts projet.</t>
  </si>
  <si>
    <t>Non-traitement des anomalies, entraînant une accumulation de problèmes non résolus.</t>
  </si>
  <si>
    <t>Evaluer l’impact de tout changement sur le planning, les coûts et la qualité attendue.</t>
  </si>
  <si>
    <t>Retours d’expérience sur les changements mis en œuvre</t>
  </si>
  <si>
    <t>Des retours d’expérience sur les changements mis en œuvre sont-ils recueillis ?</t>
  </si>
  <si>
    <t>Rapport des retours d’expérience sur les changements mis en œuvre</t>
  </si>
  <si>
    <t>Risque de décisions de changement mal fondées.</t>
  </si>
  <si>
    <t>Gestion des impacts projet non maîtrisée, créant des retards et des ajustements imprévus.</t>
  </si>
  <si>
    <t>Appuyer les décisions de changement sur des faits, des retours et des analyses partagées.</t>
  </si>
  <si>
    <t>Validation de la synthèse par les responsables</t>
  </si>
  <si>
    <t>La synthèse des changements a-t-elle été validée par les responsables ?</t>
  </si>
  <si>
    <t>Validation de la synthèse des changements par les responsables</t>
  </si>
  <si>
    <t>Risque de biais dans la représentativité des retours.</t>
  </si>
  <si>
    <t>Décisions de changement inappropriées, entraînant des coûts ou des retards supplémentaires.</t>
  </si>
  <si>
    <t>Collecter les retours via des méthodes diversifiées et représentatives.</t>
  </si>
  <si>
    <t>Archivage des évaluations des changements</t>
  </si>
  <si>
    <t>Les évaluations des changements sont-elles archivées correctement ?</t>
  </si>
  <si>
    <t>Risque de perte de données qualitatives issues des retours.</t>
  </si>
  <si>
    <t>Retours utilisateurs biaisés, faussant l’évaluation des besoins réels.</t>
  </si>
  <si>
    <t>Valoriser les retours utilisateurs avec des synthèses documentées et archivées.</t>
  </si>
  <si>
    <t xml:space="preserve">S’assurer que l'évaluation des changements a été validée </t>
  </si>
  <si>
    <t>Validation formelle de l'évaluation des changements par la MOA et la MOE</t>
  </si>
  <si>
    <t>L'évaluation des changements a-t-elle été validée formellement par la MOA et la MOE ?</t>
  </si>
  <si>
    <t>Validation formelle des changements par la MOA et la MOE</t>
  </si>
  <si>
    <t>Risque d’oubli de besoins exprimés.</t>
  </si>
  <si>
    <t>Données qualitatives non prises en compte, impactant l’efficacité du projet.</t>
  </si>
  <si>
    <t>Suivre un plan de recueil de besoins avec validation formelle à chaque itération.</t>
  </si>
  <si>
    <t>Documentation de la validation des changements</t>
  </si>
  <si>
    <t>La validation des changements a-t-elle été documentée ?</t>
  </si>
  <si>
    <t>Document de validation des changements</t>
  </si>
  <si>
    <t>Risque d’analyse faussée ou incomplète.</t>
  </si>
  <si>
    <t>Oubli de besoins exprimés, provoquant des non-conformités dans les livrables.</t>
  </si>
  <si>
    <t>Formaliser les analyses fonctionnelles et techniques dans des livrables validés.</t>
  </si>
  <si>
    <t>Suivi des actions correctives suite à l’évaluation</t>
  </si>
  <si>
    <t>Les actions correctives suite à l’évaluation des changements sont-elles suivies ?</t>
  </si>
  <si>
    <t>Suivi des actions correctives issues de l’évaluation des changements</t>
  </si>
  <si>
    <t>Risque de retards dans la mise en œuvre des actions.</t>
  </si>
  <si>
    <t>Analyse erronée, affectant la qualité des décisions et la direction du projet.</t>
  </si>
  <si>
    <t>Affecter des responsables aux actions issues des retours avec des délais précis.</t>
  </si>
  <si>
    <t>Analyse des risques associés aux changements</t>
  </si>
  <si>
    <t>Les risques associés aux changements ont-ils été analysés ?</t>
  </si>
  <si>
    <t>Rapport d’analyse des risques associés aux changements</t>
  </si>
  <si>
    <t>Risque de déconnexion entre utilisateurs et projet.</t>
  </si>
  <si>
    <t>Retards dans la mise en œuvre des actions correctives, prolongent les problèmes du projet.</t>
  </si>
  <si>
    <t>Créer des espaces d’échange utilisateurs-projet pour entretenir la communication continue.</t>
  </si>
  <si>
    <t>Présence d’un comité de validation des changements</t>
  </si>
  <si>
    <t>Un comité de validation des changements est-il en place ?</t>
  </si>
  <si>
    <t>Document de création et de validation du comité de validation des changements</t>
  </si>
  <si>
    <t>Risque de non-prise en compte de retours critiques.</t>
  </si>
  <si>
    <t>Rupture de communication avec les utilisateurs, créant des désaccords et des erreurs.</t>
  </si>
  <si>
    <t>Traiter rapidement et de façon transparente les retours critiques remontés par les utilisateurs.</t>
  </si>
  <si>
    <t xml:space="preserve">’assurer que les entretiens réalisés sont représentatifs </t>
  </si>
  <si>
    <t>Sélection représentative des participants aux entretiens</t>
  </si>
  <si>
    <t>Les participants aux entretiens sont-ils sélectionnés de manière représentative ?</t>
  </si>
  <si>
    <t>Liste des participants aux entretiens et compte-rendu détaillé</t>
  </si>
  <si>
    <t>Risque d’absence de réponse aux besoins exprimés.</t>
  </si>
  <si>
    <t>Non-prise en compte des retours critiques, générant des défauts dans le produit final.</t>
  </si>
  <si>
    <t>Croiser les besoins exprimés avec les solutions proposées et valider l’adéquation en comité.</t>
  </si>
  <si>
    <t>Documentation des retours d’entretiens et analyse des données</t>
  </si>
  <si>
    <t>Les retours des entretiens sont-ils documentés et analysés de manière approfondie ?</t>
  </si>
  <si>
    <t>Documentation des retours des entretiens et analyse approfondie</t>
  </si>
  <si>
    <t>Risque de livrables inadaptés aux cas réels d’usage.</t>
  </si>
  <si>
    <t>Livrables non adaptés aux scénarios réels d’utilisation, affectant la productivité.</t>
  </si>
  <si>
    <t>Co-construire les cas d’usage avec les utilisateurs pour assurer leur pertinence.</t>
  </si>
  <si>
    <t>Prise en compte des retours de tous les groupes d’utilisateurs</t>
  </si>
  <si>
    <t>Les retours de tous les groupes d’utilisateurs sont-ils pris en compte ?</t>
  </si>
  <si>
    <t>Compte-rendu des retours des groupes d’utilisateurs</t>
  </si>
  <si>
    <t>Risque de rejet post-déploiement.</t>
  </si>
  <si>
    <t>Rejet du produit après déploiement en raison de non-conformité aux attentes des utilisateurs.</t>
  </si>
  <si>
    <t>Préparer un support post-déploiement actif pour capter les premières réactions.</t>
  </si>
  <si>
    <t>Validation des résultats des entretiens par les responsables</t>
  </si>
  <si>
    <t>Les résultats des entretiens sont-ils validés par les responsables ?</t>
  </si>
  <si>
    <t>Risque de défaut de communication dans le projet.</t>
  </si>
  <si>
    <t>Communication inefficace, créant des malentendus et des erreurs dans la mise en œuvre du projet.</t>
  </si>
  <si>
    <t>Mettre en œuvre un plan de communication projet clair, structuré et adapté aux cibles.</t>
  </si>
  <si>
    <t>Suivi des actions issues des entretiens</t>
  </si>
  <si>
    <t>Les actions issues des entretiens sont-elles suivies et mises en œuvre ?</t>
  </si>
  <si>
    <t>Suivi des actions issues des entretiens et mise en œuvre</t>
  </si>
  <si>
    <t>Risque d’oubli de parties prenantes critiques.</t>
  </si>
  <si>
    <t>Parties prenantes clés non impliquées, créant des zones d’ombre dans les processus de décision.</t>
  </si>
  <si>
    <t>Cartographier les parties prenantes et vérifier leur prise en compte dans la gouvernance.</t>
  </si>
  <si>
    <t>S’assurer que les utilisateurs participent à l'évaluation des
changements</t>
  </si>
  <si>
    <t>Implication des utilisateurs dans les processus d’évaluation</t>
  </si>
  <si>
    <t>Les utilisateurs sont-ils impliqués dans les processus d’évaluation ?</t>
  </si>
  <si>
    <t>Documentation des retours des utilisateurs sur les processus d’évaluation</t>
  </si>
  <si>
    <t>Risque de mauvaise information des utilisateurs ou équipes.</t>
  </si>
  <si>
    <t>Mauvaise information des équipes, générant des erreurs et une exécution incohérente.</t>
  </si>
  <si>
    <t>Définir des circuits d’information efficaces avec fréquence, canal et contenu approprié.</t>
  </si>
  <si>
    <t>Retours utilisateurs documentés et analysés</t>
  </si>
  <si>
    <t>Les retours des utilisateurs sont-ils correctement documentés et analysés ?</t>
  </si>
  <si>
    <t>Rapport sur la satisfaction des utilisateurs après évaluations</t>
  </si>
  <si>
    <t>Risque d’absence de boucle de retour.</t>
  </si>
  <si>
    <t>Absence de retour d’information, rendant difficile l’ajustement des actions au projet.</t>
  </si>
  <si>
    <t>Organiser des boucles de retour après chaque action de communication ou d’information.</t>
  </si>
  <si>
    <t>Suivi des actions entreprises suite aux retours utilisateurs</t>
  </si>
  <si>
    <t>Les actions entreprises suite aux retours des utilisateurs sont-elles suivies ?</t>
  </si>
  <si>
    <t>Plan de communication détaillé et documenté</t>
  </si>
  <si>
    <t>Risque de perte de visibilité projet.</t>
  </si>
  <si>
    <t>Perte de visibilité sur le projet, créant de l'incertitude et des décisions mal orientées.</t>
  </si>
  <si>
    <t>Communiquer sur l’état du projet de manière régulière, factuelle et partagée.</t>
  </si>
  <si>
    <t>Création de groupes d’utilisateurs pilotes pour les tests</t>
  </si>
  <si>
    <t>Des groupes d’utilisateurs pilotes sont-ils créés pour les tests ?</t>
  </si>
  <si>
    <t>Liste des cibles de communication identifiées</t>
  </si>
  <si>
    <t>Risque de confusion ou mauvaise réception des messages.</t>
  </si>
  <si>
    <t>Messages mal compris, entraînant des erreurs dans l’exécution des tâches du projet.</t>
  </si>
  <si>
    <t>Clarifier les messages diffusés en les validant en amont par les responsables métier.</t>
  </si>
  <si>
    <t>Suivi de la satisfaction des utilisateurs après évaluation</t>
  </si>
  <si>
    <t>La satisfaction des utilisateurs est-elle suivie après les évaluations ?</t>
  </si>
  <si>
    <t>Suivi de la diffusion des informations adaptées à chaque groupe</t>
  </si>
  <si>
    <t>Risque de non-adhésion par manque de clarté.</t>
  </si>
  <si>
    <t>Manque de clarté dans les objectifs, réduisant l’engagement des parties prenantes.</t>
  </si>
  <si>
    <t>Définir une stratégie d’adhésion avec des messages adaptés à chaque profil utilisateur.</t>
  </si>
  <si>
    <t>S’assurer qu’il existe un plan de communication complet</t>
  </si>
  <si>
    <t>Plan de communication défini et documenté</t>
  </si>
  <si>
    <t>Un plan de communication détaillé est-il défini et documenté ?</t>
  </si>
  <si>
    <t>Compte-rendu des retours sur la communication</t>
  </si>
  <si>
    <t>Risque de diffusion d’informations erronées.</t>
  </si>
  <si>
    <t>Diffusion d'informations incorrectes, créant des décisions erronées et des actions non conformes.</t>
  </si>
  <si>
    <t>Vérifier la véracité des informations diffusées et les valider formellement.</t>
  </si>
  <si>
    <t>Identification des cibles de communication (utilisateurs, équipe projet, etc.)</t>
  </si>
  <si>
    <t>Les cibles de communication (utilisateurs, équipe projet, etc.) sont-elles identifiées ?</t>
  </si>
  <si>
    <t>Évaluation continue de l’efficacité du plan de communication</t>
  </si>
  <si>
    <t>Risque d’incompréhension ou d’interprétation erronée.</t>
  </si>
  <si>
    <t>Erreurs d’interprétation des messages, affectant la qualité du travail réalisé.</t>
  </si>
  <si>
    <t>S’assurer de la compréhension des messages clés en testant leur réception.</t>
  </si>
  <si>
    <t>Diffusion des informations selon les besoins de chaque groupe</t>
  </si>
  <si>
    <t>Les informations sont-elles diffusées de manière adaptée à chaque groupe ?</t>
  </si>
  <si>
    <t>Documents de validation des messages adressés à chaque public cible</t>
  </si>
  <si>
    <t>Risque de rupture de communication.</t>
  </si>
  <si>
    <t>Rupture dans la communication, créant des erreurs de coordination dans le projet.</t>
  </si>
  <si>
    <t>Maintenir un canal de communication actif et accessible pour toutes les parties.</t>
  </si>
  <si>
    <t>Suivi des retours sur la communication</t>
  </si>
  <si>
    <t>Les retours sur la communication sont-ils suivis ?</t>
  </si>
  <si>
    <t>Suivi de la compréhension des messages par les destinataires</t>
  </si>
  <si>
    <t>Risque de communication non adaptée aux besoins évolutifs.</t>
  </si>
  <si>
    <t>Communication mal adaptée aux évolutions du projet, provoquant des erreurs et des retards.</t>
  </si>
  <si>
    <t>Réajuster régulièrement les contenus selon l’évolution des besoins utilisateurs.</t>
  </si>
  <si>
    <t>L’efficacité du plan de communication est-elle évaluée en continu ?</t>
  </si>
  <si>
    <t>Rapport d’évaluation des retours sur les messages transmis</t>
  </si>
  <si>
    <t>Risque de désalignement avec les besoins des utilisateurs.</t>
  </si>
  <si>
    <t>Déconnexion avec les besoins réels des utilisateurs, créant un système non aligné.</t>
  </si>
  <si>
    <t>Aligner les objectifs projet avec les attentes métier exprimées en phase de cadrage.</t>
  </si>
  <si>
    <t>S’assurer que les messages sont clairs et simples</t>
  </si>
  <si>
    <t>Messages adaptés à chaque public cible</t>
  </si>
  <si>
    <t>Les messages sont-ils adaptés à chaque public cible ?</t>
  </si>
  <si>
    <t>Mise à jour continue du plan de communication selon l’avancement du projet</t>
  </si>
  <si>
    <t>Risque de mauvaise intégration des changements.</t>
  </si>
  <si>
    <t>Mauvaise intégration des changements, provoquant des erreurs dans la mise en production.</t>
  </si>
  <si>
    <t>Valider chaque changement intégré avec la MOA et les utilisateurs impactés.</t>
  </si>
  <si>
    <t>Clarté et concision des messages</t>
  </si>
  <si>
    <t>La clarté et la concision des messages sont-elles vérifiées ?</t>
  </si>
  <si>
    <t>Suivi des retours des utilisateurs concernant l’évolution de la communication</t>
  </si>
  <si>
    <t>Risque d’incompréhension ou de flou sur les changements.</t>
  </si>
  <si>
    <t>Incompréhension des changements, ralentissant leur adoption et causant des erreurs.</t>
  </si>
  <si>
    <t>Accompagner les utilisateurs dans la compréhension des changements apportés.</t>
  </si>
  <si>
    <t>Validation des messages avec les parties prenantes</t>
  </si>
  <si>
    <t>Les messages sont-ils validés par les parties prenantes ?</t>
  </si>
  <si>
    <t>Documentation sur l'intégration des nouvelles informations dans la communication</t>
  </si>
  <si>
    <t>Risque de diffusion de contenus erronés ou non validés.</t>
  </si>
  <si>
    <t>Diffusion de contenus erronés, menant à des erreurs d’implémentation.</t>
  </si>
  <si>
    <t>Vérifier la cohérence des documents avant diffusion en assurant leur validation.</t>
  </si>
  <si>
    <t>La compréhension des messages par les destinataires est-elle suivie ?</t>
  </si>
  <si>
    <t>Rapport sur la gestion des modifications de plan et leur communication</t>
  </si>
  <si>
    <t>Risque de perte d’engagement des parties prenantes.</t>
  </si>
  <si>
    <t>Perte d’engagement des parties prenantes, réduisant l’efficacité du projet.</t>
  </si>
  <si>
    <t>Maintenir l’implication des parties prenantes via des points réguliers et des bilans d’étape.</t>
  </si>
  <si>
    <t>Évaluation des retours sur les messages transmis</t>
  </si>
  <si>
    <t>Les retours sur les messages transmis sont-ils évalués ?</t>
  </si>
  <si>
    <t>Documents validés pour chaque étape de la communication</t>
  </si>
  <si>
    <t>Risque de rupture entre MOA et équipes projet.</t>
  </si>
  <si>
    <t>Rupture entre la MOA et les équipes projet, générant des malentendus et des inefficacités.</t>
  </si>
  <si>
    <t>Instaurer un cadre de gouvernance fort pour assurer une bonne entente MOA/équipe projet.</t>
  </si>
  <si>
    <t>S’assurer que la communication évolue et progresse par rapport au développement du projet</t>
  </si>
  <si>
    <t>Plan de communication mis à jour en fonction de l’avancement du projet</t>
  </si>
  <si>
    <t>Le plan de communication est-il mis à jour selon l’avancement du projet ?</t>
  </si>
  <si>
    <t>Preuves de l’implication de la MOA dans la communication</t>
  </si>
  <si>
    <t>Risque de contradiction ou incohérence dans les messages.</t>
  </si>
  <si>
    <t>Messages contradictoires, provoquant confusion et incohérence dans l'avancement du projet.</t>
  </si>
  <si>
    <t>Uniformiser les messages projet pour éviter les contradictions ou confusions.</t>
  </si>
  <si>
    <t>Feedback des utilisateurs sur l’évolution de la communication</t>
  </si>
  <si>
    <t>Les retours des utilisateurs sur l’évolution de la communication sont-ils pris en compte ?</t>
  </si>
  <si>
    <t>Compte-rendu des participations de la MOA aux réunions de communication</t>
  </si>
  <si>
    <t>Risque d’inefficacité des comités de pilotage.</t>
  </si>
  <si>
    <t>Comités de pilotage inefficaces, ralentissant la prise de décisions stratégiques et opérationnelles.</t>
  </si>
  <si>
    <t>Donner un rôle actif aux comités de pilotage dans les arbitrages stratégiques.</t>
  </si>
  <si>
    <t>Intégration des nouvelles informations dans la communication</t>
  </si>
  <si>
    <t>Les nouvelles informations sont-elles intégrées dans la communication ?</t>
  </si>
  <si>
    <t>Validation des messages de la MOA par les parties prenantes</t>
  </si>
  <si>
    <t>Risque de mécontentement ou désengagement des utilisateurs.</t>
  </si>
  <si>
    <t>Désengagement des utilisateurs, limitant l'adhésion et la réussite du projet.</t>
  </si>
  <si>
    <t>Répondre aux attentes des utilisateurs pour maintenir leur motivation dans le projet.</t>
  </si>
  <si>
    <t>Suivi des modifications de plan et communication claire des changements</t>
  </si>
  <si>
    <t>Les modifications de plan sont-elles suivies et clairement communiquées ?</t>
  </si>
  <si>
    <t>Suivi des actions de la MOA dans les comités de pilotage</t>
  </si>
  <si>
    <t>Risque de non-formation des acteurs projet.</t>
  </si>
  <si>
    <t>Manque de formation des acteurs projet, conduisant à une mauvaise gestion du projet.</t>
  </si>
  <si>
    <t>Planifier les formations en cohérence avec le planning projet et les profils utilisateurs.</t>
  </si>
  <si>
    <t>Validation des supports de communication à chaque étape</t>
  </si>
  <si>
    <t>Les supports de communication sont-ils validés à chaque étape ?</t>
  </si>
  <si>
    <t>Documents relatifs à l’implication de la MOA dans la gestion des retours utilisateurs</t>
  </si>
  <si>
    <t>Risque de formation inadaptée ou incomplète.</t>
  </si>
  <si>
    <t>Formation mal adaptée ou incomplète, impactant la qualité de l'exécution et la montée en compétences.</t>
  </si>
  <si>
    <t>Élaborer des modules adaptés à chaque profil métier pour une meilleure efficacité.</t>
  </si>
  <si>
    <t>S’assurer que la communication est fortement soutenue par la MOA</t>
  </si>
  <si>
    <t>Support et engagement de la MOA dans la communication</t>
  </si>
  <si>
    <t>La MOA fournit-elle un support et un engagement dans la communication ?</t>
  </si>
  <si>
    <t>Plan de formation détaillé et documenté</t>
  </si>
  <si>
    <t>Risque de retard dans la prise en main de l’outil.</t>
  </si>
  <si>
    <t>Difficulté d'adoption de l'outil, entraînant des retards dans l’exploitation efficace du système.</t>
  </si>
  <si>
    <t>Anticiper les formations pour garantir la prise en main dès le déploiement</t>
  </si>
  <si>
    <t>Participation active de la MOA aux réunions de communication</t>
  </si>
  <si>
    <t>La MOA participe-t-elle activement aux réunions de communication ?</t>
  </si>
  <si>
    <t>Identification des personnes à former et des compétences requises</t>
  </si>
  <si>
    <t>Risque d’inefficacité des formations.</t>
  </si>
  <si>
    <t>Formations inefficaces, réduisant l’impact sur l’efficacité de l’équipe.</t>
  </si>
  <si>
    <t>Réaliser une évaluation à chaud et à froid de l'efficacité des formations.</t>
  </si>
  <si>
    <t>Validation des messages de la MOA</t>
  </si>
  <si>
    <t>Les messages de la MOA sont-ils validés par les parties prenantes ?</t>
  </si>
  <si>
    <t>Suivi des sessions de formation effectuées</t>
  </si>
  <si>
    <t>Risque de perte de traçabilité sur l’acquisition des compétences.</t>
  </si>
  <si>
    <t>Manque de traçabilité des compétences acquises, freinant l’amélioration des performances.</t>
  </si>
  <si>
    <t>Conserver les traces des formations suivies et des acquis des utilisateurs.</t>
  </si>
  <si>
    <t>Les actions de la MOA sont-elles suivies dans les comités de pilotage ?</t>
  </si>
  <si>
    <t>Rapport d’évaluation des résultats des formations</t>
  </si>
  <si>
    <t>Risque de formation non alignée aux responsabilités.</t>
  </si>
  <si>
    <t>Formation non en phase avec les responsabilités, impactant l'efficacité du projet.</t>
  </si>
  <si>
    <t>Distinguer les contenus de formation selon les rôles et responsabilités projet.</t>
  </si>
  <si>
    <t>Implication de la MOA dans la gestion des retours utilisateurs</t>
  </si>
  <si>
    <t>La MOA est-elle impliquée dans la gestion des retours utilisateurs ?</t>
  </si>
  <si>
    <t>Compte-rendu des actions de formation et des retours reçus</t>
  </si>
  <si>
    <t>Risque de gaspillage de ressources de formation.</t>
  </si>
  <si>
    <t>Gaspillage des ressources de formation, avec des sessions inutiles ou mal ciblées.</t>
  </si>
  <si>
    <t>Allouer les ressources pédagogiques de façon ciblée et selon les besoins réels.</t>
  </si>
  <si>
    <t xml:space="preserve">S’assurer qu’il existe un plan de formation </t>
  </si>
  <si>
    <t>Plan de formation détaillé documenté</t>
  </si>
  <si>
    <t>Un plan de formation détaillé est-il documenté ?</t>
  </si>
  <si>
    <t>Liste des responsables hiérarchiques des formés</t>
  </si>
  <si>
    <t>Risque de mauvaise montée en compétences.</t>
  </si>
  <si>
    <t>Compétences mal développées, affectant l’efficacité du projet.</t>
  </si>
  <si>
    <t>Adapter les contenus et supports pour une assimilation efficace des utilisateurs.</t>
  </si>
  <si>
    <t>Les personnes à former et les compétences requises sont-elles identifiées ?</t>
  </si>
  <si>
    <t>Validation des besoins de formation par les responsables</t>
  </si>
  <si>
    <t>Risque d’engagement insuffisant des responsables hiérarchiques.</t>
  </si>
  <si>
    <t>Insuffisance de l'engagement des responsables, entravant l'avancement du projet.</t>
  </si>
  <si>
    <t>Impliquer les managers dans le suivi des compétences et formations de leurs équipes.</t>
  </si>
  <si>
    <t>Les sessions de formation effectuées sont-elles suivies ?</t>
  </si>
  <si>
    <t>Suivi des progrès et retours hiérarchiques sur les formations</t>
  </si>
  <si>
    <t>Risque de formation peu utile ou inadaptée.</t>
  </si>
  <si>
    <t>Formation non ciblée, créant une inadéquation entre les compétences et les besoins.</t>
  </si>
  <si>
    <t>S’assurer de l’utilité des formations proposées via des retours utilisateurs.</t>
  </si>
  <si>
    <t>Évaluation des résultats des formations</t>
  </si>
  <si>
    <t>Les résultats des formations sont-ils évalués ?</t>
  </si>
  <si>
    <t>Compte-rendu de l’engagement des managers dans la planification des formations</t>
  </si>
  <si>
    <t>Risque de formations incomplètes ou ciblant les mauvais profils.</t>
  </si>
  <si>
    <t>Sélection inappropriée des profils formés, générant des erreurs ou une mauvaise mise en œuvre.</t>
  </si>
  <si>
    <t>Vérifier la couverture des profils cibles par les formations prévues.</t>
  </si>
  <si>
    <t>Documentation des actions de formation et des retours</t>
  </si>
  <si>
    <t>Les actions de formation et les retours sont-ils documentés ?</t>
  </si>
  <si>
    <t>Évaluation de l’impact des formations par les responsables</t>
  </si>
  <si>
    <t>Risque de manque de qualification dans l’équipe projet.</t>
  </si>
  <si>
    <t>Formation trop générale ou trop complexe, nuisant à l’adoption du système.</t>
  </si>
  <si>
    <t>Renforcer les compétences de l’équipe par des formations ciblées et un recrutement adapté.</t>
  </si>
  <si>
    <t>S’assurer que la hiérarchie des personnes à former est
impliquée</t>
  </si>
  <si>
    <t>Identification des responsables hiérarchiques des formés</t>
  </si>
  <si>
    <t>Les responsables hiérarchiques des formés sont-ils identifiés ?</t>
  </si>
  <si>
    <t>Identification des profils à former selon les besoins du projet</t>
  </si>
  <si>
    <t>Risque d’erreurs de paramétrage ou de conception.</t>
  </si>
  <si>
    <t>Manque de validation métier, entraînant une non-conformité ou une faible adoption du système.</t>
  </si>
  <si>
    <t>Mettre en place une validation croisée des paramétrages et conceptions critiques.</t>
  </si>
  <si>
    <t>Les besoins de formation ont-ils été validés par les responsables ?</t>
  </si>
  <si>
    <t>Évaluation des compétences nécessaires pour chaque rôle</t>
  </si>
  <si>
    <t>Risque de désalignement entre profils formés et besoins réels.</t>
  </si>
  <si>
    <t>Insatisfaction persistante des utilisateurs après formation, affectant la productivité.</t>
  </si>
  <si>
    <t>Aligner les profils formés avec les cas d’usage réels et les besoins opérationnels.</t>
  </si>
  <si>
    <t>Suivi des progrès et des retours hiérarchiques sur les formations</t>
  </si>
  <si>
    <t>Les progrès et retours hiérarchiques sur les formations sont-ils suivis ?</t>
  </si>
  <si>
    <t>Documentation des profils types des formés</t>
  </si>
  <si>
    <t>Risque d’absence de validation des profils critiques.</t>
  </si>
  <si>
    <t>Compétences acquises non consolidées, limitant l’atteinte des objectifs du projet.</t>
  </si>
  <si>
    <t>Impliquer les référents métiers dans la validation des profils clés du projet.</t>
  </si>
  <si>
    <t>Engagement des managers dans la planification des formations</t>
  </si>
  <si>
    <t>Les managers sont-ils engagés dans la planification des formations ?</t>
  </si>
  <si>
    <t>Validation des profils par les responsables métiers</t>
  </si>
  <si>
    <t>Risque de formation inefficace.</t>
  </si>
  <si>
    <t>Retour insuffisant sur l'efficacité des formations, entraînant un manque d’amélioration.</t>
  </si>
  <si>
    <t>Évaluer l’efficacité de la formation par des tests pratiques post-formation.</t>
  </si>
  <si>
    <t>Évaluation de l'impact des formations par les responsables</t>
  </si>
  <si>
    <t>L'impact des formations est-il évalué par les responsables ?</t>
  </si>
  <si>
    <t>Suivi de l’adéquation des formations aux profils identifiés</t>
  </si>
  <si>
    <t>Risque de mauvaise sélection des profils formés.</t>
  </si>
  <si>
    <t>Stagnation des compétences au sein du projet, empêchant l’évolution continue du projet.</t>
  </si>
  <si>
    <t>Sélectionner les profils formés en fonction de leurs responsabilités effectives.</t>
  </si>
  <si>
    <t>S’assurer que les profils types des personnes à former sont
identifiés</t>
  </si>
  <si>
    <t>Les profils à former sont-ils identifiés selon les besoins du projet ?</t>
  </si>
  <si>
    <t>Sélection des individus à former selon les besoins spécifiques du projet</t>
  </si>
  <si>
    <t>Risque de contenu trop générique ou trop complexe.</t>
  </si>
  <si>
    <t>Non-adaptation aux retours des utilisateurs, réduisant l'efficacité du système.</t>
  </si>
  <si>
    <t>Adapter le contenu de formation aux niveaux des utilisateurs visés.</t>
  </si>
  <si>
    <t>Les compétences nécessaires pour chaque rôle sont-elles évaluées ?</t>
  </si>
  <si>
    <t>Adaptation des formations aux compétences et rôles spécifiques</t>
  </si>
  <si>
    <t>Risque de perte de temps ou mauvaise couverture des besoins.</t>
  </si>
  <si>
    <t>Formation inadaptée à moyen terme, devenant rapidement obsolète.</t>
  </si>
  <si>
    <t>Structurer les formations selon des parcours personnalisés selon les besoins métiers.</t>
  </si>
  <si>
    <t>Les profils types des formés sont-ils correctement documentés ?</t>
  </si>
  <si>
    <t>Validation des choix de population à former avec les responsables</t>
  </si>
  <si>
    <t>Risque d’absence de validation métier.</t>
  </si>
  <si>
    <t>Documentation obsolète ou inexistante, créant des erreurs lors de l’utilisation du système.</t>
  </si>
  <si>
    <t>Impliquer la MOA dans la validation des supports et du programme de formation.</t>
  </si>
  <si>
    <t>Validation des profils avec les responsables métiers</t>
  </si>
  <si>
    <t>Les profils ont-ils été validés par les responsables métiers ?</t>
  </si>
  <si>
    <t>Documentation des retours des formés pour évaluer la pertinence des formations</t>
  </si>
  <si>
    <t>Risque d’insatisfaction persistante des utilisateurs.</t>
  </si>
  <si>
    <t>Manque de prise en main par les utilisateurs, réduisant l’efficacité du projet.</t>
  </si>
  <si>
    <t>Organiser des enquêtes de satisfaction après déploiement pour identifier les irritants.</t>
  </si>
  <si>
    <t>L’adéquation des formations aux profils identifiés est-elle suivie ?</t>
  </si>
  <si>
    <t>Suivi de l’intégration des formés après la formation</t>
  </si>
  <si>
    <t>Risque de non-ancrage des compétences après la formation.</t>
  </si>
  <si>
    <t>Difficulté d'accès aux informations nécessaires, ralentissant l’implémentation.</t>
  </si>
  <si>
    <t>Mettre en place des rappels et supports post-formation pour ancrer les acquis.</t>
  </si>
  <si>
    <t>S’assurer que la population à former est pertinente</t>
  </si>
  <si>
    <t>Sélection des individus à former selon les besoins du projet</t>
  </si>
  <si>
    <t>Les individus à former sont-ils sélectionnés en fonction des besoins du projet ?</t>
  </si>
  <si>
    <t>Rapport d’évaluation systématique de chaque session de formation</t>
  </si>
  <si>
    <t>Risque de non-retour sur l’efficacité de la formation.</t>
  </si>
  <si>
    <t>Contenu inadapté aux besoins utilisateurs, limitant la compréhension et l’usage du système.</t>
  </si>
  <si>
    <t>Intégrer un retour d’expérience systématique sur chaque session de formation.</t>
  </si>
  <si>
    <t>Les formations sont-elles adaptées aux compétences et rôles spécifiques ?</t>
  </si>
  <si>
    <t>Compte-rendu de l’analyse des retours sur les formations</t>
  </si>
  <si>
    <t>Risque de stagnation des compétences projet.</t>
  </si>
  <si>
    <t>Non-conformité entre le manuel et le système, créant des erreurs de fonctionnement.</t>
  </si>
  <si>
    <t>Prévoir des plans de progression continue et de renforcement des compétences projet.</t>
  </si>
  <si>
    <t>Les choix de population à former ont-ils été validés avec les responsables ?</t>
  </si>
  <si>
    <t>Documentation des ajustements effectués sur le contenu de formation</t>
  </si>
  <si>
    <t>Risque de non-adaptation continue aux retours.</t>
  </si>
  <si>
    <t>Documentation non conforme aux normes, réduisant l’efficacité et la cohérence du projet.</t>
  </si>
  <si>
    <t>Intégrer les retours utilisateurs pour ajuster les supports pédagogiques.</t>
  </si>
  <si>
    <t>Évaluation des retours des formés pour confirmer la pertinence</t>
  </si>
  <si>
    <t>Les retours des formés sont-ils évalués pour confirmer la pertinence des formations ?</t>
  </si>
  <si>
    <t>Rapport sur l’adaptation des méthodes de formation si nécessaire</t>
  </si>
  <si>
    <t>Risque de persistance de formations inadaptées.</t>
  </si>
  <si>
    <t>Mauvaise compréhension de la documentation, générant des erreurs d’utilisation.</t>
  </si>
  <si>
    <t>Mettre à jour régulièrement le plan de formation selon les évaluations terrain.</t>
  </si>
  <si>
    <t>L’intégration des formés après la formation est-elle suivie ?</t>
  </si>
  <si>
    <t>Suivi des actions correctives issues des évaluations de formation</t>
  </si>
  <si>
    <t>Risque de formation inefficace à moyen terme.</t>
  </si>
  <si>
    <t>Perte d’informations importantes, ralentissant la performance des utilisateurs.</t>
  </si>
  <si>
    <t>Réévaluer périodiquement la pertinence des supports de formation.</t>
  </si>
  <si>
    <t>S’assurer que les sessions de formations sont évaluées et
repensées selon l'évaluation</t>
  </si>
  <si>
    <t>Évaluation systématique de chaque session de formation</t>
  </si>
  <si>
    <t>Chaque session de formation est-elle systématiquement évaluée ?</t>
  </si>
  <si>
    <t>Rapport d'évaluation de la formation</t>
  </si>
  <si>
    <t>Risque de documentation inexistante ou obsolète.</t>
  </si>
  <si>
    <t>Manuel non validé, entraînant des erreurs d’utilisation du système par les utilisateurs.</t>
  </si>
  <si>
    <t>Maintenir une documentation à jour, validée et accessible par tous les acteurs.</t>
  </si>
  <si>
    <t>Analyse des retours sur les formations</t>
  </si>
  <si>
    <t>Les retours sur les formations sont-ils analysés pour améliorer la pertinence ?</t>
  </si>
  <si>
    <t>Compte-rendu d'analyse des retours de formation</t>
  </si>
  <si>
    <t>Risque de non-prise en main par les utilisateurs.</t>
  </si>
  <si>
    <t>Manuel obsolète créant des confusions et réduisant l’efficacité des utilisateurs.</t>
  </si>
  <si>
    <t>Accompagner les utilisateurs lors de la prise en main par du support actif.</t>
  </si>
  <si>
    <t>Adaptation du contenu de formation en fonction des évaluations</t>
  </si>
  <si>
    <t>Le contenu de formation est-il ajusté en fonction des évaluations ?</t>
  </si>
  <si>
    <t>Plan de réajustement du contenu de la formation</t>
  </si>
  <si>
    <t>Risque d’inaccessibilité aux informations nécessaires.</t>
  </si>
  <si>
    <t>Non-conformité aux exigences légales ou réglementaires, entraînant des risques juridiques.</t>
  </si>
  <si>
    <t>Structurer l’accès à la documentation par profil et par cas d’usage.</t>
  </si>
  <si>
    <t>Réajustement des méthodes de formation si nécessaire</t>
  </si>
  <si>
    <t>Les méthodes de formation sont-elles réajustées si nécessaire ?</t>
  </si>
  <si>
    <t>Documentation sur l'ajustement des méthodes de formation</t>
  </si>
  <si>
    <t>Risque de contenu inadapté aux besoins utilisateurs.</t>
  </si>
  <si>
    <t>Documentation incohérente, provoquant des erreurs dans la mise en œuvre du système.</t>
  </si>
  <si>
    <t>Faire valider les supports documentaires par des utilisateurs référents.</t>
  </si>
  <si>
    <t>Suivi des actions correctives issues des évaluations</t>
  </si>
  <si>
    <t>Les actions correctives issues des évaluations sont-elles suivies ?</t>
  </si>
  <si>
    <t>Suivi des actions correctives des évaluations</t>
  </si>
  <si>
    <t>Risque de décalage entre document et système.</t>
  </si>
  <si>
    <t>Manuel incomplet, rendant l’utilisation du système difficile et propice aux erreurs.</t>
  </si>
  <si>
    <t>Synchroniser les mises à jour documentaires avec les évolutions du système.</t>
  </si>
  <si>
    <t xml:space="preserve">documentation </t>
  </si>
  <si>
    <t>S’assurer qu’il existe un manuel d'utilisation</t>
  </si>
  <si>
    <t>Manuel utilisateur documenté et disponible</t>
  </si>
  <si>
    <t>Un manuel utilisateur est-il documenté et disponible ?</t>
  </si>
  <si>
    <t>Manuel utilisateur</t>
  </si>
  <si>
    <t>Risque de non-conformité de la documentation aux standards.</t>
  </si>
  <si>
    <t>Manque de clarté, réduisant l’efficacité et l’adoption du système.</t>
  </si>
  <si>
    <t>Appliquer une grille de vérification des standards documentaires.</t>
  </si>
  <si>
    <t>Clarté et exhaustivité du manuel</t>
  </si>
  <si>
    <t>Le manuel est-il clair et exhaustif ?</t>
  </si>
  <si>
    <t>Rapport de validation du manuel utilisateur par les responsables</t>
  </si>
  <si>
    <t>Risque de mauvaise compréhension ou perte d’information.</t>
  </si>
  <si>
    <t>Documentation non mise à jour, créant un système non cohérent avec les besoins réels.</t>
  </si>
  <si>
    <t>Simplifier le langage des documents et ajouter des illustrations explicites.</t>
  </si>
  <si>
    <t>Accessibilité du manuel pour tous les utilisateurs</t>
  </si>
  <si>
    <t>Le manuel est-il facilement accessible pour tous les utilisateurs ?</t>
  </si>
  <si>
    <t>Plan de suivi des mises à jour du manuel</t>
  </si>
  <si>
    <t>Risque de lacunes critiques dans l’utilisation du système.</t>
  </si>
  <si>
    <t>Mauvaise appropriation du système par les utilisateurs, créant des erreurs récurrentes.</t>
  </si>
  <si>
    <t>Proposer un guide de démarrage rapide et des cas d’usage typiques.</t>
  </si>
  <si>
    <t>Validation du manuel par les responsables</t>
  </si>
  <si>
    <t>Le manuel a-t-il été validé par les responsables ?</t>
  </si>
  <si>
    <t>Normes internes et externes relatives à la documentation</t>
  </si>
  <si>
    <t>Manuel non validé, entraînant des erreurs d’utilisation.</t>
  </si>
  <si>
    <t>Mauvaise interprétation de l'interface, générant des erreurs d’utilisation.</t>
  </si>
  <si>
    <t>Formaliser une procédure de validation du manuel par la MOA avant diffusion.</t>
  </si>
  <si>
    <t>Suivi des mises à jour du manuel utilisateur</t>
  </si>
  <si>
    <t>Les mises à jour du manuel utilisateur sont-elles suivies ?</t>
  </si>
  <si>
    <t>Standards de documentation validés</t>
  </si>
  <si>
    <t>Perte de pertinence du manuel, générant des confusions.</t>
  </si>
  <si>
    <t>Difficultés à accéder à l'information clé, réduisant l’efficacité du travail des utilisateurs.</t>
  </si>
  <si>
    <t>Revoir régulièrement la documentation selon les retours utilisateurs.</t>
  </si>
  <si>
    <t>S’assurer que le manuel utilisateur est conforme aux normes en vigueur</t>
  </si>
  <si>
    <t>Conformité avec les normes internes et externes</t>
  </si>
  <si>
    <t>Le manuel est-il conforme aux normes internes et externes ?</t>
  </si>
  <si>
    <t>Liste des fonctionnalités du système couvertes par le manuel</t>
  </si>
  <si>
    <t>Non-conformité réglementaire ou normative.</t>
  </si>
  <si>
    <t>Contenu peu clair, générant des erreurs de compréhension et de fonctionnement.</t>
  </si>
  <si>
    <t>Effectuer une veille normative pour assurer la conformité documentaire.</t>
  </si>
  <si>
    <t>Validation du contenu selon les standards de documentation</t>
  </si>
  <si>
    <t>Le contenu du manuel est-il validé selon les standards de documentation ?</t>
  </si>
  <si>
    <t>Rapport de révision du manuel</t>
  </si>
  <si>
    <t>Documentation inadéquate, risquant des incohérences.</t>
  </si>
  <si>
    <t>Informations périmées, impactant l’efficacité du projet.</t>
  </si>
  <si>
    <t>Revoir l’intégralité du référentiel documentaire à chaque mise à jour majeure.</t>
  </si>
  <si>
    <t>Exhaustivité du manuel par rapport aux fonctionnalités du système</t>
  </si>
  <si>
    <t>Le manuel est-il exhaustif par rapport aux fonctionnalités du système ?</t>
  </si>
  <si>
    <t>Liste des utilisateurs cibles du manuel</t>
  </si>
  <si>
    <t>Manuel incomplet, menant à une mauvaise utilisation du système.</t>
  </si>
  <si>
    <t>Confusion sur les responsabilités en cas d'erreurs, générant des conflits et des erreurs.</t>
  </si>
  <si>
    <t>Créer un sommaire clair, une indexation précise et un moteur de recherche intégré.</t>
  </si>
  <si>
    <t>Rédaction claire et concise conforme aux attentes utilisateurs</t>
  </si>
  <si>
    <t>Le manuel est-il rédigé de manière claire et concise pour répondre aux attentes des utilisateurs ?</t>
  </si>
  <si>
    <t>Rapport de vérification de la compréhension du manuel par les utilisateurs</t>
  </si>
  <si>
    <t>Difficulté de compréhension, causant des erreurs utilisateurs.</t>
  </si>
  <si>
    <t>Retards de correction des anomalies, augmentant la durée des problèmes en production.</t>
  </si>
  <si>
    <t>Mettre en place un processus de validation continue de la documentation.</t>
  </si>
  <si>
    <t>Révision régulière pour assurer la conformité</t>
  </si>
  <si>
    <t>Le manuel est-il régulièrement révisé pour assurer la conformité ?</t>
  </si>
  <si>
    <t>Documentation sur les canaux de diffusion du manuel (papier, en ligne)</t>
  </si>
  <si>
    <t>Obsolescence du contenu non détectée.</t>
  </si>
  <si>
    <t>Répétition d’erreurs, aggravant l'impact sur la performance du projet.</t>
  </si>
  <si>
    <t>Former les utilisateurs à l’utilisation du manuel numérique ou papier.</t>
  </si>
  <si>
    <t>S’assurer que le manuel d’utilisateur est disponible et
compréhensible par l'ensemble des utilisateurs</t>
  </si>
  <si>
    <t>Diffusion du manuel à tous les utilisateurs cibles</t>
  </si>
  <si>
    <t>Le manuel est-il diffusé à tous les utilisateurs cibles ?</t>
  </si>
  <si>
    <t>Rapport des retours des utilisateurs sur la clarté du manuel</t>
  </si>
  <si>
    <t>Mauvaise appropriation du système par les utilisateurs.</t>
  </si>
  <si>
    <t>Absence de mécanisme de signalement, augmentant la probabilité de ne pas corriger rapidement les erreurs.</t>
  </si>
  <si>
    <t>Prévoir une diffusion multicanal du manuel (intranet, PDF, QR code, etc.).</t>
  </si>
  <si>
    <t>Vérification de la compréhension du contenu par les utilisateurs</t>
  </si>
  <si>
    <t>La compréhension du contenu du manuel par les utilisateurs est-elle vérifiée ?</t>
  </si>
  <si>
    <t>Rapport d'évaluation de la satisfaction des utilisateurs</t>
  </si>
  <si>
    <t>Mauvaise compréhension pouvant nuire à l’usage du système.</t>
  </si>
  <si>
    <t>Confusion sur les responsabilités de correction, augmentant les risques d’erreurs.</t>
  </si>
  <si>
    <t>Intégrer des feedbacks utilisateurs dans l’amélioration du contenu.</t>
  </si>
  <si>
    <t>Facilité d’accès au manuel via différents canaux (papier, en ligne)</t>
  </si>
  <si>
    <t>Le manuel est-il accessible via différents canaux (papier, en ligne) ?</t>
  </si>
  <si>
    <t>Description détaillée des objets du système dans le manuel</t>
  </si>
  <si>
    <t>Accès restreint, freinant l’utilisation du manuel.</t>
  </si>
  <si>
    <t>Mauvaise utilisation des résultats du système, entravant la prise de décision.</t>
  </si>
  <si>
    <t>Réaliser des enquêtes régulières sur la satisfaction liée à la documentation.</t>
  </si>
  <si>
    <t>Feedback des utilisateurs sur la clarté du manuel</t>
  </si>
  <si>
    <t>Les utilisateurs fournissent-ils des retours sur la clarté du manuel ?</t>
  </si>
  <si>
    <t>Illustrations des dessins d'écran et commandes associées dans le manuel</t>
  </si>
  <si>
    <t>Faible qualité du contenu due à un manque de retours utilisateurs.</t>
  </si>
  <si>
    <t>Problèmes d’accès aux informations clés pour les utilisateurs, créant des erreurs de jugement.</t>
  </si>
  <si>
    <t>Organiser des ateliers de relecture entre utilisateurs et rédacteurs.</t>
  </si>
  <si>
    <t>Évaluation de la satisfaction des utilisateurs par rapport au manuel</t>
  </si>
  <si>
    <t>La satisfaction des utilisateurs par rapport au manuel est-elle évaluée ?</t>
  </si>
  <si>
    <t>Insatisfaction des utilisateurs non identifiée.</t>
  </si>
  <si>
    <t>Absence de procédures adéquates pour gérer les sauvegardes et la restauration des données.</t>
  </si>
  <si>
    <t>Ajouter un glossaire et des définitions simples pour les objets système.</t>
  </si>
  <si>
    <t>S’assurer que le manuel utilisateur comprend les objets du
système et la description des dessins d'écran et des commandes disponibles</t>
  </si>
  <si>
    <t>Présence d'une description détaillée des objets du système</t>
  </si>
  <si>
    <t>Le manuel inclut-il une description détaillée des objets du système ?</t>
  </si>
  <si>
    <t>Incompréhension des objets du système.</t>
  </si>
  <si>
    <t>Manque de régularité dans la sauvegarde des données, augmentant les risques de pertes de données critiques.</t>
  </si>
  <si>
    <t>Tester la compréhension du manuel auprès de nouveaux utilisateurs.</t>
  </si>
  <si>
    <t>Illustration des dessins d’écran et des commandes associées</t>
  </si>
  <si>
    <t>Les dessins d’écran et les commandes associées sont-ils illustrés dans le manuel ?</t>
  </si>
  <si>
    <t>Illustrations des dessins d'écran et des commandes associées dans le manuel</t>
  </si>
  <si>
    <t>Mauvaise interprétation de l’interface.</t>
  </si>
  <si>
    <t>Impossibilité de restaurer des données perdues ou endommagées, compromettant l'intégrité du système.</t>
  </si>
  <si>
    <t>Diffuser un guide visuel de l’interface avec des captures annotées.</t>
  </si>
  <si>
    <t>Accessibilité de ces informations pour les utilisateurs</t>
  </si>
  <si>
    <t>Les informations sont-elles accessibles pour les utilisateurs ?</t>
  </si>
  <si>
    <t>Documentation sur l'accessibilité des informations pour les utilisateurs</t>
  </si>
  <si>
    <t>Difficultés d’accès à l’information importante.</t>
  </si>
  <si>
    <t>Absence de traçabilité en cas d'audit, compliquant la gestion des responsabilités et des erreurs.</t>
  </si>
  <si>
    <t>Créer une FAQ basée sur les cas réels des utilisateurs.</t>
  </si>
  <si>
    <t>Vérification de la clarté des descriptions</t>
  </si>
  <si>
    <t>La clarté des descriptions dans le manuel est-elle vérifiée ?</t>
  </si>
  <si>
    <t>Rapport de vérification de la clarté des descriptions dans le manuel</t>
  </si>
  <si>
    <t>Contenu peu explicite générant des erreurs d'interprétation.</t>
  </si>
  <si>
    <t>Documentation obsolète, entraînant des erreurs dans l’exploitation des systèmes.</t>
  </si>
  <si>
    <t>Ajouter des infobulles interactives dans l’outil pour guider l’usage.</t>
  </si>
  <si>
    <t>Révision et mise à jour régulières des informations</t>
  </si>
  <si>
    <t>Le manuel est-il révisé et mis à jour régulièrement ?</t>
  </si>
  <si>
    <t>Rapport de révision et de mise à jour régulière du manuel</t>
  </si>
  <si>
    <t>Utilisation d'informations périmées.</t>
  </si>
  <si>
    <t>Difficultés à suivre la mise à jour de la documentation, générant des incohérences.</t>
  </si>
  <si>
    <t>Valider les procédures de sauvegarde et tester leur bonne exécution.</t>
  </si>
  <si>
    <t>S’assurer que le manuel utilisateur comprend les responsables
concernant le redressement des erreurs ou anomalies</t>
  </si>
  <si>
    <t>Identification claire des responsables des erreurs</t>
  </si>
  <si>
    <t>Les responsables des erreurs sont-ils clairement identifiés dans le manuel ?</t>
  </si>
  <si>
    <t>Liste des responsables des erreurs identifiées dans le manuel</t>
  </si>
  <si>
    <t>Ambiguïté sur les responsabilités en cas d’erreur.</t>
  </si>
  <si>
    <t>Mise à jour des manuels non effectuée ou incorrecte, compromettant l'efficacité de l'utilisation.</t>
  </si>
  <si>
    <t>Définir des rôles clairs pour les mises à jour documentaires.</t>
  </si>
  <si>
    <t>Procédure de redressement des erreurs ou anomalies</t>
  </si>
  <si>
    <t>Une procédure de redressement des erreurs ou anomalies est-elle définie ?</t>
  </si>
  <si>
    <t>Retard ou absence de correction des anomalies.</t>
  </si>
  <si>
    <t>Risque de mauvaises pratiques ou d'erreurs répétées si la documentation n'est pas tenue à jour.</t>
  </si>
  <si>
    <t>Synchroniser les changements avec un comité de pilotage dédié.</t>
  </si>
  <si>
    <t>Suivi de la gestion des erreurs et anomalies dans le manuel</t>
  </si>
  <si>
    <t>La gestion des erreurs et anomalies est-elle suivie dans le manuel ?</t>
  </si>
  <si>
    <t>Répétition d’erreurs non corrigées.</t>
  </si>
  <si>
    <t>Augmentation des erreurs répétitives et absence d'amélioration continue.</t>
  </si>
  <si>
    <t>Mettre en place une gestion de version claire et historisée des manuels.</t>
  </si>
  <si>
    <t>Information accessible sur la façon de signaler les erreurs</t>
  </si>
  <si>
    <t>Le manuel fournit-il des informations claires sur la façon de signaler les erreurs ?</t>
  </si>
  <si>
    <t>Informations sur la manière de signaler les erreurs dans le manuel</t>
  </si>
  <si>
    <t>Absence de canal pour signalement d’erreurs.</t>
  </si>
  <si>
    <t>Impossibilité de rectifier les erreurs, entraînant des impacts prolongés.</t>
  </si>
  <si>
    <t>Centraliser les manuels dans un référentiel documentaire unique.</t>
  </si>
  <si>
    <t>Clarté sur le processus de correction des anomalies</t>
  </si>
  <si>
    <t>Le processus de correction des anomalies est-il bien détaillé ?</t>
  </si>
  <si>
    <t>Processus de correction des anomalies détaillé dans le manuel</t>
  </si>
  <si>
    <t>Flou sur les responsabilités de correction.</t>
  </si>
  <si>
    <t>Absence de responsabilité claire, retard dans la correction des erreurs.</t>
  </si>
  <si>
    <t>Créer un canal dédié pour les remontées d’erreurs ou besoins de correction.</t>
  </si>
  <si>
    <t>S’assurer que le manuel utilisateur comprend la description des sorties et leur mode de diffusion</t>
  </si>
  <si>
    <t>Détail des sorties disponibles dans le système</t>
  </si>
  <si>
    <t>Le manuel détaille-t-il les sorties disponibles dans le système ?</t>
  </si>
  <si>
    <t>Mauvaise exploitation des sorties du système.</t>
  </si>
  <si>
    <t>Exploitation inefficace des résultats, conduisant à des décisions inappropriées.</t>
  </si>
  <si>
    <t>Intégrer un plan d’amélioration continue dans la gestion documentaire.</t>
  </si>
  <si>
    <t>Modes de diffusion des sorties clairement définis</t>
  </si>
  <si>
    <t>Les modes de diffusion des sorties sont-ils clairement définis ?</t>
  </si>
  <si>
    <t>Documentation sur les modes de diffusion des sorties</t>
  </si>
  <si>
    <t>Confusion sur les modalités de diffusion.</t>
  </si>
  <si>
    <t>Diffusion erronée de l'information, confusion parmi les parties prenantes.</t>
  </si>
  <si>
    <t>Structurer la diffusion selon les besoins métiers identifiés.</t>
  </si>
  <si>
    <t>Ressources nécessaires pour obtenir ces sorties précisées</t>
  </si>
  <si>
    <t>Les ressources nécessaires pour obtenir ces sorties sont-elles précisées ?</t>
  </si>
  <si>
    <t>Documentation des ressources nécessaires pour obtenir les sorties</t>
  </si>
  <si>
    <t>Incertitudes sur les moyens nécessaires.</t>
  </si>
  <si>
    <t>Manque de ressources nécessaires pour la correction ou le suivi.</t>
  </si>
  <si>
    <t>Définir les formats et périodicités de communication documentaire.</t>
  </si>
  <si>
    <t>Fréquence et format des sorties bien documentés</t>
  </si>
  <si>
    <t>La fréquence et le format des sorties sont-ils bien documentés ?</t>
  </si>
  <si>
    <t>Informations sur la fréquence et le format des sorties</t>
  </si>
  <si>
    <t>Incompréhension sur la périodicité ou le format.</t>
  </si>
  <si>
    <t>Difficulté d'accès ou confusion sur la périodicité des mises à jour ou des rapports.</t>
  </si>
  <si>
    <t>Réviser les procédures de sauvegarde pour couvrir tous les cas critiques.</t>
  </si>
  <si>
    <t>Accessibilité des informations sur la diffusion des sorties</t>
  </si>
  <si>
    <t>Les informations sur la diffusion des sorties sont-elles accessibles ?</t>
  </si>
  <si>
    <t>Accès aux informations sur la diffusion des sorties</t>
  </si>
  <si>
    <t>Difficulté d’accès à l’information utile.</t>
  </si>
  <si>
    <t>Difficulté à obtenir les informations nécessaires, retard dans les décisions.</t>
  </si>
  <si>
    <t>Mettre en place une supervision des sauvegardes avec alertes en cas d’échec.</t>
  </si>
  <si>
    <t>S’assurer que le manuel utilisateur comprend les
responsabilités en matière de sauvegarde/archivage</t>
  </si>
  <si>
    <t>Rôles et responsabilités concernant la sauvegarde et l'archivage bien définis</t>
  </si>
  <si>
    <t>Les rôles et responsabilités concernant la sauvegarde et l'archivage sont-ils bien définis ?</t>
  </si>
  <si>
    <t>Documentation sur les rôles et responsabilités concernant la sauvegarde et l'archivage</t>
  </si>
  <si>
    <t>Sauvegardes incomplètes ou non réalisées.</t>
  </si>
  <si>
    <t>Risque de corruption ou de perte de données critiques.</t>
  </si>
  <si>
    <t>Associer à chaque procédure une fréquence d’exécution et un responsable.</t>
  </si>
  <si>
    <t>Procédures de sauvegarde et archivage clairement documentées</t>
  </si>
  <si>
    <t>Les procédures de sauvegarde et d'archivage sont-elles clairement documentées ?</t>
  </si>
  <si>
    <t>Procédures de sauvegarde et d'archivage documentées</t>
  </si>
  <si>
    <t>Oubli ou mauvaise exécution des procédures.</t>
  </si>
  <si>
    <t>Problèmes de récupération de données, entraînant des interruptions majeures.</t>
  </si>
  <si>
    <t>Prévoir un test de restauration à chaque version majeure.</t>
  </si>
  <si>
    <t>Fréquence des sauvegardes et archivages précisée</t>
  </si>
  <si>
    <t>La fréquence des sauvegardes et archivages est-elle précisée ?</t>
  </si>
  <si>
    <t>Fréquence des sauvegardes et archivages précisée dans le manuel</t>
  </si>
  <si>
    <t>Données perdues par manque de régularité.</t>
  </si>
  <si>
    <t>Incapacité à prouver la conformité ou à analyser des incidents en cas de besoin.</t>
  </si>
  <si>
    <t>Conserver un historique des accès et des modifications de documentation.</t>
  </si>
  <si>
    <t>Information sur la récupération des données incluse</t>
  </si>
  <si>
    <t>Le manuel inclut-il des informations sur la récupération des données ?</t>
  </si>
  <si>
    <t>Informations sur la récupération des données dans le manuel</t>
  </si>
  <si>
    <t>Impossibilité de restaurer les données.</t>
  </si>
  <si>
    <t>Utilisation de documents obsolètes, entraînant des erreurs d'exécution.</t>
  </si>
  <si>
    <t>Intégrer le manuel d’exploitation dans les processus d’habilitation.</t>
  </si>
  <si>
    <t>Auditabilité des procédures de sauvegarde et archivage</t>
  </si>
  <si>
    <t>Les procédures de sauvegarde et d’archivage sont-elles auditées ?</t>
  </si>
  <si>
    <t>Rapport d'audit sur les procédures de sauvegarde et d'archivage</t>
  </si>
  <si>
    <t>Manque de traçabilité en cas d’audit.</t>
  </si>
  <si>
    <t>Risque de ne pas maintenir à jour les documents, conduisant à des informations obsolètes.</t>
  </si>
  <si>
    <t>Former les responsables métiers à la mise à jour du manuel d’exploitation.</t>
  </si>
  <si>
    <t>S’assurer que le manuel d’utilisateur fait l'objet d'une procédure de mise à jour</t>
  </si>
  <si>
    <t>Présence d’une procédure définie de mise à jour du manuel</t>
  </si>
  <si>
    <t>Une procédure définie de mise à jour du manuel est-elle en place ?</t>
  </si>
  <si>
    <t>Procédure de mise à jour définie pour le manuel</t>
  </si>
  <si>
    <t>Manuel obsolète utilisé par erreur.</t>
  </si>
  <si>
    <t>Risques d'incohérences liées aux mises à jour mal synchronisées.</t>
  </si>
  <si>
    <t>Organiser des revues de mise à jour à chaque livraison majeure.</t>
  </si>
  <si>
    <t>Identification des responsables de la mise à jour</t>
  </si>
  <si>
    <t>Les responsables de la mise à jour du manuel sont-ils identifiés ?</t>
  </si>
  <si>
    <t>Identification des responsables de la mise à jour du manuel</t>
  </si>
  <si>
    <t>Flou sur les responsabilités de mise à jour.</t>
  </si>
  <si>
    <t>Modifications inutiles perturbant la stabilité du système ou de l’organisation.</t>
  </si>
  <si>
    <t>Vérifier la pertinence de chaque changement avant intégration.</t>
  </si>
  <si>
    <t>Fréquence des mises à jour du manuel définie</t>
  </si>
  <si>
    <t>La fréquence des mises à jour du manuel est-elle définie ?</t>
  </si>
  <si>
    <t>Documentation sur la fréquence des mises à jour du manuel</t>
  </si>
  <si>
    <t>Risque d’incohérence temporelle des mises à jour.</t>
  </si>
  <si>
    <t>Perte de données historiques, entravant les analyses et les décisions futures.</t>
  </si>
  <si>
    <t>Intégrer des versions archivées dans une base documentaire consultable.</t>
  </si>
  <si>
    <t>Contrôle de la pertinence des mises à jour effectuées</t>
  </si>
  <si>
    <t>La pertinence des mises à jour effectuées est-elle contrôlée ?</t>
  </si>
  <si>
    <t>Changements non pertinents ou non nécessaires.</t>
  </si>
  <si>
    <t>Difficulté d'accès ou d'utilisation du manuel, entraînant une mauvaise gestion du système.</t>
  </si>
  <si>
    <t>Rendre obligatoire le manuel pour toute opération sensible.</t>
  </si>
  <si>
    <t>Documentation des versions du manuel</t>
  </si>
  <si>
    <t>Les versions du manuel sont-elles bien documentées ?</t>
  </si>
  <si>
    <t>Liste des versions du manuel bien documentée</t>
  </si>
  <si>
    <t>Absence d’historique, entraînant une perte d'information.</t>
  </si>
  <si>
    <t>Risque d'exécutions erronées dues à des explications ou formations insuffisantes.</t>
  </si>
  <si>
    <t>Évaluer les usages réels du système via retours utilisateurs.</t>
  </si>
  <si>
    <t>S’assurer qu’il existe un manuel d'exploitation</t>
  </si>
  <si>
    <t>Manuel d’exploitation documenté et accessible</t>
  </si>
  <si>
    <t>Un manuel d’exploitation est-il documenté et accessible ?</t>
  </si>
  <si>
    <t>Manuel d'exploitation documenté et accessible</t>
  </si>
  <si>
    <t>Impossibilité d’accéder au manuel d’exploitation.</t>
  </si>
  <si>
    <t>Non-respect des besoins des utilisateurs, entraînant une mauvaise adoption.</t>
  </si>
  <si>
    <t>Formaliser les écarts entre conception documentaire et terrain.</t>
  </si>
  <si>
    <t>Complet et à jour selon les besoins des opérateurs</t>
  </si>
  <si>
    <t>Le manuel est-il complet et à jour selon les besoins des opérateurs ?</t>
  </si>
  <si>
    <t>Rapport de validation du manuel d'exploitation par les parties prenantes</t>
  </si>
  <si>
    <t>Risque d’erreurs d’exploitation par manque d’information.</t>
  </si>
  <si>
    <t>Risque de non-conformité aux exigences initiales du projet, conduisant à des échecs.</t>
  </si>
  <si>
    <t>Mettre à disposition des cas d’usage métiers concrets.</t>
  </si>
  <si>
    <t>Intégration des retours d’expérience dans le manuel</t>
  </si>
  <si>
    <t>Les retours d’expérience sont-ils intégrés dans le manuel d’exploitation ?</t>
  </si>
  <si>
    <t>Document sur les retours d’expérience intégrés dans le manuel d'exploitation</t>
  </si>
  <si>
    <t>Non-prise en compte des besoins opérationnels.</t>
  </si>
  <si>
    <t>Risques de confusion sur les attentes des utilisateurs et la mise en œuvre fonctionnelle.</t>
  </si>
  <si>
    <t>Créer des supports d’aide à la prise en main ciblés par fonction.</t>
  </si>
  <si>
    <t>Validation du manuel par les parties prenantes</t>
  </si>
  <si>
    <t>Le manuel d’exploitation a-t-il été validé par les parties prenantes ?</t>
  </si>
  <si>
    <t>Révisions régulières du contenu du manuel d'exploitation</t>
  </si>
  <si>
    <t>Documentation imprécise ou difficilement accessible, créant de l’incertitude.</t>
  </si>
  <si>
    <t>Insérer une cartographie des anomalies et leur traitement.</t>
  </si>
  <si>
    <t>Révision régulière du contenu du manuel</t>
  </si>
  <si>
    <t>Le contenu du manuel est-il révisé régulièrement ?</t>
  </si>
  <si>
    <t>Document de validation du format accessible pour tous les opérateurs</t>
  </si>
  <si>
    <t>Manuel obsolète ou inadapté.</t>
  </si>
  <si>
    <t>Erreurs dues à un manque de clarté dans les processus documentés.</t>
  </si>
  <si>
    <t>Clarifier les responsabilités MOA/MOE dans les documents de gouvernance.</t>
  </si>
  <si>
    <t>S’assurer que le manuel d'exploitation est accessible et
compréhensible pour les opérateurs</t>
  </si>
  <si>
    <t>Manuel disponible dans un format accessible pour tous les opérateurs</t>
  </si>
  <si>
    <t>Le manuel est-il disponible dans un format accessible pour tous les opérateurs ?</t>
  </si>
  <si>
    <t>Validation de la clarté du manuel pour les utilisateurs finaux</t>
  </si>
  <si>
    <t>Manuel difficilement consultable.</t>
  </si>
  <si>
    <t>Mauvaise exécution des processus clés, entraînant des inefficacités et des erreurs.</t>
  </si>
  <si>
    <t>Cartographier les tâches avec les responsables associés.</t>
  </si>
  <si>
    <t>Clarté du contenu pour les utilisateurs finaux</t>
  </si>
  <si>
    <t>Le contenu du manuel est-il clair pour les utilisateurs finaux ?</t>
  </si>
  <si>
    <t>Documentation des processus et procédures détaillés dans le manuel</t>
  </si>
  <si>
    <t>Erreurs dues à un manque de clarté du contenu.</t>
  </si>
  <si>
    <t>Non-maîtrise des procédures critiques, créant des vulnérabilités organisationnelles.</t>
  </si>
  <si>
    <t>Formaliser les responsabilités dans un RACI partagé et validé.</t>
  </si>
  <si>
    <t>Explication détaillée des processus et procédures pour les opérateurs</t>
  </si>
  <si>
    <t>Le manuel explique-t-il en détail les processus et procédures pour les opérateurs ?</t>
  </si>
  <si>
    <t>Rapport de validation de la compréhension du manuel par les opérateurs</t>
  </si>
  <si>
    <t>Processus mal exécutés faute d’explication.</t>
  </si>
  <si>
    <t>Non-considération des améliorations possibles, limitant l'efficacité des systèmes.</t>
  </si>
  <si>
    <t>Inscrire les rôles dans les outils de suivi projet.</t>
  </si>
  <si>
    <t>Validation de la compréhension du manuel par un échantillon d’opérateurs</t>
  </si>
  <si>
    <t>La compréhension du manuel par un échantillon d’opérateurs est-elle validée ?</t>
  </si>
  <si>
    <t>Prise en compte des retours des opérateurs pour améliorer la lisibilité du manuel</t>
  </si>
  <si>
    <t>Non-maîtrise des procédures critiques.</t>
  </si>
  <si>
    <t>Évaluation inexacte de la facilité d’utilisation du manuel, rendant la formation inefficace.</t>
  </si>
  <si>
    <t>Donner au chef de projet les moyens et la légitimité nécessaires.</t>
  </si>
  <si>
    <t>Prise en compte des retours des opérateurs pour améliorer la lisibilité</t>
  </si>
  <si>
    <t>Les retours des opérateurs sont-ils pris en compte pour améliorer la lisibilité du manuel ?</t>
  </si>
  <si>
    <t>Rapport de validation du manuel lors des tests d’exploitation</t>
  </si>
  <si>
    <t>Améliorations non prises en compte.</t>
  </si>
  <si>
    <t>Risques associés à la validation insuffisante avant la mise en exploitation.</t>
  </si>
  <si>
    <t>Renforcer la communication descendante pour soutenir la gouvernance projet.</t>
  </si>
  <si>
    <t>S’assurer que le manuel d'exploitation a été testé lors des tests finaux</t>
  </si>
  <si>
    <t>Validation du manuel lors des tests d’exploitation finaux</t>
  </si>
  <si>
    <t>Le manuel est-il validé lors des tests d’exploitation finaux ?</t>
  </si>
  <si>
    <t>Documentation des tests des procédures du manuel dans un environnement réel</t>
  </si>
  <si>
    <t>Mauvaise évaluation de l’utilisabilité du manuel.</t>
  </si>
  <si>
    <t>Non-détection d'erreurs avant la mise en production, entraînant des défaillances majeures.</t>
  </si>
  <si>
    <t>Soutenir activement le chef de projet par la direction.</t>
  </si>
  <si>
    <t>Tests d’application des procédures du manuel dans un environnement réel</t>
  </si>
  <si>
    <t>Les procédures du manuel sont-elles testées dans un environnement réel ?</t>
  </si>
  <si>
    <t>Rapport sur l'efficacité du manuel durant les tests</t>
  </si>
  <si>
    <t>Mauvaise validation avant la mise en exploitation.</t>
  </si>
  <si>
    <t>Erreurs critiques détectées trop tard, rendant difficile la correction avant impact.</t>
  </si>
  <si>
    <t>Prévoir un arbitrage rapide en cas de conflit ou de blocage.</t>
  </si>
  <si>
    <t>Retours sur l'efficacité du manuel durant les tests</t>
  </si>
  <si>
    <t>Les retours sur l'efficacité du manuel durant les tests sont-ils pris en compte ?</t>
  </si>
  <si>
    <t>Document de correction des erreurs identifiées pendant les tests</t>
  </si>
  <si>
    <t>Non-détection d’erreurs avant mise en production.</t>
  </si>
  <si>
    <t>Inadéquation entre la documentation et la réalité des systèmes, créant des erreurs.</t>
  </si>
  <si>
    <t>Assurer une montée en compétence encadrée et progressive.</t>
  </si>
  <si>
    <t>Correction des erreurs identifiées pendant les tests</t>
  </si>
  <si>
    <t>Les erreurs identifiées pendant les tests sont-elles corrigées dans le manuel ?</t>
  </si>
  <si>
    <t>Validation de l’adéquation du manuel avec la réalité opérationnelle</t>
  </si>
  <si>
    <t>Détection trop tardive d’erreurs critiques.</t>
  </si>
  <si>
    <t>Mauvaise compréhension des fonctionnalités du système, entraînant une utilisation inefficace.</t>
  </si>
  <si>
    <t>Vérifier l’adéquation des ressources RH avec le besoin initial.</t>
  </si>
  <si>
    <t>L’adéquation du manuel avec la réalité opérationnelle est-elle validée ?</t>
  </si>
  <si>
    <t>Description détaillée des fonctions de chaque programme dans le manuel</t>
  </si>
  <si>
    <t>Inadéquation entre manuel et réalité.</t>
  </si>
  <si>
    <t>Utilisation incorrecte des programmes ou processus, causant des erreurs ou des pertes.</t>
  </si>
  <si>
    <t>Définir un plan d’action RH avec jalons et indicateurs.</t>
  </si>
  <si>
    <t>S’assurer que le manuel d'exploitation comprend la fonction
des programmes</t>
  </si>
  <si>
    <t>Description détaillée des fonctions de chaque programme</t>
  </si>
  <si>
    <t>Une description détaillée des fonctions de chaque programme est-elle fournie dans le manuel ?</t>
  </si>
  <si>
    <t>Instructions sur l'utilisation des programmes et leurs rôles dans le manuel</t>
  </si>
  <si>
    <t>Mauvaise compréhension des fonctionnalités.</t>
  </si>
  <si>
    <t>Absence de cas pratiques dans le manuel, rendant difficile l'application correcte.</t>
  </si>
  <si>
    <t>Structurer la délégation de décision par niveau de responsabilité.</t>
  </si>
  <si>
    <t>Instructions sur l'utilisation des programmes et leurs rôles</t>
  </si>
  <si>
    <t>Le manuel inclut-il des instructions sur l'utilisation des programmes et leurs rôles ?</t>
  </si>
  <si>
    <t>Exemples pratiques d’utilisation des programmes dans le manuel</t>
  </si>
  <si>
    <t>Mauvais usage des programmes.</t>
  </si>
  <si>
    <t>Mauvaise utilisation des systèmes, faute d’explications claires et compréhensibles.</t>
  </si>
  <si>
    <t>Documenter toutes les décisions importantes avec un historique accessible.</t>
  </si>
  <si>
    <t>Des exemples pratiques d’utilisation des programmes sont-ils fournis dans le manuel ?</t>
  </si>
  <si>
    <t>Explications des paramètres et options des programmes dans le manuel</t>
  </si>
  <si>
    <t>Absence de cas concrets limitant l’efficacité du manuel.</t>
  </si>
  <si>
    <t>Manque d’information sur la gestion des anomalies, limitant la réponse aux incidents.</t>
  </si>
  <si>
    <t>Formaliser un processus de contrôle de changement.</t>
  </si>
  <si>
    <t>Explication des paramètres et des options des programmes</t>
  </si>
  <si>
    <t>Les paramètres et options des programmes sont-ils bien expliqués dans le manuel ?</t>
  </si>
  <si>
    <t>Documentation des actions en cas d’anomalie sur les programmes</t>
  </si>
  <si>
    <t>Utilisation incorrecte due à un manque d’explication.</t>
  </si>
  <si>
    <t>Confusion sur les périmètres, entraînant des erreurs ou des omissions dans les livrables.</t>
  </si>
  <si>
    <t>Mettre en place une équipe projet dédiée et stable.</t>
  </si>
  <si>
    <t>Les actions en cas d’anomalie sur les programmes sont-elles documentées ?</t>
  </si>
  <si>
    <t>Description des rôles et responsabilités de la MOA et de la MOE dans le manuel</t>
  </si>
  <si>
    <t>Manque d’informations sur la gestion des anomalies.</t>
  </si>
  <si>
    <t>Négligence des tâches par certaines parties, conduisant à des retards ou des erreurs.</t>
  </si>
  <si>
    <t>Identifier et résoudre les chevauchements de tâches.</t>
  </si>
  <si>
    <t xml:space="preserve">structures mises en place à l'occasion du projet </t>
  </si>
  <si>
    <t>S’assurer que les rôles et les responsabilités respectifs de la
MOA et de la MOE sont clairement définis</t>
  </si>
  <si>
    <t>Liste claire des rôles et responsabilités de la MOA et de la MOE</t>
  </si>
  <si>
    <t>Les rôles et responsabilités de la MOA et de la MOE sont-ils clairement définis dans le manuel ?</t>
  </si>
  <si>
    <t>Identification des responsabilités partagées entre la MOA et la MOE</t>
  </si>
  <si>
    <t>Confusion sur les périmètres MOA/MOE.</t>
  </si>
  <si>
    <t>Collaboration inefficace entre les équipes, créant des tensions et des erreurs.</t>
  </si>
  <si>
    <t>Garantir la disponibilité des ressources pour chaque phase.</t>
  </si>
  <si>
    <t>Responsabilités partagées bien identifiées et documentées</t>
  </si>
  <si>
    <t>Les responsabilités partagées entre la MOA et la MOE sont-elles bien identifiées ?</t>
  </si>
  <si>
    <t>Définition des procédures de collaboration entre la MOA et la MOE</t>
  </si>
  <si>
    <t>Tâches non prises en charge par négligence.</t>
  </si>
  <si>
    <t>Conflits ou responsabilités floues, ralentissant l'avancement du projet.</t>
  </si>
  <si>
    <t>Encadrer toute assistance externe par contrat et objectifs clairs.</t>
  </si>
  <si>
    <t>Procédures de collaboration entre MOA et MOE définies</t>
  </si>
  <si>
    <t>Les procédures de collaboration entre la MOA et la MOE sont-elles définies ?</t>
  </si>
  <si>
    <t>Validation des rôles par les parties prenantes</t>
  </si>
  <si>
    <t>Collaboration inefficace entre MOA et MOE.</t>
  </si>
  <si>
    <t>Absence de responsabilité claire pour la gestion des tâches, retardant les décisions.</t>
  </si>
  <si>
    <t>Impliquer les utilisateurs finaux dès la phase de conception.</t>
  </si>
  <si>
    <t>Les rôles ont-ils été validés par les parties prenantes ?</t>
  </si>
  <si>
    <t>Documentation du suivi de l'attribution des responsabilités durant le projet</t>
  </si>
  <si>
    <t>Refus de responsabilités, conflits ou décalages.</t>
  </si>
  <si>
    <t>Problèmes de gouvernance, créant des blocages dans les processus décisionnels.</t>
  </si>
  <si>
    <t>Valider les livrables avec les utilisateurs représentatifs.</t>
  </si>
  <si>
    <t>Suivi de l’attribution des responsabilités durant le projet</t>
  </si>
  <si>
    <t>L’attribution des responsabilités durant le projet est-elle suivie ?</t>
  </si>
  <si>
    <t>Détail du rôle du chef de projet dans le projet</t>
  </si>
  <si>
    <t>Responsabilités mal suivies durant le projet.</t>
  </si>
  <si>
    <t>Ambiguïté des pouvoirs décisionnels, menant à des conflits ou une gestion inefficace.</t>
  </si>
  <si>
    <t>Recueillir systématiquement les retours d’expérience post-livraison.</t>
  </si>
  <si>
    <t>S’assurer que les prérogatives du chef de projet sont clairement définies</t>
  </si>
  <si>
    <t>Détail des prérogatives du chef de projet dans le projet</t>
  </si>
  <si>
    <t>Le rôle du chef de projet est-il détaillé dans le projet ?</t>
  </si>
  <si>
    <t>Documentation sur les responsabilités de gestion des conflits et des décisions</t>
  </si>
  <si>
    <t>Chef de projet non reconnu par l’équipe.</t>
  </si>
  <si>
    <t>Conflits non gérés, perturbant l’avancement du projet et l’harmonie de l’équipe.</t>
  </si>
  <si>
    <t>Clarifier les rôles de la MOA et de la MOE dès le cadrage.</t>
  </si>
  <si>
    <t>Responsabilités de gestion des conflits et des décisions documentées</t>
  </si>
  <si>
    <t>Les responsabilités de gestion des conflits et des décisions sont-elles documentées ?</t>
  </si>
  <si>
    <t>Validation du rôle du chef de projet par les parties prenantes du projet</t>
  </si>
  <si>
    <t>Décisions non prises ou mal assumées.</t>
  </si>
  <si>
    <t>Retards ou désaccords non résolus, impactant la productivité et les résultats.</t>
  </si>
  <si>
    <t>Aligner les objectifs MOA/MOE à travers des comités communs.</t>
  </si>
  <si>
    <t>Validation du rôle par les parties prenantes du projet</t>
  </si>
  <si>
    <t>Le rôle du chef de projet a-t-il été validé par les parties prenantes du projet ?</t>
  </si>
  <si>
    <t>Documentation de la communication de l’autorité du chef de projet</t>
  </si>
  <si>
    <t>Chef de projet désavoué ou contourné.</t>
  </si>
  <si>
    <t>Insuffisance de soutien pour le chef de projet, entraînant un manque de direction.</t>
  </si>
  <si>
    <t>Définir et contractualiser des délais clairs.</t>
  </si>
  <si>
    <t>Communication claire de l’autorité du chef de projet</t>
  </si>
  <si>
    <t>La communication de l’autorité du chef de projet est-elle claire ?</t>
  </si>
  <si>
    <t>Suivi de l’exercice des prérogatives par le chef de projet</t>
  </si>
  <si>
    <t>Ambiguïté sur les pouvoirs décisionnels.</t>
  </si>
  <si>
    <t>Autorité du chef de projet contestée, créant des conflits d’intérêts et de gestion.</t>
  </si>
  <si>
    <t>Réviser les clauses contractuelles en cas de changement majeur.</t>
  </si>
  <si>
    <t>L’exercice des prérogatives par le chef de projet est-il suivi ?</t>
  </si>
  <si>
    <t>Documentation de la capacité du chef de projet à résoudre des conflits</t>
  </si>
  <si>
    <t>Conflits non gérés correctement.</t>
  </si>
  <si>
    <t>Manque de compétences adéquates dans l’équipe, retardant la progression du projet.</t>
  </si>
  <si>
    <t>Définir des critères de succès mesurables.</t>
  </si>
  <si>
    <t xml:space="preserve">S’assurer que le chef de projet dispose de l'autorité suffisante
pour résoudre les éventuels conflits </t>
  </si>
  <si>
    <t>Vérification que le chef de projet peut résoudre des conflits sans restrictions</t>
  </si>
  <si>
    <t>Le chef de projet a-t-il la capacité de résoudre des conflits sans restrictions ?</t>
  </si>
  <si>
    <t>Évaluation de la prise de décision en situation conflictuelle</t>
  </si>
  <si>
    <t>Blocage en cas de désaccord.</t>
  </si>
  <si>
    <t>Manque de formation ou montée en compétences, ralentissant l’adoption et l’efficience.</t>
  </si>
  <si>
    <t>Suivre l’atteinte des objectifs avec des indicateurs projet.</t>
  </si>
  <si>
    <t>La prise de décision en situation conflictuelle est-elle évaluée ?</t>
  </si>
  <si>
    <t>Identification des processus de médiation et d’arbitrage</t>
  </si>
  <si>
    <t>Chef de projet sans moyens ni soutien.</t>
  </si>
  <si>
    <t>Mauvaise allocation des ressources, impactant la qualité et le respect des délais.</t>
  </si>
  <si>
    <t>Contrôler les demandes d’évolution et leur impact.</t>
  </si>
  <si>
    <t>Identification des processus de médiation et d'arbitrage</t>
  </si>
  <si>
    <t>Les processus de médiation et d’arbitrage sont-ils identifiés ?</t>
  </si>
  <si>
    <t>Document sur les ressources et moyens d’autorité fournis au chef de projet</t>
  </si>
  <si>
    <t>Autorité contestée ou ignorée.</t>
  </si>
  <si>
    <t>Suivi insuffisant de la montée en compétence, créant des lacunes dans les capacités.</t>
  </si>
  <si>
    <t>Encadrer toute évolution par un processus de validation projet.</t>
  </si>
  <si>
    <t>Ressources et moyens d'autorité fournis au chef de projet</t>
  </si>
  <si>
    <t>Les ressources et moyens d’autorité fournis au chef de projet sont-ils adéquats ?</t>
  </si>
  <si>
    <t>Validation de l’autorité du chef de projet par les parties prenantes</t>
  </si>
  <si>
    <t>Inadéquation des compétences projet.</t>
  </si>
  <si>
    <t>Profil des ressources mal ajusté, entraînant des échecs ou des retards dans le projet.</t>
  </si>
  <si>
    <t>Documenter formellement tout changement de périmètre.</t>
  </si>
  <si>
    <t>Validation de l’autorité par les parties prenantes</t>
  </si>
  <si>
    <t>L’autorité du chef de projet est-elle validée par les parties prenantes ?</t>
  </si>
  <si>
    <t>Rapport d’évaluation des compétences des membres de la MOA et de la MOE</t>
  </si>
  <si>
    <t>Retard dans la montée en compétence.</t>
  </si>
  <si>
    <t>Prise de décision inefficace, conduisant à des actions mal orientées.</t>
  </si>
  <si>
    <t>Anticiper les ressources nécessaires à chaque ajustement.</t>
  </si>
  <si>
    <t>S’assurer que la MOA et la MOE disposent des compétences et
des ressources managériales, techniques et fonctionnelles
suffisantes</t>
  </si>
  <si>
    <t>Évaluation des compétences des membres de la MOA et MOE selon les besoins du projet</t>
  </si>
  <si>
    <t>Les compétences des membres de la MOA et de la MOE sont-elles évaluées selon les besoins du projet ?</t>
  </si>
  <si>
    <t>Plan de formation des équipes pour combler les lacunes identifiées</t>
  </si>
  <si>
    <t>Ressources mal allouées ou insuffisantes.</t>
  </si>
  <si>
    <t>Décisions incohérentes, impactant négativement le progrès et la direction du projet.</t>
  </si>
  <si>
    <t>Centraliser toutes les versions dans un référentiel versionné.</t>
  </si>
  <si>
    <t>Un plan de formation des équipes est-il défini pour combler les lacunes identifiées ?</t>
  </si>
  <si>
    <t>Documentation sur les ressources nécessaires pour chaque équipe</t>
  </si>
  <si>
    <t>Suivi insuffisant de la montée en compétence.</t>
  </si>
  <si>
    <t>Absence de suivi des décisions prises, entraînant des erreurs ou pertes d’information.</t>
  </si>
  <si>
    <t>Créer un historique de validation pour chaque version livrable.</t>
  </si>
  <si>
    <t>Identification des ressources nécessaires à chaque équipe</t>
  </si>
  <si>
    <t>Les ressources nécessaires à chaque équipe sont-elles identifiées ?</t>
  </si>
  <si>
    <t>Suivi de l’acquisition des compétences et ressources nécessaires</t>
  </si>
  <si>
    <t>Inadéquation des profils RH au besoin projet.</t>
  </si>
  <si>
    <t>Changements incontrôlés, perturbant l’avancement ou le périmètre du projet.</t>
  </si>
  <si>
    <t>Mettre en place une validation avant toute diffusion.</t>
  </si>
  <si>
    <t>Suivi de l'acquisition des compétences et ressources nécessaires</t>
  </si>
  <si>
    <t>L’acquisition des compétences et ressources nécessaires est-elle suivie ?</t>
  </si>
  <si>
    <t>Validation des compétences par le responsable des ressources humaines</t>
  </si>
  <si>
    <t>Décisions prises au mauvais niveau.</t>
  </si>
  <si>
    <t>Retards dus à des équipes insuffisantes ou mal organisées.</t>
  </si>
  <si>
    <t>Anticiper les décisions critiques avec des données fiables.</t>
  </si>
  <si>
    <t>Les compétences sont-elles validées par le responsable des ressources humaines ?</t>
  </si>
  <si>
    <t>Documentation des décisions de validation des compétences</t>
  </si>
  <si>
    <t>Arbitraire ou incohérence des décisions.</t>
  </si>
  <si>
    <t>Conflits liés à une mauvaise gestion des tâches multiples, entraînant des retards.</t>
  </si>
  <si>
    <t>Traquer systématiquement les causes des retards.</t>
  </si>
  <si>
    <t>S’assurer que les principales décisions et orientations du projet
sont prises par le niveau de management adéquat</t>
  </si>
  <si>
    <t>Validation des décisions par les niveaux de management appropriés</t>
  </si>
  <si>
    <t>Les décisions de validation des compétences sont-elles prises par les niveaux de management appropriés ?</t>
  </si>
  <si>
    <t>Suivi des critères de décision par les responsables</t>
  </si>
  <si>
    <t>Décisions non tracées, pertes d'information.</t>
  </si>
  <si>
    <t>Manque de clarté ou d'engagement des ressources nécessaires, impactant l'exécution.</t>
  </si>
  <si>
    <t>Mettre en place un tableau de bord projet avec alertes.</t>
  </si>
  <si>
    <t>Critères de décision bien définis et respectés par les responsables</t>
  </si>
  <si>
    <t>Les critères de décision sont-ils bien définis et respectés par les responsables ?</t>
  </si>
  <si>
    <t>Documentation sur le suivi des décisions et orientations prises durant le projet</t>
  </si>
  <si>
    <t>Changements non contrôlés.</t>
  </si>
  <si>
    <t>Mauvaise gestion de l’assistance extérieure, perturbant la progression du projet.</t>
  </si>
  <si>
    <t>Impliquer les bonnes parties prenantes dans la prise de décision.</t>
  </si>
  <si>
    <t>Suivi des décisions et orientations prises tout au long du projet</t>
  </si>
  <si>
    <t>Le suivi des décisions et orientations prises est-il effectué tout au long du projet ?</t>
  </si>
  <si>
    <t>Documentation des décisions et de leur impact sur le projet</t>
  </si>
  <si>
    <t>Retards dus à une absence d’équipe dédiée.</t>
  </si>
  <si>
    <t>Assistance non adaptée, créant des retards ou des erreurs.</t>
  </si>
  <si>
    <t>Créer un processus de mise à jour documentaire clair.</t>
  </si>
  <si>
    <t>Les décisions et leur impact sur le projet sont-elles bien documentés ?</t>
  </si>
  <si>
    <t>Rapport d’évaluation régulière des prises de décisions</t>
  </si>
  <si>
    <t>Superposition de tâches entraînant des conflits.</t>
  </si>
  <si>
    <t>Réception de recommandations sans actions concrètes, empêchant les améliorations.</t>
  </si>
  <si>
    <t>Désigner un responsable pour chaque document critique.</t>
  </si>
  <si>
    <t>Evaluation régulière des prises de décisions</t>
  </si>
  <si>
    <t>Une évaluation régulière des prises de décisions est-elle effectuée ?</t>
  </si>
  <si>
    <t>Documentation sur l’affectation exclusive des ressources humaines au projet</t>
  </si>
  <si>
    <t>Équipe inefficace car multitâche.</t>
  </si>
  <si>
    <t>Livrables non validés, affectant la conformité et la satisfaction des parties prenantes.</t>
  </si>
  <si>
    <t>Imposer des jalons de mise à jour à chaque phase du projet.</t>
  </si>
  <si>
    <t>S’assurer que les principaux intervenants sur le projet sont
100% dédiés au projet avec suppression, pendant la durée du projet, des anciens liens hiérarchiques</t>
  </si>
  <si>
    <t>Allocation des ressources humaines totalement dédiées au projet</t>
  </si>
  <si>
    <t>Les ressources humaines sont-elles totalement dédiées au projet ?</t>
  </si>
  <si>
    <t>Suivi de la communication sur l’absence de superpositions de tâches</t>
  </si>
  <si>
    <t>Ressources non garanties.</t>
  </si>
  <si>
    <t>Non-adaptation du projet aux besoins réels, réduisant son efficacité.</t>
  </si>
  <si>
    <t>Suivre la diffusion et la consultation de la documentation.</t>
  </si>
  <si>
    <t>Documentation de l’affectation exclusive des intervenants</t>
  </si>
  <si>
    <t>L’affectation exclusive des intervenants au projet est-elle bien documentée ?</t>
  </si>
  <si>
    <t>Évaluation de la productivité des équipes 100% dédiées</t>
  </si>
  <si>
    <t>Assistance extérieure non cadrée.</t>
  </si>
  <si>
    <t>Absence de consultation avec les utilisateurs, entraînant des solutions inadaptées.</t>
  </si>
  <si>
    <t>Affecter les tâches selon les profils et responsabilités réelles.</t>
  </si>
  <si>
    <t>Communication claire sur l’absence de superpositions de tâches</t>
  </si>
  <si>
    <t>La communication sur l’absence de superpositions de tâches est-elle claire ?</t>
  </si>
  <si>
    <t>Validation par les responsables de la mise à disposition des ressources</t>
  </si>
  <si>
    <t>Manque de compétence ou mauvaise sélection.</t>
  </si>
  <si>
    <t>Conception fonctionnelle erronée, générant une insatisfaction ou des erreurs.</t>
  </si>
  <si>
    <t>Documenter les responsabilités et affectations dans un référentiel partagé.</t>
  </si>
  <si>
    <t>La productivité des équipes 100% dédiées est-elle évaluée ?</t>
  </si>
  <si>
    <t>Document sur les besoins d'assistance extérieure</t>
  </si>
  <si>
    <t>Perturbation du projet par mauvaise assistance.</t>
  </si>
  <si>
    <t>Insatisfaction persistante des utilisateurs, freinant l’adoption et l’efficacité du système.</t>
  </si>
  <si>
    <t>Prévoir un contrôle des conflits d’intérêts.</t>
  </si>
  <si>
    <t>Les responsables ont-ils validé la mise à disposition des ressources ?</t>
  </si>
  <si>
    <t>Sélection et implication des consultants et experts externes dans le projet</t>
  </si>
  <si>
    <t>Recommandations ignorées.</t>
  </si>
  <si>
    <t>Résistance à l’adoption des changements, retardant ou bloquant la mise en œuvre.</t>
  </si>
  <si>
    <t>Formaliser les processus dans des procédures validées.</t>
  </si>
  <si>
    <t>S’assurer que la MOA ou la MOE ont bénéficié d'une assistance
extérieure au cours du projet</t>
  </si>
  <si>
    <t>Documentation des besoins d'assistance extérieure définis</t>
  </si>
  <si>
    <t>Les besoins d'assistance extérieure sont-ils définis et documentés ?</t>
  </si>
  <si>
    <t>Évaluation de l’impact de l'assistance externe sur le projet</t>
  </si>
  <si>
    <t>Intégration de livrables non vérifiée.</t>
  </si>
  <si>
    <t>Manque de cadrage entre les équipes, entraînant des incompréhensions et des erreurs.</t>
  </si>
  <si>
    <t>Centraliser la documentation dans un outil partagé et sécurisé.</t>
  </si>
  <si>
    <t>Consultants et experts externes sélectionnés et impliqués dans le projet</t>
  </si>
  <si>
    <t>Les consultants et experts externes sont-ils sélectionnés et impliqués dans le projet ?</t>
  </si>
  <si>
    <t>Suivi des recommandations des consultants externes</t>
  </si>
  <si>
    <t>Projet non adapté aux besoins utilisateurs.</t>
  </si>
  <si>
    <t>Non-alignement des objectifs, créant des incohérences dans la gestion du projet.</t>
  </si>
  <si>
    <t>S’assurer de la bonne diffusion de chaque document produit.</t>
  </si>
  <si>
    <t>Évaluation de l'impact de l'assistance sur le projet</t>
  </si>
  <si>
    <t>L’impact de l'assistance externe sur le projet est-il évalué ?</t>
  </si>
  <si>
    <t>Validation des livrables issus de l’assistance extérieure</t>
  </si>
  <si>
    <t>Décisions prises sans leur retour.</t>
  </si>
  <si>
    <t>Retards dans la planification ou non-respect des délais, compromettant l’avancement.</t>
  </si>
  <si>
    <t>Suivre les responsabilités et relancer en cas de non-respect.</t>
  </si>
  <si>
    <t>Le suivi des recommandations des consultants externes est-il réalisé ?</t>
  </si>
  <si>
    <t>Documentation sur la consultation des utilisateurs à chaque étape clé du projet</t>
  </si>
  <si>
    <t>Mauvaise conception fonctionnelle.</t>
  </si>
  <si>
    <t>Manque de définition claire des engagements contractuels, créant des zones d’ombre.</t>
  </si>
  <si>
    <t>Mettre en place une base de retours d’expérience réutilisable.</t>
  </si>
  <si>
    <t>Les livrables issus de l’assistance extérieure sont-ils validés ?</t>
  </si>
  <si>
    <t>Insatisfaction persistante des utilisateurs.</t>
  </si>
  <si>
    <t>Contrat inadapté à l'évolution du projet, entraînant des conflits ou des malentendus.</t>
  </si>
  <si>
    <t>Mettre à jour les rôles et responsabilités en phase de déploiement.</t>
  </si>
  <si>
    <t>S’assurer que la consultation et l'implication des utilisateurs a
été suffisante au cours des différentes phases du projet</t>
  </si>
  <si>
    <t>Consultation régulière des utilisateurs à chaque étape clé</t>
  </si>
  <si>
    <t>Les utilisateurs sont-ils consultés à chaque étape clé du projet ?</t>
  </si>
  <si>
    <t>Résistance à l’adoption.</t>
  </si>
  <si>
    <t>Objectifs non atteints malgré les engagements, mettant en péril la réussite du projet.</t>
  </si>
  <si>
    <t>Formaliser les engagements dans un contrat clair et suivi.</t>
  </si>
  <si>
    <t>Feedback des utilisateurs intégré dans la gestion du projet</t>
  </si>
  <si>
    <t>Le feedback des utilisateurs est-il intégré dans la gestion du projet ?</t>
  </si>
  <si>
    <t>Intégration du feedback des utilisateurs dans la gestion du projet</t>
  </si>
  <si>
    <t>Manque de cadrage entre MOA/MOE.</t>
  </si>
  <si>
    <t>Absence de critères clairs de réussite, rendant difficile l’évaluation de la performance.</t>
  </si>
  <si>
    <t>Suivre les livrables et valider leur conformité à chaque étape.</t>
  </si>
  <si>
    <t>Inclusion des utilisateurs dans les tests et revues de conception</t>
  </si>
  <si>
    <t>Les utilisateurs sont-ils inclus dans les tests et revues de conception ?</t>
  </si>
  <si>
    <t>Documentation sur l'inclusion des utilisateurs dans les tests et revues de conception</t>
  </si>
  <si>
    <t>Objectifs non alignés.</t>
  </si>
  <si>
    <t>Retard dans la détection des échecs, retardant les actions correctives nécessaires.</t>
  </si>
  <si>
    <t>Prévoir des pénalités ou actions correctives en cas de manquement.</t>
  </si>
  <si>
    <t>Suivi des actions correctives basées sur les retours utilisateurs</t>
  </si>
  <si>
    <t>Les actions correctives basées sur les retours utilisateurs sont-elles suivies ?</t>
  </si>
  <si>
    <t>Délais flous ou non respectés.</t>
  </si>
  <si>
    <t>Suivi de la performance déficient, créant des lacunes dans l’analyse des progrès.</t>
  </si>
  <si>
    <t>Organiser une validation formelle avant chaque mise en production.</t>
  </si>
  <si>
    <t>Validation de la participation active des utilisateurs</t>
  </si>
  <si>
    <t>La participation active des utilisateurs est-elle validée ?</t>
  </si>
  <si>
    <t>Manque d’engagement contractuel.</t>
  </si>
  <si>
    <t>Absence de maîtrise des évolutions, perturbant la planification et les ressources.</t>
  </si>
  <si>
    <t>Prévoir une période de garantie post-livraison avec support dédié.</t>
  </si>
  <si>
    <t>S’assurer qu’il existe un contrat de prestation entre la MOA et la MOE</t>
  </si>
  <si>
    <t>Contrat formel et documenté entre la MOA et la MOE</t>
  </si>
  <si>
    <t>Un contrat formel et documenté entre la MOA et la MOE est-il en place ?</t>
  </si>
  <si>
    <t>Contrat inadapté à l’évolution du projet.</t>
  </si>
  <si>
    <t>Périmètre changeant non maîtrisé, impactant la livraison ou la qualité.</t>
  </si>
  <si>
    <t>Planifier le transfert de responsabilité avec checklist.</t>
  </si>
  <si>
    <t>Objectifs et périmètre du contrat clairement définis</t>
  </si>
  <si>
    <t>Les objectifs et le périmètre du contrat sont-ils clairement définis ?</t>
  </si>
  <si>
    <t>Documentation sur les objectifs et le périmètre du contrat</t>
  </si>
  <si>
    <t>Objectifs non atteints malgré les engagements.</t>
  </si>
  <si>
    <t>Evolution non contrôlée des ressources, perturbant le projet et la gestion du budget.</t>
  </si>
  <si>
    <t>Organiser des ateliers de clarification avec toutes les parties.</t>
  </si>
  <si>
    <t>Conditions de livraison et délais bien spécifiés</t>
  </si>
  <si>
    <t>Les conditions de livraison et les délais sont-ils bien spécifiés dans le contrat ?</t>
  </si>
  <si>
    <t>Spécification des conditions de livraison et des délais dans le contrat</t>
  </si>
  <si>
    <t>Absence de critères de réussite.</t>
  </si>
  <si>
    <t>Ajustements non prévus, entraînant des dérives de planning et de coûts.</t>
  </si>
  <si>
    <t>Préparer la transition avec un plan opérationnel détaillé.</t>
  </si>
  <si>
    <t>Suivi des engagements contractuels par les deux parties</t>
  </si>
  <si>
    <t>Les engagements contractuels sont-ils suivis par les deux parties ?</t>
  </si>
  <si>
    <t>Échec non détecté à temps.</t>
  </si>
  <si>
    <t>Décisions non validées, créant des incohérences et des erreurs dans la mise en œuvre.</t>
  </si>
  <si>
    <t>Valider l’appropriation de l’environnement par les équipes repreneuses.</t>
  </si>
  <si>
    <t>Révision du contrat en cas de changement majeur dans le projet</t>
  </si>
  <si>
    <t>Le contrat est-il révisé en cas de changement majeur dans le projet ?</t>
  </si>
  <si>
    <t>Suivi de la performance déficient.</t>
  </si>
  <si>
    <t>Modifications non contrôlées, perturbant le projet et créant des risques de non-conformité.</t>
  </si>
  <si>
    <t>Mettre en place des indicateurs de performance clés (KPI) et un reporting régulier.</t>
  </si>
  <si>
    <t>S’assurer qu’il existe un engagement de résultat</t>
  </si>
  <si>
    <t>ngagements clairs de résultat formalisés dans le contrat</t>
  </si>
  <si>
    <t>Les engagements clairs de résultat sont-ils formalisés dans le contrat ?</t>
  </si>
  <si>
    <t>Formalisation des engagements clairs de résultat dans le contrat</t>
  </si>
  <si>
    <t>Évolutions non maîtrisées.</t>
  </si>
  <si>
    <t>Absence de documentation fiable, créant des incertitudes dans l’exécution du projet.</t>
  </si>
  <si>
    <t>Formaliser un processus de gestion des changements avec validation multi-niveaux.</t>
  </si>
  <si>
    <t>Définition des objectifs de performance et de succès</t>
  </si>
  <si>
    <t>Les objectifs de performance et de succès sont-ils bien définis ?</t>
  </si>
  <si>
    <t>Documentation des objectifs de performance et de succès</t>
  </si>
  <si>
    <t>Périmètre instable.</t>
  </si>
  <si>
    <t>Attentes non alignées entre les parties prenantes, créant des conflits et des retards.</t>
  </si>
  <si>
    <t>Stabiliser le périmètre par des validations formelles avec les parties prenantes.</t>
  </si>
  <si>
    <t>Mesures de réussite bien définies et suivies</t>
  </si>
  <si>
    <t>Les mesures de réussite sont-elles suivies tout au long du projet ?</t>
  </si>
  <si>
    <t>Suivi des mesures de réussite tout au long du projet</t>
  </si>
  <si>
    <t>Évolutions impactant négativement les ressources.</t>
  </si>
  <si>
    <t>Impact mal analysé des modifications, entraînant des conséquences imprévues.</t>
  </si>
  <si>
    <t>Réaliser une analyse d’impact systématique avant toute évolution.</t>
  </si>
  <si>
    <t>Évaluation continue de la progression vers les résultats</t>
  </si>
  <si>
    <t>La progression vers les résultats est-elle évaluée en continu ?</t>
  </si>
  <si>
    <t>Ajustements non planifiés.</t>
  </si>
  <si>
    <t>Retards ou dépassements de budget, affectant la rentabilité du projet.</t>
  </si>
  <si>
    <t>Instaurer un comité de pilotage pour valider les ajustements avant exécution.</t>
  </si>
  <si>
    <t>Suivi des critères de performance fixés</t>
  </si>
  <si>
    <t>Les critères de performance fixés sont-ils suivis ?</t>
  </si>
  <si>
    <t>Suivi des critères de performance définis dans le contrat</t>
  </si>
  <si>
    <t>Décisions non validées ou unilatérales.</t>
  </si>
  <si>
    <t>Non-conformité avec le périmètre initial, créant des perturbations ou des incohérences.</t>
  </si>
  <si>
    <t>Encadrer les décisions par des processus de validation avec documentation.</t>
  </si>
  <si>
    <t xml:space="preserve">gestion des évolutions </t>
  </si>
  <si>
    <t>S’assurer que les demandes d'évolution du périmètre sont
fréquentes</t>
  </si>
  <si>
    <t>Suivi de l’évolution des demandes au fur et à mesure du projet</t>
  </si>
  <si>
    <t>L’évolution des demandes au fur et à mesure du projet est-elle suivie ?</t>
  </si>
  <si>
    <t>Modifications non contrôlées.</t>
  </si>
  <si>
    <t>Contrôle insuffisant des versions, entraînant des erreurs ou des conflits techniques.</t>
  </si>
  <si>
    <t>Suivre une procédure de gestion de configuration stricte pour toute modification.</t>
  </si>
  <si>
    <t>Documentation des demandes d’évolution et de leurs justifications</t>
  </si>
  <si>
    <t>Les demandes d’évolution et leurs justifications sont-elles bien documentées ?</t>
  </si>
  <si>
    <t>Absence de documentation fiable.</t>
  </si>
  <si>
    <t>Confusion sur les versions, entraînant l’utilisation de documents obsolètes ou erronés.</t>
  </si>
  <si>
    <t>Centraliser la documentation et mettre en place un contrôle qualité documentaire.</t>
  </si>
  <si>
    <t>Analyse de l’impact des demandes d’évolution sur le périmètre</t>
  </si>
  <si>
    <t>L’impact des demandes d’évolution sur le périmètre est-il analysé ?</t>
  </si>
  <si>
    <t>Mauvais alignement des attentes.</t>
  </si>
  <si>
    <t>Absence de sauvegarde des anciennes versions, entraînant la perte d’historique.</t>
  </si>
  <si>
    <t>Organiser des ateliers réguliers pour harmoniser la vision et les attentes.</t>
  </si>
  <si>
    <t>Planification des ajustements nécessaires selon les demandes</t>
  </si>
  <si>
    <t>Les ajustements nécessaires selon les demandes d’évolution sont-ils planifiés ?</t>
  </si>
  <si>
    <t>Planification des ajustements nécessaires selon les demandes d’évolution</t>
  </si>
  <si>
    <t>Répercussions mal analysées.</t>
  </si>
  <si>
    <t>Risques d’erreurs dans les livrables en raison d’une gestion des versions inappropriée.</t>
  </si>
  <si>
    <t>Intégrer une analyse d’impact systématique dans le processus de décision.</t>
  </si>
  <si>
    <t>Suivi de l’approbation des demandes par les parties prenantes</t>
  </si>
  <si>
    <t>L’approbation des demandes d’évolution par les parties prenantes est-elle suivie ?</t>
  </si>
  <si>
    <t>Suivi de l’approbation des demandes d’évolution par les parties prenantes</t>
  </si>
  <si>
    <t>Dépassements de délai et de budget.</t>
  </si>
  <si>
    <t>Diffusion des versions sans validation, risquant de propager des erreurs.</t>
  </si>
  <si>
    <t>Renforcer le suivi budgétaire et la planification détaillée avec marges de sécurité.</t>
  </si>
  <si>
    <t>S’assurer que les demandes d'évolutions sont formalisées</t>
  </si>
  <si>
    <t>Processus formalisé de soumission des demandes d’évolution</t>
  </si>
  <si>
    <t>Le processus de soumission des demandes d’évolution est-il formalisé ?</t>
  </si>
  <si>
    <t>Formalisation du processus de soumission des demandes d’évolution</t>
  </si>
  <si>
    <t>Non-conformité avec le périmètre initial.</t>
  </si>
  <si>
    <t>Mauvaise gestion des délais de décision, retardant l’avancement et la réactivité.</t>
  </si>
  <si>
    <t>Réaliser des revues régulières de conformité avec le périmètre initial validé.</t>
  </si>
  <si>
    <t>Documents détaillant chaque demande d’évolution</t>
  </si>
  <si>
    <t>Chaque demande d’évolution est-elle accompagnée d’un document détaillant les changements ?</t>
  </si>
  <si>
    <t>Documentation détaillant les changements pour chaque demande d’évolution</t>
  </si>
  <si>
    <t>Versions mal contrôlées.</t>
  </si>
  <si>
    <t>Blocages dans l’avancement du projet à cause d’un manque de prise de décision rapide.</t>
  </si>
  <si>
    <t>Instaurer une politique de gestion des versions avec archivage et contrôle.</t>
  </si>
  <si>
    <t>Suivi des validations de chaque demande d’évolution</t>
  </si>
  <si>
    <t>Les validations de chaque demande d’évolution sont-elles suivies ?</t>
  </si>
  <si>
    <t>Confusion sur les versions.</t>
  </si>
  <si>
    <t>Raisons de retard non identifiées, rendant difficile la gestion de l’avancement.</t>
  </si>
  <si>
    <t>Adopter une nomenclature claire et unifiée pour toutes les versions.</t>
  </si>
  <si>
    <t>Examen des impacts et ajustements nécessaires</t>
  </si>
  <si>
    <t>Les impacts des demandes d’évolution sont-ils bien examinés et les ajustements nécessaires documentés ?</t>
  </si>
  <si>
    <t>Examen et documentation des impacts des demandes d’évolution et des ajustements nécessaires</t>
  </si>
  <si>
    <t>Absence de sauvegarde des anciennes versions.</t>
  </si>
  <si>
    <t>Retard global dans le projet, impactant la satisfaction des parties prenantes.</t>
  </si>
  <si>
    <t>Archiver systématiquement les anciennes versions dans un référentiel sécurisé.</t>
  </si>
  <si>
    <t>Documentation complète des demandes et de leur suivi</t>
  </si>
  <si>
    <t>Le suivi des demandes d’évolution est-il complet et documenté ?</t>
  </si>
  <si>
    <t>Documentation complète et suivie des demandes d’évolution</t>
  </si>
  <si>
    <t>Risque d'erreur sur livrables.</t>
  </si>
  <si>
    <t>Décisions prises sans une analyse approfondie, impactant la qualité du projet.</t>
  </si>
  <si>
    <t>Intégrer des phases de relecture et de test avant la livraison finale.</t>
  </si>
  <si>
    <t>S’assurer qu’il existe une procédure de gestion des évolutions
du périmètre</t>
  </si>
  <si>
    <t>Procédure formelle et documentée pour la gestion des évolutions</t>
  </si>
  <si>
    <t>Une procédure formelle et documentée pour la gestion des évolutions est-elle en place ?</t>
  </si>
  <si>
    <t>Versions diffusées sans validation.</t>
  </si>
  <si>
    <t>Absence de données fiables pour la prise de décision, créant des erreurs stratégiques.</t>
  </si>
  <si>
    <t>Mettre en place une procédure de validation obligatoire avant diffusion.</t>
  </si>
  <si>
    <t>Analyse d'impact des évolutions sur les délais et coûts</t>
  </si>
  <si>
    <t>L’analyse d'impact des évolutions sur les délais et coûts est-elle réalisée ?</t>
  </si>
  <si>
    <t>Rapport d’analyse d'impact des évolutions sur les délais et coûts</t>
  </si>
  <si>
    <t>Délai de décision mal géré.</t>
  </si>
  <si>
    <t>Mauvaise prise de décision par manque de données complètes ou pertinentes.</t>
  </si>
  <si>
    <t>Planifier des points de décision avec des délais préalablement définis.</t>
  </si>
  <si>
    <t>Suivi des demandes d’évolution et de leur validation</t>
  </si>
  <si>
    <t>Le suivi des demandes d’évolution et de leur validation est-il effectué ?</t>
  </si>
  <si>
    <t>Suivi de la validation des demandes d’évolution</t>
  </si>
  <si>
    <t>Blocages dans l’avancement.</t>
  </si>
  <si>
    <t>Exclusion de parties essentielles du processus, créant des biais ou des erreurs.</t>
  </si>
  <si>
    <t>Débloquer les situations via des réunions de crise ou escalade hiérarchique.</t>
  </si>
  <si>
    <t>Révision du périmètre et de la planification en conséquence</t>
  </si>
  <si>
    <t>Le périmètre et la planification sont-ils révisés en conséquence des évolutions ?</t>
  </si>
  <si>
    <t>Révision du périmètre et de la planification en conséquence des évolutions</t>
  </si>
  <si>
    <t>Raisons de retard non connues.</t>
  </si>
  <si>
    <t>Décisions basées sur des données incomplètes ou biaisées, affectant la qualité du projet.</t>
  </si>
  <si>
    <t>Analyser systématiquement les causes des retards dans les comités projet.</t>
  </si>
  <si>
    <t>Validation du processus par les parties prenantes</t>
  </si>
  <si>
    <t>Le processus de gestion des évolutions est-il validé par les parties prenantes ?</t>
  </si>
  <si>
    <t>Validation du processus de gestion des évolutions par les parties prenantes</t>
  </si>
  <si>
    <t>Retard général dans le projet.</t>
  </si>
  <si>
    <t>Absence de traçabilité des décisions, rendant difficile l’analyse des erreurs.</t>
  </si>
  <si>
    <t>Réviser les plannings et renforcer les moyens pour limiter les effets en chaîne.</t>
  </si>
  <si>
    <t>S’assurer qu’une mesure d'impact est effectuée</t>
  </si>
  <si>
    <t>Mesure des impacts des évolutions sur le projet</t>
  </si>
  <si>
    <t>Les impacts des évolutions sur le projet sont-ils mesurés ?</t>
  </si>
  <si>
    <t>Décisions peu efficaces ou mal fondées.</t>
  </si>
  <si>
    <t>Contenu obsolète et non mis à jour, créant des malentendus et des erreurs.</t>
  </si>
  <si>
    <t>Appuyer les décisions sur des données objectives et des critères définis.</t>
  </si>
  <si>
    <t>Analyse des impacts sur les ressources, le budget et le planning</t>
  </si>
  <si>
    <t>L’analyse des impacts des évolutions sur les ressources, le budget et le planning est-elle effectuée ?</t>
  </si>
  <si>
    <t>Analyse des impacts des évolutions sur les ressources, le budget et le planning</t>
  </si>
  <si>
    <t>Décisions prises sur des données non fiables.</t>
  </si>
  <si>
    <t>Manque de clarté sur les responsabilités de mise à jour, créant des zones d’ombre.</t>
  </si>
  <si>
    <t>Mettre en place une gouvernance de la donnée pour fiabiliser les décisions.</t>
  </si>
  <si>
    <t>Documentation des résultats de l’analyse d'impact</t>
  </si>
  <si>
    <t>Les résultats de l’analyse d'impact sont-ils bien documentés ?</t>
  </si>
  <si>
    <t>Mauvaise décision par manque de données.</t>
  </si>
  <si>
    <t>Absence d’un manuel mis à jour, réduisant l’efficacité de l’exploitation et du support.</t>
  </si>
  <si>
    <t>S’assurer de la disponibilité des données critiques avant les arbitrages.</t>
  </si>
  <si>
    <t>Suivi des décisions prises suite à l’évaluation de l’impact</t>
  </si>
  <si>
    <t>Le suivi des décisions prises suite à l’évaluation de l’impact est-il réalisé ?</t>
  </si>
  <si>
    <t>Suivi des décisions prises suite à l’évaluation de l'impact</t>
  </si>
  <si>
    <t>Exclusion de parties clés.</t>
  </si>
  <si>
    <t>Historique manquant ou incomplet, réduisant la possibilité d’analyse ou de rétroaction.</t>
  </si>
  <si>
    <t>Impliquer les parties prenantes concernées à chaque étape clé du projet.</t>
  </si>
  <si>
    <t>Révision du périmètre selon l'impact évalué</t>
  </si>
  <si>
    <t>Le périmètre est-il révisé selon l'impact évalué ?</t>
  </si>
  <si>
    <t>Décisions sur des données biaisées.</t>
  </si>
  <si>
    <t>Mises à jour erronées ou mal relues, augmentant le risque d'erreurs ou de confusion.</t>
  </si>
  <si>
    <t>Contrôler la qualité des données utilisées pour limiter les biais d’interprétation.</t>
  </si>
  <si>
    <t>S’assurer qu’il existe une gestion des versions</t>
  </si>
  <si>
    <t>Processus de gestion des versions documenté et suivi</t>
  </si>
  <si>
    <t>Le processus de gestion des versions est-il documenté et suivi ?</t>
  </si>
  <si>
    <t>Documentation et suivi du processus de gestion des versions</t>
  </si>
  <si>
    <t>Absence de traçabilité.</t>
  </si>
  <si>
    <t>Chevauchement des rôles ou responsabilités, augmentant les risques de conflits.</t>
  </si>
  <si>
    <t>Instaurer un système de traçabilité pour les décisions et modifications.</t>
  </si>
  <si>
    <t>Clarté sur les versions du projet et des livrables</t>
  </si>
  <si>
    <t>La clarté des versions du projet et des livrables est-elle assurée ?</t>
  </si>
  <si>
    <t>Clarté des versions du projet et des livrables assurée</t>
  </si>
  <si>
    <t>Contenu obsolète non mis à jour.</t>
  </si>
  <si>
    <t>Flou dans la définition des rôles, créant des ambiguïtés dans la gestion des tâches.</t>
  </si>
  <si>
    <t>Mettre en place un cycle de mise à jour régulier du contenu.</t>
  </si>
  <si>
    <t>Archivage des versions précédentes pour référence</t>
  </si>
  <si>
    <t>Les versions précédentes sont-elles archivées pour référence ?</t>
  </si>
  <si>
    <t>Ambiguïté sur le rôle de mise à jour.</t>
  </si>
  <si>
    <t>Tâches mal attribuées, entraînant une exécution inefficace des responsabilités.</t>
  </si>
  <si>
    <t>Clarifier les rôles et responsabilités liés à la mise à jour documentaire.</t>
  </si>
  <si>
    <t>Contrôle des modifications apportées à chaque version</t>
  </si>
  <si>
    <t>Les modifications apportées à chaque version sont-elles contrôlées ?</t>
  </si>
  <si>
    <t>Manuel jamais mis à jour.</t>
  </si>
  <si>
    <t>Manque de séparation des tâches, créant des risques de conflits d’intérêt.</t>
  </si>
  <si>
    <t>Planifier des revues documentaires périodiques avec les équipes.</t>
  </si>
  <si>
    <t>Suivi de l'approbation des nouvelles versions</t>
  </si>
  <si>
    <t>L’approbation des nouvelles versions est-elle suivie ?</t>
  </si>
  <si>
    <t>Suivi de l’approbation des nouvelles versions</t>
  </si>
  <si>
    <t>Historique incomplet ou absent.</t>
  </si>
  <si>
    <t>Risque de conflit d’intérêt en raison de responsabilités mal définies ou partagées.</t>
  </si>
  <si>
    <t>Instaurer un historique des versions accessible et tracé.</t>
  </si>
  <si>
    <t>S’assurer que les décisions sont prises dans un délai
satisfaisant</t>
  </si>
  <si>
    <t>Délais définis pour la prise de décision à chaque étape du projet</t>
  </si>
  <si>
    <t>Des délais sont-ils définis pour la prise de décision à chaque étape du projet ?</t>
  </si>
  <si>
    <t>Définition et suivi des délais de prise de décision à chaque étape du projet</t>
  </si>
  <si>
    <t>Mises à jour erronées ou non relues.</t>
  </si>
  <si>
    <t>Absence de cadrage formel, créant des erreurs de coordination.</t>
  </si>
  <si>
    <t>Relire et valider toutes les mises à jour avant diffusion.</t>
  </si>
  <si>
    <t>Suivi des délais pour chaque décision majeure</t>
  </si>
  <si>
    <t>Les délais pour chaque décision majeure sont-ils suivis ?</t>
  </si>
  <si>
    <t>Chevauchement des rôles.</t>
  </si>
  <si>
    <t>Documents non validés, rendant difficile leur utilisation correcte ou leur suivi.</t>
  </si>
  <si>
    <t>Définir clairement les rôles et éviter les redondances par un organigramme clair.</t>
  </si>
  <si>
    <t>Documentation des raisons des éventuels retards dans la prise de décision</t>
  </si>
  <si>
    <t>Les raisons des éventuels retards dans la prise de décision sont-elles documentées ?</t>
  </si>
  <si>
    <t>Flou dans les responsabilités.</t>
  </si>
  <si>
    <t>Difficulté d’accès aux documents cruciaux, augmentant le risque d’erreurs ou d’omissions.</t>
  </si>
  <si>
    <t>Documenter précisément les responsabilités dans une matrice RACI.</t>
  </si>
  <si>
    <t>Mesure de l'impact des délais sur l’avancement du projet</t>
  </si>
  <si>
    <t>L’impact des délais sur l’avancement du projet est-il mesuré ?</t>
  </si>
  <si>
    <t>Mesure de l’impact des délais sur l’avancement du projet</t>
  </si>
  <si>
    <t>Tâches non affectées correctement.</t>
  </si>
  <si>
    <t>Contenu non mis à jour, augmentant le risque de mauvaises décisions ou d'erreurs.</t>
  </si>
  <si>
    <t>Affecter formellement chaque tâche à une personne avec validation.</t>
  </si>
  <si>
    <t>Évaluation de l'efficacité de la prise de décision</t>
  </si>
  <si>
    <t>L’efficacité de la prise de décision est-elle évaluée ?</t>
  </si>
  <si>
    <t>Évaluation de l’efficacité de la prise de décision</t>
  </si>
  <si>
    <t>Manque de séparation des tâches.</t>
  </si>
  <si>
    <t>Exécution inefficace en production en raison d’une mauvaise préparation documentaire.</t>
  </si>
  <si>
    <t>Mettre en place des contrôles croisés pour assurer la séparation des tâches.</t>
  </si>
  <si>
    <t>S’assurer que les décisions sont prises sur la base d'un niveau
d'information pertinent</t>
  </si>
  <si>
    <t>Documentation des informations utilisées pour chaque décision</t>
  </si>
  <si>
    <t>Les informations utilisées pour chaque décision sont-elles documentées ?</t>
  </si>
  <si>
    <t>Risque de conflit d’intérêt.</t>
  </si>
  <si>
    <t>Risques d’information incomplète, affectant la performance ou les décisions.</t>
  </si>
  <si>
    <t>Identifier et gérer les risques d’intérêts via des contrôles organisationnels.</t>
  </si>
  <si>
    <t>Disponibilité des données nécessaires à la prise de décision</t>
  </si>
  <si>
    <t>Les données nécessaires à la prise de décision sont-elles disponibles ?</t>
  </si>
  <si>
    <t>Vérification de la disponibilité des données nécessaires à la prise de décision</t>
  </si>
  <si>
    <t>Absence de cadrage formel.</t>
  </si>
  <si>
    <t>Non-respect des responsabilités, générant des erreurs dans la gestion des tâches.</t>
  </si>
  <si>
    <t>Rédiger un document de cadrage détaillé avec approbation de la direction.</t>
  </si>
  <si>
    <t>Implication des bonnes parties prenantes dans la décision</t>
  </si>
  <si>
    <t>Les bonnes parties prenantes sont-elles impliquées dans la prise de décision ?</t>
  </si>
  <si>
    <t>Documentation sur l’implication des bonnes parties prenantes dans la prise de décision</t>
  </si>
  <si>
    <t>Documents non validés ou ignorés.</t>
  </si>
  <si>
    <t>Manque de retour sur expérience, empêchant l'amélioration continue du projet.</t>
  </si>
  <si>
    <t>Imposer une validation formelle des documents avant exploitation.</t>
  </si>
  <si>
    <t>Évaluation de la qualité et de la fiabilité des informations</t>
  </si>
  <si>
    <t>La qualité et la fiabilité des informations utilisées pour prendre des décisions sont-elles évaluées ?</t>
  </si>
  <si>
    <t>Évaluation de la qualité et de la fiabilité des informations utilisées pour prendre des décisions</t>
  </si>
  <si>
    <t>Difficulté d’accès à la documentation clé.</t>
  </si>
  <si>
    <t>Manque de contrôle sur l’organisation, entraînant des inefficacités.</t>
  </si>
  <si>
    <t>Assurer un accès contrôlé et centralisé aux documents projet.</t>
  </si>
  <si>
    <t>Traçabilité des décisions et des sources d’information utilisées</t>
  </si>
  <si>
    <t>La traçabilité des décisions et des sources d’information utilisées est-elle assurée ?</t>
  </si>
  <si>
    <t>Assurer la traçabilité des décisions et des sources d’information utilisées</t>
  </si>
  <si>
    <t>Contenu non à jour.</t>
  </si>
  <si>
    <t>Obligations contractuelles floues, créant des incertitudes sur les engagements.</t>
  </si>
  <si>
    <t>Maintenir un plan de mise à jour périodique avec responsable dédié.</t>
  </si>
  <si>
    <t>S’assurer que le manuel d'exploitation fait l'objet d'une
procédure de mise à jour</t>
  </si>
  <si>
    <t>Existence d’un processus formalisé de mise à jour</t>
  </si>
  <si>
    <t>Un processus formalisé de mise à jour est-il en place ?</t>
  </si>
  <si>
    <t>Documentation sur le processus formalisé de mise à jour</t>
  </si>
  <si>
    <t>Mauvaise exécution en production.</t>
  </si>
  <si>
    <t>Livrables non validés, empêchant la confirmation de leur conformité.</t>
  </si>
  <si>
    <t>Réaliser des tests de mise en production encadrés par une checklist.</t>
  </si>
  <si>
    <t>Responsable de la mise à jour clairement identifié</t>
  </si>
  <si>
    <t>Le responsable de la mise à jour des documents est-il clairement identifié ?</t>
  </si>
  <si>
    <t>Identification du responsable de la mise à jour des documents</t>
  </si>
  <si>
    <t>Risques de non-information des équipes.</t>
  </si>
  <si>
    <t>Suivi des engagements inefficace, entraînant des dérives de qualité ou de délais.</t>
  </si>
  <si>
    <t>Informer toutes les équipes opérationnelles des changements avant déploiement.</t>
  </si>
  <si>
    <t>Fréquence des mises à jour documentée</t>
  </si>
  <si>
    <t>La fréquence des mises à jour est-elle documentée ?</t>
  </si>
  <si>
    <t>Documentation de la fréquence des mises à jour</t>
  </si>
  <si>
    <t>Non-respect des responsabilités.</t>
  </si>
  <si>
    <t>Manque de sanctions claires pour non-respect, réduisant la rigueur.</t>
  </si>
  <si>
    <t>Formaliser les engagements et responsabilités dans un plan de projet.</t>
  </si>
  <si>
    <t>Historique des versions accessible et complet</t>
  </si>
  <si>
    <t>L’historique des versions est-il accessible et complet ?</t>
  </si>
  <si>
    <t>Accès à l'historique des versions des documents</t>
  </si>
  <si>
    <t>Mauvais retour sur expérience.</t>
  </si>
  <si>
    <t>Défauts détectés trop tardivement après la mise en production, créant des interruptions.</t>
  </si>
  <si>
    <t>Intégrer un volet retour d’expérience obligatoire après chaque étape clé.</t>
  </si>
  <si>
    <t>Contrôle qualité appliqué aux mises à jour du manuel</t>
  </si>
  <si>
    <t>Un contrôle qualité est-il appliqué aux mises à jour du manuel ?</t>
  </si>
  <si>
    <t>Manque de contrôle organisationnel.</t>
  </si>
  <si>
    <t>Absence de garantie ou de maintenance, créant des risques à long terme pour le projet.</t>
  </si>
  <si>
    <t>Renforcer le pilotage par la mise en place d’une gouvernance projet active.</t>
  </si>
  <si>
    <t xml:space="preserve">mise en production </t>
  </si>
  <si>
    <t>S’assurer que les responsabilités respectives des directions des
projets et de la production sont clairement établies et les périmètres décrits respectent les principes de séparation des tâches</t>
  </si>
  <si>
    <t>Organisation des rôles et responsabilités formalisée</t>
  </si>
  <si>
    <t>L’organisation des rôles et responsabilités est-elle formalisée ?</t>
  </si>
  <si>
    <t>Formalisation de l’organisation des rôles et responsabilités</t>
  </si>
  <si>
    <t>Obligations contractuelles floues.</t>
  </si>
  <si>
    <t>Mauvais transfert des responsabilités, générant des confusions sur la gestion du projet.</t>
  </si>
  <si>
    <t>Clarifier les clauses contractuelles sur les obligations et responsabilités.</t>
  </si>
  <si>
    <t>Clarté sur les périmètres d’intervention de chaque direction</t>
  </si>
  <si>
    <t>Les périmètres d’intervention de chaque direction sont-ils clairs ?</t>
  </si>
  <si>
    <t>Clarification des périmètres d’intervention de chaque direction</t>
  </si>
  <si>
    <t>Livrables non livrés ou non validés.</t>
  </si>
  <si>
    <t>Malentendus sur les attentes de service, retardant l'exécution et affectant la qualité.</t>
  </si>
  <si>
    <t>Suivre l’avancement des livrables par un tableau de bord partagé.</t>
  </si>
  <si>
    <t>Document de répartition des tâches approuvé et diffusé</t>
  </si>
  <si>
    <t>Un document de répartition des tâches a-t-il été approuvé et diffusé ?</t>
  </si>
  <si>
    <t>Suivi inefficace des engagements.</t>
  </si>
  <si>
    <t>Mauvaise planification de la transition, générant des problèmes lors de la maintenance.</t>
  </si>
  <si>
    <t>Prévoir des pénalités ou mesures correctives en cas de non-respect.</t>
  </si>
  <si>
    <t>Contrôle du respect de la séparation des tâches</t>
  </si>
  <si>
    <t>Le respect de la séparation des tâches est-il contrôlé ?</t>
  </si>
  <si>
    <t>Suivi du respect de la séparation des tâches</t>
  </si>
  <si>
    <t>Manque de conséquences au non-respect.</t>
  </si>
  <si>
    <t>Manque de validation du passage entre équipes, créant des lacunes dans l'exécution.</t>
  </si>
  <si>
    <t>Effectuer des contrôles qualité post-mise en production avec une procédure claire.</t>
  </si>
  <si>
    <t>Évaluation des risques liés à une mauvaise répartition des responsabilités</t>
  </si>
  <si>
    <t>Les risques liés à une mauvaise répartition des responsabilités sont-ils évalués ?</t>
  </si>
  <si>
    <t>Défauts détectés après mise en production.</t>
  </si>
  <si>
    <t>Les défauts ne sont identifiés que tardivement, entraînant des coûts de correction élevés et des interruptions de service.</t>
  </si>
  <si>
    <t>Intégrer des clauses de garantie et de support post-livraison.</t>
  </si>
  <si>
    <t>S’assurer qu’il existe un document décrivant les responsabilités
respectives des projets et de la production lors d’une mise en
production</t>
  </si>
  <si>
    <t>Présence d’un document officiel décrivant les rôles respectifs</t>
  </si>
  <si>
    <t>Un document officiel décrivant les rôles respectifs est-il en place ?</t>
  </si>
  <si>
    <t>Document officiel décrivant les rôles respectifs</t>
  </si>
  <si>
    <t>Absence de garantie ou de maintenance.</t>
  </si>
  <si>
    <t>L'absence de garantie ou de maintenance peut entraîner une incapacité à résoudre les problèmes post-lancement, affectant la performance du système.</t>
  </si>
  <si>
    <t>Formaliser un plan de transfert avec jalons de vérification.</t>
  </si>
  <si>
    <t>Processus de validation du document par les deux entités</t>
  </si>
  <si>
    <t>Le processus de validation du document de répartition des rôles est-il bien défini ?</t>
  </si>
  <si>
    <t>Processus de validation du document de répartition des rôles défini</t>
  </si>
  <si>
    <t>Problèmes au moment du transfert.</t>
  </si>
  <si>
    <t>Le transfert mal effectué peut créer des erreurs opérationnelles, des pertes de données ou des interruptions de service.</t>
  </si>
  <si>
    <t>Organiser des ateliers avec les parties prenantes pour recenser les besoins.</t>
  </si>
  <si>
    <t>Accessibilité du document aux parties prenantes concernées</t>
  </si>
  <si>
    <t>Le document de répartition des tâches est-il accessible aux parties prenantes concernées ?</t>
  </si>
  <si>
    <t>Accessibilité du document de répartition des tâches aux parties prenantes</t>
  </si>
  <si>
    <t>Mauvaise communication et non-prise en compte des besoins des parties prenantes.</t>
  </si>
  <si>
    <t>La mauvaise communication et l'ignorance des besoins des parties prenantes peut entraîner des développements inadaptés, une mauvaise adoption du projet et des retards.</t>
  </si>
  <si>
    <t>Réviser le contenu en fonction des retours utilisateurs et des évolutions du projet.</t>
  </si>
  <si>
    <t>Mise à jour du document selon l’évolution des pratiques</t>
  </si>
  <si>
    <t>Le document est-il mis à jour selon l’évolution des pratiques ?</t>
  </si>
  <si>
    <t>Mise à jour régulière du document de répartition des tâches</t>
  </si>
  <si>
    <t>Manque d’adaptation aux évolutions, entraînant un document obsolète.</t>
  </si>
  <si>
    <t>Un document obsolète empêche une gestion correcte des processus, entraînant des erreurs, une mauvaise prise de décision et des inefficacités.</t>
  </si>
  <si>
    <t>Suivre les statistiques d’utilisation du document pour ajuster son format.</t>
  </si>
  <si>
    <t>Utilisation effective du document lors des mises en production</t>
  </si>
  <si>
    <t>Le document est-il utilisé efficacement lors des mises en production ?</t>
  </si>
  <si>
    <t>Utilisation efficace du document lors des mises en production</t>
  </si>
  <si>
    <t>Non-utilisation effective du document, ce qui rend les informations inutiles.</t>
  </si>
  <si>
    <t>L'inefficacité d’un document non utilisé mène à une perte de temps et d'effort pour les utilisateurs, qui se trouvent à travailler avec des informations dépassées ou inutiles.</t>
  </si>
  <si>
    <t>Définir une stratégie de communication claire sur les documents clés.</t>
  </si>
  <si>
    <t>S’assurer que les équipes projet et de production connaissent
et respectent ce document</t>
  </si>
  <si>
    <t>Diffusion du document auprès des équipes concernées</t>
  </si>
  <si>
    <t>Le document est-il diffusé auprès des équipes concernées ?</t>
  </si>
  <si>
    <t>Diffusion du document aux équipes concernées</t>
  </si>
  <si>
    <t>Mauvaise diffusion, entraînant une non-appropriation du contenu.</t>
  </si>
  <si>
    <t>La mauvaise diffusion empêche l'appropriation du contenu, ce qui peut entraîner des erreurs ou des mécompréhensions dans l'exécution des tâches.</t>
  </si>
  <si>
    <t>Exiger des accusés de réception ou quiz de validation de lecture.</t>
  </si>
  <si>
    <t>Traçabilité de la prise de connaissance (formations, signatures)</t>
  </si>
  <si>
    <t>La traçabilité de la prise de connaissance du document (formations, signatures) est-elle assurée ?</t>
  </si>
  <si>
    <t>Traçabilité de la prise de connaissance du document (formations, signatures)</t>
  </si>
  <si>
    <t>Absence de preuve de prise de connaissance, menant à des responsabilités floues.</t>
  </si>
  <si>
    <t>Sans preuve de prise de connaissance, les responsabilités restent floues, augmentant le risque d'erreurs et de malentendus dans l'exécution des tâches.</t>
  </si>
  <si>
    <t>Mettre en place des audits de conformité aux rôles et responsabilités.</t>
  </si>
  <si>
    <t>Contrôle du respect des responsabilités définies dans le document</t>
  </si>
  <si>
    <t>Le respect des responsabilités définies dans le document est-il contrôlé ?</t>
  </si>
  <si>
    <t>Non-respect des responsabilités définies, générant des erreurs.</t>
  </si>
  <si>
    <t>Les erreurs surviennent lorsque les responsabilités ne sont pas respectées, entraînant des défauts dans la qualité du projet et des retards dans les délais.</t>
  </si>
  <si>
    <t>Intégrer systématiquement les retours d’expérience dans les versions suivantes.</t>
  </si>
  <si>
    <t>Retour d’expérience sur l’application du document</t>
  </si>
  <si>
    <t>Le retour d’expérience sur l’application du document est-il pris en compte ?</t>
  </si>
  <si>
    <t>Prise en compte du retour d’expérience sur l’application du document</t>
  </si>
  <si>
    <t>Retours d’expérience non pris en compte, impactant l'amélioration continue.</t>
  </si>
  <si>
    <t>Ignorer les retours d'expérience empêche l'amélioration continue, ce qui peut mener à des répétitions des mêmes erreurs dans les projets futurs.</t>
  </si>
  <si>
    <t>Valider les rôles et responsabilités dans un plan de mise en production partagé.</t>
  </si>
  <si>
    <t>Audit régulier du respect des rôles lors des mises en production</t>
  </si>
  <si>
    <t>Un audit régulier du respect des rôles lors des mises en production est-il effectué ?</t>
  </si>
  <si>
    <t>Non-respect des rôles pendant les mises en production, conduisant à des échecs.</t>
  </si>
  <si>
    <t>L'absence de respect des rôles pendant la mise en production peut entraîner des erreurs fatales et des échecs dans le déploiement du projet.</t>
  </si>
  <si>
    <t>Rédiger un accord de transfert précisant les engagements réciproques.</t>
  </si>
  <si>
    <t>S’assurer que les membres de l’organisation et les fournisseurs
respectent leurs obligations lors de la mise en production</t>
  </si>
  <si>
    <t>Existence de contrats ou d'engagements formalisant les obligations</t>
  </si>
  <si>
    <t>Des contrats ou des engagements formalisant les obligations sont-ils en place ?</t>
  </si>
  <si>
    <t>Contrats ou engagements formalisant les obligations des acteurs</t>
  </si>
  <si>
    <t>Absence d’accord formalisé, entraînant des incompréhensions sur les obligations.</t>
  </si>
  <si>
    <t>L'absence d’accord formalisé peut créer des malentendus sur les attentes et obligations, entraînant des conflits et des retards.</t>
  </si>
  <si>
    <t>Fixer des jalons contractuels avec pénalités en cas de retard.</t>
  </si>
  <si>
    <t>Contrôle du respect des délais et livrables par chaque acteur</t>
  </si>
  <si>
    <t>Le respect des délais et livrables par chaque acteur est-il contrôlé ?</t>
  </si>
  <si>
    <t>Suivi du respect des délais et livrables par chaque acteur</t>
  </si>
  <si>
    <t>Retards ou non-respect des délais et des livrables.</t>
  </si>
  <si>
    <t>Le non-respect des délais et des livrables compromet la planification et le succès global du projet, créant des insatisfactions et des pertes de ressources.</t>
  </si>
  <si>
    <t>Attribuer des responsabilités avec des livrables formalisés dans le planning.</t>
  </si>
  <si>
    <t>Suivi des responsabilités via des tableaux de bord ou rapports</t>
  </si>
  <si>
    <t>Les responsabilités sont-elles suivies via des tableaux de bord ou des rapports ?</t>
  </si>
  <si>
    <t>Suivi des responsabilités via des tableaux de bord ou des rapports</t>
  </si>
  <si>
    <t>Manque de suivi précis des responsabilités, créant des zones d'ombre.</t>
  </si>
  <si>
    <t>Le manque de suivi des responsabilités entraîne des zones d'ombre et empêche une gestion efficace, augmentant les risques d’erreurs et de défaillances.</t>
  </si>
  <si>
    <t>Instaurer un système de relance automatique en cas de non-respect.</t>
  </si>
  <si>
    <t>Mécanismes de sanction ou de relance en cas de non-respect</t>
  </si>
  <si>
    <t>Des mécanismes de sanction ou de relance en cas de non-respect des engagements sont-ils définis ?</t>
  </si>
  <si>
    <t>Définition des mécanismes de sanction ou de relance en cas de non-respect des engagements</t>
  </si>
  <si>
    <t>Absence de mécanismes de sanction ou relance, entraînant un manque de rigueur.</t>
  </si>
  <si>
    <t>L'absence de mécanismes de sanction ou de relance entraîne un manque de rigueur dans la gestion du projet, favorisant les dérives et les retards.</t>
  </si>
  <si>
    <t>Vérifier la conformité des livrables avec une checklist avant production.</t>
  </si>
  <si>
    <t>Validation de la conformité des prestations avant mise en production</t>
  </si>
  <si>
    <t>La conformité des prestations avant mise en production est-elle validée ?</t>
  </si>
  <si>
    <t>Non-validation de la conformité avant mise en production, entraînant des erreurs.</t>
  </si>
  <si>
    <t>Le non-validation de la conformité avant mise en production mène à des erreurs qui peuvent compromettre la qualité et la fiabilité du projet.</t>
  </si>
  <si>
    <t>Mettre en place un contrat de support post-garantie avec SLA.</t>
  </si>
  <si>
    <t>S’assurer que la bascule de la garantie vers la maintenance est
organisée à travers des documents contractuels clairs</t>
  </si>
  <si>
    <t>Existence d’un contrat de maintenance post-garantie</t>
  </si>
  <si>
    <t>Un contrat de maintenance post-garantie existe-t-il ?</t>
  </si>
  <si>
    <t>Existence d'un contrat de maintenance post-garantie</t>
  </si>
  <si>
    <t>Problèmes non couverts après la garantie, causant des interruptions.</t>
  </si>
  <si>
    <t>Les problèmes non couverts après la garantie causent des interruptions de service, une insatisfaction des utilisateurs et des coûts imprévus.</t>
  </si>
  <si>
    <t>Organiser une réunion de transfert pour s’assurer de la bonne passation.</t>
  </si>
  <si>
    <t>Clauses précisant les conditions de transfert de responsabilité</t>
  </si>
  <si>
    <t>Les clauses de transfert de responsabilité sont-elles clairement définies dans le contrat ?</t>
  </si>
  <si>
    <t>Spécification des clauses de transfert de responsabilité dans le contrat</t>
  </si>
  <si>
    <t>Mauvais transfert de responsabilité, entraînant des confusions sur la gestion.</t>
  </si>
  <si>
    <t>Le mauvais transfert de responsabilité peut créer des confusions sur la gestion du projet, engendrant des erreurs et une mauvaise répartition des tâches.</t>
  </si>
  <si>
    <t>Définir les attentes et responsabilités dans un document partagé et validé.</t>
  </si>
  <si>
    <t>Définition claire des délais, niveaux de service et interlocuteurs</t>
  </si>
  <si>
    <t>Les délais, niveaux de service et interlocuteurs sont-ils clairement définis dans le contrat ?</t>
  </si>
  <si>
    <t>Définition des délais, niveaux de service et interlocuteurs dans le contrat</t>
  </si>
  <si>
    <t>Malentendus sur les attentes de service et les responsabilités, créant des retards.</t>
  </si>
  <si>
    <t>Les malentendus sur les attentes de service peuvent entraîner des retards dans la livraison et une mauvaise adéquation entre les résultats attendus et ceux livrés.</t>
  </si>
  <si>
    <t>Élaborer un plan de transition avec étapes et ressources allouées.</t>
  </si>
  <si>
    <t>Planification de la transition entre MOE et équipe de maintenance</t>
  </si>
  <si>
    <t>La transition entre MOE et équipe de maintenance est-elle bien planifiée ?</t>
  </si>
  <si>
    <t>Mauvaise planification de la transition, entraînant des problèmes de maintenance.</t>
  </si>
  <si>
    <t>Une mauvaise planification de la transition entraîne des problèmes de maintenance à long terme, affectant la performance du système.</t>
  </si>
  <si>
    <t>Mettre en place un protocole de validation croisée entre les équipes.</t>
  </si>
  <si>
    <t>Validation du passage par les parties concernées (MOA, MOE, support, etc.)</t>
  </si>
  <si>
    <t>Le passage entre MOE et l’équipe de maintenance est-il validé par les parties concernées (MOA, MOE, support, etc.) ?</t>
  </si>
  <si>
    <t>Validation du passage entre MOE et l’équipe de maintenance par les parties concernées</t>
  </si>
  <si>
    <t>Validation insuffisante du passage entre équipes, créant des lacunes opérationnelles.</t>
  </si>
  <si>
    <t>L'insuffisance de validation du passage entre équipes crée des lacunes opérationnelles, des erreurs et une mauvaise continuité des services.</t>
  </si>
  <si>
    <t>Points de controle</t>
  </si>
  <si>
    <t xml:space="preserve">Objectifs de controle </t>
  </si>
  <si>
    <t xml:space="preserve">Criteres d'évaluations </t>
  </si>
  <si>
    <t>Questions d'évaluation</t>
  </si>
  <si>
    <t>Document requis</t>
  </si>
  <si>
    <t xml:space="preserve">Réponses </t>
  </si>
  <si>
    <t>Risque</t>
  </si>
  <si>
    <t>Conséquence</t>
  </si>
  <si>
    <t>Fonction support</t>
  </si>
  <si>
    <t xml:space="preserve">S’assurer qu’une structure de centre d’assistance (help-desk) 
(HD) est mise en place </t>
  </si>
  <si>
    <t xml:space="preserve"> Vérifier l'existence d'une charte du HD</t>
  </si>
  <si>
    <t xml:space="preserve"> Où trouver la charte officielle du HD ?</t>
  </si>
  <si>
    <t>Charte du help desk validée</t>
  </si>
  <si>
    <t>Non-respect des procédures</t>
  </si>
  <si>
    <t>Incohérence dans le service</t>
  </si>
  <si>
    <t>Publier la charte sur l'intranet et la partager lors des formations</t>
  </si>
  <si>
    <t xml:space="preserve"> S'assurer de la définition des rôles (techniciens, superviseurs)</t>
  </si>
  <si>
    <t xml:space="preserve"> Qui compose l'équipe du help desk ?</t>
  </si>
  <si>
    <t>Organigramme de l'équipe HD</t>
  </si>
  <si>
    <t>Manque de visibilité sur les interlocuteurs</t>
  </si>
  <si>
    <t>Retards de traitement</t>
  </si>
  <si>
    <t>Mettre à jour trimestriellement l'organigramme avec contacts</t>
  </si>
  <si>
    <t xml:space="preserve"> Contrôler l'organisation des plannings</t>
  </si>
  <si>
    <t xml:space="preserve"> Comment sont organisées les permanences ?</t>
  </si>
  <si>
    <t>Planning des permanences</t>
  </si>
  <si>
    <t>Désorganisation des plannings</t>
  </si>
  <si>
    <t>Absence de couverture</t>
  </si>
  <si>
    <t>Automatiser la gestion des plannings avec alertes de chevauchement</t>
  </si>
  <si>
    <t xml:space="preserve"> Vérifier les locaux et équipements dédiés</t>
  </si>
  <si>
    <t xml:space="preserve"> Existe-t-il un espace physique dédié ?</t>
  </si>
  <si>
    <t>Inventaire des locaux</t>
  </si>
  <si>
    <t>Conditions de travail inadaptées</t>
  </si>
  <si>
    <t>Baisse de productivité</t>
  </si>
  <si>
    <t>Prévoir un espace ergonomique conforme aux normes</t>
  </si>
  <si>
    <t xml:space="preserve"> S'assurer du budget alloué</t>
  </si>
  <si>
    <t xml:space="preserve"> Quel budget annuel est consacré au HD ?</t>
  </si>
  <si>
    <t>Budget annuel approuvé</t>
  </si>
  <si>
    <t>Dépenses non contrôlées</t>
  </si>
  <si>
    <t>Dérives financières</t>
  </si>
  <si>
    <t>Établir un suivi budgétaire mensuel</t>
  </si>
  <si>
    <t>S’assurer qu’une procédure de gestion des demandes
d’assistance est diffusée et connue des utilisateurs</t>
  </si>
  <si>
    <t xml:space="preserve"> Vérifier le document de procédure validé</t>
  </si>
  <si>
    <t xml:space="preserve"> Où consulter la procédure complète ?</t>
  </si>
  <si>
    <t>Manuel des procédures HD</t>
  </si>
  <si>
    <t>Application disparate des règles</t>
  </si>
  <si>
    <t>Service hétérogène</t>
  </si>
  <si>
    <t>Centraliser la documentation dans un référentiel unique</t>
  </si>
  <si>
    <t xml:space="preserve"> S'assurer des canaux de diffusion (intranet, affichage)</t>
  </si>
  <si>
    <t xml:space="preserve"> Comment les utilisateurs accèdent-ils à l'info ?</t>
  </si>
  <si>
    <t>Guide d'accès aux ressources</t>
  </si>
  <si>
    <t>Mauvaise information des usagers</t>
  </si>
  <si>
    <t>Surcharge du support</t>
  </si>
  <si>
    <t>Créer un portail self-service avec FAQ intelligente</t>
  </si>
  <si>
    <t xml:space="preserve"> Contrôler les sessions d'information utilisateurs</t>
  </si>
  <si>
    <t xml:space="preserve"> Quand ont eu lieu les dernières formations ?</t>
  </si>
  <si>
    <t>Registre des formations</t>
  </si>
  <si>
    <t>Compétences obsolètes</t>
  </si>
  <si>
    <t>Erreurs de diagnostic</t>
  </si>
  <si>
    <t>Planifier des formations semestrielles obligatoires</t>
  </si>
  <si>
    <t xml:space="preserve"> Vérifier l'existence de supports synthétiques</t>
  </si>
  <si>
    <t xml:space="preserve"> Existe-t-il une fiche mémo utilisateur ?</t>
  </si>
  <si>
    <t>Kit d'autoformation utilisateur</t>
  </si>
  <si>
    <t>Appels évitables</t>
  </si>
  <si>
    <t>Saturation du help desk</t>
  </si>
  <si>
    <t>Distribuer des fiches visuelles par processus métier</t>
  </si>
  <si>
    <t xml:space="preserve"> S'assurer des tests de connaissance</t>
  </si>
  <si>
    <t xml:space="preserve"> Comment évalue-t-on la compréhension des usagers ?</t>
  </si>
  <si>
    <t>Questionnaire de satisfaction</t>
  </si>
  <si>
    <t>Besoins mal identifiés</t>
  </si>
  <si>
    <t>Implémenter un système de feedback après résolution</t>
  </si>
  <si>
    <t xml:space="preserve">S’assurer qu’une procédure d'escalade mise en place </t>
  </si>
  <si>
    <t xml:space="preserve"> Vérifier les niveaux d'escalade définis</t>
  </si>
  <si>
    <t xml:space="preserve"> Combien de niveaux d'escalade existent ?</t>
  </si>
  <si>
    <t>Procédure d'escalade</t>
  </si>
  <si>
    <t>Blocage des tickets complexes</t>
  </si>
  <si>
    <t>Délais excessifs</t>
  </si>
  <si>
    <t>Limiter à 3 niveaux maximum avec délais définis</t>
  </si>
  <si>
    <t xml:space="preserve"> S'assurer des seuils de déclenchement</t>
  </si>
  <si>
    <t xml:space="preserve"> Quels critères déclenchent une escalade ?</t>
  </si>
  <si>
    <t>Grille de critères d'escalade</t>
  </si>
  <si>
    <t>Escalades inappropriées</t>
  </si>
  <si>
    <t>Mauvaise allocation des ressources</t>
  </si>
  <si>
    <t>Définir des seuils objectifs (temps, criticité)</t>
  </si>
  <si>
    <t xml:space="preserve"> Contrôler les fiches contacts urgents</t>
  </si>
  <si>
    <t xml:space="preserve"> Où trouver les contacts des experts ?</t>
  </si>
  <si>
    <t>Annuaire des référents techniques</t>
  </si>
  <si>
    <t>Perte de temps en recherche</t>
  </si>
  <si>
    <t>Résolution retardée</t>
  </si>
  <si>
    <t>Maintenir une liste certifiée mise à jour mensuellement</t>
  </si>
  <si>
    <t xml:space="preserve"> Vérifier les délais de réponse par niveau</t>
  </si>
  <si>
    <t xml:space="preserve"> Quel délai maximum pour un problème critique ?</t>
  </si>
  <si>
    <t>SLA formalisé</t>
  </si>
  <si>
    <t>Dégradation de service</t>
  </si>
  <si>
    <t>Impact opérationnel majeur</t>
  </si>
  <si>
    <t>Fixer un délai de 2h max pour les P1 avec alerte automatique</t>
  </si>
  <si>
    <t xml:space="preserve"> S'assurer des comptes-rendus d'incident</t>
  </si>
  <si>
    <t xml:space="preserve"> Comment sont documentés les incidents majeurs ?</t>
  </si>
  <si>
    <t>Fiche post-mortem d'incident</t>
  </si>
  <si>
    <t>Indisponibilités récurrentes</t>
  </si>
  <si>
    <t>Rédiger systématiquement un retour d'expérience</t>
  </si>
  <si>
    <t>S’assurer de la couverture géographique du HD</t>
  </si>
  <si>
    <t xml:space="preserve"> Vérifier les zones desservies</t>
  </si>
  <si>
    <t xml:space="preserve"> Quels sites/pays sont couverts ?</t>
  </si>
  <si>
    <t>Périmètre de couverture géographique</t>
  </si>
  <si>
    <t>Demandes hors zone</t>
  </si>
  <si>
    <t>Frustration des usagers</t>
  </si>
  <si>
    <t>Cartographier clairement les zones couvertes/non couvertes</t>
  </si>
  <si>
    <t xml:space="preserve"> S'assurer des horaires de disponibilité</t>
  </si>
  <si>
    <t xml:space="preserve"> Quelles sont les plages horaires d'ouverture ?</t>
  </si>
  <si>
    <t>Tableau des horaires de service</t>
  </si>
  <si>
    <t>Attentes déçues</t>
  </si>
  <si>
    <t>Insatisfaction client</t>
  </si>
  <si>
    <t>Afficher les horaires sur tous les canaux de contact</t>
  </si>
  <si>
    <t xml:space="preserve"> Contrôler les compétences linguistiques</t>
  </si>
  <si>
    <t xml:space="preserve"> Quelles langues sont disponibles ?</t>
  </si>
  <si>
    <t>Politique linguistique du support</t>
  </si>
  <si>
    <t>Barrière de communication</t>
  </si>
  <si>
    <t>Recruter des agents multilingues pour les langues principales</t>
  </si>
  <si>
    <t xml:space="preserve"> Vérifier les fuseaux horaires couverts</t>
  </si>
  <si>
    <t xml:space="preserve"> Comment gère-t-on les différences horaires ?</t>
  </si>
  <si>
    <t>Procédure de gestion des fuseaux</t>
  </si>
  <si>
    <t>Erreurs de planning</t>
  </si>
  <si>
    <t>Service non disponible</t>
  </si>
  <si>
    <t>Utiliser un outil de planification avec fuseaux horaires</t>
  </si>
  <si>
    <t xml:space="preserve"> S'assurer des relais locaux</t>
  </si>
  <si>
    <t xml:space="preserve"> Existe-t-il des correspondants locaux ?</t>
  </si>
  <si>
    <t>Liste des correspondants locaux</t>
  </si>
  <si>
    <t>Délais de réponse allongés</t>
  </si>
  <si>
    <t>Résolution inefficace</t>
  </si>
  <si>
    <t>Désigner un référent par zone géographique</t>
  </si>
  <si>
    <t xml:space="preserve">S’assurer de la couverture fonctionnelle du HD </t>
  </si>
  <si>
    <t xml:space="preserve"> Vérifier la liste des applications supportées</t>
  </si>
  <si>
    <t xml:space="preserve"> Quels logiciels sont pris en charge ?</t>
  </si>
  <si>
    <t>Catalogue des applications supportées</t>
  </si>
  <si>
    <t>Demandes hors périmètre</t>
  </si>
  <si>
    <t>Perte de temps</t>
  </si>
  <si>
    <t>Mettre à jour le catalogue à chaque nouvelle version</t>
  </si>
  <si>
    <t xml:space="preserve"> S'assurer des périmètres d'intervention</t>
  </si>
  <si>
    <t xml:space="preserve"> Quelles demandes sont hors périmètre ?</t>
  </si>
  <si>
    <t>Liste des exclusions de service</t>
  </si>
  <si>
    <t>Attentes irréalistes</t>
  </si>
  <si>
    <t>Conflits avec les usagers</t>
  </si>
  <si>
    <t>Communiquer clairement sur les limites du support</t>
  </si>
  <si>
    <t xml:space="preserve"> Contrôler les limites d'assistance documentées</t>
  </si>
  <si>
    <t xml:space="preserve"> Où sont listées les limites d'intervention ?</t>
  </si>
  <si>
    <t>Charte des responsabilités</t>
  </si>
  <si>
    <t>Empiètement sur d'autres services</t>
  </si>
  <si>
    <t>Tensions internes</t>
  </si>
  <si>
    <t>Délimiter visuellement les zones de responsabilité</t>
  </si>
  <si>
    <t xml:space="preserve"> Vérifier les compétences techniques de l'équipe</t>
  </si>
  <si>
    <t xml:space="preserve"> L'équipe a-t-elle les certifications nécessaires ?</t>
  </si>
  <si>
    <t>Incompétence technique</t>
  </si>
  <si>
    <t>Résolutions inadéquates</t>
  </si>
  <si>
    <t>Financer les certifications obligatoires annuellement</t>
  </si>
  <si>
    <t xml:space="preserve"> S'assurer des partenariats avec les éditeurs</t>
  </si>
  <si>
    <t xml:space="preserve"> Comment contacter les support éditeurs ?</t>
  </si>
  <si>
    <t>Liste des contacts éditeurs</t>
  </si>
  <si>
    <t>Délais prolongés</t>
  </si>
  <si>
    <t>Prolongation des incidents</t>
  </si>
  <si>
    <t>Négocier des canaux prioritaires avec les éditeurs clés</t>
  </si>
  <si>
    <t>S’assurer qu’un outil est implémenté pour la prise d'appel et le 
suivi des tickets ;</t>
  </si>
  <si>
    <t xml:space="preserve"> Vérifier l'existence d'un logiciel dédié</t>
  </si>
  <si>
    <t xml:space="preserve"> Quel outil est utilisé pour la gestion des tickets ?</t>
  </si>
  <si>
    <t>Documentation de l'outil ITSM</t>
  </si>
  <si>
    <t>Mauvaise utilisation de l'outil</t>
  </si>
  <si>
    <t>Données inexploitables</t>
  </si>
  <si>
    <t>Former les agents à l'outil et auditer son usage</t>
  </si>
  <si>
    <t xml:space="preserve"> S'assurer de l'intégration avec les autres systèmes</t>
  </si>
  <si>
    <t xml:space="preserve"> Est-il connecté à l'annuaire et au monitoring ?</t>
  </si>
  <si>
    <t>Architecture d'intégration</t>
  </si>
  <si>
    <t>Silos d'information</t>
  </si>
  <si>
    <t>Diagnostic incomplet</t>
  </si>
  <si>
    <t>Automatiser les flux entre systèmes via API</t>
  </si>
  <si>
    <t xml:space="preserve"> Contrôler les fonctionnalités de base (création, suivi, clôture)</t>
  </si>
  <si>
    <t xml:space="preserve"> Peut-on suivre l'historique complet d'un ticket ?</t>
  </si>
  <si>
    <t>Politique de rétention des données</t>
  </si>
  <si>
    <t>Manque de transparence</t>
  </si>
  <si>
    <t>Difficulté d'audit</t>
  </si>
  <si>
    <t>Configurer l'outil pour conserver l'historique 12 mois</t>
  </si>
  <si>
    <t xml:space="preserve"> Vérifier les droits d'accès différenciés</t>
  </si>
  <si>
    <t xml:space="preserve"> Comment gère-t-on les droits des agents ?</t>
  </si>
  <si>
    <t>Matrice des habilitations</t>
  </si>
  <si>
    <t>Accès non autorisés</t>
  </si>
  <si>
    <t>Appliquer le principe du moindre privilège</t>
  </si>
  <si>
    <t xml:space="preserve"> S'assurer des sauvegardes régulières</t>
  </si>
  <si>
    <t xml:space="preserve"> Quelle est la fréquence des sauvegardes ?</t>
  </si>
  <si>
    <t>Politique de sauvegarde</t>
  </si>
  <si>
    <t>Interruption de service</t>
  </si>
  <si>
    <t>Sauvegarder quotidiennement avec test mensuel de restauration</t>
  </si>
  <si>
    <t>S’assurer que des critères à renseigner pour la qualification des 
tickets existent</t>
  </si>
  <si>
    <t xml:space="preserve"> Vérifier la grille de qualification obligatoire</t>
  </si>
  <si>
    <t xml:space="preserve"> Quels critères doivent être renseignés ?</t>
  </si>
  <si>
    <t>Template de ticket obligatoire</t>
  </si>
  <si>
    <t>Tickets incomplets</t>
  </si>
  <si>
    <t>Rendre obligatoires les champs critiques (urgence, impact)</t>
  </si>
  <si>
    <t xml:space="preserve"> S'assurer de la typologie des tickets</t>
  </si>
  <si>
    <t xml:space="preserve"> Comment classe-t-on les demandes (incident, requête</t>
  </si>
  <si>
    <t>Arbre de décision de classification</t>
  </si>
  <si>
    <t>Mauvaise priorisation</t>
  </si>
  <si>
    <t>Utiliser des algorithmes de classification automatique</t>
  </si>
  <si>
    <t xml:space="preserve"> Contrôler les champs obligatoires</t>
  </si>
  <si>
    <t xml:space="preserve"> Quels champs ne peuvent pas être laissés vides ?</t>
  </si>
  <si>
    <t>Règles de validation des tickets</t>
  </si>
  <si>
    <t>Données manquantes</t>
  </si>
  <si>
    <t>Impossible à traiter</t>
  </si>
  <si>
    <t>Configurer des validations obligatoires dans l'outil</t>
  </si>
  <si>
    <t xml:space="preserve"> Vérifier les règles d'affectation automatique</t>
  </si>
  <si>
    <t xml:space="preserve"> Comment sont attribués les tickets aux techniciens ?</t>
  </si>
  <si>
    <t>Procédure d'assignation</t>
  </si>
  <si>
    <t>Charge déséquilibrée</t>
  </si>
  <si>
    <t>Surcharge des experts</t>
  </si>
  <si>
    <t>Automatiser l'assignation par compétences/disponibilité</t>
  </si>
  <si>
    <t xml:space="preserve"> S'assurer des indicateurs de qualité</t>
  </si>
  <si>
    <t xml:space="preserve"> Comment mesure-t-on la qualité de qualification ?</t>
  </si>
  <si>
    <t>Grille d'évaluation des tickets</t>
  </si>
  <si>
    <t>Erreurs répétées</t>
  </si>
  <si>
    <t>Réouvertures fréquentes</t>
  </si>
  <si>
    <t>Auditer aléatoirement 10% des tickets qualifiés</t>
  </si>
  <si>
    <t>S’assure qu’il existe une liste de questions à dérouler lors d'un 
appel afin préciser au mieux la demande de l'utilisateur</t>
  </si>
  <si>
    <t xml:space="preserve"> Vérifier l'existence d'un arbre de questions</t>
  </si>
  <si>
    <t xml:space="preserve"> Où trouver le script des questions standard ?</t>
  </si>
  <si>
    <t>Bibliothèque de scripts</t>
  </si>
  <si>
    <t>Approche non standardisée</t>
  </si>
  <si>
    <t>Informations manquantes</t>
  </si>
  <si>
    <t>Intégrer les scripts dans l'outil de ticketing</t>
  </si>
  <si>
    <t xml:space="preserve"> S'assurer de l'adaptation aux différents types de demandes</t>
  </si>
  <si>
    <t xml:space="preserve"> Existe-t-il des variantes selon la nature du problème ?</t>
  </si>
  <si>
    <t>Arbres décisionnels par type d'incident</t>
  </si>
  <si>
    <t>Diagnostic imprécis</t>
  </si>
  <si>
    <t>Résolution inadaptée</t>
  </si>
  <si>
    <t>Développer des workflows spécifiques par catégorie</t>
  </si>
  <si>
    <t xml:space="preserve"> Contrôler la mise à jour régulière</t>
  </si>
  <si>
    <t xml:space="preserve"> Quand a-t-il été mis à jour pour la dernière fois ?</t>
  </si>
  <si>
    <t>Historique des versions des scripts</t>
  </si>
  <si>
    <t>Questions obsolètes</t>
  </si>
  <si>
    <t>Efficacité réduite</t>
  </si>
  <si>
    <t>Réviser les scripts tous les 6 mois</t>
  </si>
  <si>
    <t xml:space="preserve"> Vérifier l'ergonomie du questionnaire</t>
  </si>
  <si>
    <t xml:space="preserve"> Le questionnaire est-il facile à utiliser ?</t>
  </si>
  <si>
    <t>Rapport d'ergonomie</t>
  </si>
  <si>
    <t>Résistance des agents</t>
  </si>
  <si>
    <t>Non-utilisation</t>
  </si>
  <si>
    <t>Concevoir des interfaces intuitives avec UX designer</t>
  </si>
  <si>
    <t xml:space="preserve"> S'assurer de l'utilisation effective</t>
  </si>
  <si>
    <t xml:space="preserve"> Comment vérifie-t-on son application ?</t>
  </si>
  <si>
    <t>Procédure d'audit des appels</t>
  </si>
  <si>
    <t>Écarts par rapport au script</t>
  </si>
  <si>
    <t>Qualité inconstante</t>
  </si>
  <si>
    <t>Enregistrer et analyser aléatoirement des appels</t>
  </si>
  <si>
    <t>S’assurer qu’il existe une aide à la saisie pour la saisie des 
tickets</t>
  </si>
  <si>
    <t xml:space="preserve"> Un guide de saisie complet et actualisé est disponible pour les utilisateurs</t>
  </si>
  <si>
    <t>Existe-t-il un document ou un module d'aide détaillant la procédure de création des tickets ?</t>
  </si>
  <si>
    <t xml:space="preserve"> Manuel de procédure de ticketing </t>
  </si>
  <si>
    <t xml:space="preserve"> Tickets mal formulés </t>
  </si>
  <si>
    <t xml:space="preserve"> Retards de traitement </t>
  </si>
  <si>
    <t xml:space="preserve"> Développer un guide interactif avec vidéos explicatives </t>
  </si>
  <si>
    <t xml:space="preserve"> L'aide à la saisie est facilement accessible depuis l'interface de ticket</t>
  </si>
  <si>
    <t>Les utilisateurs peuvent-ils accéder à l'aide directement dans l'outil de ticketing ?</t>
  </si>
  <si>
    <t xml:space="preserve"> Capture d'écran de l'interface </t>
  </si>
  <si>
    <t xml:space="preserve"> Mauvaise utilisation </t>
  </si>
  <si>
    <t xml:space="preserve"> Saisie incomplète </t>
  </si>
  <si>
    <t xml:space="preserve"> Intégrer un chatbot d'assistance contextuelle </t>
  </si>
  <si>
    <t xml:space="preserve"> Des exemples concrets et des modèles sont fournis pour faciliter la saisie</t>
  </si>
  <si>
    <t>L'aide comprend-elle des cas pratiques et des templates prédéfinis ?</t>
  </si>
  <si>
    <t xml:space="preserve"> Bibliothèque de templates </t>
  </si>
  <si>
    <t xml:space="preserve"> Incohérence des données </t>
  </si>
  <si>
    <t xml:space="preserve"> Difficultés d'analyse </t>
  </si>
  <si>
    <t xml:space="preserve"> Standardiser 5 templates types couvrant 80% des cas </t>
  </si>
  <si>
    <t xml:space="preserve"> Un mécanisme d'auto-complétion ou d'assistance intelligente est implémenté</t>
  </si>
  <si>
    <t>L'outil propose-t-il des suggestions automatiques pendant la saisie ?</t>
  </si>
  <si>
    <t xml:space="preserve"> Logs des fonctionnalités IA </t>
  </si>
  <si>
    <t xml:space="preserve"> Erreurs de saisie </t>
  </si>
  <si>
    <t xml:space="preserve"> Mauvais routage </t>
  </si>
  <si>
    <t xml:space="preserve"> Implémenter une IA de suggestion basée sur l'historique </t>
  </si>
  <si>
    <t xml:space="preserve"> Une formation initiale sur l'utilisation de l'aide est dispensée aux nouveaux utilisateurs</t>
  </si>
  <si>
    <t>Les collaborateurs reçoivent-ils une formation spécifique sur l'utilisation des outils d'aide ?</t>
  </si>
  <si>
    <t xml:space="preserve"> Programme de formation </t>
  </si>
  <si>
    <t xml:space="preserve"> Sous-utilisation </t>
  </si>
  <si>
    <t xml:space="preserve"> ROI faible </t>
  </si>
  <si>
    <t xml:space="preserve"> Organiser des ateliers mensuels "découverte" </t>
  </si>
  <si>
    <t>S’assurer qu’il existe des revues qualité pour la saisie des 
tickets</t>
  </si>
  <si>
    <t>S'assurer qu'il existe des revues qualité pour la saisie des tickets</t>
  </si>
  <si>
    <t>1. Une procédure formalisée de revue qualité est documentée et accessible</t>
  </si>
  <si>
    <t xml:space="preserve"> Procédure QC signée </t>
  </si>
  <si>
    <t xml:space="preserve"> Non-conformité </t>
  </si>
  <si>
    <t xml:space="preserve"> Amendes </t>
  </si>
  <si>
    <t xml:space="preserve"> Nommer un responsable qualité dédié </t>
  </si>
  <si>
    <t xml:space="preserve"> Les revues qualité sont planifiées régulièrement avec une fréquence définie</t>
  </si>
  <si>
    <t>Des sessions de revue sont-elles organisées au moins mensuellement ?</t>
  </si>
  <si>
    <t xml:space="preserve"> PV des réunions QC </t>
  </si>
  <si>
    <t xml:space="preserve"> Problèmes récurrents </t>
  </si>
  <si>
    <t xml:space="preserve"> Insatisfaction </t>
  </si>
  <si>
    <t xml:space="preserve"> Automatiser les rappels de réunion </t>
  </si>
  <si>
    <t xml:space="preserve"> Un comité pluridisciplinaire participe activement aux revues qualité</t>
  </si>
  <si>
    <t>Plusieurs services concernés sont-ils représentés dans les revues ?</t>
  </si>
  <si>
    <t xml:space="preserve"> Liste des participants </t>
  </si>
  <si>
    <t xml:space="preserve"> Silotage </t>
  </si>
  <si>
    <t xml:space="preserve"> Solutions partielles </t>
  </si>
  <si>
    <t xml:space="preserve"> Imposer 3 services minimum par revue </t>
  </si>
  <si>
    <t xml:space="preserve"> Un système de suivi des actions correctives est mis en place</t>
  </si>
  <si>
    <t>Les anomalies identifiées font-elles l'objet d'un plan d'action avec responsable et échéance ?</t>
  </si>
  <si>
    <t xml:space="preserve"> Fiche d'action corrective </t>
  </si>
  <si>
    <t xml:space="preserve"> Corrections inefficaces </t>
  </si>
  <si>
    <t xml:space="preserve"> Répétition erreurs </t>
  </si>
  <si>
    <t xml:space="preserve"> Utiliser la méthode 5W2H pour les actions </t>
  </si>
  <si>
    <t xml:space="preserve"> Des indicateurs de performance mesurent l'impact des revues qualité</t>
  </si>
  <si>
    <t>Peut-on constater une amélioration quantitative de la qualité des tickets après mise en œuvre des revues ?</t>
  </si>
  <si>
    <t xml:space="preserve"> Dashboard qualité </t>
  </si>
  <si>
    <t xml:space="preserve"> Décisions non data-driven </t>
  </si>
  <si>
    <t xml:space="preserve"> Gaspillage </t>
  </si>
  <si>
    <t xml:space="preserve"> Suivre 3 KPIs clés (complétude, temps, réouverture) </t>
  </si>
  <si>
    <t>Vérifier l’existence d’une base de connaissance</t>
  </si>
  <si>
    <t>Vérifier l'existence d'une base de connaissance</t>
  </si>
  <si>
    <t>1. La base de connaissance est centralisée et accessible à l'ensemble des acteurs concernés</t>
  </si>
  <si>
    <t xml:space="preserve"> Inventaire des ressources </t>
  </si>
  <si>
    <t xml:space="preserve"> Duplication </t>
  </si>
  <si>
    <t xml:space="preserve"> Confusion </t>
  </si>
  <si>
    <t xml:space="preserve"> Migrer vers une plateforme unique type SharePoint </t>
  </si>
  <si>
    <t xml:space="preserve"> Le contenu est organisé par thématiques et mots-clés pertinents</t>
  </si>
  <si>
    <t>La recherche d'informations dans la base est-elle intuitive et efficace ?</t>
  </si>
  <si>
    <t xml:space="preserve"> Rapport d'UX </t>
  </si>
  <si>
    <t xml:space="preserve"> Abandon des recherches </t>
  </si>
  <si>
    <t xml:space="preserve"> Appels évitables </t>
  </si>
  <si>
    <t xml:space="preserve"> Ajouter un moteur de recherche sémantique </t>
  </si>
  <si>
    <t xml:space="preserve"> Un processus de validation et de mise à jour des articles est formalisé</t>
  </si>
  <si>
    <t>Chaque article de la base fait-il l'objet d'une validation avant publication ?</t>
  </si>
  <si>
    <t xml:space="preserve"> Workflow de publication </t>
  </si>
  <si>
    <t xml:space="preserve"> Information erronée </t>
  </si>
  <si>
    <t xml:space="preserve"> Décisions fautives </t>
  </si>
  <si>
    <t xml:space="preserve"> Mettre en place une validation à 2 niveaux </t>
  </si>
  <si>
    <t xml:space="preserve"> La base intègre des fonctionnalités de feedback utilisateur</t>
  </si>
  <si>
    <t>Les utilisateurs peuvent-ils noter et commenter les articles ?</t>
  </si>
  <si>
    <t xml:space="preserve"> Système de feedback </t>
  </si>
  <si>
    <t xml:space="preserve"> Contenu obsolète </t>
  </si>
  <si>
    <t xml:space="preserve"> Perte de confiance </t>
  </si>
  <si>
    <t xml:space="preserve"> Implémenter un "like/dislike" avec commentaires </t>
  </si>
  <si>
    <t xml:space="preserve"> Des statistiques d'utilisation et d'efficacité sont régulièrement analysées</t>
  </si>
  <si>
    <t>La fréquentation et l'utilité perçue de la base sont-elles mesurées ?</t>
  </si>
  <si>
    <t xml:space="preserve"> Analytics d'usage </t>
  </si>
  <si>
    <t xml:space="preserve"> Investissement non justifié </t>
  </si>
  <si>
    <t xml:space="preserve"> Désengagement </t>
  </si>
  <si>
    <t xml:space="preserve"> Calculer un indice de satisfaction (CSAT) </t>
  </si>
  <si>
    <t>S’assurer que les appels sont enregistrés+B62</t>
  </si>
  <si>
    <t>S'assurer que les appels sont enregistrés</t>
  </si>
  <si>
    <t>1. L'ensemble des canaux de communication avec les utilisateurs fait l'objet d'enregistrements</t>
  </si>
  <si>
    <t xml:space="preserve"> Audit de conformité </t>
  </si>
  <si>
    <t xml:space="preserve"> Sanctions </t>
  </si>
  <si>
    <t xml:space="preserve"> Désigner un DPO interne </t>
  </si>
  <si>
    <t xml:space="preserve"> La politique d'enregistrement est conforme aux réglementations en vigueur</t>
  </si>
  <si>
    <t>Les modalités d'enregistrement respectent-elles les exigences du RGPD ?</t>
  </si>
  <si>
    <t xml:space="preserve"> Matrice des habilitations </t>
  </si>
  <si>
    <t xml:space="preserve"> Fuites de données </t>
  </si>
  <si>
    <t xml:space="preserve"> Atteinte réputation </t>
  </si>
  <si>
    <t xml:space="preserve"> Mettre en place un PAM (Privileged Access Management) </t>
  </si>
  <si>
    <t xml:space="preserve"> Les enregistrements sont stockés de manière sécurisée avec contrôle d'accès</t>
  </si>
  <si>
    <t>Seules les personnes autorisées peuvent-elles accéder aux enregistrements ?</t>
  </si>
  <si>
    <t xml:space="preserve"> Politique de rétention </t>
  </si>
  <si>
    <t xml:space="preserve"> Stockage illégal </t>
  </si>
  <si>
    <t xml:space="preserve"> Problèmes légaux </t>
  </si>
  <si>
    <t xml:space="preserve"> Appliquer la durée maximale de 13 mois </t>
  </si>
  <si>
    <t xml:space="preserve"> La durée de conservation des enregistrements est définie et appliquée</t>
  </si>
  <si>
    <t>Existe-t-il une règle claire concernant la période de conservation des données ?</t>
  </si>
  <si>
    <t xml:space="preserve"> Catalogue des cas d'apprentissage </t>
  </si>
  <si>
    <t xml:space="preserve"> Opportunités perdues </t>
  </si>
  <si>
    <t xml:space="preserve"> Stagnation </t>
  </si>
  <si>
    <t xml:space="preserve"> Créer une librairie anonymisée pour le coaching </t>
  </si>
  <si>
    <t xml:space="preserve"> Un échantillonnage des enregistrements est utilisé pour l'amélioration continue</t>
  </si>
  <si>
    <t>Les enregistrements servent-ils régulièrement à des fins de formation et d'optimisation ?</t>
  </si>
  <si>
    <t xml:space="preserve"> Politique de réutilisation </t>
  </si>
  <si>
    <t xml:space="preserve"> Non valorisation </t>
  </si>
  <si>
    <t xml:space="preserve"> Retour sur investissement faible </t>
  </si>
  <si>
    <t xml:space="preserve"> Formaliser un processus d'extraction de bonnes pratiques </t>
  </si>
  <si>
    <t>S’assurer que les appels sont enregistrés</t>
  </si>
  <si>
    <t>Image master standardisée disponible</t>
  </si>
  <si>
    <t>Existe-t-il des images système de référence ?</t>
  </si>
  <si>
    <t>Configuration minimum définie</t>
  </si>
  <si>
    <t>Les spécifications minimales sont-elles documentées ?</t>
  </si>
  <si>
    <t>Processus de déploiement automatisé</t>
  </si>
  <si>
    <t>L'installation peut-elle se faire sans intervention manuelle ?</t>
  </si>
  <si>
    <t>Tests de conformité post-installation</t>
  </si>
  <si>
    <t>Vérifie-t-on la conformité des machines déployées ?</t>
  </si>
  <si>
    <t>Mise à jour régulière du master</t>
  </si>
  <si>
    <t>L'image de référence est-elle actualisée trimestriellement ?</t>
  </si>
  <si>
    <t>S’assurer que des études de satisfaction sont réalisées auprès 
des utilisateurs</t>
  </si>
  <si>
    <t>S'assurer que des études de satisfaction sont réalisées</t>
  </si>
  <si>
    <t>1. Un questionnaire standardisé est utilisé pour mesurer la satisfaction utilisateur</t>
  </si>
  <si>
    <t xml:space="preserve"> Modèle de questionnaire validé </t>
  </si>
  <si>
    <t xml:space="preserve"> Feedback non standardisé </t>
  </si>
  <si>
    <t xml:space="preserve"> Données non comparables </t>
  </si>
  <si>
    <t xml:space="preserve"> Adopter un outil professionnel type NPS/CSAT </t>
  </si>
  <si>
    <t xml:space="preserve"> La fréquence des enquêtes permet un suivi significatif de l'évolution</t>
  </si>
  <si>
    <t>Des enquêtes sont-elles menées après chaque interaction significative avec les utilisateurs ?</t>
  </si>
  <si>
    <t xml:space="preserve"> Calendrier des enquêtes </t>
  </si>
  <si>
    <t xml:space="preserve"> Perception incomplète </t>
  </si>
  <si>
    <t xml:space="preserve"> Opportunités manquées </t>
  </si>
  <si>
    <t xml:space="preserve"> Automatiser les sondages post-intervention </t>
  </si>
  <si>
    <t xml:space="preserve"> Les résultats sont analysés et présentés sous forme de tableaux de bord</t>
  </si>
  <si>
    <t>Les données de satisfaction font-elles l'objet d'un reporting mensuel ?</t>
  </si>
  <si>
    <t xml:space="preserve"> Exemple de dashboard satisfaction </t>
  </si>
  <si>
    <t xml:space="preserve"> Décisions sans données </t>
  </si>
  <si>
    <t xml:space="preserve"> Stagnation qualité </t>
  </si>
  <si>
    <t xml:space="preserve"> Produire un rapport analytique mensuel </t>
  </si>
  <si>
    <t xml:space="preserve"> Des actions correctives sont engagées lorsque les scores sont insuffisants</t>
  </si>
  <si>
    <t>Les retours négatifs déclenchent-ils systématiquement un plan d'amélioration ?</t>
  </si>
  <si>
    <t xml:space="preserve"> Procédure gestion réclamations </t>
  </si>
  <si>
    <t xml:space="preserve"> Dégradation service </t>
  </si>
  <si>
    <t xml:space="preserve"> Instaurer un processus de traitement en 48h </t>
  </si>
  <si>
    <t xml:space="preserve"> La communication des résultats et des améliorations est faite auprès des utilisateurs</t>
  </si>
  <si>
    <t>Les clients sont-ils informés des mesures prises suite à leurs feedbacks ?</t>
  </si>
  <si>
    <t xml:space="preserve"> Modèle de communication post-feedback </t>
  </si>
  <si>
    <t xml:space="preserve"> Manque de transparence </t>
  </si>
  <si>
    <t xml:space="preserve"> Envoyer un retour personnalisé sous 5 jours </t>
  </si>
  <si>
    <t>S’assurer qu’il existe une évaluation de l’équipe HD, notamment 
pour les prestataires afin d’en évaluer le niveau de connaissance</t>
  </si>
  <si>
    <t>S'assurer qu'il existe une évaluation de l'équipe HD</t>
  </si>
  <si>
    <t>1. Un référentiel de compétences techniques et relationnelles est défini pour le HD</t>
  </si>
  <si>
    <t xml:space="preserve"> Référentiel métier complet </t>
  </si>
  <si>
    <t xml:space="preserve"> Compétences hétérogènes </t>
  </si>
  <si>
    <t xml:space="preserve"> Service inégal </t>
  </si>
  <si>
    <t xml:space="preserve"> Cartographier 10 compétences clés </t>
  </si>
  <si>
    <t xml:space="preserve"> Le processus d'évaluation inclut des mesures objectives et des feedbacks qualitatifs</t>
  </si>
  <si>
    <t>Les évaluations combinent-elles des KPI quantitatifs et des appréciations managériales ?</t>
  </si>
  <si>
    <t xml:space="preserve"> Grille d'évaluation mixte </t>
  </si>
  <si>
    <t xml:space="preserve"> Jugement subjectif </t>
  </si>
  <si>
    <t xml:space="preserve"> Démotivation </t>
  </si>
  <si>
    <t xml:space="preserve"> Pondérer 70% KPI/30% qualitatif </t>
  </si>
  <si>
    <t xml:space="preserve"> Les prestataires externes sont soumis aux mêmes exigences d'évaluation que le personnel interne</t>
  </si>
  <si>
    <t>Les sous-traitants font-ils l'objet d'évaluations régulières selon les mêmes critères ?</t>
  </si>
  <si>
    <t xml:space="preserve"> Rapport d'évaluation fournisseurs </t>
  </si>
  <si>
    <t xml:space="preserve"> Double standard </t>
  </si>
  <si>
    <t xml:space="preserve"> Risque qualité </t>
  </si>
  <si>
    <t xml:space="preserve"> Appliquer le même référentiel </t>
  </si>
  <si>
    <t xml:space="preserve"> Les résultats des évaluations influent sur les plans de formation individuels</t>
  </si>
  <si>
    <t>Chaque collaborateur dispose-t-il d'un programme de développement personnalisé ?</t>
  </si>
  <si>
    <t xml:space="preserve"> Plan de développement individuel </t>
  </si>
  <si>
    <t xml:space="preserve"> Stagnation compétences </t>
  </si>
  <si>
    <t xml:space="preserve"> Turnover </t>
  </si>
  <si>
    <t xml:space="preserve"> Co-construire des PDP annuels </t>
  </si>
  <si>
    <t xml:space="preserve"> La performance globale de l'équipe HD est suivie dans le temps</t>
  </si>
  <si>
    <t>Des indicateurs synthétiques permettent-ils de mesurer les progrès collectifs ?</t>
  </si>
  <si>
    <t xml:space="preserve"> Tableau de bord des compétences </t>
  </si>
  <si>
    <t xml:space="preserve"> Vision parcellaire </t>
  </si>
  <si>
    <t xml:space="preserve"> Décisions erronées </t>
  </si>
  <si>
    <t xml:space="preserve"> Calculer un indice de maturité trimestriel </t>
  </si>
  <si>
    <t>S’assurer que l’obtention des certifications (ITIL, ISO, COBIT, 
SIGMA) est encouragée au sein de la DSI, et du HD en particulier</t>
  </si>
  <si>
    <t>Encourager l'obtention de certifications</t>
  </si>
  <si>
    <t>1. La direction affiche clairement son soutien à la démarche de certification</t>
  </si>
  <si>
    <t xml:space="preserve"> PV de comité de direction </t>
  </si>
  <si>
    <t xml:space="preserve"> Manque d'engagement </t>
  </si>
  <si>
    <t xml:space="preserve"> Échec certification </t>
  </si>
  <si>
    <t xml:space="preserve"> Inclure la certification dans la stratégie </t>
  </si>
  <si>
    <t xml:space="preserve"> Des moyens financiers et organisationnels sont alloués à la préparation aux certifications</t>
  </si>
  <si>
    <t>Un budget spécifique est-il réservé chaque année aux frais d'examen et de formation ?</t>
  </si>
  <si>
    <t xml:space="preserve"> Budget formation certifié </t>
  </si>
  <si>
    <t xml:space="preserve"> Financement aléatoire </t>
  </si>
  <si>
    <t xml:space="preserve"> Abandons en cours </t>
  </si>
  <si>
    <t xml:space="preserve"> Allouer 5% de la masse salariale </t>
  </si>
  <si>
    <t xml:space="preserve"> Les certifications obtenues sont valorisées dans les parcours professionnels</t>
  </si>
  <si>
    <t>L'obtention de certifications ouvre-t-elle droit à des reconnaissances concrètes ?</t>
  </si>
  <si>
    <t xml:space="preserve"> Politique de récompense </t>
  </si>
  <si>
    <t xml:space="preserve"> Effort non valorisé </t>
  </si>
  <si>
    <t xml:space="preserve"> Prévoir bonus ou promotions </t>
  </si>
  <si>
    <t xml:space="preserve"> Un suivi centralisé des certifications permet de piloter la démarche</t>
  </si>
  <si>
    <t>Existe-t-il un registre des certifications obtenues par les collaborateurs ?</t>
  </si>
  <si>
    <t xml:space="preserve"> Registre des certifications </t>
  </si>
  <si>
    <t xml:space="preserve"> Visibilité insuffisante </t>
  </si>
  <si>
    <t xml:space="preserve"> Doublons formations </t>
  </si>
  <si>
    <t xml:space="preserve"> Tenir un registre centralisé </t>
  </si>
  <si>
    <t xml:space="preserve"> Les référentiels normatifs sont intégrés dans les processus métiers</t>
  </si>
  <si>
    <t>Les bonnes pratiques des normes sont-elles effectivement appliquées au quotidien ?</t>
  </si>
  <si>
    <t xml:space="preserve"> Audit de conformité aux normes </t>
  </si>
  <si>
    <t xml:space="preserve"> Écart théorie/pratique </t>
  </si>
  <si>
    <t xml:space="preserve"> Organiser des audits surprises </t>
  </si>
  <si>
    <t xml:space="preserve">Vérifier la procédure de déploiement des mises à jour, d’un 
nouveau logiciel </t>
  </si>
  <si>
    <t>Procédure documentée pour le déploiement</t>
  </si>
  <si>
    <t>Existe-t-il un document officiel décrivant les étapes ?</t>
  </si>
  <si>
    <t xml:space="preserve"> Procédure de déploiement </t>
  </si>
  <si>
    <t xml:space="preserve"> Incohérence des processus </t>
  </si>
  <si>
    <t xml:space="preserve"> Erreurs de déploiement </t>
  </si>
  <si>
    <t xml:space="preserve"> Formaliser un document unique de référence </t>
  </si>
  <si>
    <t>Plan de rollback prévu</t>
  </si>
  <si>
    <t>Des mécanismes de retour arrière sont-ils prévus ?</t>
  </si>
  <si>
    <t xml:space="preserve"> Plan de rollback </t>
  </si>
  <si>
    <t xml:space="preserve"> Impossibilité de restauration </t>
  </si>
  <si>
    <t xml:space="preserve"> Indisponibilité prolongée </t>
  </si>
  <si>
    <t xml:space="preserve"> Pré-tester les procédures de rollback </t>
  </si>
  <si>
    <t>Tests en environnement isolé</t>
  </si>
  <si>
    <t>Les mises à jour sont-elles testées avant déploiement ?</t>
  </si>
  <si>
    <t xml:space="preserve"> Rapport de tests </t>
  </si>
  <si>
    <t xml:space="preserve"> Bugs en production </t>
  </si>
  <si>
    <t xml:space="preserve"> Perturbation des utilisateurs </t>
  </si>
  <si>
    <t xml:space="preserve"> Implémenter un environnement de test dédié </t>
  </si>
  <si>
    <t>Calendrier de déploiement établi</t>
  </si>
  <si>
    <t>Les utilisateurs sont-ils informés des fenêtres de maintenance ?</t>
  </si>
  <si>
    <t xml:space="preserve"> Calendrier des maintenances </t>
  </si>
  <si>
    <t xml:space="preserve"> Perturbations imprévues </t>
  </si>
  <si>
    <t xml:space="preserve"> Perte de productivité </t>
  </si>
  <si>
    <t xml:space="preserve"> Automatiser les notifications 48h à l'avance </t>
  </si>
  <si>
    <t>Mesure d'impact post-déploiement</t>
  </si>
  <si>
    <t>Des indicateurs de performance sont-ils analysés ?</t>
  </si>
  <si>
    <t xml:space="preserve"> Dashboard de suivi </t>
  </si>
  <si>
    <t xml:space="preserve"> Dégradation non détectée </t>
  </si>
  <si>
    <t xml:space="preserve"> Baisse de qualité de service </t>
  </si>
  <si>
    <t xml:space="preserve"> Définir 5 KPI clés mensuels </t>
  </si>
  <si>
    <t>Vérifier les outils mis en place pour gérer les versions des 
logiciels</t>
  </si>
  <si>
    <t>Outil centralisé de gestion des versions</t>
  </si>
  <si>
    <t>Existe-t-il un système unique pour suivre les versions ?</t>
  </si>
  <si>
    <t xml:space="preserve"> Outil de gestion des versions </t>
  </si>
  <si>
    <t xml:space="preserve"> Confusion entre versions </t>
  </si>
  <si>
    <t xml:space="preserve"> Centraliser dans un CMDB </t>
  </si>
  <si>
    <t>Politique de versioning définie</t>
  </si>
  <si>
    <t>Les règles de numérotation sont-elles formalisées ?</t>
  </si>
  <si>
    <t xml:space="preserve"> Charte de versioning </t>
  </si>
  <si>
    <t xml:space="preserve"> Incohérence des numéros </t>
  </si>
  <si>
    <t xml:space="preserve"> Gestion chaotique </t>
  </si>
  <si>
    <t xml:space="preserve"> Adopter le semver (major.minor.patch) </t>
  </si>
  <si>
    <t>Historique des modifications documenté</t>
  </si>
  <si>
    <t>Peut-on tracer toutes les évolutions logicielles ?</t>
  </si>
  <si>
    <t xml:space="preserve"> Journal des changements </t>
  </si>
  <si>
    <t xml:space="preserve"> Historique incomplet </t>
  </si>
  <si>
    <t xml:space="preserve"> Difficulté d'audit </t>
  </si>
  <si>
    <t xml:space="preserve"> Imposer un commentaire obligatoire par commit </t>
  </si>
  <si>
    <t>Identification des versions critiques</t>
  </si>
  <si>
    <t>Les versions stables sont-elles clairement marquées ?</t>
  </si>
  <si>
    <t xml:space="preserve"> Politique de tagging </t>
  </si>
  <si>
    <t xml:space="preserve"> Utilisation de versions instables </t>
  </si>
  <si>
    <t xml:space="preserve"> Incidents évitables </t>
  </si>
  <si>
    <t xml:space="preserve"> Différencier clairement dev/stable/prod </t>
  </si>
  <si>
    <t>Comparaison possible entre versions</t>
  </si>
  <si>
    <t>Peut-on facilement comparer différentes versions ?</t>
  </si>
  <si>
    <t xml:space="preserve"> Outil de comparaison </t>
  </si>
  <si>
    <t xml:space="preserve"> Récupération difficile d'anciennes versions </t>
  </si>
  <si>
    <t xml:space="preserve"> Perte de fonctionnalités </t>
  </si>
  <si>
    <t xml:space="preserve"> Implémenter un système de diff visuel </t>
  </si>
  <si>
    <t>Vérifier les outils mis en place pour gérer le matériel 
informatique</t>
  </si>
  <si>
    <t>Inventaire matériel à jour</t>
  </si>
  <si>
    <t>Tous les équipements sont-ils répertoriés ?</t>
  </si>
  <si>
    <t xml:space="preserve"> Inventaire matériel </t>
  </si>
  <si>
    <t xml:space="preserve"> Machines non gérées </t>
  </si>
  <si>
    <t xml:space="preserve"> Failles de sécurité </t>
  </si>
  <si>
    <t xml:space="preserve"> Scanner automatiquement le réseau mensuellement </t>
  </si>
  <si>
    <t>Suivi du cycle de vie du matériel</t>
  </si>
  <si>
    <t>Existe-t-il un suivi de la durée d'utilisation ?</t>
  </si>
  <si>
    <t xml:space="preserve"> Registre de cycle de vie </t>
  </si>
  <si>
    <t xml:space="preserve"> Utilisation obsolète </t>
  </si>
  <si>
    <t xml:space="preserve"> Coûts inutiles </t>
  </si>
  <si>
    <t xml:space="preserve"> Définir une durée maximale d'utilisation (ex: 5 ans) </t>
  </si>
  <si>
    <t>Monitoring en temps réel du matériel</t>
  </si>
  <si>
    <t>La santé des équipements est-elle surveillée ?</t>
  </si>
  <si>
    <t xml:space="preserve"> Dashboard de monitoring </t>
  </si>
  <si>
    <t xml:space="preserve"> Pannes imprévues </t>
  </si>
  <si>
    <t xml:space="preserve"> Indisponibilité </t>
  </si>
  <si>
    <t xml:space="preserve"> Mettre en place des alertes automatiques </t>
  </si>
  <si>
    <t>Historique des interventions techniques</t>
  </si>
  <si>
    <t>Les réparations sont-elles documentées ?</t>
  </si>
  <si>
    <t xml:space="preserve"> Fiche d'intervention </t>
  </si>
  <si>
    <t xml:space="preserve"> Historique de maintenance perdu </t>
  </si>
  <si>
    <t xml:space="preserve"> Garanties non honorées </t>
  </si>
  <si>
    <t xml:space="preserve"> Compléter systématiquement un ticket de suivi </t>
  </si>
  <si>
    <t>Analyse des performances matérielles</t>
  </si>
  <si>
    <t>Des rapports périodiques sont-ils produits ?</t>
  </si>
  <si>
    <t xml:space="preserve"> Rapport d'activité trimestriel </t>
  </si>
  <si>
    <t xml:space="preserve"> Vision à court terme </t>
  </si>
  <si>
    <t xml:space="preserve"> Décisions non éclairées </t>
  </si>
  <si>
    <t xml:space="preserve"> Générer automatiquement des rapports </t>
  </si>
  <si>
    <t>S’assurer que l'installation des PC / portables est faite à partir 
d'un master (configuration minimum et standardisée)</t>
  </si>
  <si>
    <t xml:space="preserve"> Catalogue des images </t>
  </si>
  <si>
    <t xml:space="preserve"> Configuration hétérogène </t>
  </si>
  <si>
    <t xml:space="preserve"> Problèmes de compatibilité </t>
  </si>
  <si>
    <t xml:space="preserve"> Maintenir une image par type de machine </t>
  </si>
  <si>
    <t xml:space="preserve"> Fiche technique standard </t>
  </si>
  <si>
    <t xml:space="preserve"> Performances insuffisantes </t>
  </si>
  <si>
    <t xml:space="preserve"> Expérience utilisateur dégradée </t>
  </si>
  <si>
    <t xml:space="preserve"> Publier les specs sur l'intranet </t>
  </si>
  <si>
    <t xml:space="preserve"> Script d'installation automatisé </t>
  </si>
  <si>
    <t xml:space="preserve"> Temps de déploiement longs </t>
  </si>
  <si>
    <t xml:space="preserve"> Coûts élevés </t>
  </si>
  <si>
    <t xml:space="preserve"> Développer des packages autonomes </t>
  </si>
  <si>
    <t xml:space="preserve"> Checklist de conformité </t>
  </si>
  <si>
    <t xml:space="preserve"> Écarts par rapport au standard </t>
  </si>
  <si>
    <t xml:space="preserve"> Vulnérabilités </t>
  </si>
  <si>
    <t xml:space="preserve"> Automatiser les vérifications post-install </t>
  </si>
  <si>
    <t xml:space="preserve"> Calendrier des mises à jour </t>
  </si>
  <si>
    <t xml:space="preserve"> Images obsolètes </t>
  </si>
  <si>
    <t xml:space="preserve"> Failles non corrigées </t>
  </si>
  <si>
    <t xml:space="preserve"> Planifier des mises à jour régulières </t>
  </si>
  <si>
    <t>S’assurer qu’il existe un processus spécifique pour le suivi des 
mises à jour sur les portables</t>
  </si>
  <si>
    <t>Procédure dédiée aux portables</t>
  </si>
  <si>
    <t>Existe-t-il un processus spécifique pour les mobiles ?</t>
  </si>
  <si>
    <t xml:space="preserve"> Politique MDM </t>
  </si>
  <si>
    <t xml:space="preserve"> Gestion disparate des mobiles </t>
  </si>
  <si>
    <t xml:space="preserve"> Appliquer les mêmes règles qu'aux fixes </t>
  </si>
  <si>
    <t>Gestion des connexions intermittentes</t>
  </si>
  <si>
    <t>Le processus tient-il compte des connexions instables ?</t>
  </si>
  <si>
    <t xml:space="preserve"> Procédure pour bas débit </t>
  </si>
  <si>
    <t xml:space="preserve"> Échecs de déploiement </t>
  </si>
  <si>
    <t xml:space="preserve"> Temps perdus </t>
  </si>
  <si>
    <t xml:space="preserve"> Optimiser les paquets pour bas débit </t>
  </si>
  <si>
    <t>Priorisation des mises à jour critiques</t>
  </si>
  <si>
    <t>Peut-on forcer les mises à jour de sécurité ?</t>
  </si>
  <si>
    <t xml:space="preserve"> Politique de mise à jour </t>
  </si>
  <si>
    <t xml:space="preserve"> Exploitations possibles </t>
  </si>
  <si>
    <t xml:space="preserve"> Configurer des updates automatiques </t>
  </si>
  <si>
    <t>Centralisation de l'état des mises à jour</t>
  </si>
  <si>
    <t>Peut-on connaître le statut de toutes les machines ?</t>
  </si>
  <si>
    <t xml:space="preserve"> Console de gestion unifiée </t>
  </si>
  <si>
    <t xml:space="preserve"> Visibilité incomplète </t>
  </si>
  <si>
    <t xml:space="preserve"> Réaction retardée </t>
  </si>
  <si>
    <t xml:space="preserve"> Centraliser les informations dans un SIEM </t>
  </si>
  <si>
    <t>Flexibilité pour mises à jour non critiques</t>
  </si>
  <si>
    <t>Les utilisateurs peuvent-ils reporter les mises à jour ?</t>
  </si>
  <si>
    <t xml:space="preserve"> Politique de report </t>
  </si>
  <si>
    <t xml:space="preserve"> Retards critiques </t>
  </si>
  <si>
    <t xml:space="preserve"> Exposition aux risques </t>
  </si>
  <si>
    <t xml:space="preserve"> Limiter les reports à 7 jours max </t>
  </si>
  <si>
    <t xml:space="preserve">S’assurer que le déploiement de nouveaux logiciels ou mises à 
jour est possible à distance (utile pour les utilisateurs nomades) </t>
  </si>
  <si>
    <t>Solution de déploiement distant opérationnelle</t>
  </si>
  <si>
    <t>Peut-on déployer sur les machines nomades ?</t>
  </si>
  <si>
    <t xml:space="preserve"> Solution de déploiement distant </t>
  </si>
  <si>
    <t xml:space="preserve"> Machines non à jour </t>
  </si>
  <si>
    <t xml:space="preserve"> Utiliser un VPN pour les mises à jour </t>
  </si>
  <si>
    <t>Évaluation de la bande passante</t>
  </si>
  <si>
    <t>Les déploiements sont-ils optimisés pour les connexions limitées ?</t>
  </si>
  <si>
    <t xml:space="preserve"> Configuration pour bas débit </t>
  </si>
  <si>
    <t xml:space="preserve"> Consommation excessive </t>
  </si>
  <si>
    <t xml:space="preserve"> Surcharge réseau </t>
  </si>
  <si>
    <t xml:space="preserve"> Activer la compression différentielle </t>
  </si>
  <si>
    <t>Sécurité des transferts à distance</t>
  </si>
  <si>
    <t>Les échanges sont-ils chiffrés et authentifiés ?</t>
  </si>
  <si>
    <t xml:space="preserve"> Audit de sécurité </t>
  </si>
  <si>
    <t xml:space="preserve"> Interceptions possibles </t>
  </si>
  <si>
    <t xml:space="preserve"> Imposer TLS 1.3 + authentification forte </t>
  </si>
  <si>
    <t>Notification aux utilisateurs</t>
  </si>
  <si>
    <t>Les utilisateurs nomades sont-ils avertis ?</t>
  </si>
  <si>
    <t xml:space="preserve"> Procédure de notification </t>
  </si>
  <si>
    <t xml:space="preserve"> Interventions surprises </t>
  </si>
  <si>
    <t xml:space="preserve"> Envoyer une notification push avant déploiement </t>
  </si>
  <si>
    <t>Support technique dédié</t>
  </si>
  <si>
    <t>Existe-t-il une assistance spécifique pour le distant ?</t>
  </si>
  <si>
    <t xml:space="preserve"> Guide d'assistance mobile </t>
  </si>
  <si>
    <t xml:space="preserve"> Problèmes non résolus </t>
  </si>
  <si>
    <t xml:space="preserve"> Former une équipe dédiée au support mobile </t>
  </si>
  <si>
    <t>Vérifier qu’il est possible pour le HD de prendre la main à 
distance, si oui, en vérifier la procédure</t>
  </si>
  <si>
    <t>Outil sécurisé de prise de contrôle</t>
  </si>
  <si>
    <t>Le HD dispose-t-il d'une solution approuvée ?</t>
  </si>
  <si>
    <t xml:space="preserve"> Charte des outils autorisés </t>
  </si>
  <si>
    <t xml:space="preserve"> Outils non sécurisés </t>
  </si>
  <si>
    <t xml:space="preserve"> Violations de sécurité </t>
  </si>
  <si>
    <t xml:space="preserve"> Lister 3 outils approuvés maximum </t>
  </si>
  <si>
    <t>Procédure d'accès distant documentée</t>
  </si>
  <si>
    <t>Existe-t-il un protocole strict pour les interventions ?</t>
  </si>
  <si>
    <t xml:space="preserve"> Procédure d'intervention </t>
  </si>
  <si>
    <t xml:space="preserve"> Actions non contrôlées </t>
  </si>
  <si>
    <t xml:space="preserve"> Erreurs humaines </t>
  </si>
  <si>
    <t xml:space="preserve"> Imposer un workflow validé à chaque étape </t>
  </si>
  <si>
    <t>Consentement utilisateur obligatoire</t>
  </si>
  <si>
    <t>L'utilisateur doit-il donner son accord ?</t>
  </si>
  <si>
    <t xml:space="preserve"> Formulaire de consentement </t>
  </si>
  <si>
    <t xml:space="preserve"> Atteinte à la vie privée </t>
  </si>
  <si>
    <t xml:space="preserve"> Obtenir un accord écrit pour les accès </t>
  </si>
  <si>
    <t>Enregistrement des sessions distantes</t>
  </si>
  <si>
    <t>Peut-on tracer toutes les actions à distance ?</t>
  </si>
  <si>
    <t xml:space="preserve"> Journal d'audit </t>
  </si>
  <si>
    <t xml:space="preserve"> Actions non tracées </t>
  </si>
  <si>
    <t xml:space="preserve"> Abus possibles </t>
  </si>
  <si>
    <t xml:space="preserve"> Logger toutes les commandes exécutées </t>
  </si>
  <si>
    <t>Alternative en cas d'échec de connexion</t>
  </si>
  <si>
    <t>Existe-t-il un plan B pour les interventions ?</t>
  </si>
  <si>
    <t xml:space="preserve"> Procédure alternative </t>
  </si>
  <si>
    <t xml:space="preserve"> Blocage des interventions </t>
  </si>
  <si>
    <t xml:space="preserve"> Délais prolongés </t>
  </si>
  <si>
    <t xml:space="preserve"> Prévoir un accès physique en backup </t>
  </si>
  <si>
    <t>Vérifier comment est géré le parc informatique, quel type de 
machine, et quels outils y sont déployés</t>
  </si>
  <si>
    <t>Inventaire complet du parc</t>
  </si>
  <si>
    <t>Toutes les machines sont-elles répertoriées ?</t>
  </si>
  <si>
    <t xml:space="preserve"> Inventaire complet </t>
  </si>
  <si>
    <t xml:space="preserve"> Machines fantômes </t>
  </si>
  <si>
    <t xml:space="preserve"> Automatiser la découverte réseau hebdomadaire </t>
  </si>
  <si>
    <t>Adéquation machines/besoins métiers</t>
  </si>
  <si>
    <t>La répartition correspond-elle aux usages ?</t>
  </si>
  <si>
    <t xml:space="preserve"> Rapport d'adéquation besoins/ressources </t>
  </si>
  <si>
    <t xml:space="preserve"> Sur/sous dimensionnement </t>
  </si>
  <si>
    <t xml:space="preserve"> Analyser les logs d'utilisation trimestriellement </t>
  </si>
  <si>
    <t>Plan stratégique de renouvellement</t>
  </si>
  <si>
    <t>Existe-t-il une planification des investissements ?</t>
  </si>
  <si>
    <t xml:space="preserve"> Plan pluriannuel d'évolution </t>
  </si>
  <si>
    <t xml:space="preserve"> Obsolescence programmée </t>
  </si>
  <si>
    <t xml:space="preserve"> Coûts de rattrapage </t>
  </si>
  <si>
    <t xml:space="preserve"> Établir un cycle de renouvellement </t>
  </si>
  <si>
    <t>Gestion centralisée du parc</t>
  </si>
  <si>
    <t>Peut-on administrer toutes les machines depuis une console ?</t>
  </si>
  <si>
    <t xml:space="preserve"> Solution d'administration centralisée </t>
  </si>
  <si>
    <t xml:space="preserve"> Gestion fragmentée </t>
  </si>
  <si>
    <t xml:space="preserve"> Inefficacité </t>
  </si>
  <si>
    <t xml:space="preserve"> Déployer un outil comme SCCM/Ansible </t>
  </si>
  <si>
    <t>Vérification régulière de conformité</t>
  </si>
  <si>
    <t>Des audits techniques sont-ils réalisés périodiquement ?</t>
  </si>
  <si>
    <t xml:space="preserve"> Rapport d'audit </t>
  </si>
  <si>
    <t xml:space="preserve"> Dérives non détectées </t>
  </si>
  <si>
    <t xml:space="preserve"> Cumul de vulnérabilités </t>
  </si>
  <si>
    <t xml:space="preserve"> Programmer des audits semestriels </t>
  </si>
  <si>
    <t>Vérifier comment est effectué l'inventaire des licences (logiciel, 
version, date de mise en production, nombre d'utilisateurs)</t>
  </si>
  <si>
    <t>L'inventaire recense précisément chaque logiciel, sa version, sa date de déploiement et son nombre d'utilisateurs autorisés.</t>
  </si>
  <si>
    <t>L'inventaire actuel contient-il ces quatre informations pour 100 % des licences ?</t>
  </si>
  <si>
    <t xml:space="preserve"> Rapport d'exhaustivité de l'inventaire </t>
  </si>
  <si>
    <t xml:space="preserve"> Automatiser la collecte des données </t>
  </si>
  <si>
    <t>2. Une personne responsable est désignée pour maintenir cet inventaire à jour.</t>
  </si>
  <si>
    <t>Existe-t-il un référent identifié pour les mises à jour mensuelles de l'inventaire ?</t>
  </si>
  <si>
    <t xml:space="preserve"> Désignation officielle du référent </t>
  </si>
  <si>
    <t xml:space="preserve"> Données obsolètes </t>
  </si>
  <si>
    <t xml:space="preserve"> Nommer un référent principal + un suppléant </t>
  </si>
  <si>
    <t>3. L'inventaire est accessible aux équipes concernées (DSI, achats, juridique).</t>
  </si>
  <si>
    <t>Les services impliqués peuvent-ils consulter facilement les données ?</t>
  </si>
  <si>
    <t xml:space="preserve"> Manuel d'accès aux données </t>
  </si>
  <si>
    <t xml:space="preserve"> Silos d'information </t>
  </si>
  <si>
    <t xml:space="preserve"> Doublons de travail </t>
  </si>
  <si>
    <t xml:space="preserve"> Créer un portail unique de consultation </t>
  </si>
  <si>
    <t>4. Un processus formalisé existe pour ajouter/supprimer des licences dans l'inventaire.</t>
  </si>
  <si>
    <t>Les modifications suivent-elles une procédure documentée ?</t>
  </si>
  <si>
    <t xml:space="preserve"> Procédure de gestion des changements </t>
  </si>
  <si>
    <t xml:space="preserve"> Modifications non contrôlées </t>
  </si>
  <si>
    <t xml:space="preserve"> Incohérences </t>
  </si>
  <si>
    <t xml:space="preserve"> Implémenter un workflow validé </t>
  </si>
  <si>
    <t>5. Des contrôles aléatoires sont effectués pour valider l'exactitude des données.</t>
  </si>
  <si>
    <t>Des vérifications ponctuelles sont-elles prévues pour corriger les écarts ?</t>
  </si>
  <si>
    <t xml:space="preserve"> Calendrier des audits </t>
  </si>
  <si>
    <t xml:space="preserve"> Écarts non détectés </t>
  </si>
  <si>
    <t xml:space="preserve"> Cumul d'erreurs </t>
  </si>
  <si>
    <t xml:space="preserve"> Programmer des vérifications trimestrielles </t>
  </si>
  <si>
    <t>S’assurer que les outils de type SAM (Software Asset 
Management) sont déployés</t>
  </si>
  <si>
    <t>1. Un outil SAM est utilisé pour suivre automatiquement les licences et leur utilisation.</t>
  </si>
  <si>
    <t>L'outil couvre-t-il au moins 90 % du parc logiciel ?</t>
  </si>
  <si>
    <t xml:space="preserve"> Rapport de couverture fonctionnelle </t>
  </si>
  <si>
    <t xml:space="preserve"> Zones d'ombre </t>
  </si>
  <si>
    <t xml:space="preserve"> Risques cachés </t>
  </si>
  <si>
    <t xml:space="preserve"> Étendre la couverture ou changer d'outil </t>
  </si>
  <si>
    <t>2. Le SAM génère des alertes pour les licences expirées ou sous-utilisées.</t>
  </si>
  <si>
    <t>Des notifications proactives sont-elles configurées ?</t>
  </si>
  <si>
    <t xml:space="preserve"> Journal des alertes </t>
  </si>
  <si>
    <t xml:space="preserve"> Réaction tardive </t>
  </si>
  <si>
    <t xml:space="preserve"> Problèmes aggravés </t>
  </si>
  <si>
    <t xml:space="preserve"> Configurer des alertes pour les dates clés </t>
  </si>
  <si>
    <t>3. L'outil est interfacé avec l'inventaire manuel pour éviter les doublons.</t>
  </si>
  <si>
    <t>Existe-t-il une synchronisation entre le SAM et les autres bases ?</t>
  </si>
  <si>
    <t xml:space="preserve"> Schéma d'intégration des systèmes </t>
  </si>
  <si>
    <t xml:space="preserve"> Données contradictoires </t>
  </si>
  <si>
    <t xml:space="preserve"> Automatiser les synchronisations quotidiennes </t>
  </si>
  <si>
    <t>4. Les équipes techniques sont formées à son utilisation.</t>
  </si>
  <si>
    <t>Le personnel concerné a-t-il reçu une formation dans les 6 derniers mois ?</t>
  </si>
  <si>
    <t xml:space="preserve"> Registre des formations </t>
  </si>
  <si>
    <t xml:space="preserve"> Organiser des sessions semestrielles </t>
  </si>
  <si>
    <t>5. Un rapport mensuel est produit pour analyser les économies potentielles.</t>
  </si>
  <si>
    <t>Ces rapports incluent-ils des recommandations d'optimisation ?</t>
  </si>
  <si>
    <t xml:space="preserve"> Exemple de rapport avec recommandations </t>
  </si>
  <si>
    <t xml:space="preserve"> Standardiser une section "recommandations" </t>
  </si>
  <si>
    <t>S’assurer qu’il existe des revues régulières des licences</t>
  </si>
  <si>
    <t>1. Des revues trimestrielles sont planifiées avec un ordre du jour standardisé.</t>
  </si>
  <si>
    <t>Ces réunions ont-elles lieu systématiquement avec un template défini ?</t>
  </si>
  <si>
    <t xml:space="preserve"> Template de compte-rendu </t>
  </si>
  <si>
    <t xml:space="preserve"> Discussions inefficaces </t>
  </si>
  <si>
    <t xml:space="preserve"> Décisions floues </t>
  </si>
  <si>
    <t xml:space="preserve"> Utiliser un modèle structuré </t>
  </si>
  <si>
    <t>2. Les participants incluent la DSI, les achats et les métiers concernés.</t>
  </si>
  <si>
    <t>Toutes les parties prenantes sont-elles représentées ?</t>
  </si>
  <si>
    <t xml:space="preserve"> Points de vue manquants </t>
  </si>
  <si>
    <t xml:space="preserve"> Décisions partiales </t>
  </si>
  <si>
    <t xml:space="preserve"> Imposer la présence des services clés </t>
  </si>
  <si>
    <t>3. Un suivi des actions correctives est partagé après chaque revue.</t>
  </si>
  <si>
    <t>Les décisions sont-elles documentées et assignées à des responsables ?</t>
  </si>
  <si>
    <t xml:space="preserve"> PV de réunion avec actions </t>
  </si>
  <si>
    <t xml:space="preserve"> Suivi impossible </t>
  </si>
  <si>
    <t xml:space="preserve"> Rien ne change </t>
  </si>
  <si>
    <t xml:space="preserve"> Utiliser un outil de suivi d'actions </t>
  </si>
  <si>
    <t>4. Les écarts de conformité sont prioritaires dans les discussions.</t>
  </si>
  <si>
    <t>Les risques juridiques/financiers sont-ils analysés en premier ?</t>
  </si>
  <si>
    <t xml:space="preserve"> Procédure d'analyse des risques </t>
  </si>
  <si>
    <t xml:space="preserve"> Priorités mal définies </t>
  </si>
  <si>
    <t xml:space="preserve"> Problèmes graves non traités </t>
  </si>
  <si>
    <t xml:space="preserve"> Adopter une méthodologie type ISO 31000 </t>
  </si>
  <si>
    <t>5. L’historique des revues est archivé pour référence future.</t>
  </si>
  <si>
    <t>Peut-on retrouver les comptes-rendus des 12 derniers mois ?</t>
  </si>
  <si>
    <t xml:space="preserve"> Archive des comptes-rendus </t>
  </si>
  <si>
    <t xml:space="preserve"> Historique perdu </t>
  </si>
  <si>
    <t xml:space="preserve"> Centraliser dans un système de GED </t>
  </si>
  <si>
    <t>S’assurer qu’il existe une base de données de gestion de 
configuration de type CMDB (Configuration Management Data Base)</t>
  </si>
  <si>
    <t>1. Une CMDB centralise les données de configuration, incluant les licences.</t>
  </si>
  <si>
    <t>La base intègre-t-elle les logiciels, serveurs et utilisateurs finaux ?</t>
  </si>
  <si>
    <t xml:space="preserve"> Modèle de données complet </t>
  </si>
  <si>
    <t xml:space="preserve"> Vision fragmentée </t>
  </si>
  <si>
    <t xml:space="preserve"> Concevoir un modèle unifié </t>
  </si>
  <si>
    <t>2. Les mises à jour sont automatiques via des connecteurs avec les outils métiers.</t>
  </si>
  <si>
    <t>Au moins 80 % des données sont-elles synchronisées sans intervention manuelle ?</t>
  </si>
  <si>
    <t xml:space="preserve"> Rapport de synchronisation </t>
  </si>
  <si>
    <t xml:space="preserve"> Saisie manuelle </t>
  </si>
  <si>
    <t xml:space="preserve"> Automatiser les flux via API </t>
  </si>
  <si>
    <t>3. Un processus de validation garantit la qualité des données avant intégration.</t>
  </si>
  <si>
    <t>Existe-t-il une checklist pour vérifier les nouvelles entrées ?</t>
  </si>
  <si>
    <t xml:space="preserve"> Checklist de validation </t>
  </si>
  <si>
    <t xml:space="preserve"> Données incomplètes </t>
  </si>
  <si>
    <t xml:space="preserve"> Inventaire peu fiable </t>
  </si>
  <si>
    <t xml:space="preserve"> Intégrer la checklist dans le workflow </t>
  </si>
  <si>
    <t>4. La CMDB permet des analyses transverses (coûts, risques, performance).</t>
  </si>
  <si>
    <t>Peut-on extraire des rapports combinant plusieurs types de données ?</t>
  </si>
  <si>
    <t xml:space="preserve"> Catalogue des rapports disponibles </t>
  </si>
  <si>
    <t xml:space="preserve"> Analyses limitées </t>
  </si>
  <si>
    <t xml:space="preserve"> Décisions partielles </t>
  </si>
  <si>
    <t xml:space="preserve"> Développer des vues croisées </t>
  </si>
  <si>
    <t>5. L’accès est restreint selon les rôles (lecture/modification).</t>
  </si>
  <si>
    <t>Les droits sont-ils attribués en fonction des besoins de chaque service ?</t>
  </si>
  <si>
    <t xml:space="preserve"> Accès excessifs </t>
  </si>
  <si>
    <t xml:space="preserve"> Appliquer le principe du moindre privilège </t>
  </si>
  <si>
    <t>S’assurer que la DSI est sensibilisée aux enjeux de la maîtrise 
des licences ? (notamment en cas de contrôle)</t>
  </si>
  <si>
    <t>. Une formation annuelle est obligatoire pour les équipes techniques.</t>
  </si>
  <si>
    <t>Tous les collaborateurs ont-ils suivi ce module dans les 12 derniers mois ?</t>
  </si>
  <si>
    <t xml:space="preserve"> Rapport de complétion des formations </t>
  </si>
  <si>
    <t xml:space="preserve"> Non-conformité généralisée </t>
  </si>
  <si>
    <t xml:space="preserve"> Risque juridique </t>
  </si>
  <si>
    <t xml:space="preserve"> Bloquer les accès sans formation </t>
  </si>
  <si>
    <t>2. Les risques financiers et juridiques sont inclus dans les supports de formation.</t>
  </si>
  <si>
    <t>Les exemples de sanctions ou amendes sont-ils mentionnés ?</t>
  </si>
  <si>
    <t xml:space="preserve"> Recueil de cas pratiques </t>
  </si>
  <si>
    <t xml:space="preserve"> Sous-estimation des risques </t>
  </si>
  <si>
    <t xml:space="preserve"> Répétition d'erreurs </t>
  </si>
  <si>
    <t xml:space="preserve"> Ajouter des cas concrets dans la formation </t>
  </si>
  <si>
    <t>3. La direction reçoit un reporting trimestriel sur l’état des licences.</t>
  </si>
  <si>
    <t>Ces rapports incluent-ils une évaluation des risques ?</t>
  </si>
  <si>
    <t xml:space="preserve"> Modèle de rapport avec analyse risque </t>
  </si>
  <si>
    <t xml:space="preserve"> Problèmes non anticipés </t>
  </si>
  <si>
    <t xml:space="preserve"> Adopter une échelle de risque standardisée </t>
  </si>
  <si>
    <t>4. Un référentiel des bonnes pratiques est accessible en interne.</t>
  </si>
  <si>
    <t>Existe-t-il un guide sur l’usage conforme des logiciels ?</t>
  </si>
  <si>
    <t xml:space="preserve"> Guide des bonnes pratiques </t>
  </si>
  <si>
    <t xml:space="preserve"> Utilisation abusive </t>
  </si>
  <si>
    <t xml:space="preserve"> Violation de licence </t>
  </si>
  <si>
    <t xml:space="preserve"> Diffuser largement le guide </t>
  </si>
  <si>
    <t>5. Les nouveaux employés sont sensibilisés lors de leur onboarding.</t>
  </si>
  <si>
    <t>La gestion des licences fait-elle partie des formations initiales ?</t>
  </si>
  <si>
    <t xml:space="preserve"> Programme d'onboarding </t>
  </si>
  <si>
    <t xml:space="preserve"> Nouveaux collaborateurs non formés </t>
  </si>
  <si>
    <t xml:space="preserve"> Erreurs rapides </t>
  </si>
  <si>
    <t xml:space="preserve"> Intégrer un module obligatoire </t>
  </si>
  <si>
    <t>Vérifier que des audits sont réalisés</t>
  </si>
  <si>
    <t>Un document officiel définit les règles d’achat, de déploiement et de suivi.</t>
  </si>
  <si>
    <t>Cette politique est-elle signée par la direction générale ?</t>
  </si>
  <si>
    <t xml:space="preserve"> Politique signée </t>
  </si>
  <si>
    <t xml:space="preserve"> Non-application </t>
  </si>
  <si>
    <t xml:space="preserve"> Obtenir la signature formelle </t>
  </si>
  <si>
    <t>Les rôles et responsabilités (DSI, achats, métiers) sont clairement attribués.</t>
  </si>
  <si>
    <t>Chaque service connaît-il ses obligations concernant les licences ?</t>
  </si>
  <si>
    <t xml:space="preserve"> Matrice RACI </t>
  </si>
  <si>
    <t xml:space="preserve"> Confusion des rôles </t>
  </si>
  <si>
    <t xml:space="preserve"> Responsabilités floues </t>
  </si>
  <si>
    <t xml:space="preserve"> Clarifier les responsabilités par service </t>
  </si>
  <si>
    <t>La politique couvre les logiciels libres, SaaS et sur étagère.</t>
  </si>
  <si>
    <t>Tous les types de licences sont-ils explicitement mentionnés ?</t>
  </si>
  <si>
    <t xml:space="preserve"> Liste exhaustive des types </t>
  </si>
  <si>
    <t xml:space="preserve"> Gestion inadaptée </t>
  </si>
  <si>
    <t xml:space="preserve"> Maintenir une typologie à jour </t>
  </si>
  <si>
    <t>Les procédures en cas de contrôle d’un éditeur sont détaillées.</t>
  </si>
  <si>
    <t>Existe-t-il un protocole pour fournir les preuves de conformité ?</t>
  </si>
  <si>
    <t xml:space="preserve"> Procédure de réponse aux audits </t>
  </si>
  <si>
    <t xml:space="preserve"> Preuves incomplètes </t>
  </si>
  <si>
    <t xml:space="preserve"> Préparer un dossier type toujours à jour </t>
  </si>
  <si>
    <t>La politique est révisée annuellement pour s’adapter aux évolutions.</t>
  </si>
  <si>
    <t>Une mise à jour a-t-elle été effectuée dans l’année écoulée ?</t>
  </si>
  <si>
    <t xml:space="preserve"> Historique des versions </t>
  </si>
  <si>
    <t xml:space="preserve"> Politique obsolète </t>
  </si>
  <si>
    <t xml:space="preserve"> Planifier des révisions annuelles </t>
  </si>
  <si>
    <t>Vérifier qu’une politique logicielle existe</t>
  </si>
  <si>
    <t>Une politique logicielle formelle est documentée et approuvée par la direction</t>
  </si>
  <si>
    <t>Existe-t-il un document officiel définissant la politique de gestion des licences logicielles, signé par la direction générale ?</t>
  </si>
  <si>
    <t xml:space="preserve"> Politique de gestion des licences </t>
  </si>
  <si>
    <t xml:space="preserve"> Approche disparate </t>
  </si>
  <si>
    <t xml:space="preserve"> Rédiger et diffuser un document cadre </t>
  </si>
  <si>
    <t>La politique couvre l'ensemble du cycle de vie des licences (acquisition, déploiement, suivi, renouvellement, désinstallation)</t>
  </si>
  <si>
    <t>Le document aborde-t-il toutes les étapes depuis l'achat jusqu'à la fin d'utilisation des licences ?</t>
  </si>
  <si>
    <t xml:space="preserve"> Processus complet documenté </t>
  </si>
  <si>
    <t xml:space="preserve"> Étapes manquantes </t>
  </si>
  <si>
    <t xml:space="preserve"> Risques non couverts </t>
  </si>
  <si>
    <t xml:space="preserve"> Modéliser le processus de A à Z </t>
  </si>
  <si>
    <t>Les rôles et responsabilités des différents acteurs (DSI, services achats, utilisateurs) sont clairement définis</t>
  </si>
  <si>
    <t>La politique précise-t-elle qui est responsable de chaque activité liée aux licences (demande, approbation, gestion) ?</t>
  </si>
  <si>
    <t xml:space="preserve"> Organigramme des responsabilités </t>
  </si>
  <si>
    <t xml:space="preserve"> Dilution des responsabilités </t>
  </si>
  <si>
    <t xml:space="preserve"> Actions non menées </t>
  </si>
  <si>
    <t xml:space="preserve"> Désigner clairement les responsables </t>
  </si>
  <si>
    <t>La politique intègre des procédures spécifiques pour faire face aux audits des éditeurs</t>
  </si>
  <si>
    <t>Le document prévoit-il des actions à mener en cas de contrôle par un éditeur de logiciel ?</t>
  </si>
  <si>
    <t xml:space="preserve"> Plan de réponse aux audits </t>
  </si>
  <si>
    <t xml:space="preserve"> Improvisation lors des contrôles </t>
  </si>
  <si>
    <t xml:space="preserve"> Sanctions sévères </t>
  </si>
  <si>
    <t xml:space="preserve"> Préparer des scénarios de réponse </t>
  </si>
  <si>
    <t>La politique est régulièrement mise à jour pour tenir compte des évolutions technologiques et juridiques</t>
  </si>
  <si>
    <t>La dernière révision de la politique date-t-elle de moins d'un an ?</t>
  </si>
  <si>
    <t xml:space="preserve"> PV de dernière révision </t>
  </si>
  <si>
    <t xml:space="preserve"> Politique dépassée </t>
  </si>
  <si>
    <t xml:space="preserve"> Planifier des revues annuelles systématiques </t>
  </si>
  <si>
    <t>Support utilisateur</t>
  </si>
  <si>
    <t>Points de contrôle</t>
  </si>
  <si>
    <t>Objectifs de contrôle</t>
  </si>
  <si>
    <t>Critères d'évaluation</t>
  </si>
  <si>
    <t>Gestion des communications et des opérations</t>
  </si>
  <si>
    <t>Vérifier que la documentation des procédures et les 
responsabilités opérationnelles existe</t>
  </si>
  <si>
    <t>Toutes les procédures opérationnelles critiques sont documentées</t>
  </si>
  <si>
    <t>Toutes les procédures critiques sont-elles formalisées par écrit ?</t>
  </si>
  <si>
    <t xml:space="preserve"> Inventaire des procédures critiques </t>
  </si>
  <si>
    <t xml:space="preserve"> Erreurs opérationnelles </t>
  </si>
  <si>
    <t xml:space="preserve"> Établir une matrice des procédures obligatoires </t>
  </si>
  <si>
    <t>Les responsabilités opérationnelles sont clairement attribuées et documentées</t>
  </si>
  <si>
    <t>Les rôles et responsabilités sont-ils explicitement définis ?</t>
  </si>
  <si>
    <t xml:space="preserve"> Confusion des responsabilités </t>
  </si>
  <si>
    <t xml:space="preserve"> Retards dans l'exécution </t>
  </si>
  <si>
    <t xml:space="preserve"> Mettre à jour la matrice semestriellement </t>
  </si>
  <si>
    <t>La documentation est accessible à l'ensemble du personnel concerné</t>
  </si>
  <si>
    <t>Le personnel a-t-il facilement accès à la documentation ?</t>
  </si>
  <si>
    <t xml:space="preserve"> Guide d'accès à la documentation </t>
  </si>
  <si>
    <t xml:space="preserve"> Non-application des procédures </t>
  </si>
  <si>
    <t xml:space="preserve"> Déployer un portail documentaire unique </t>
  </si>
  <si>
    <t>La documentation est à jour et révisée régulièrement</t>
  </si>
  <si>
    <t>La documentation est-elle actualisée au moins annuellement ?</t>
  </si>
  <si>
    <t xml:space="preserve"> Historique des révisions </t>
  </si>
  <si>
    <t xml:space="preserve"> Procédures obsolètes </t>
  </si>
  <si>
    <t>Un processus de validation de la documentation est formalisé</t>
  </si>
  <si>
    <t>Existe-t-il une procédure de validation des documents ?</t>
  </si>
  <si>
    <t xml:space="preserve"> Workflow de validation </t>
  </si>
  <si>
    <t xml:space="preserve"> Documents non validés </t>
  </si>
  <si>
    <t xml:space="preserve"> Imposer une validation à deux niveaux </t>
  </si>
  <si>
    <t>Vérifier que le contrôle des modifications opérationnelles est 
réalisé</t>
  </si>
  <si>
    <t>Toute modification opérationnelle fait l'objet d'une demande formalisée</t>
  </si>
  <si>
    <t>Existe-t-il un formulaire de demande de modification ?</t>
  </si>
  <si>
    <t xml:space="preserve"> Modèle de demande de modification </t>
  </si>
  <si>
    <t xml:space="preserve"> Changements non contrôlés </t>
  </si>
  <si>
    <t xml:space="preserve"> Instabilité </t>
  </si>
  <si>
    <t xml:space="preserve"> Standardiser les demandes via un formulaire électronique </t>
  </si>
  <si>
    <t>Les modifications sont analysées pour évaluer leur impact</t>
  </si>
  <si>
    <t>L'impact des modifications est-il systématiquement évalué ?</t>
  </si>
  <si>
    <t xml:space="preserve"> Grille d'analyse d'impact </t>
  </si>
  <si>
    <t xml:space="preserve"> Changements mal évalués </t>
  </si>
  <si>
    <t xml:space="preserve"> Incidents post-déploiement </t>
  </si>
  <si>
    <t xml:space="preserve"> Implémenter une analyse d'impact formelle </t>
  </si>
  <si>
    <t>Un processus d'approbation des modifications est en place</t>
  </si>
  <si>
    <t>Les modifications requièrent-elles une approbation formelle ?</t>
  </si>
  <si>
    <t xml:space="preserve"> Procédure d'approbation </t>
  </si>
  <si>
    <t xml:space="preserve"> Changements non autorisés </t>
  </si>
  <si>
    <t xml:space="preserve"> Risques non maîtrisés </t>
  </si>
  <si>
    <t xml:space="preserve"> Exiger une signature électronique </t>
  </si>
  <si>
    <t>Les modifications sont testées avant mise en production</t>
  </si>
  <si>
    <t>Des tests sont-ils réalisés avant déploiement ?</t>
  </si>
  <si>
    <t xml:space="preserve"> Plan de tests </t>
  </si>
  <si>
    <t xml:space="preserve"> Perturbation du service </t>
  </si>
  <si>
    <t xml:space="preserve"> Créer un environnement de test dédié </t>
  </si>
  <si>
    <t>Un journal des modifications est tenu à jour</t>
  </si>
  <si>
    <t>Toutes les modifications sont-elles enregistrées et tracées ?</t>
  </si>
  <si>
    <t xml:space="preserve"> Utiliser un système de ticketing </t>
  </si>
  <si>
    <t>Vérifier que des procédures de gestion des incidents existent</t>
  </si>
  <si>
    <t>Une procédure formelle de déclaration des incidents existe</t>
  </si>
  <si>
    <t>Comment les incidents doivent-ils être déclarés ?</t>
  </si>
  <si>
    <t xml:space="preserve"> Procédure de déclaration d'incident </t>
  </si>
  <si>
    <t xml:space="preserve"> Signalement tardif </t>
  </si>
  <si>
    <t xml:space="preserve"> Aggravation </t>
  </si>
  <si>
    <t xml:space="preserve"> Simplifier le processus de déclaration </t>
  </si>
  <si>
    <t>Les différents niveaux de gravité des incidents sont définis</t>
  </si>
  <si>
    <t>Existe-t-il une classification des incidents par criticité ?</t>
  </si>
  <si>
    <t xml:space="preserve"> Grille de criticité </t>
  </si>
  <si>
    <t xml:space="preserve"> Priorisation erronée </t>
  </si>
  <si>
    <t xml:space="preserve"> Ressources mal allouées </t>
  </si>
  <si>
    <t xml:space="preserve"> Adopter une échelle à 4 niveaux </t>
  </si>
  <si>
    <t>Les délais de traitement sont formalisés pour chaque type d'incident</t>
  </si>
  <si>
    <t>Des délais de résolution sont-ils définis ?</t>
  </si>
  <si>
    <t xml:space="preserve"> Tableau des SLA incidents </t>
  </si>
  <si>
    <t xml:space="preserve"> Délais excessifs </t>
  </si>
  <si>
    <t xml:space="preserve"> Définir des objectifs réalistes </t>
  </si>
  <si>
    <t>Un processus d'analyse post-incident est prévu</t>
  </si>
  <si>
    <t>Les incidents font-ils l'objet d'une analyse a posteriori ?</t>
  </si>
  <si>
    <t xml:space="preserve"> Procédure post-mortem </t>
  </si>
  <si>
    <t xml:space="preserve"> Répétition des incidents </t>
  </si>
  <si>
    <t xml:space="preserve"> Non-amélioration </t>
  </si>
  <si>
    <t xml:space="preserve"> Organiser des retours d'expérience </t>
  </si>
  <si>
    <t>Les actions correctives sont documentées et suivies</t>
  </si>
  <si>
    <t>Les solutions apportées sont-elles enregistrées ?</t>
  </si>
  <si>
    <t xml:space="preserve"> Base de connaissances </t>
  </si>
  <si>
    <t xml:space="preserve"> Perte d'expérience </t>
  </si>
  <si>
    <t xml:space="preserve"> Temps perdu </t>
  </si>
  <si>
    <t xml:space="preserve"> Alimenter systématiquement la KB </t>
  </si>
  <si>
    <t>Vérifier que la séparation des fonctions et des 
infrastructures existe</t>
  </si>
  <si>
    <t>Les droits d'accès sont attribués selon le principe de moindre privilège</t>
  </si>
  <si>
    <t>Les accès sont-ils limités au strict nécessaire ?</t>
  </si>
  <si>
    <t xml:space="preserve"> Politique de moindre privilège </t>
  </si>
  <si>
    <t xml:space="preserve"> Réviser les habilitations trimestriellement </t>
  </si>
  <si>
    <t>Les environnements de production et de développement sont physiquement ou logiquement séparés</t>
  </si>
  <si>
    <t>La séparation production/développement est-elle effective ?</t>
  </si>
  <si>
    <t xml:space="preserve"> Audit d'environnements </t>
  </si>
  <si>
    <t xml:space="preserve"> Contamination production </t>
  </si>
  <si>
    <t xml:space="preserve"> Isoler physiquement les environnements </t>
  </si>
  <si>
    <t>Aucun individu ne cumule des fonctions incompatibles</t>
  </si>
  <si>
    <t>Les conflits d'intérêts potentiels sont-ils identifiés ?</t>
  </si>
  <si>
    <t xml:space="preserve"> Matrice des conflits </t>
  </si>
  <si>
    <t xml:space="preserve"> Abus de position </t>
  </si>
  <si>
    <t xml:space="preserve"> Fraude </t>
  </si>
  <si>
    <t xml:space="preserve"> Former les managers à la détection </t>
  </si>
  <si>
    <t>Les accès aux systèmes critiques font l'objet d'un contrôle renforcé</t>
  </si>
  <si>
    <t>Existe-t-il un double contrôle pour les accès sensibles ?</t>
  </si>
  <si>
    <t xml:space="preserve"> Procédure à quatre yeux </t>
  </si>
  <si>
    <t xml:space="preserve"> Erreurs critiques </t>
  </si>
  <si>
    <t xml:space="preserve"> Imposer une validation systématique </t>
  </si>
  <si>
    <t>La matrice des droits d'accès est documentée et actualisée</t>
  </si>
  <si>
    <t>La liste des habilitations est-elle à jour ?</t>
  </si>
  <si>
    <t xml:space="preserve"> Rapport d'habilitations </t>
  </si>
  <si>
    <t xml:space="preserve"> Accès obsolètes </t>
  </si>
  <si>
    <t xml:space="preserve"> Sécurité compromise </t>
  </si>
  <si>
    <t xml:space="preserve"> Automatiser les désactivations </t>
  </si>
  <si>
    <t xml:space="preserve">Vérifier qu’une étude de sécurité en cas de gestion externe des 
infrastructures a été réalisée </t>
  </si>
  <si>
    <t>Une analyse des risques spécifiques a été conduite pour l'externalisation</t>
  </si>
  <si>
    <t>Les risques liés à l'externalisation ont-ils été identifiés ?</t>
  </si>
  <si>
    <t xml:space="preserve"> Analyse de risques spécifique </t>
  </si>
  <si>
    <t xml:space="preserve"> Menaces sous-estimées </t>
  </si>
  <si>
    <t xml:space="preserve"> Incidents graves </t>
  </si>
  <si>
    <t xml:space="preserve"> Réaliser une analyse poussée préalable </t>
  </si>
  <si>
    <t>Les exigences de sécurité sont contractualisées avec le prestataire</t>
  </si>
  <si>
    <t>Le contrat inclut-il des clauses de sécurité précises ?</t>
  </si>
  <si>
    <t xml:space="preserve"> Modèle de contrat type </t>
  </si>
  <si>
    <t xml:space="preserve"> Litiges </t>
  </si>
  <si>
    <t xml:space="preserve"> Faire valider par le juridique </t>
  </si>
  <si>
    <t>Les contrôles d'accès du prestataire sont conformes à la politique interne</t>
  </si>
  <si>
    <t>Les accès du prestataire respectent-ils nos standards ?</t>
  </si>
  <si>
    <t xml:space="preserve"> Politique d'accès externes </t>
  </si>
  <si>
    <t xml:space="preserve"> Failles introduites </t>
  </si>
  <si>
    <t xml:space="preserve"> Compromission </t>
  </si>
  <si>
    <t xml:space="preserve"> Appliquer les mêmes règles qu'en interne </t>
  </si>
  <si>
    <t>Un audit de sécurité du prestataire a été réalisé avant la contractualisation</t>
  </si>
  <si>
    <t>Le prestataire a-t-il été audité sur ses pratiques de sécurité ?</t>
  </si>
  <si>
    <t xml:space="preserve"> Rapport d'audit fournisseur </t>
  </si>
  <si>
    <t xml:space="preserve"> Pratiques défaillantes </t>
  </si>
  <si>
    <t xml:space="preserve"> Exiger des certifications reconnues </t>
  </si>
  <si>
    <t>Un plan de continuité d'activité spécifique a été élaboré</t>
  </si>
  <si>
    <t>Existe-t-il un PCA pour le scénario d'externalisation ?</t>
  </si>
  <si>
    <t xml:space="preserve"> Plan de Continuité d'Activité </t>
  </si>
  <si>
    <t xml:space="preserve"> Pertes financières </t>
  </si>
  <si>
    <t xml:space="preserve"> Tester le PCA annuellement </t>
  </si>
  <si>
    <t xml:space="preserve">Conformité
</t>
  </si>
  <si>
    <t>Vérifier que les politique et procédures de sécurité internalisent 
les exigences légales et réglementaires</t>
  </si>
  <si>
    <t>Les politiques de sécurité mentionnent explicitement les textes réglementaires applicables.</t>
  </si>
  <si>
    <t>Les politiques font-elles référence aux lois et règlements en vigueur ?</t>
  </si>
  <si>
    <t xml:space="preserve"> Référentiel législatif annexé </t>
  </si>
  <si>
    <t xml:space="preserve"> Non-conformité juridique </t>
  </si>
  <si>
    <t xml:space="preserve"> Sanctions pénales </t>
  </si>
  <si>
    <t xml:space="preserve"> Mettre à jour les références légales semestriellement </t>
  </si>
  <si>
    <t>Les procédures opérationnelles intègrent les obligations légales (ex : RGPD, directives sectorielles).</t>
  </si>
  <si>
    <t>Les procédures reflètent-elles les exigences légales ?</t>
  </si>
  <si>
    <t xml:space="preserve"> Matrice de correspondance procédures-lois </t>
  </si>
  <si>
    <t xml:space="preserve"> Procédures non conformes </t>
  </si>
  <si>
    <t xml:space="preserve"> Nullité des actes </t>
  </si>
  <si>
    <t xml:space="preserve"> Réaliser un audit de conformité procédurale </t>
  </si>
  <si>
    <t>Un processus de veille réglementaire est formalisé pour mettre à jour les documents.</t>
  </si>
  <si>
    <t>Existe-t-il un mécanisme de mise à jour face aux évolutions légales ?</t>
  </si>
  <si>
    <t xml:space="preserve"> Procédure de veille réglementaire </t>
  </si>
  <si>
    <t xml:space="preserve"> Délais d'adaptation trop longs </t>
  </si>
  <si>
    <t xml:space="preserve"> Nommer un veilleur réglementaire dédié </t>
  </si>
  <si>
    <t>Les employés sont formés sur les aspects réglementaires liés à leur fonction.</t>
  </si>
  <si>
    <t>Le personnel connaît-il ses obligations légales ?</t>
  </si>
  <si>
    <t xml:space="preserve"> Méconnaissance des règles </t>
  </si>
  <si>
    <t xml:space="preserve"> Erreurs involontaires </t>
  </si>
  <si>
    <t xml:space="preserve"> Organiser des formations annuelles obligatoires </t>
  </si>
  <si>
    <t>Un contrôle annuel vérifie l’alignement des politiques avec le cadre légal.</t>
  </si>
  <si>
    <t>Un audit de conformité est-il réalisé chaque année ?</t>
  </si>
  <si>
    <t xml:space="preserve"> Programme d'audit annuel </t>
  </si>
  <si>
    <t xml:space="preserve"> Cumul de non-conformités </t>
  </si>
  <si>
    <t xml:space="preserve"> Externaliser l'audit pour impartialité </t>
  </si>
  <si>
    <t>Vérifier que la convergence vers le cadre règlementaire national 
est recherchée</t>
  </si>
  <si>
    <t>Une analyse comparative entre les pratiques internes et les exigences nationales est disponible.</t>
  </si>
  <si>
    <t>Une cartographie des écarts avec la réglementation nationale existe-t-elle ?</t>
  </si>
  <si>
    <t xml:space="preserve"> Matrice des écarts </t>
  </si>
  <si>
    <t xml:space="preserve"> Cécité réglementaire </t>
  </si>
  <si>
    <t xml:space="preserve"> Maintenir un tableau de bord dynamique </t>
  </si>
  <si>
    <t>Un plan d’action priorise les corrections pour atteindre la conformité.</t>
  </si>
  <si>
    <t>Des mesures correctives sont-elles planifiées pour réduire les écarts ?</t>
  </si>
  <si>
    <t xml:space="preserve"> Plan d'action correctif </t>
  </si>
  <si>
    <t xml:space="preserve"> Correction aléatoire </t>
  </si>
  <si>
    <t xml:space="preserve"> Persistance des écarts </t>
  </si>
  <si>
    <t xml:space="preserve"> Prioriser les écarts par criticité </t>
  </si>
  <si>
    <t>Les mises à jour réglementaires nationales sont intégrées dans un délai maximal de 6 mois.</t>
  </si>
  <si>
    <t>Les nouvelles obligations légales sont-elles implémentées rapidement ?</t>
  </si>
  <si>
    <t xml:space="preserve"> Journal des mises en conformité </t>
  </si>
  <si>
    <t xml:space="preserve"> Retards d'implémentation </t>
  </si>
  <si>
    <t xml:space="preserve"> Fixer un délai max de 3 mois </t>
  </si>
  <si>
    <t>La direction valide annuellement les objectifs de conformité réglementaire.</t>
  </si>
  <si>
    <t>La conformité nationale est-elle une priorité stratégique ?</t>
  </si>
  <si>
    <t xml:space="preserve"> Procès-verbal du COMEX </t>
  </si>
  <si>
    <t xml:space="preserve"> Culture non conforme </t>
  </si>
  <si>
    <t xml:space="preserve"> Inscrire la conformité dans la stratégie </t>
  </si>
  <si>
    <t>Les indicateurs de conformité sont suivis et rapportés trimestriellement.</t>
  </si>
  <si>
    <t>La progression vers la conformité est-elle mesurée et communiquée ?</t>
  </si>
  <si>
    <t xml:space="preserve"> Tableau de bord de conformité </t>
  </si>
  <si>
    <t xml:space="preserve"> Efforts invisibles </t>
  </si>
  <si>
    <t xml:space="preserve"> Publier un bulletin trimestriel </t>
  </si>
  <si>
    <t>S’assurer qu’un document retraçant le gap entre l’état actuel 
des politiques et procédures de sécurité interne et le cadre 
réglementaire existe et est tenu à jour</t>
  </si>
  <si>
    <t>Un registre des écarts de conformité est maintenu et accessible.</t>
  </si>
  <si>
    <t>Le document identifiant les gaps est-il facilement consultable ?</t>
  </si>
  <si>
    <t xml:space="preserve"> Politique d'accès aux documents </t>
  </si>
  <si>
    <t xml:space="preserve"> Information cachée </t>
  </si>
  <si>
    <t xml:space="preserve"> Mauvaises décisions </t>
  </si>
  <si>
    <t xml:space="preserve"> Héberger sur l'intranet </t>
  </si>
  <si>
    <t>Chaque écart documenté est associé à un responsable de correction.</t>
  </si>
  <si>
    <t>Des responsables sont-ils assignés pour chaque non-conformité ?</t>
  </si>
  <si>
    <t xml:space="preserve"> Matrice des responsables </t>
  </si>
  <si>
    <t xml:space="preserve"> Aucune correction </t>
  </si>
  <si>
    <t xml:space="preserve"> Utiliser la méthode RACI </t>
  </si>
  <si>
    <t>Le registre est mis à jour lors de changements réglementaires ou internes.</t>
  </si>
  <si>
    <t>Le document est-il actualisé au moins semestriellement ?</t>
  </si>
  <si>
    <t xml:space="preserve"> Programmer des mises à jour </t>
  </si>
  <si>
    <t>Les écarts sont classés par niveau de criticité (ex : légal, financier, opérationnel).</t>
  </si>
  <si>
    <t>Une analyse de risque est-elle appliquée aux écarts identifiés ?</t>
  </si>
  <si>
    <t xml:space="preserve"> Grille d'analyse des risques </t>
  </si>
  <si>
    <t xml:space="preserve"> Priorisation impossible </t>
  </si>
  <si>
    <t xml:space="preserve"> Gaspillage de ressources </t>
  </si>
  <si>
    <t xml:space="preserve"> Adopter la méthode EBIOS </t>
  </si>
  <si>
    <t>Le registre inclut des preuves de résolution pour les écarts corrigés.</t>
  </si>
  <si>
    <t>Les corrections sont-elles justifiées par des preuves documentées ?</t>
  </si>
  <si>
    <t xml:space="preserve"> Dossier de preuves </t>
  </si>
  <si>
    <t xml:space="preserve"> Actions non vérifiables </t>
  </si>
  <si>
    <t xml:space="preserve"> Audit défavorable </t>
  </si>
  <si>
    <t xml:space="preserve"> Constituer un dossier par écart </t>
  </si>
  <si>
    <t>S’assurer que tous les audits réglementaires sont réalisés</t>
  </si>
  <si>
    <t>Un calendrier des audits obligatoires est établi et respecté.</t>
  </si>
  <si>
    <t>Tous les audits requis sont-ils planifiés et exécutés à temps ?</t>
  </si>
  <si>
    <t xml:space="preserve"> Manquement aux obligations </t>
  </si>
  <si>
    <t xml:space="preserve"> Automatiser les rappels </t>
  </si>
  <si>
    <t>Les rapports d’audit identifient clairement les non-conformités.</t>
  </si>
  <si>
    <t>Les écarts sont-ils formalisés dans les comptes rendus d’audit ?</t>
  </si>
  <si>
    <t xml:space="preserve"> Modèle de compte-rendu </t>
  </si>
  <si>
    <t xml:space="preserve"> Problèmes minimisés </t>
  </si>
  <si>
    <t xml:space="preserve"> Non-traitement </t>
  </si>
  <si>
    <t xml:space="preserve"> Standardiser les rapports </t>
  </si>
  <si>
    <t>Les recommandations des audits font l’objet d’un suivi formalisé.</t>
  </si>
  <si>
    <t>Un plan d’action est-il élaboré pour chaque audit ?</t>
  </si>
  <si>
    <t xml:space="preserve"> Template de plan d'action </t>
  </si>
  <si>
    <t xml:space="preserve"> Correction inefficace </t>
  </si>
  <si>
    <t xml:space="preserve"> Répétition des écarts </t>
  </si>
  <si>
    <t xml:space="preserve"> Imposer des échéances contraignantes </t>
  </si>
  <si>
    <t>Les auditeurs internes ou externes sont accrédités selon les standards sectoriels.</t>
  </si>
  <si>
    <t>Les auditeurs disposent-ils des compétences requises ?</t>
  </si>
  <si>
    <t xml:space="preserve"> Référentiel de compétences </t>
  </si>
  <si>
    <t xml:space="preserve"> Audit superficiel </t>
  </si>
  <si>
    <t xml:space="preserve"> Dangers non détectés </t>
  </si>
  <si>
    <t xml:space="preserve"> Exiger des certifications spécifiques </t>
  </si>
  <si>
    <t>La direction examine systématiquement les conclusions des audits.</t>
  </si>
  <si>
    <t>Les résultats des audits sont-ils présentés au comité de direction ?</t>
  </si>
  <si>
    <t xml:space="preserve"> PV de présentation </t>
  </si>
  <si>
    <t xml:space="preserve"> Manque de visibilité </t>
  </si>
  <si>
    <t xml:space="preserve"> Priorité faible </t>
  </si>
  <si>
    <t xml:space="preserve"> Inscrire à l'ordre du jour annuel </t>
  </si>
  <si>
    <t>S’assurer qu’un responsable conformité est désigné</t>
  </si>
  <si>
    <t>Le rôle et les missions du responsable conformité sont formalisés par écrit.</t>
  </si>
  <si>
    <t>Une fiche de poste détaillée existe-t-elle pour ce responsable ?</t>
  </si>
  <si>
    <t xml:space="preserve"> Description de poste </t>
  </si>
  <si>
    <t xml:space="preserve"> Rôle mal défini </t>
  </si>
  <si>
    <t xml:space="preserve"> Pouvoirs insuffisants </t>
  </si>
  <si>
    <t xml:space="preserve"> Faire valider par la DRH </t>
  </si>
  <si>
    <t>Le responsable conformité a une autorité suffisante pour agir sur les processus.</t>
  </si>
  <si>
    <t>Le responsable a-t-il le pouvoir de faire appliquer les corrections ?</t>
  </si>
  <si>
    <t xml:space="preserve"> Procès-verbal de délégation </t>
  </si>
  <si>
    <t xml:space="preserve"> Impuissance </t>
  </si>
  <si>
    <t xml:space="preserve"> Blocage des corrections </t>
  </si>
  <si>
    <t xml:space="preserve"> Donner un pouvoir de sanction </t>
  </si>
  <si>
    <t>Un délégataire est prévu en cas d’absence du responsable titulaire.</t>
  </si>
  <si>
    <t>Existe-t-il un suppléant désigné ?</t>
  </si>
  <si>
    <t xml:space="preserve"> Arrêté de suppléance </t>
  </si>
  <si>
    <t xml:space="preserve"> Vacance du poste </t>
  </si>
  <si>
    <t xml:space="preserve"> Paralysie </t>
  </si>
  <si>
    <t xml:space="preserve"> Former un binôme </t>
  </si>
  <si>
    <t>Le responsable rend compte directement à la direction générale ou au conseil d’administration.</t>
  </si>
  <si>
    <t>Le responsable a-t-il un accès direct aux décideurs ?</t>
  </si>
  <si>
    <t xml:space="preserve"> Organigramme fonctionnel </t>
  </si>
  <si>
    <t xml:space="preserve"> Filtrage de l'information </t>
  </si>
  <si>
    <t xml:space="preserve"> Alertes non remontées </t>
  </si>
  <si>
    <t xml:space="preserve"> Prévoir des points directs </t>
  </si>
  <si>
    <t>Les compétences du responsable sont régulièrement évaluées et mises à jour.</t>
  </si>
  <si>
    <t>Le responsable suit-il des formations sur les évolutions réglementaires ?</t>
  </si>
  <si>
    <t xml:space="preserve"> Plan de formation individuel </t>
  </si>
  <si>
    <t xml:space="preserve"> Connaissances obsolètes </t>
  </si>
  <si>
    <t xml:space="preserve"> Conseils erronés </t>
  </si>
  <si>
    <t xml:space="preserve"> Abonnement à des revues spécialisées </t>
  </si>
  <si>
    <t>Gestion des identifiants et des mots de passe</t>
  </si>
  <si>
    <t>Vérifier qu'il y a un seul utilisateur par identifiant</t>
  </si>
  <si>
    <t>Chaque identifiant système est attribué à un unique utilisateur nominatif</t>
  </si>
  <si>
    <t>Les identifiants sont-ils strictement individuels et nominatifs ?</t>
  </si>
  <si>
    <t xml:space="preserve"> Politique de gestion des identifiants </t>
  </si>
  <si>
    <t xml:space="preserve"> Usurpation d'identité </t>
  </si>
  <si>
    <t xml:space="preserve"> Imposer la création nominative avec vérification RH </t>
  </si>
  <si>
    <t>Le partage d'identifiants entre collaborateurs est formellement interdit</t>
  </si>
  <si>
    <t>Existe-t-il une clause explicite interdisant le partage d'identifiants ?</t>
  </si>
  <si>
    <t xml:space="preserve"> Charte utilisateur signée </t>
  </si>
  <si>
    <t xml:space="preserve"> Accès non autorisés </t>
  </si>
  <si>
    <t xml:space="preserve"> Inclure la clause dans le contrat de travail </t>
  </si>
  <si>
    <t>La liste des identifiants actifs est vérifiée trimestriellement</t>
  </si>
  <si>
    <t>Une revue périodique des comptes utilisateurs est-elle effectuée ?</t>
  </si>
  <si>
    <t xml:space="preserve"> Rapport de revue des comptes </t>
  </si>
  <si>
    <t xml:space="preserve"> Comptes obsolètes </t>
  </si>
  <si>
    <t xml:space="preserve"> Accès résiduels </t>
  </si>
  <si>
    <t xml:space="preserve"> Automatiser les revues trimestrielles </t>
  </si>
  <si>
    <t>Les comptes génériques font l'objet d'une gestion exceptionnelle et documentée</t>
  </si>
  <si>
    <t>Les comptes non nominatifs sont-ils justifiés et contrôlés ?</t>
  </si>
  <si>
    <t xml:space="preserve"> Registre des comptes génériques </t>
  </si>
  <si>
    <t xml:space="preserve"> Traçabilité impossible </t>
  </si>
  <si>
    <t xml:space="preserve"> Abus </t>
  </si>
  <si>
    <t xml:space="preserve"> Limiter aux cas techniques avec double approbation </t>
  </si>
  <si>
    <t>Le système technique empêche la création de comptes dupliqués</t>
  </si>
  <si>
    <t>L'outil informatique bloque-t-il la création de doublons ?</t>
  </si>
  <si>
    <t xml:space="preserve"> Configuration technique </t>
  </si>
  <si>
    <t xml:space="preserve"> Doublons d'identité </t>
  </si>
  <si>
    <t xml:space="preserve"> Activer le contrôle d'unicité dans l'AD </t>
  </si>
  <si>
    <t>Vérifier que les identifiants inutilisés pendant un certain délai 
sont révoqués</t>
  </si>
  <si>
    <t>Une politique de durée maximale d'inactivité est définie (ex: 90 jours)</t>
  </si>
  <si>
    <t>Le délai maximal d'inactivité avant révocation est-il formalisé ?</t>
  </si>
  <si>
    <t xml:space="preserve"> Politique de révocation </t>
  </si>
  <si>
    <t xml:space="preserve"> Comptes dormants </t>
  </si>
  <si>
    <t xml:space="preserve"> Fixer à 90 jours max pour les comptes standards </t>
  </si>
  <si>
    <t>Le système identifie automatiquement les comptes inactifs</t>
  </si>
  <si>
    <t>Existe-t-il un processus automatisé de détection d'inactivité ?</t>
  </si>
  <si>
    <t xml:space="preserve"> Procédure technique </t>
  </si>
  <si>
    <t xml:space="preserve"> Détection manuelle </t>
  </si>
  <si>
    <t xml:space="preserve"> Oublis </t>
  </si>
  <si>
    <t xml:space="preserve"> Implémenter des scripts de détection </t>
  </si>
  <si>
    <t>Les comptes inactifs sont désactivés selon le délai prévu</t>
  </si>
  <si>
    <t>La révocation est-elle systématique après la période définie ?</t>
  </si>
  <si>
    <t xml:space="preserve"> Journal des révocations </t>
  </si>
  <si>
    <t xml:space="preserve"> Accumulation de risques </t>
  </si>
  <si>
    <t xml:space="preserve"> Automatiser le processus </t>
  </si>
  <si>
    <t>Une procédure exceptionnelle permet de réactiver les comptes nécessaires</t>
  </si>
  <si>
    <t>Existe-t-il un processus sécurisé pour réactiver des comptes ?</t>
  </si>
  <si>
    <t xml:space="preserve"> Procédure de réactivation </t>
  </si>
  <si>
    <t xml:space="preserve"> Réactivations frauduleuses </t>
  </si>
  <si>
    <t xml:space="preserve"> Accès illégitimes </t>
  </si>
  <si>
    <t xml:space="preserve"> Exiger une validation hiérarchique </t>
  </si>
  <si>
    <t>Un rapport mensuel liste les comptes désactivés pour inactivité</t>
  </si>
  <si>
    <t>La révocation des comptes inactifs est-elle tracée ?</t>
  </si>
  <si>
    <t xml:space="preserve"> Log des actions d'administration </t>
  </si>
  <si>
    <t xml:space="preserve"> Non-reconstitution </t>
  </si>
  <si>
    <t xml:space="preserve"> Centraliser les logs dans un SIEM </t>
  </si>
  <si>
    <t>Vérifier que des règles de gestion de la casse des mots de passe 
existent</t>
  </si>
  <si>
    <t>La politique exige une alternance de minuscules et majuscules</t>
  </si>
  <si>
    <t>Les mots de passe doivent-ils contenir des majuscules et minuscules ?</t>
  </si>
  <si>
    <t xml:space="preserve"> Politique de complexité </t>
  </si>
  <si>
    <t xml:space="preserve"> Faible robustesse </t>
  </si>
  <si>
    <t xml:space="preserve"> Bruteforce </t>
  </si>
  <si>
    <t xml:space="preserve"> Imposer 12 caractères minimum avec 4 types </t>
  </si>
  <si>
    <t>Le système impose la complexité lors de la création/modification</t>
  </si>
  <si>
    <t>L'outil technique valide-t-il automatiquement la complexité ?</t>
  </si>
  <si>
    <t xml:space="preserve"> Configuration système </t>
  </si>
  <si>
    <t xml:space="preserve"> Contournements possibles </t>
  </si>
  <si>
    <t xml:space="preserve"> Mots de passe faibles </t>
  </si>
  <si>
    <t xml:space="preserve"> Activer le contrôle technique </t>
  </si>
  <si>
    <t>Les règles sont documentées et accessibles aux utilisateurs</t>
  </si>
  <si>
    <t>Les exigences sont-elles communiquées à tous les collaborateurs ?</t>
  </si>
  <si>
    <t xml:space="preserve"> Support de formation </t>
  </si>
  <si>
    <t xml:space="preserve"> Non-respect </t>
  </si>
  <si>
    <t xml:space="preserve"> Diffuser des mémo visuels </t>
  </si>
  <si>
    <t>La politique distingue les exigences selon la criticité des accès</t>
  </si>
  <si>
    <t>Les comptes sensibles ont-ils des règles renforcées ?</t>
  </si>
  <si>
    <t xml:space="preserve"> Politique des comptes privilégiés </t>
  </si>
  <si>
    <t xml:space="preserve"> Cible privilégiée </t>
  </si>
  <si>
    <t xml:space="preserve"> Imposer 16 caractères + changement 30 jours </t>
  </si>
  <si>
    <t>Un mécanisme empêche la réutilisation des anciens mots de passe</t>
  </si>
  <si>
    <t>Le système interdit-il la réutilisation des N derniers mots de passe ?</t>
  </si>
  <si>
    <t xml:space="preserve"> Paramétrage technique </t>
  </si>
  <si>
    <t xml:space="preserve"> Recyclage de mots de passe </t>
  </si>
  <si>
    <t xml:space="preserve"> Sécurité illusoire </t>
  </si>
  <si>
    <t xml:space="preserve"> Bloquer les 24 derniers mots de passe </t>
  </si>
  <si>
    <t>Vérifier que ces règles sont respectées</t>
  </si>
  <si>
    <t>Un contrôle technique empêche la création de mots de passe non conformes</t>
  </si>
  <si>
    <t>Le système bloque-t-il les mots de passe non conformes ?</t>
  </si>
  <si>
    <t xml:space="preserve"> Journal des rejets </t>
  </si>
  <si>
    <t xml:space="preserve"> Contournement des règles </t>
  </si>
  <si>
    <t xml:space="preserve"> Mettre en place un contrôle en temps réel </t>
  </si>
  <si>
    <t>Des audits aléatoires vérifient la conformité des mots de passe existants</t>
  </si>
  <si>
    <t>Des vérifications ponctuelles des mots de passe sont-elles faites ?</t>
  </si>
  <si>
    <t xml:space="preserve"> Rapport de vérification </t>
  </si>
  <si>
    <t xml:space="preserve"> Mots de passe faibles persistants </t>
  </si>
  <si>
    <t xml:space="preserve"> Risque résiduel </t>
  </si>
  <si>
    <t xml:space="preserve"> Tester mensuellement via scripts </t>
  </si>
  <si>
    <t>Les exceptions font l'objet d'une autorisation exceptionnelle documentée</t>
  </si>
  <si>
    <t>Les dérogations sont-elles approuvées et justifiées ?</t>
  </si>
  <si>
    <t xml:space="preserve"> Registre des dérogations </t>
  </si>
  <si>
    <t xml:space="preserve"> Exceptions non contrôlées </t>
  </si>
  <si>
    <t xml:space="preserve"> Failles </t>
  </si>
  <si>
    <t xml:space="preserve"> Limiter à 7 jours max avec approbation CISO </t>
  </si>
  <si>
    <t>Les violations des règles déclenchent des alertes sécurité</t>
  </si>
  <si>
    <t>Les tentatives de contournement sont-elles détectées ?</t>
  </si>
  <si>
    <t xml:space="preserve"> Configuration des logs </t>
  </si>
  <si>
    <t xml:space="preserve"> Contournements non vus </t>
  </si>
  <si>
    <t xml:space="preserve"> Culture du non-respect </t>
  </si>
  <si>
    <t xml:space="preserve"> Monitorer les tentatives de modification </t>
  </si>
  <si>
    <t>Le taux de conformité des mots de passe est mesuré mensuellement</t>
  </si>
  <si>
    <t>Existe-t-il un indicateur de conformité des mots de passe ?</t>
  </si>
  <si>
    <t xml:space="preserve"> Dashboard sécurité </t>
  </si>
  <si>
    <t xml:space="preserve"> Mauvaise priorisation </t>
  </si>
  <si>
    <t xml:space="preserve"> Calculer un % de conformité mensuel </t>
  </si>
  <si>
    <t>Vérifier qu’il existe une procédure de gestion des mots de 
passe</t>
  </si>
  <si>
    <t>Une procédure écrite décrit le cycle de vie complet des mots de passe</t>
  </si>
  <si>
    <t>Existe-t-il un document formalisant la gestion des mots de passe ?</t>
  </si>
  <si>
    <t xml:space="preserve"> Politique de sécurité </t>
  </si>
  <si>
    <t xml:space="preserve"> Rédiger une politique approuvée par la DG </t>
  </si>
  <si>
    <t>Le processus couvre la création, modification et révocation des accès</t>
  </si>
  <si>
    <t>Toutes les étapes de gestion sont-elles prévues ?</t>
  </si>
  <si>
    <t xml:space="preserve"> Workflow complet </t>
  </si>
  <si>
    <t xml:space="preserve"> Processus incomplet </t>
  </si>
  <si>
    <t xml:space="preserve"> Points aveugles </t>
  </si>
  <si>
    <t xml:space="preserve"> Modéliser le cycle de vie complet </t>
  </si>
  <si>
    <t>La procédure inclut un mécanisme sécurisé de réinitialisation</t>
  </si>
  <si>
    <t>Comment un utilisateur peut-il réinitialiser son mot de passe ?</t>
  </si>
  <si>
    <t xml:space="preserve"> Procédure de reset </t>
  </si>
  <si>
    <t xml:space="preserve"> Pertes de productivité </t>
  </si>
  <si>
    <t xml:space="preserve"> Mettre en place un portail self-service </t>
  </si>
  <si>
    <t>Les rôles et responsabilités dans la gestion des accès sont définis</t>
  </si>
  <si>
    <t>Qui est responsable de l'administration des mots de passe ?</t>
  </si>
  <si>
    <t xml:space="preserve"> Désignation officielle </t>
  </si>
  <si>
    <t xml:space="preserve"> Nommer un référent sécurité dédié </t>
  </si>
  <si>
    <t>La procédure est révisée annuellement ou après incident majeur</t>
  </si>
  <si>
    <t>Quand la procédure a-t-elle été mise à jour pour la dernière fois ?</t>
  </si>
  <si>
    <t xml:space="preserve"> Réviser annuellement ou après incident </t>
  </si>
  <si>
    <t>Contrôle des accès</t>
  </si>
  <si>
    <t>Vérifier que la définition et la documentation de la politique de 
contrôle d'accès existent</t>
  </si>
  <si>
    <t>La politique de contrôle d'accès est formalisée par écrit</t>
  </si>
  <si>
    <t>Existe-t-il un document officiel définissant la politique de contrôle d'accès ?</t>
  </si>
  <si>
    <t xml:space="preserve"> Politique de contrôle d'accès signée </t>
  </si>
  <si>
    <t xml:space="preserve"> Accès non contrôlés </t>
  </si>
  <si>
    <t xml:space="preserve"> Formaliser et faire valider par la direction </t>
  </si>
  <si>
    <t>La politique couvre tous les systèmes critiques de l'organisation</t>
  </si>
  <si>
    <t>Tous les systèmes importants sont-ils inclus dans la politique ?</t>
  </si>
  <si>
    <t xml:space="preserve"> Inventaire des systèmes critiques </t>
  </si>
  <si>
    <t xml:space="preserve"> Zones non sécurisées </t>
  </si>
  <si>
    <t xml:space="preserve"> Vulnérabilités ciblées </t>
  </si>
  <si>
    <t xml:space="preserve"> Mettre à jour l'inventaire trimestriellement </t>
  </si>
  <si>
    <t>Les rôles et niveaux d'accès sont clairement définis</t>
  </si>
  <si>
    <t>La politique précise-t-elle les différents profils d'accès ?</t>
  </si>
  <si>
    <t xml:space="preserve"> Matrice des profils d'accès </t>
  </si>
  <si>
    <t xml:space="preserve"> Accès inadaptés </t>
  </si>
  <si>
    <t xml:space="preserve"> Sur/sous-privilèges </t>
  </si>
  <si>
    <t xml:space="preserve"> Définir 5 niveaux d'accès standardisés </t>
  </si>
  <si>
    <t>La politique est approuvée par la direction</t>
  </si>
  <si>
    <t>La direction a-t-elle validé formellement le document ?</t>
  </si>
  <si>
    <t xml:space="preserve"> Procès-verbal de validation </t>
  </si>
  <si>
    <t xml:space="preserve"> Obtenir signature formelle de la DG </t>
  </si>
  <si>
    <t>La politique est révisée annuellement</t>
  </si>
  <si>
    <t>La politique est-elle mise à jour régulièrement ?</t>
  </si>
  <si>
    <t xml:space="preserve"> Règles obsolètes </t>
  </si>
  <si>
    <t xml:space="preserve"> Prévoir une révision annuelle systématique </t>
  </si>
  <si>
    <t>S’assurer que la gestion des accès utilisateurs est effective</t>
  </si>
  <si>
    <t>Un processus formalisé existe pour la création/modification/suppression des accès</t>
  </si>
  <si>
    <t>Existe-t-il une procédure documentée pour la gestion des comptes ?</t>
  </si>
  <si>
    <t xml:space="preserve"> Procédure de gestion des comptes </t>
  </si>
  <si>
    <t xml:space="preserve"> Création anarchique </t>
  </si>
  <si>
    <t xml:space="preserve"> Problèmes de traçabilité </t>
  </si>
  <si>
    <t xml:space="preserve"> Standardiser le workflow complet </t>
  </si>
  <si>
    <t>Les demandes d'accès nécessitent une approbation préalable</t>
  </si>
  <si>
    <t>Tous les nouveaux accès sont-ils approuvés avant activation ?</t>
  </si>
  <si>
    <t xml:space="preserve"> Formulaire de demande d'accès </t>
  </si>
  <si>
    <t xml:space="preserve"> Imposer une approbation hiérarchique + validation SI </t>
  </si>
  <si>
    <t>Les droits d'accès sont révisés semestriellement</t>
  </si>
  <si>
    <t>Une revue périodique des habilitations est-elle effectuée ?</t>
  </si>
  <si>
    <t xml:space="preserve"> Rapport de revue des habilitations </t>
  </si>
  <si>
    <t xml:space="preserve"> Droit d'accès résiduels </t>
  </si>
  <si>
    <t xml:space="preserve"> Failles persistantes </t>
  </si>
  <si>
    <t>Les comptes obsolètes sont désactivés dans un délai maximum de 24h après départ</t>
  </si>
  <si>
    <t>Les comptes des collaborateurs partis sont-ils rapidement désactivés ?</t>
  </si>
  <si>
    <t xml:space="preserve"> Procédure de départ </t>
  </si>
  <si>
    <t xml:space="preserve"> Accès actifs post-départ </t>
  </si>
  <si>
    <t xml:space="preserve"> Usurpation </t>
  </si>
  <si>
    <t xml:space="preserve"> Désactiver le jour même du départ </t>
  </si>
  <si>
    <t>Un registre des modifications d'accès est maintenu</t>
  </si>
  <si>
    <t>Toutes les modifications d'accès sont-elles tracées ?</t>
  </si>
  <si>
    <t xml:space="preserve"> Journal des modifications </t>
  </si>
  <si>
    <t xml:space="preserve"> Actions non traçables </t>
  </si>
  <si>
    <t xml:space="preserve"> Centraliser dans un SIEM avec alertes </t>
  </si>
  <si>
    <t>S’assurer que l'utilisation de mots de passe et de systèmes de 
déconnexion automatique est effective</t>
  </si>
  <si>
    <t>Une politique de complexité des mots de passe est implémentée</t>
  </si>
  <si>
    <t>Les mots de passe doivent-ils respecter des règles de complexité ?</t>
  </si>
  <si>
    <t xml:space="preserve"> Politique de mots de passe </t>
  </si>
  <si>
    <t xml:space="preserve"> Authentification faible </t>
  </si>
  <si>
    <t>Le système impose le changement périodique des mots de passe</t>
  </si>
  <si>
    <t>Les utilisateurs doivent-ils changer leur mot de passe régulièrement ?</t>
  </si>
  <si>
    <t xml:space="preserve"> Mots de passe persistants </t>
  </si>
  <si>
    <t xml:space="preserve"> Risque accru </t>
  </si>
  <si>
    <t xml:space="preserve"> Forcer le changement tous les 90 jours </t>
  </si>
  <si>
    <t>Les sessions inactives se ferment automatiquement après 15 minutes</t>
  </si>
  <si>
    <t>Existe-t-il un mécanisme de déconnexion automatique ?</t>
  </si>
  <si>
    <t xml:space="preserve"> Sessions orphelines </t>
  </si>
  <si>
    <t xml:space="preserve"> Accès non surveillés </t>
  </si>
  <si>
    <t xml:space="preserve"> Déconnexion après 15 min d'inactivité </t>
  </si>
  <si>
    <t>L'historique des mots de passe empêche leur réutilisation</t>
  </si>
  <si>
    <t>Peut-on réutiliser les N derniers mots de passe ?</t>
  </si>
  <si>
    <t xml:space="preserve"> Paramètres de sécurité </t>
  </si>
  <si>
    <t>Les tentatives infructueuses de connexion bloquent temporairement le compte</t>
  </si>
  <si>
    <t>Le système limite-t-il les tentatives de connexion ?</t>
  </si>
  <si>
    <t xml:space="preserve"> Attaques par bruteforce </t>
  </si>
  <si>
    <t xml:space="preserve"> Bloquer après 5 tentatives + alerte </t>
  </si>
  <si>
    <t>Vérifier que le contrôle des accès aux réseaux est effectif</t>
  </si>
  <si>
    <t>Critère d'évaluation</t>
  </si>
  <si>
    <t>Question d'évaluation</t>
  </si>
  <si>
    <t xml:space="preserve"> Schéma d'architecture réseau </t>
  </si>
  <si>
    <t xml:space="preserve"> Contamination croisée </t>
  </si>
  <si>
    <t xml:space="preserve"> Propagation de menaces </t>
  </si>
  <si>
    <t xml:space="preserve"> Implémenter le modèle Zero Trust </t>
  </si>
  <si>
    <t>Les accès réseau sont segmentés par zones de sécurité</t>
  </si>
  <si>
    <t>Le réseau est-il divisé en zones avec différents niveaux d'accès ?</t>
  </si>
  <si>
    <t xml:space="preserve"> Implémenter une segmentation VLAN stricte </t>
  </si>
  <si>
    <t>Les connexions distantes utilisent des canaux sécurisés (VPN)</t>
  </si>
  <si>
    <t>Les accès externes passent-ils par des tunnels sécurisés ?</t>
  </si>
  <si>
    <t xml:space="preserve"> Politique d'accès distant </t>
  </si>
  <si>
    <t xml:space="preserve"> Interceptions </t>
  </si>
  <si>
    <t xml:space="preserve"> Imposer VPN avec chiffrement AES-256 </t>
  </si>
  <si>
    <t>Les équipements réseau critiques sont protégés par des contrôles d'accès stricts</t>
  </si>
  <si>
    <t>Les routeurs/switchs ont-ils des protections renforcées ?</t>
  </si>
  <si>
    <t xml:space="preserve"> Benchmark CIS pour équipements </t>
  </si>
  <si>
    <t xml:space="preserve"> Equipements vulnérables </t>
  </si>
  <si>
    <t xml:space="preserve"> Portes dérobées </t>
  </si>
  <si>
    <t xml:space="preserve"> Désactiver les services inutiles (Telnet) </t>
  </si>
  <si>
    <t>Les flux réseau sont monitorés et analysés en continu</t>
  </si>
  <si>
    <t>Existe-t-il une solution de surveillance du trafic réseau ?</t>
  </si>
  <si>
    <t xml:space="preserve"> Rapport de configuration IDS/IPS </t>
  </si>
  <si>
    <t xml:space="preserve"> Anomalies non détectées </t>
  </si>
  <si>
    <t xml:space="preserve"> Intrusions persistantes </t>
  </si>
  <si>
    <t xml:space="preserve"> Déployer un SIEM avec analyse comportementale </t>
  </si>
  <si>
    <t>Vérifier que le contrôle d'accès aux systèmes d'exploitation est 
effectif</t>
  </si>
  <si>
    <t>Les comptes administrateurs sont strictement limités</t>
  </si>
  <si>
    <t>Le nombre de comptes privilégiés est-il minimisé ?</t>
  </si>
  <si>
    <t xml:space="preserve"> Inventaire des comptes admin </t>
  </si>
  <si>
    <t xml:space="preserve"> Surface d'attaque étendue </t>
  </si>
  <si>
    <t xml:space="preserve"> Risque élevé </t>
  </si>
  <si>
    <t xml:space="preserve"> Appliquer le principe du besoin de savoir </t>
  </si>
  <si>
    <t>L'accès root/administrateur nécessite une double authentification</t>
  </si>
  <si>
    <t>Les comptes privilégiés ont-ils une protection renforcée ?</t>
  </si>
  <si>
    <t xml:space="preserve"> Politique des comptes sensibles </t>
  </si>
  <si>
    <t xml:space="preserve"> Compromission critique </t>
  </si>
  <si>
    <t xml:space="preserve"> Paralysie du SI </t>
  </si>
  <si>
    <t xml:space="preserve"> Imposer MFA + journalisation complète </t>
  </si>
  <si>
    <t>Les journaux d'accès aux systèmes sont activés et conservés 6 mois</t>
  </si>
  <si>
    <t>Les connexions aux systèmes sont-elles journalisées ?</t>
  </si>
  <si>
    <t xml:space="preserve"> Politique de journalisation </t>
  </si>
  <si>
    <t xml:space="preserve"> Activités non tracées </t>
  </si>
  <si>
    <t xml:space="preserve"> Investigations impossibles </t>
  </si>
  <si>
    <t xml:space="preserve"> Conserver les logs 13 mois minimum </t>
  </si>
  <si>
    <t>Les correctifs de sécurité sont appliqués dans un délai maximum d'1 mois</t>
  </si>
  <si>
    <t>Les systèmes sont-ils patchés régulièrement ?</t>
  </si>
  <si>
    <t xml:space="preserve"> Calendrier de patching </t>
  </si>
  <si>
    <t xml:space="preserve"> Failles connues non corrigées </t>
  </si>
  <si>
    <t xml:space="preserve"> Exploitations </t>
  </si>
  <si>
    <t xml:space="preserve"> Automatiser les mises à jour critiques (&lt;72h) </t>
  </si>
  <si>
    <t>Les configurations de sécurité sont durcies selon les standards du secteur</t>
  </si>
  <si>
    <t>Les systèmes respectent-ils des benchmarks de sécurité ?</t>
  </si>
  <si>
    <t xml:space="preserve"> Rapport de conformité CIS </t>
  </si>
  <si>
    <t xml:space="preserve"> Configurations laxistes </t>
  </si>
  <si>
    <t xml:space="preserve"> Appliquer les hardening guides </t>
  </si>
  <si>
    <t xml:space="preserve">Développement et maintenance des systèmes
</t>
  </si>
  <si>
    <t>S’assurer que les exigences de sécurité des systèmes existent</t>
  </si>
  <si>
    <t>Un document formalisé définit les exigences de sécurité pour tous les systèmes</t>
  </si>
  <si>
    <t>Existe-t-il une politique écrite des exigences de sécurité système ?</t>
  </si>
  <si>
    <t xml:space="preserve"> Politique de sécurité système signée </t>
  </si>
  <si>
    <t xml:space="preserve"> Vulnérabilités non couvertes </t>
  </si>
  <si>
    <t xml:space="preserve"> Rédiger une politique globale validée par la direction </t>
  </si>
  <si>
    <t>Les exigences couvrent les aspects techniques, organisationnels et juridiques</t>
  </si>
  <si>
    <t>La politique aborde-t-elle les trois dimensions (technique, organisationnelle, légale) ?</t>
  </si>
  <si>
    <t xml:space="preserve"> Référentiel des exigences </t>
  </si>
  <si>
    <t xml:space="preserve"> Protection incomplète </t>
  </si>
  <si>
    <t xml:space="preserve"> Structurer le document en 3 parties distinctes </t>
  </si>
  <si>
    <t>Les exigences sont alignées sur les standards du secteur (ISO, NIST, etc.)</t>
  </si>
  <si>
    <t>Les référentiels sectoriels sont-ils pris en compte ?</t>
  </si>
  <si>
    <t xml:space="preserve"> Matrice d'alignement sectoriel </t>
  </si>
  <si>
    <t xml:space="preserve"> Pratiques obsolètes </t>
  </si>
  <si>
    <t xml:space="preserve"> Retard technologique </t>
  </si>
  <si>
    <t xml:space="preserve"> Mettre à jour annuellement les références </t>
  </si>
  <si>
    <t>Les exigences sont révisées annuellement ou après un incident majeur</t>
  </si>
  <si>
    <t>Quand la politique a-t-elle été mise à jour pour la dernière fois ?</t>
  </si>
  <si>
    <t xml:space="preserve"> Règles dépassées </t>
  </si>
  <si>
    <t xml:space="preserve"> Fausse sécurité </t>
  </si>
  <si>
    <t xml:space="preserve"> Planifier des révisions semestrielles </t>
  </si>
  <si>
    <t>Un responsable est désigné pour maintenir ces exigences à jour</t>
  </si>
  <si>
    <t>Qui est en charge de la maintenance de ce document ?</t>
  </si>
  <si>
    <t xml:space="preserve"> Désignation officielle du responsable </t>
  </si>
  <si>
    <t xml:space="preserve"> Document orphelin </t>
  </si>
  <si>
    <t xml:space="preserve"> Non-actualisation </t>
  </si>
  <si>
    <t xml:space="preserve"> Nommer un RSSI dédié </t>
  </si>
  <si>
    <t>S’assurer que la sécurité des systèmes d'application est 
effective</t>
  </si>
  <si>
    <t>Les applications critiques ont passé un audit de sécurité récent (moins d'1 an)</t>
  </si>
  <si>
    <t>Chaque application critique a-t-elle été audité récemment ?</t>
  </si>
  <si>
    <t xml:space="preserve"> Rapport d'audit des applications </t>
  </si>
  <si>
    <t xml:space="preserve"> Vulnérabilités non détectées </t>
  </si>
  <si>
    <t xml:space="preserve"> Auditer les applications critiques annuellement </t>
  </si>
  <si>
    <t>Les vulnérabilités identifiées sont corrigées dans des délais définis</t>
  </si>
  <si>
    <t>Existe-t-il un SLA pour la correction des vulnérabilités ?</t>
  </si>
  <si>
    <t xml:space="preserve"> Accord de niveau de service sécurité </t>
  </si>
  <si>
    <t xml:space="preserve"> Correctifs retardés </t>
  </si>
  <si>
    <t xml:space="preserve"> Exposition prolongée </t>
  </si>
  <si>
    <t xml:space="preserve"> Fixer des délais stricts (ex: 72h pour critiques) </t>
  </si>
  <si>
    <t>Le principe du moindre privilège est appliqué pour les accès applicatifs</t>
  </si>
  <si>
    <t>Les droits utilisateurs sont-ils restreints au nécessaire ?</t>
  </si>
  <si>
    <t xml:space="preserve"> Privilèges excessifs </t>
  </si>
  <si>
    <t xml:space="preserve"> Abus ou fuites </t>
  </si>
  <si>
    <t>Les données sensibles sont chiffrées dans les applications</t>
  </si>
  <si>
    <t>Le chiffrement est-il implémenté pour les données sensibles ?</t>
  </si>
  <si>
    <t xml:space="preserve"> Rapport de configuration </t>
  </si>
  <si>
    <t xml:space="preserve"> Données non protégées </t>
  </si>
  <si>
    <t xml:space="preserve"> Fuites critiques </t>
  </si>
  <si>
    <t xml:space="preserve"> Chiffrer données au repos/transit </t>
  </si>
  <si>
    <t>Un journal des activités critiques est maintenu pour chaque application</t>
  </si>
  <si>
    <t>Les actions sensibles sont-elles tracées et journalisées ?</t>
  </si>
  <si>
    <t xml:space="preserve"> Conserver les logs 1 an minimum </t>
  </si>
  <si>
    <t>S’assurer qu’un protocole de recette existe</t>
  </si>
  <si>
    <t>Un document formalisé décrit le processus complet de recette</t>
  </si>
  <si>
    <t>Existe-t-il une procédure écrite pour les recettes ?</t>
  </si>
  <si>
    <t xml:space="preserve"> Protocole de recette validé </t>
  </si>
  <si>
    <t xml:space="preserve"> Tests inadéquats </t>
  </si>
  <si>
    <t xml:space="preserve"> Standardiser le processus de recette </t>
  </si>
  <si>
    <t>Le protocole définit clairement les rôles et responsabilités</t>
  </si>
  <si>
    <t>Les acteurs de la recette sont-ils identifiés avec leurs missions ?</t>
  </si>
  <si>
    <t xml:space="preserve"> Matrice RACI recette </t>
  </si>
  <si>
    <t xml:space="preserve"> Tests incomplets </t>
  </si>
  <si>
    <t xml:space="preserve"> Désigner un responsable qualité </t>
  </si>
  <si>
    <t>Les critères d'acceptation sont prédéfinis et mesurables</t>
  </si>
  <si>
    <t>Les conditions de validation sont-elles quantifiables ?</t>
  </si>
  <si>
    <t xml:space="preserve"> Grille de critères de validation </t>
  </si>
  <si>
    <t xml:space="preserve"> Jugements subjectifs </t>
  </si>
  <si>
    <t xml:space="preserve"> Acceptation de défauts </t>
  </si>
  <si>
    <t xml:space="preserve"> Définir des métriques objectives </t>
  </si>
  <si>
    <t>Le protocole inclut un volet spécifique pour la sécurité</t>
  </si>
  <si>
    <t>Les tests de sécurité font-ils partie intégrante de la recette ?</t>
  </si>
  <si>
    <t xml:space="preserve"> Plan de tests sécurité </t>
  </si>
  <si>
    <t xml:space="preserve"> Failles non détectées </t>
  </si>
  <si>
    <t xml:space="preserve"> Vulnérabilités en prod </t>
  </si>
  <si>
    <t xml:space="preserve"> Intégrer OWASP dans les tests </t>
  </si>
  <si>
    <t>Le document est accessible à toutes les parties prenantes</t>
  </si>
  <si>
    <t>L'équipe projet et les testeurs ont-ils accès au protocole ?</t>
  </si>
  <si>
    <t xml:space="preserve"> Registre de diffusion </t>
  </si>
  <si>
    <t xml:space="preserve"> Héberger le protocole sur plateforme partagée </t>
  </si>
  <si>
    <t>S’assurer que le protocole de recette a été testé</t>
  </si>
  <si>
    <t>Des tests réels ont été conduits selon le protocole défini</t>
  </si>
  <si>
    <t>Le protocole a-t-il été appliqué sur au moins un projet pilote ?</t>
  </si>
  <si>
    <t xml:space="preserve"> Rapport projet pilote </t>
  </si>
  <si>
    <t xml:space="preserve"> Procédures non éprouvées </t>
  </si>
  <si>
    <t xml:space="preserve"> Échecs opérationnels </t>
  </si>
  <si>
    <t xml:space="preserve"> Tester sur 3 projets avant généralisation </t>
  </si>
  <si>
    <t>Les résultats des tests sont documentés et archivés</t>
  </si>
  <si>
    <t>Existe-t-il un rapport de test validant le protocole ?</t>
  </si>
  <si>
    <t xml:space="preserve"> Rapport de validation </t>
  </si>
  <si>
    <t xml:space="preserve"> Efficacité non prouvée </t>
  </si>
  <si>
    <t xml:space="preserve"> Confiance limitée </t>
  </si>
  <si>
    <t xml:space="preserve"> Faire certifier par un tiers indépendant </t>
  </si>
  <si>
    <t>Les écarts identifiés ont donné lieu à des améliorations</t>
  </si>
  <si>
    <t>Le protocole a-t-il été ajusté suite aux retours des tests ?</t>
  </si>
  <si>
    <t xml:space="preserve"> Améliorations bloquées </t>
  </si>
  <si>
    <t xml:space="preserve"> Prévoir des revues après chaque projet </t>
  </si>
  <si>
    <t>L'équipe de test confirme la praticabilité du protocole</t>
  </si>
  <si>
    <t>Les testeurs valident-ils la faisabilité des procédures ?</t>
  </si>
  <si>
    <t xml:space="preserve"> Compte-rendu de test utilisateur </t>
  </si>
  <si>
    <t xml:space="preserve"> Procédures irréalistes </t>
  </si>
  <si>
    <t xml:space="preserve"> Impliquer les testeurs dans la conception </t>
  </si>
  <si>
    <t>Un cycle complet de test a été réalisé (unitaire, d'intégration, de charge)</t>
  </si>
  <si>
    <t>Toutes les phases de test ont-elles été éprouvées ?</t>
  </si>
  <si>
    <t xml:space="preserve"> Rapport de couverture des tests </t>
  </si>
  <si>
    <t xml:space="preserve"> Zones non testées </t>
  </si>
  <si>
    <t xml:space="preserve"> Défauts résiduels </t>
  </si>
  <si>
    <t xml:space="preserve"> Vérifier 100% des cas d'usage </t>
  </si>
  <si>
    <t>S’assurer que la sécurité des fichiers est prise en compte</t>
  </si>
  <si>
    <t>Une classification des fichiers (public, interne, confidentiel, secret) existe</t>
  </si>
  <si>
    <t>Les fichiers sont-ils classés par niveau de sensibilité ?</t>
  </si>
  <si>
    <t xml:space="preserve"> Politique de classification </t>
  </si>
  <si>
    <t xml:space="preserve"> Données mal protégées </t>
  </si>
  <si>
    <t xml:space="preserve"> Fuites accidentelles </t>
  </si>
  <si>
    <t xml:space="preserve"> Implémenter 4 niveaux de sensibilité </t>
  </si>
  <si>
    <t>Les droits d'accès aux fichiers sont attribués selon le besoin de connaître</t>
  </si>
  <si>
    <t>L'accès aux fichiers sensibles est-il restreint au strict nécessaire ?</t>
  </si>
  <si>
    <t xml:space="preserve"> Matrice d'accès aux fichiers </t>
  </si>
  <si>
    <t xml:space="preserve"> Fuites intentionnelles </t>
  </si>
  <si>
    <t xml:space="preserve"> Revoir les accès trimestriellement </t>
  </si>
  <si>
    <t>Les fichiers critiques sont chiffrés en stockage et en transmission</t>
  </si>
  <si>
    <t>Le chiffrement est-il appliqué aux fichiers sensibles ?</t>
  </si>
  <si>
    <t xml:space="preserve"> Rapport de chiffrement </t>
  </si>
  <si>
    <t xml:space="preserve"> Données exposées </t>
  </si>
  <si>
    <t xml:space="preserve"> Violations RGPD </t>
  </si>
  <si>
    <t xml:space="preserve"> Chiffrer systématiquement niveau 3+ </t>
  </si>
  <si>
    <t>Un système de versioning et de récupération des fichiers est en place</t>
  </si>
  <si>
    <t>Peut-on restaurer les fichiers modifiés ou supprimés accidentellement ?</t>
  </si>
  <si>
    <t xml:space="preserve"> Politique de sauvegarde </t>
  </si>
  <si>
    <t xml:space="preserve"> Pertes de données </t>
  </si>
  <si>
    <t xml:space="preserve"> Interruptions d'activité </t>
  </si>
  <si>
    <t xml:space="preserve"> Sauvegarder quotidiennement + tests mensuels </t>
  </si>
  <si>
    <t>Les fichiers temporaires et les copies non autorisées sont automatiquement purgés</t>
  </si>
  <si>
    <t>Existe-t-il un mécanisme de nettoyage des fichiers obsolètes ?</t>
  </si>
  <si>
    <t xml:space="preserve"> Stockage excessif </t>
  </si>
  <si>
    <t xml:space="preserve"> Automatiser la purge selon durée légale </t>
  </si>
  <si>
    <t>Sécurité informatique</t>
  </si>
  <si>
    <t>CONTRÔLE DES PROJETS INFORMATIQUE</t>
  </si>
  <si>
    <t>Synthèse Numérique</t>
  </si>
  <si>
    <t>Equipe de Mission</t>
  </si>
  <si>
    <t>N°</t>
  </si>
  <si>
    <t>Total OUI</t>
  </si>
  <si>
    <t>Total NON</t>
  </si>
  <si>
    <t>Total PAS</t>
  </si>
  <si>
    <t>Total</t>
  </si>
  <si>
    <t>Score</t>
  </si>
  <si>
    <t>Nom</t>
  </si>
  <si>
    <t>Prénom</t>
  </si>
  <si>
    <t>Chef :</t>
  </si>
  <si>
    <t>Membres:</t>
  </si>
  <si>
    <t>Chauffeur:</t>
  </si>
  <si>
    <t>Sythèse Graphique</t>
  </si>
  <si>
    <t>TENE</t>
  </si>
  <si>
    <t>Mathieu</t>
  </si>
  <si>
    <t>Spécialité</t>
  </si>
  <si>
    <t>DS</t>
  </si>
  <si>
    <t>Contrôle des projets informatique</t>
  </si>
  <si>
    <t xml:space="preserve">Support utilisateur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</si>
</sst>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Calibri"/>
      <family val="2"/>
      <scheme val="minor"/>
    </font>
    <font>
      <sz val="12"/>
      <color theme="1"/>
      <name val="Aptos 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Calibri"/>
      <family val="2"/>
    </font>
    <font>
      <sz val="11"/>
      <name val="Calibri"/>
      <charset val="134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439">
    <xf numFmtId="0" fontId="0" fillId="0" borderId="0" xfId="0"/>
    <xf numFmtId="0" fontId="5" fillId="2" borderId="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5" fillId="21" borderId="5" xfId="0" applyFont="1" applyFill="1" applyBorder="1" applyAlignment="1">
      <alignment horizontal="center" vertical="center" wrapText="1"/>
    </xf>
    <xf numFmtId="0" fontId="5" fillId="21" borderId="9" xfId="0" applyFont="1" applyFill="1" applyBorder="1" applyAlignment="1">
      <alignment horizontal="center" vertical="center" wrapText="1"/>
    </xf>
    <xf numFmtId="0" fontId="5" fillId="21" borderId="10" xfId="0" applyFont="1" applyFill="1" applyBorder="1" applyAlignment="1">
      <alignment horizontal="center" vertical="center" wrapText="1"/>
    </xf>
    <xf numFmtId="0" fontId="6" fillId="21" borderId="5" xfId="0" applyFont="1" applyFill="1" applyBorder="1" applyAlignment="1">
      <alignment horizontal="center" vertical="center" wrapText="1"/>
    </xf>
    <xf numFmtId="0" fontId="6" fillId="21" borderId="9" xfId="0" applyFont="1" applyFill="1" applyBorder="1" applyAlignment="1">
      <alignment horizontal="center" vertical="center" wrapText="1"/>
    </xf>
    <xf numFmtId="0" fontId="6" fillId="21" borderId="10" xfId="0" applyFont="1" applyFill="1" applyBorder="1" applyAlignment="1">
      <alignment horizontal="center" vertical="center" wrapText="1"/>
    </xf>
    <xf numFmtId="0" fontId="5" fillId="22" borderId="12" xfId="0" applyFont="1" applyFill="1" applyBorder="1" applyAlignment="1">
      <alignment horizontal="center" vertical="center" wrapText="1"/>
    </xf>
    <xf numFmtId="0" fontId="5" fillId="22" borderId="5" xfId="0" applyFont="1" applyFill="1" applyBorder="1" applyAlignment="1">
      <alignment horizontal="center" vertical="center" wrapText="1"/>
    </xf>
    <xf numFmtId="0" fontId="5" fillId="20" borderId="5" xfId="0" applyFont="1" applyFill="1" applyBorder="1" applyAlignment="1">
      <alignment horizontal="center" vertical="center" wrapText="1"/>
    </xf>
    <xf numFmtId="0" fontId="5" fillId="22" borderId="9" xfId="0" applyFont="1" applyFill="1" applyBorder="1" applyAlignment="1">
      <alignment horizontal="center" vertical="center" wrapText="1"/>
    </xf>
    <xf numFmtId="0" fontId="5" fillId="20" borderId="9" xfId="0" applyFont="1" applyFill="1" applyBorder="1" applyAlignment="1">
      <alignment horizontal="center" vertical="center" wrapText="1"/>
    </xf>
    <xf numFmtId="0" fontId="5" fillId="20" borderId="10" xfId="0" applyFont="1" applyFill="1" applyBorder="1" applyAlignment="1">
      <alignment horizontal="center" vertical="center" wrapText="1"/>
    </xf>
    <xf numFmtId="0" fontId="6" fillId="20" borderId="5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wrapText="1"/>
    </xf>
    <xf numFmtId="0" fontId="5" fillId="22" borderId="10" xfId="0" applyFont="1" applyFill="1" applyBorder="1" applyAlignment="1">
      <alignment horizontal="center" vertical="center" wrapText="1"/>
    </xf>
    <xf numFmtId="0" fontId="5" fillId="22" borderId="9" xfId="0" applyFont="1" applyFill="1" applyBorder="1" applyAlignment="1">
      <alignment horizontal="center" vertical="center" wrapText="1"/>
    </xf>
    <xf numFmtId="0" fontId="5" fillId="25" borderId="5" xfId="0" applyFont="1" applyFill="1" applyBorder="1" applyAlignment="1">
      <alignment horizontal="center" vertical="center" wrapText="1"/>
    </xf>
    <xf numFmtId="0" fontId="5" fillId="25" borderId="9" xfId="0" applyFont="1" applyFill="1" applyBorder="1" applyAlignment="1">
      <alignment horizontal="center" vertical="center" wrapText="1"/>
    </xf>
    <xf numFmtId="0" fontId="5" fillId="25" borderId="10" xfId="0" applyFont="1" applyFill="1" applyBorder="1" applyAlignment="1">
      <alignment horizontal="center" vertical="center" wrapText="1"/>
    </xf>
    <xf numFmtId="0" fontId="6" fillId="25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wrapText="1"/>
    </xf>
    <xf numFmtId="0" fontId="6" fillId="25" borderId="9" xfId="0" applyFont="1" applyFill="1" applyBorder="1" applyAlignment="1">
      <alignment horizontal="center" vertical="center" wrapText="1"/>
    </xf>
    <xf numFmtId="0" fontId="6" fillId="25" borderId="10" xfId="0" applyFont="1" applyFill="1" applyBorder="1" applyAlignment="1">
      <alignment horizontal="center" vertical="center" wrapText="1"/>
    </xf>
    <xf numFmtId="0" fontId="5" fillId="26" borderId="5" xfId="0" applyFont="1" applyFill="1" applyBorder="1" applyAlignment="1">
      <alignment horizontal="center" vertical="center" wrapText="1"/>
    </xf>
    <xf numFmtId="0" fontId="5" fillId="26" borderId="9" xfId="0" applyFont="1" applyFill="1" applyBorder="1" applyAlignment="1">
      <alignment horizontal="center" vertical="center" wrapText="1"/>
    </xf>
    <xf numFmtId="0" fontId="5" fillId="26" borderId="10" xfId="0" applyFont="1" applyFill="1" applyBorder="1" applyAlignment="1">
      <alignment horizontal="center" vertical="center" wrapText="1"/>
    </xf>
    <xf numFmtId="0" fontId="6" fillId="26" borderId="5" xfId="0" applyFont="1" applyFill="1" applyBorder="1" applyAlignment="1">
      <alignment horizontal="center" vertical="center" wrapText="1"/>
    </xf>
    <xf numFmtId="0" fontId="6" fillId="26" borderId="9" xfId="0" applyFont="1" applyFill="1" applyBorder="1" applyAlignment="1">
      <alignment horizontal="center" vertical="center" wrapText="1"/>
    </xf>
    <xf numFmtId="0" fontId="6" fillId="26" borderId="10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5" fillId="13" borderId="10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5" fillId="22" borderId="12" xfId="0" applyFont="1" applyFill="1" applyBorder="1" applyAlignment="1">
      <alignment horizontal="center" vertical="center" wrapText="1"/>
    </xf>
    <xf numFmtId="0" fontId="5" fillId="27" borderId="12" xfId="0" applyFont="1" applyFill="1" applyBorder="1" applyAlignment="1">
      <alignment horizontal="center" vertical="center" wrapText="1"/>
    </xf>
    <xf numFmtId="0" fontId="5" fillId="27" borderId="5" xfId="0" applyFont="1" applyFill="1" applyBorder="1" applyAlignment="1">
      <alignment horizontal="center" vertical="center" wrapText="1"/>
    </xf>
    <xf numFmtId="0" fontId="5" fillId="28" borderId="5" xfId="0" applyFont="1" applyFill="1" applyBorder="1" applyAlignment="1">
      <alignment horizontal="center" vertical="center" wrapText="1"/>
    </xf>
    <xf numFmtId="0" fontId="5" fillId="27" borderId="9" xfId="0" applyFont="1" applyFill="1" applyBorder="1" applyAlignment="1">
      <alignment horizontal="center" vertical="center" wrapText="1"/>
    </xf>
    <xf numFmtId="0" fontId="5" fillId="28" borderId="9" xfId="0" applyFont="1" applyFill="1" applyBorder="1" applyAlignment="1">
      <alignment horizontal="center" vertical="center" wrapText="1"/>
    </xf>
    <xf numFmtId="0" fontId="5" fillId="28" borderId="10" xfId="0" applyFont="1" applyFill="1" applyBorder="1" applyAlignment="1">
      <alignment horizontal="center" vertical="center" wrapText="1"/>
    </xf>
    <xf numFmtId="0" fontId="6" fillId="28" borderId="5" xfId="0" applyFont="1" applyFill="1" applyBorder="1" applyAlignment="1">
      <alignment horizontal="center" vertical="center" wrapText="1"/>
    </xf>
    <xf numFmtId="0" fontId="6" fillId="28" borderId="9" xfId="0" applyFont="1" applyFill="1" applyBorder="1" applyAlignment="1">
      <alignment horizontal="center" vertical="center" wrapText="1"/>
    </xf>
    <xf numFmtId="0" fontId="6" fillId="28" borderId="10" xfId="0" applyFont="1" applyFill="1" applyBorder="1" applyAlignment="1">
      <alignment horizontal="center" vertical="center" wrapText="1"/>
    </xf>
    <xf numFmtId="0" fontId="5" fillId="27" borderId="10" xfId="0" applyFont="1" applyFill="1" applyBorder="1" applyAlignment="1">
      <alignment horizontal="center" vertical="center" wrapText="1"/>
    </xf>
    <xf numFmtId="0" fontId="5" fillId="27" borderId="9" xfId="0" applyFont="1" applyFill="1" applyBorder="1" applyAlignment="1">
      <alignment horizontal="center" vertical="center" wrapText="1"/>
    </xf>
    <xf numFmtId="0" fontId="5" fillId="29" borderId="5" xfId="0" applyFont="1" applyFill="1" applyBorder="1" applyAlignment="1">
      <alignment horizontal="center" vertical="center" wrapText="1"/>
    </xf>
    <xf numFmtId="0" fontId="5" fillId="29" borderId="9" xfId="0" applyFont="1" applyFill="1" applyBorder="1" applyAlignment="1">
      <alignment horizontal="center" vertical="center" wrapText="1"/>
    </xf>
    <xf numFmtId="0" fontId="5" fillId="29" borderId="10" xfId="0" applyFont="1" applyFill="1" applyBorder="1" applyAlignment="1">
      <alignment horizontal="center" vertical="center" wrapText="1"/>
    </xf>
    <xf numFmtId="0" fontId="6" fillId="29" borderId="5" xfId="0" applyFont="1" applyFill="1" applyBorder="1" applyAlignment="1">
      <alignment horizontal="center" vertical="center" wrapText="1"/>
    </xf>
    <xf numFmtId="0" fontId="6" fillId="29" borderId="9" xfId="0" applyFont="1" applyFill="1" applyBorder="1" applyAlignment="1">
      <alignment horizontal="center" vertical="center" wrapText="1"/>
    </xf>
    <xf numFmtId="0" fontId="6" fillId="29" borderId="10" xfId="0" applyFont="1" applyFill="1" applyBorder="1" applyAlignment="1">
      <alignment horizontal="center" vertical="center" wrapText="1"/>
    </xf>
    <xf numFmtId="0" fontId="5" fillId="27" borderId="12" xfId="0" applyFont="1" applyFill="1" applyBorder="1" applyAlignment="1">
      <alignment horizontal="center" vertical="center" wrapText="1"/>
    </xf>
    <xf numFmtId="0" fontId="5" fillId="30" borderId="12" xfId="0" applyFont="1" applyFill="1" applyBorder="1" applyAlignment="1">
      <alignment horizontal="center" vertical="center" wrapText="1"/>
    </xf>
    <xf numFmtId="0" fontId="5" fillId="30" borderId="5" xfId="0" applyFont="1" applyFill="1" applyBorder="1" applyAlignment="1">
      <alignment horizontal="center" vertical="center" wrapText="1"/>
    </xf>
    <xf numFmtId="0" fontId="5" fillId="3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5" fillId="30" borderId="9" xfId="0" applyFont="1" applyFill="1" applyBorder="1" applyAlignment="1">
      <alignment horizontal="center" vertical="center" wrapText="1"/>
    </xf>
    <xf numFmtId="0" fontId="5" fillId="32" borderId="9" xfId="0" applyFont="1" applyFill="1" applyBorder="1" applyAlignment="1">
      <alignment horizontal="center" vertical="center" wrapText="1"/>
    </xf>
    <xf numFmtId="0" fontId="5" fillId="32" borderId="10" xfId="0" applyFont="1" applyFill="1" applyBorder="1" applyAlignment="1">
      <alignment horizontal="center" vertical="center" wrapText="1"/>
    </xf>
    <xf numFmtId="0" fontId="6" fillId="32" borderId="5" xfId="0" applyFont="1" applyFill="1" applyBorder="1" applyAlignment="1">
      <alignment horizontal="center" vertical="center" wrapText="1"/>
    </xf>
    <xf numFmtId="0" fontId="6" fillId="32" borderId="9" xfId="0" applyFont="1" applyFill="1" applyBorder="1" applyAlignment="1">
      <alignment horizontal="center" vertical="center" wrapText="1"/>
    </xf>
    <xf numFmtId="0" fontId="6" fillId="32" borderId="10" xfId="0" applyFont="1" applyFill="1" applyBorder="1" applyAlignment="1">
      <alignment horizontal="center" vertical="center" wrapText="1"/>
    </xf>
    <xf numFmtId="0" fontId="5" fillId="30" borderId="10" xfId="0" applyFont="1" applyFill="1" applyBorder="1" applyAlignment="1">
      <alignment horizontal="center" vertical="center" wrapText="1"/>
    </xf>
    <xf numFmtId="0" fontId="5" fillId="30" borderId="9" xfId="0" applyFont="1" applyFill="1" applyBorder="1" applyAlignment="1">
      <alignment horizontal="center" vertical="center" wrapText="1"/>
    </xf>
    <xf numFmtId="0" fontId="5" fillId="31" borderId="5" xfId="0" applyFont="1" applyFill="1" applyBorder="1" applyAlignment="1">
      <alignment horizontal="center" vertical="center" wrapText="1"/>
    </xf>
    <xf numFmtId="0" fontId="5" fillId="30" borderId="4" xfId="0" applyFont="1" applyFill="1" applyBorder="1" applyAlignment="1">
      <alignment horizontal="center" vertical="center" wrapText="1"/>
    </xf>
    <xf numFmtId="0" fontId="5" fillId="31" borderId="9" xfId="0" applyFont="1" applyFill="1" applyBorder="1" applyAlignment="1">
      <alignment horizontal="center" vertical="center" wrapText="1"/>
    </xf>
    <xf numFmtId="0" fontId="5" fillId="31" borderId="10" xfId="0" applyFont="1" applyFill="1" applyBorder="1" applyAlignment="1">
      <alignment horizontal="center" vertical="center" wrapText="1"/>
    </xf>
    <xf numFmtId="0" fontId="5" fillId="33" borderId="5" xfId="0" applyFont="1" applyFill="1" applyBorder="1" applyAlignment="1">
      <alignment horizontal="center" vertical="center" wrapText="1"/>
    </xf>
    <xf numFmtId="0" fontId="5" fillId="33" borderId="9" xfId="0" applyFont="1" applyFill="1" applyBorder="1" applyAlignment="1">
      <alignment horizontal="center" vertical="center" wrapText="1"/>
    </xf>
    <xf numFmtId="0" fontId="5" fillId="33" borderId="10" xfId="0" applyFont="1" applyFill="1" applyBorder="1" applyAlignment="1">
      <alignment horizontal="center" vertical="center" wrapText="1"/>
    </xf>
    <xf numFmtId="0" fontId="5" fillId="30" borderId="14" xfId="0" applyFont="1" applyFill="1" applyBorder="1" applyAlignment="1">
      <alignment horizontal="center" vertical="center" wrapText="1"/>
    </xf>
    <xf numFmtId="0" fontId="5" fillId="30" borderId="15" xfId="0" applyFont="1" applyFill="1" applyBorder="1" applyAlignment="1">
      <alignment horizontal="center" vertical="center" wrapText="1"/>
    </xf>
    <xf numFmtId="0" fontId="5" fillId="33" borderId="1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0" fillId="9" borderId="6" xfId="0" applyFill="1" applyBorder="1" applyAlignment="1">
      <alignment horizontal="center" wrapText="1"/>
    </xf>
    <xf numFmtId="0" fontId="0" fillId="9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5" fillId="10" borderId="9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wrapText="1"/>
    </xf>
    <xf numFmtId="0" fontId="6" fillId="11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left" vertical="center" wrapText="1"/>
    </xf>
    <xf numFmtId="0" fontId="0" fillId="12" borderId="6" xfId="0" applyFill="1" applyBorder="1" applyAlignment="1">
      <alignment horizontal="center" wrapText="1"/>
    </xf>
    <xf numFmtId="0" fontId="5" fillId="12" borderId="6" xfId="0" applyFont="1" applyFill="1" applyBorder="1" applyAlignment="1">
      <alignment wrapText="1"/>
    </xf>
    <xf numFmtId="0" fontId="0" fillId="12" borderId="6" xfId="0" applyFill="1" applyBorder="1" applyAlignment="1">
      <alignment horizontal="center" vertical="center" wrapText="1"/>
    </xf>
    <xf numFmtId="0" fontId="0" fillId="12" borderId="7" xfId="0" applyFill="1" applyBorder="1" applyAlignment="1">
      <alignment wrapText="1"/>
    </xf>
    <xf numFmtId="0" fontId="6" fillId="12" borderId="6" xfId="0" applyFont="1" applyFill="1" applyBorder="1" applyAlignment="1">
      <alignment wrapText="1"/>
    </xf>
    <xf numFmtId="0" fontId="5" fillId="13" borderId="9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wrapText="1"/>
    </xf>
    <xf numFmtId="0" fontId="5" fillId="14" borderId="9" xfId="0" applyFont="1" applyFill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6" fillId="12" borderId="0" xfId="0" applyFont="1" applyFill="1" applyAlignment="1">
      <alignment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wrapText="1"/>
    </xf>
    <xf numFmtId="0" fontId="5" fillId="12" borderId="9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wrapText="1"/>
    </xf>
    <xf numFmtId="0" fontId="0" fillId="16" borderId="6" xfId="0" applyFill="1" applyBorder="1" applyAlignment="1">
      <alignment horizontal="center" wrapText="1"/>
    </xf>
    <xf numFmtId="0" fontId="5" fillId="16" borderId="6" xfId="0" applyFont="1" applyFill="1" applyBorder="1" applyAlignment="1">
      <alignment wrapText="1"/>
    </xf>
    <xf numFmtId="0" fontId="0" fillId="16" borderId="6" xfId="0" applyFill="1" applyBorder="1" applyAlignment="1">
      <alignment horizontal="center" vertical="center" wrapText="1"/>
    </xf>
    <xf numFmtId="0" fontId="0" fillId="16" borderId="7" xfId="0" applyFill="1" applyBorder="1" applyAlignment="1">
      <alignment wrapText="1"/>
    </xf>
    <xf numFmtId="0" fontId="5" fillId="15" borderId="9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left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16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5" fillId="16" borderId="10" xfId="0" applyFont="1" applyFill="1" applyBorder="1" applyAlignment="1">
      <alignment horizontal="center" vertical="center" wrapText="1"/>
    </xf>
    <xf numFmtId="0" fontId="5" fillId="16" borderId="9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wrapText="1"/>
    </xf>
    <xf numFmtId="0" fontId="5" fillId="17" borderId="5" xfId="0" applyFont="1" applyFill="1" applyBorder="1" applyAlignment="1">
      <alignment horizontal="center" vertical="center" wrapText="1"/>
    </xf>
    <xf numFmtId="0" fontId="5" fillId="17" borderId="9" xfId="0" applyFont="1" applyFill="1" applyBorder="1" applyAlignment="1">
      <alignment horizontal="center" vertical="center" wrapText="1"/>
    </xf>
    <xf numFmtId="0" fontId="5" fillId="17" borderId="10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left" vertical="center" wrapText="1"/>
    </xf>
    <xf numFmtId="0" fontId="0" fillId="10" borderId="6" xfId="0" applyFill="1" applyBorder="1" applyAlignment="1">
      <alignment horizontal="center" wrapText="1"/>
    </xf>
    <xf numFmtId="0" fontId="5" fillId="10" borderId="6" xfId="0" applyFont="1" applyFill="1" applyBorder="1" applyAlignment="1">
      <alignment wrapText="1"/>
    </xf>
    <xf numFmtId="0" fontId="0" fillId="10" borderId="6" xfId="0" applyFill="1" applyBorder="1" applyAlignment="1">
      <alignment horizontal="center" vertical="center" wrapText="1"/>
    </xf>
    <xf numFmtId="0" fontId="0" fillId="10" borderId="7" xfId="0" applyFill="1" applyBorder="1" applyAlignment="1">
      <alignment wrapText="1"/>
    </xf>
    <xf numFmtId="0" fontId="5" fillId="18" borderId="9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wrapText="1"/>
    </xf>
    <xf numFmtId="0" fontId="5" fillId="18" borderId="10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5" fillId="19" borderId="9" xfId="0" applyFont="1" applyFill="1" applyBorder="1" applyAlignment="1">
      <alignment horizontal="center" vertical="center" wrapText="1"/>
    </xf>
    <xf numFmtId="0" fontId="5" fillId="19" borderId="10" xfId="0" applyFont="1" applyFill="1" applyBorder="1" applyAlignment="1">
      <alignment horizontal="center" vertical="center" wrapText="1"/>
    </xf>
    <xf numFmtId="0" fontId="6" fillId="19" borderId="5" xfId="0" applyFont="1" applyFill="1" applyBorder="1" applyAlignment="1">
      <alignment horizontal="center" vertical="center" wrapText="1"/>
    </xf>
    <xf numFmtId="0" fontId="6" fillId="19" borderId="9" xfId="0" applyFont="1" applyFill="1" applyBorder="1" applyAlignment="1">
      <alignment horizontal="center" vertical="center" wrapText="1"/>
    </xf>
    <xf numFmtId="0" fontId="6" fillId="19" borderId="10" xfId="0" applyFont="1" applyFill="1" applyBorder="1" applyAlignment="1">
      <alignment horizontal="center" vertical="center" wrapText="1"/>
    </xf>
    <xf numFmtId="0" fontId="5" fillId="18" borderId="6" xfId="0" applyFont="1" applyFill="1" applyBorder="1" applyAlignment="1">
      <alignment wrapText="1"/>
    </xf>
    <xf numFmtId="0" fontId="5" fillId="20" borderId="12" xfId="0" applyFont="1" applyFill="1" applyBorder="1" applyAlignment="1">
      <alignment horizontal="center" vertical="center" wrapText="1"/>
    </xf>
    <xf numFmtId="0" fontId="0" fillId="18" borderId="6" xfId="0" applyFill="1" applyBorder="1" applyAlignment="1">
      <alignment horizontal="center" wrapText="1"/>
    </xf>
    <xf numFmtId="0" fontId="0" fillId="18" borderId="6" xfId="0" applyFill="1" applyBorder="1" applyAlignment="1">
      <alignment horizontal="center" vertical="center" wrapText="1"/>
    </xf>
    <xf numFmtId="0" fontId="0" fillId="18" borderId="7" xfId="0" applyFill="1" applyBorder="1" applyAlignment="1">
      <alignment wrapText="1"/>
    </xf>
    <xf numFmtId="0" fontId="5" fillId="20" borderId="9" xfId="0" applyFont="1" applyFill="1" applyBorder="1" applyAlignment="1">
      <alignment horizontal="center" vertical="center" wrapText="1"/>
    </xf>
    <xf numFmtId="0" fontId="5" fillId="18" borderId="9" xfId="0" applyFont="1" applyFill="1" applyBorder="1" applyAlignment="1">
      <alignment horizontal="center" vertical="center" wrapText="1"/>
    </xf>
    <xf numFmtId="0" fontId="5" fillId="20" borderId="12" xfId="0" applyFont="1" applyFill="1" applyBorder="1" applyAlignment="1">
      <alignment horizontal="center" vertical="center" wrapText="1"/>
    </xf>
    <xf numFmtId="0" fontId="5" fillId="23" borderId="5" xfId="0" applyFont="1" applyFill="1" applyBorder="1" applyAlignment="1">
      <alignment horizontal="center" vertical="center" wrapText="1"/>
    </xf>
    <xf numFmtId="0" fontId="5" fillId="24" borderId="6" xfId="0" applyFont="1" applyFill="1" applyBorder="1" applyAlignment="1">
      <alignment wrapText="1"/>
    </xf>
    <xf numFmtId="0" fontId="0" fillId="23" borderId="6" xfId="0" applyFill="1" applyBorder="1" applyAlignment="1">
      <alignment horizontal="center" wrapText="1"/>
    </xf>
    <xf numFmtId="0" fontId="5" fillId="23" borderId="6" xfId="0" applyFont="1" applyFill="1" applyBorder="1" applyAlignment="1">
      <alignment wrapText="1"/>
    </xf>
    <xf numFmtId="0" fontId="0" fillId="23" borderId="6" xfId="0" applyFill="1" applyBorder="1" applyAlignment="1">
      <alignment horizontal="center" vertical="center" wrapText="1"/>
    </xf>
    <xf numFmtId="0" fontId="0" fillId="23" borderId="7" xfId="0" applyFill="1" applyBorder="1" applyAlignment="1">
      <alignment wrapText="1"/>
    </xf>
    <xf numFmtId="0" fontId="5" fillId="23" borderId="9" xfId="0" applyFont="1" applyFill="1" applyBorder="1" applyAlignment="1">
      <alignment horizontal="center" vertical="center" wrapText="1"/>
    </xf>
    <xf numFmtId="0" fontId="6" fillId="24" borderId="6" xfId="0" applyFont="1" applyFill="1" applyBorder="1" applyAlignment="1">
      <alignment wrapText="1"/>
    </xf>
    <xf numFmtId="0" fontId="5" fillId="23" borderId="10" xfId="0" applyFont="1" applyFill="1" applyBorder="1" applyAlignment="1">
      <alignment horizontal="center" vertical="center" wrapText="1"/>
    </xf>
    <xf numFmtId="0" fontId="5" fillId="23" borderId="9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 wrapText="1"/>
    </xf>
    <xf numFmtId="0" fontId="5" fillId="20" borderId="6" xfId="0" applyFont="1" applyFill="1" applyBorder="1" applyAlignment="1">
      <alignment wrapText="1"/>
    </xf>
    <xf numFmtId="0" fontId="0" fillId="20" borderId="6" xfId="0" applyFill="1" applyBorder="1" applyAlignment="1">
      <alignment horizontal="center" wrapText="1"/>
    </xf>
    <xf numFmtId="0" fontId="0" fillId="20" borderId="6" xfId="0" applyFill="1" applyBorder="1" applyAlignment="1">
      <alignment horizontal="center" vertical="center" wrapText="1"/>
    </xf>
    <xf numFmtId="0" fontId="0" fillId="20" borderId="7" xfId="0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6" fillId="8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5" fillId="31" borderId="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5" fillId="31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5" fillId="0" borderId="16" xfId="0" applyFont="1" applyBorder="1" applyAlignment="1">
      <alignment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0" borderId="18" xfId="0" applyFill="1" applyBorder="1"/>
    <xf numFmtId="0" fontId="0" fillId="20" borderId="18" xfId="0" applyFill="1" applyBorder="1" applyAlignment="1">
      <alignment vertical="center" wrapText="1"/>
    </xf>
    <xf numFmtId="0" fontId="0" fillId="2" borderId="18" xfId="0" applyFill="1" applyBorder="1"/>
    <xf numFmtId="0" fontId="9" fillId="20" borderId="18" xfId="0" applyFont="1" applyFill="1" applyBorder="1" applyAlignment="1">
      <alignment vertical="center" wrapText="1"/>
    </xf>
    <xf numFmtId="0" fontId="0" fillId="2" borderId="18" xfId="0" applyFill="1" applyBorder="1" applyAlignment="1">
      <alignment vertical="center" wrapText="1"/>
    </xf>
    <xf numFmtId="0" fontId="0" fillId="9" borderId="18" xfId="0" applyFill="1" applyBorder="1" applyAlignment="1">
      <alignment vertical="center" wrapText="1"/>
    </xf>
    <xf numFmtId="0" fontId="0" fillId="5" borderId="18" xfId="0" applyFill="1" applyBorder="1" applyAlignment="1">
      <alignment horizontal="center" vertical="center"/>
    </xf>
    <xf numFmtId="0" fontId="0" fillId="5" borderId="18" xfId="0" applyFill="1" applyBorder="1" applyAlignment="1">
      <alignment vertical="center" wrapText="1"/>
    </xf>
    <xf numFmtId="0" fontId="9" fillId="5" borderId="18" xfId="0" applyFont="1" applyFill="1" applyBorder="1" applyAlignment="1">
      <alignment vertical="center" wrapText="1"/>
    </xf>
    <xf numFmtId="0" fontId="9" fillId="2" borderId="18" xfId="0" applyFont="1" applyFill="1" applyBorder="1" applyAlignment="1">
      <alignment vertical="center" wrapText="1"/>
    </xf>
    <xf numFmtId="0" fontId="9" fillId="9" borderId="18" xfId="0" applyFont="1" applyFill="1" applyBorder="1" applyAlignment="1">
      <alignment vertical="center" wrapText="1"/>
    </xf>
    <xf numFmtId="0" fontId="0" fillId="5" borderId="18" xfId="0" applyFill="1" applyBorder="1" applyAlignment="1">
      <alignment horizontal="left" vertical="center" wrapText="1"/>
    </xf>
    <xf numFmtId="0" fontId="0" fillId="7" borderId="18" xfId="0" applyFill="1" applyBorder="1" applyAlignment="1">
      <alignment horizontal="center" vertical="center"/>
    </xf>
    <xf numFmtId="0" fontId="0" fillId="7" borderId="18" xfId="0" applyFill="1" applyBorder="1" applyAlignment="1">
      <alignment vertical="center" wrapText="1"/>
    </xf>
    <xf numFmtId="0" fontId="9" fillId="7" borderId="18" xfId="0" applyFont="1" applyFill="1" applyBorder="1" applyAlignment="1">
      <alignment vertical="center" wrapText="1"/>
    </xf>
    <xf numFmtId="0" fontId="0" fillId="34" borderId="18" xfId="0" applyFill="1" applyBorder="1" applyAlignment="1">
      <alignment horizontal="center" vertical="center"/>
    </xf>
    <xf numFmtId="0" fontId="0" fillId="34" borderId="18" xfId="0" applyFill="1" applyBorder="1" applyAlignment="1">
      <alignment vertical="center" wrapText="1"/>
    </xf>
    <xf numFmtId="0" fontId="9" fillId="34" borderId="18" xfId="0" applyFont="1" applyFill="1" applyBorder="1" applyAlignment="1">
      <alignment vertical="center" wrapText="1"/>
    </xf>
    <xf numFmtId="0" fontId="0" fillId="34" borderId="18" xfId="0" applyFill="1" applyBorder="1"/>
    <xf numFmtId="0" fontId="0" fillId="15" borderId="18" xfId="0" applyFill="1" applyBorder="1" applyAlignment="1">
      <alignment horizontal="center" vertical="center"/>
    </xf>
    <xf numFmtId="0" fontId="0" fillId="15" borderId="18" xfId="0" applyFill="1" applyBorder="1" applyAlignment="1">
      <alignment vertical="center" wrapText="1"/>
    </xf>
    <xf numFmtId="0" fontId="9" fillId="15" borderId="18" xfId="0" applyFont="1" applyFill="1" applyBorder="1" applyAlignment="1">
      <alignment vertical="center" wrapText="1"/>
    </xf>
    <xf numFmtId="0" fontId="10" fillId="0" borderId="5" xfId="2" applyBorder="1" applyAlignment="1">
      <alignment horizontal="center" vertical="center" wrapText="1"/>
    </xf>
    <xf numFmtId="0" fontId="10" fillId="0" borderId="10" xfId="2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/>
    </xf>
    <xf numFmtId="0" fontId="10" fillId="0" borderId="10" xfId="2" applyBorder="1" applyAlignment="1">
      <alignment horizontal="center" vertical="center"/>
    </xf>
    <xf numFmtId="0" fontId="10" fillId="0" borderId="5" xfId="2" applyBorder="1" applyAlignment="1">
      <alignment horizontal="center" vertical="center"/>
    </xf>
    <xf numFmtId="20" fontId="3" fillId="0" borderId="6" xfId="2" applyNumberFormat="1" applyFont="1" applyBorder="1" applyAlignment="1">
      <alignment horizontal="center" vertical="center"/>
    </xf>
    <xf numFmtId="20" fontId="10" fillId="0" borderId="6" xfId="2" applyNumberFormat="1" applyBorder="1" applyAlignment="1">
      <alignment horizontal="center" vertical="center"/>
    </xf>
    <xf numFmtId="0" fontId="10" fillId="0" borderId="9" xfId="2" applyBorder="1" applyAlignment="1">
      <alignment horizontal="center" vertical="center" wrapText="1"/>
    </xf>
    <xf numFmtId="0" fontId="10" fillId="0" borderId="6" xfId="2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0" fillId="0" borderId="6" xfId="2" applyBorder="1" applyAlignment="1">
      <alignment horizontal="center" vertical="center"/>
    </xf>
    <xf numFmtId="0" fontId="3" fillId="0" borderId="5" xfId="2" applyFont="1" applyBorder="1" applyAlignment="1">
      <alignment horizontal="center"/>
    </xf>
    <xf numFmtId="0" fontId="10" fillId="0" borderId="10" xfId="2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/>
    <xf numFmtId="0" fontId="11" fillId="0" borderId="6" xfId="2" applyFont="1" applyBorder="1"/>
    <xf numFmtId="0" fontId="11" fillId="0" borderId="6" xfId="2" applyFont="1" applyBorder="1" applyAlignment="1">
      <alignment vertical="center"/>
    </xf>
    <xf numFmtId="0" fontId="11" fillId="0" borderId="20" xfId="2" applyFont="1" applyBorder="1"/>
    <xf numFmtId="0" fontId="12" fillId="0" borderId="6" xfId="2" applyFont="1" applyBorder="1"/>
    <xf numFmtId="0" fontId="10" fillId="0" borderId="6" xfId="2" applyBorder="1" applyAlignment="1">
      <alignment vertical="center"/>
    </xf>
    <xf numFmtId="0" fontId="10" fillId="0" borderId="6" xfId="2" applyBorder="1"/>
    <xf numFmtId="0" fontId="10" fillId="0" borderId="20" xfId="2" applyBorder="1" applyAlignment="1">
      <alignment horizontal="center" vertical="center"/>
    </xf>
    <xf numFmtId="0" fontId="10" fillId="0" borderId="6" xfId="2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10" fillId="0" borderId="20" xfId="2" applyBorder="1" applyAlignment="1">
      <alignment horizontal="center"/>
    </xf>
    <xf numFmtId="0" fontId="10" fillId="0" borderId="0" xfId="2" applyAlignment="1">
      <alignment horizontal="center"/>
    </xf>
    <xf numFmtId="0" fontId="10" fillId="0" borderId="19" xfId="2" applyBorder="1" applyAlignment="1">
      <alignment horizontal="center" vertical="center"/>
    </xf>
    <xf numFmtId="0" fontId="10" fillId="0" borderId="20" xfId="2" applyBorder="1" applyAlignment="1">
      <alignment horizontal="center" wrapText="1"/>
    </xf>
    <xf numFmtId="0" fontId="10" fillId="0" borderId="6" xfId="2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0" fontId="0" fillId="0" borderId="26" xfId="0" applyBorder="1"/>
    <xf numFmtId="0" fontId="0" fillId="0" borderId="6" xfId="0" applyBorder="1" applyAlignment="1">
      <alignment wrapText="1"/>
    </xf>
    <xf numFmtId="0" fontId="0" fillId="0" borderId="2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/>
    <xf numFmtId="0" fontId="0" fillId="0" borderId="28" xfId="0" applyBorder="1"/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0" xfId="0" applyBorder="1"/>
    <xf numFmtId="0" fontId="0" fillId="0" borderId="15" xfId="0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/>
    <xf numFmtId="0" fontId="0" fillId="0" borderId="21" xfId="0" applyBorder="1"/>
    <xf numFmtId="0" fontId="0" fillId="0" borderId="29" xfId="0" applyBorder="1" applyAlignment="1">
      <alignment horizontal="center" vertical="center"/>
    </xf>
    <xf numFmtId="0" fontId="0" fillId="0" borderId="16" xfId="0" applyBorder="1"/>
    <xf numFmtId="0" fontId="0" fillId="0" borderId="30" xfId="0" applyBorder="1"/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0" fillId="0" borderId="27" xfId="0" applyBorder="1"/>
    <xf numFmtId="0" fontId="0" fillId="0" borderId="6" xfId="0" applyBorder="1" applyAlignment="1">
      <alignment horizontal="center" vertical="center" wrapText="1"/>
    </xf>
    <xf numFmtId="0" fontId="0" fillId="0" borderId="9" xfId="0" applyBorder="1"/>
    <xf numFmtId="0" fontId="0" fillId="0" borderId="24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5" borderId="6" xfId="0" applyFill="1" applyBorder="1" applyAlignment="1">
      <alignment horizontal="center" vertical="center" wrapText="1"/>
    </xf>
    <xf numFmtId="0" fontId="0" fillId="36" borderId="6" xfId="0" applyFill="1" applyBorder="1" applyAlignment="1">
      <alignment horizontal="center" vertical="center" wrapText="1"/>
    </xf>
    <xf numFmtId="0" fontId="0" fillId="37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34" borderId="6" xfId="0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wrapText="1"/>
    </xf>
    <xf numFmtId="0" fontId="0" fillId="35" borderId="6" xfId="0" applyFill="1" applyBorder="1" applyAlignment="1">
      <alignment vertical="center" wrapText="1"/>
    </xf>
    <xf numFmtId="0" fontId="0" fillId="36" borderId="6" xfId="0" applyFill="1" applyBorder="1" applyAlignment="1">
      <alignment vertical="center" wrapText="1"/>
    </xf>
    <xf numFmtId="0" fontId="0" fillId="37" borderId="6" xfId="0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0" fillId="34" borderId="6" xfId="0" applyFill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1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5" fillId="20" borderId="6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5" fillId="9" borderId="6" xfId="0" applyFont="1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left" vertical="center" wrapText="1"/>
    </xf>
    <xf numFmtId="0" fontId="15" fillId="34" borderId="6" xfId="0" applyFont="1" applyFill="1" applyBorder="1" applyAlignment="1">
      <alignment horizontal="left" vertical="center" wrapText="1"/>
    </xf>
    <xf numFmtId="0" fontId="15" fillId="15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20" borderId="6" xfId="0" applyFont="1" applyFill="1" applyBorder="1" applyAlignment="1">
      <alignment horizontal="left" vertical="center" wrapText="1"/>
    </xf>
    <xf numFmtId="0" fontId="15" fillId="20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34" borderId="6" xfId="0" applyFont="1" applyFill="1" applyBorder="1" applyAlignment="1">
      <alignment horizontal="left" vertical="center" wrapText="1"/>
    </xf>
    <xf numFmtId="0" fontId="15" fillId="34" borderId="6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left" vertical="center" wrapText="1"/>
    </xf>
    <xf numFmtId="0" fontId="15" fillId="15" borderId="6" xfId="0" applyFont="1" applyFill="1" applyBorder="1" applyAlignment="1">
      <alignment horizontal="center" vertical="center" wrapText="1"/>
    </xf>
    <xf numFmtId="20" fontId="15" fillId="0" borderId="6" xfId="2" applyNumberFormat="1" applyFont="1" applyBorder="1" applyAlignment="1">
      <alignment horizontal="left" vertical="center" wrapText="1"/>
    </xf>
    <xf numFmtId="0" fontId="15" fillId="0" borderId="6" xfId="2" applyFont="1" applyBorder="1" applyAlignment="1">
      <alignment horizontal="left" vertical="center" wrapText="1"/>
    </xf>
    <xf numFmtId="0" fontId="15" fillId="0" borderId="6" xfId="2" applyFont="1" applyBorder="1" applyAlignment="1">
      <alignment horizontal="center" vertical="center" wrapText="1"/>
    </xf>
    <xf numFmtId="0" fontId="15" fillId="0" borderId="6" xfId="2" applyFont="1" applyBorder="1" applyAlignment="1">
      <alignment horizontal="left" vertical="center" wrapText="1"/>
    </xf>
    <xf numFmtId="0" fontId="16" fillId="0" borderId="6" xfId="2" applyFont="1" applyBorder="1" applyAlignment="1">
      <alignment horizontal="left" vertical="center" wrapText="1"/>
    </xf>
    <xf numFmtId="0" fontId="15" fillId="0" borderId="6" xfId="2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35" borderId="6" xfId="0" applyFont="1" applyFill="1" applyBorder="1" applyAlignment="1">
      <alignment horizontal="left" vertical="center" wrapText="1"/>
    </xf>
    <xf numFmtId="0" fontId="15" fillId="35" borderId="6" xfId="0" applyFont="1" applyFill="1" applyBorder="1" applyAlignment="1">
      <alignment horizontal="left" vertical="center" wrapText="1"/>
    </xf>
    <xf numFmtId="0" fontId="15" fillId="36" borderId="6" xfId="0" applyFont="1" applyFill="1" applyBorder="1" applyAlignment="1">
      <alignment horizontal="left" vertical="center" wrapText="1"/>
    </xf>
    <xf numFmtId="0" fontId="15" fillId="36" borderId="6" xfId="0" applyFont="1" applyFill="1" applyBorder="1" applyAlignment="1">
      <alignment horizontal="left" vertical="center" wrapText="1"/>
    </xf>
    <xf numFmtId="0" fontId="15" fillId="37" borderId="6" xfId="0" applyFont="1" applyFill="1" applyBorder="1" applyAlignment="1">
      <alignment horizontal="left" vertical="center" wrapText="1"/>
    </xf>
    <xf numFmtId="0" fontId="15" fillId="37" borderId="6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12" xfId="0" applyBorder="1"/>
    <xf numFmtId="0" fontId="0" fillId="0" borderId="34" xfId="0" applyBorder="1"/>
    <xf numFmtId="0" fontId="0" fillId="0" borderId="35" xfId="0" applyBorder="1"/>
    <xf numFmtId="0" fontId="0" fillId="0" borderId="0" xfId="0" applyAlignment="1">
      <alignment horizontal="left"/>
    </xf>
    <xf numFmtId="0" fontId="2" fillId="0" borderId="14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6" xfId="0" applyFont="1" applyBorder="1"/>
    <xf numFmtId="9" fontId="2" fillId="0" borderId="17" xfId="1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9" fontId="2" fillId="0" borderId="0" xfId="1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2" fillId="0" borderId="0" xfId="0" applyFont="1" applyAlignment="1">
      <alignment horizontal="center"/>
    </xf>
    <xf numFmtId="0" fontId="0" fillId="0" borderId="0" xfId="0" applyFill="1" applyBorder="1"/>
    <xf numFmtId="0" fontId="0" fillId="20" borderId="18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</cellXfs>
  <cellStyles count="3">
    <cellStyle name="Normal" xfId="0" builtinId="0"/>
    <cellStyle name="Normal 2" xfId="2"/>
    <cellStyle name="Pourcentage" xfId="1" builtinId="5"/>
  </cellStyles>
  <dxfs count="81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Synthèse!$D$5</c:f>
              <c:strCache>
                <c:ptCount val="1"/>
                <c:pt idx="0">
                  <c:v>Total OUI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Synthèse!$B$6:$C$11</c15:sqref>
                  </c15:fullRef>
                  <c15:levelRef>
                    <c15:sqref>Synthèse!$B$6:$B$11</c15:sqref>
                  </c15:levelRef>
                </c:ext>
              </c:extLst>
              <c:f>Synthèse!$B$6:$B$11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Total</c:v>
                </c:pt>
              </c:strCache>
            </c:strRef>
          </c:cat>
          <c:val>
            <c:numRef>
              <c:f>Synthèse!$D$6:$D$11</c:f>
              <c:numCache>
                <c:formatCode>General</c:formatCode>
                <c:ptCount val="6"/>
                <c:pt idx="0">
                  <c:v>100</c:v>
                </c:pt>
                <c:pt idx="1">
                  <c:v>81</c:v>
                </c:pt>
                <c:pt idx="2">
                  <c:v>310</c:v>
                </c:pt>
                <c:pt idx="3">
                  <c:v>80</c:v>
                </c:pt>
                <c:pt idx="4">
                  <c:v>75</c:v>
                </c:pt>
                <c:pt idx="5">
                  <c:v>571</c:v>
                </c:pt>
              </c:numCache>
            </c:numRef>
          </c:val>
        </c:ser>
        <c:ser>
          <c:idx val="1"/>
          <c:order val="1"/>
          <c:tx>
            <c:strRef>
              <c:f>Synthèse!$E$5</c:f>
              <c:strCache>
                <c:ptCount val="1"/>
                <c:pt idx="0">
                  <c:v>Total NON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Synthèse!$B$6:$C$11</c15:sqref>
                  </c15:fullRef>
                  <c15:levelRef>
                    <c15:sqref>Synthèse!$B$6:$B$11</c15:sqref>
                  </c15:levelRef>
                </c:ext>
              </c:extLst>
              <c:f>Synthèse!$B$6:$B$11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Total</c:v>
                </c:pt>
              </c:strCache>
            </c:strRef>
          </c:cat>
          <c:val>
            <c:numRef>
              <c:f>Synthèse!$E$6:$E$11</c:f>
              <c:numCache>
                <c:formatCode>General</c:formatCode>
                <c:ptCount val="6"/>
                <c:pt idx="0">
                  <c:v>18</c:v>
                </c:pt>
                <c:pt idx="1">
                  <c:v>74</c:v>
                </c:pt>
                <c:pt idx="2">
                  <c:v>254</c:v>
                </c:pt>
                <c:pt idx="3">
                  <c:v>51</c:v>
                </c:pt>
                <c:pt idx="4">
                  <c:v>35</c:v>
                </c:pt>
                <c:pt idx="5">
                  <c:v>397</c:v>
                </c:pt>
              </c:numCache>
            </c:numRef>
          </c:val>
        </c:ser>
        <c:ser>
          <c:idx val="2"/>
          <c:order val="2"/>
          <c:tx>
            <c:strRef>
              <c:f>Synthèse!$F$5</c:f>
              <c:strCache>
                <c:ptCount val="1"/>
                <c:pt idx="0">
                  <c:v>Total PAS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Synthèse!$B$6:$C$11</c15:sqref>
                  </c15:fullRef>
                  <c15:levelRef>
                    <c15:sqref>Synthèse!$B$6:$B$11</c15:sqref>
                  </c15:levelRef>
                </c:ext>
              </c:extLst>
              <c:f>Synthèse!$B$6:$B$11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Total</c:v>
                </c:pt>
              </c:strCache>
            </c:strRef>
          </c:cat>
          <c:val>
            <c:numRef>
              <c:f>Synthèse!$F$6:$F$11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106</c:v>
                </c:pt>
                <c:pt idx="3">
                  <c:v>24</c:v>
                </c:pt>
                <c:pt idx="4">
                  <c:v>15</c:v>
                </c:pt>
                <c:pt idx="5">
                  <c:v>226</c:v>
                </c:pt>
              </c:numCache>
            </c:numRef>
          </c:val>
        </c:ser>
        <c:ser>
          <c:idx val="3"/>
          <c:order val="3"/>
          <c:tx>
            <c:strRef>
              <c:f>Synthèse!$G$5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Synthèse!$B$6:$C$11</c15:sqref>
                  </c15:fullRef>
                  <c15:levelRef>
                    <c15:sqref>Synthèse!$B$6:$B$11</c15:sqref>
                  </c15:levelRef>
                </c:ext>
              </c:extLst>
              <c:f>Synthèse!$B$6:$B$11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Total</c:v>
                </c:pt>
              </c:strCache>
            </c:strRef>
          </c:cat>
          <c:val>
            <c:numRef>
              <c:f>Synthèse!$G$6:$G$11</c:f>
              <c:numCache>
                <c:formatCode>General</c:formatCode>
                <c:ptCount val="6"/>
                <c:pt idx="0">
                  <c:v>150</c:v>
                </c:pt>
                <c:pt idx="1">
                  <c:v>219</c:v>
                </c:pt>
                <c:pt idx="2">
                  <c:v>369</c:v>
                </c:pt>
                <c:pt idx="3">
                  <c:v>155</c:v>
                </c:pt>
                <c:pt idx="4">
                  <c:v>125</c:v>
                </c:pt>
                <c:pt idx="5">
                  <c:v>1194</c:v>
                </c:pt>
              </c:numCache>
            </c:numRef>
          </c:val>
        </c:ser>
        <c:ser>
          <c:idx val="4"/>
          <c:order val="4"/>
          <c:tx>
            <c:strRef>
              <c:f>Synthèse!$H$5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Synthèse!$B$6:$C$11</c15:sqref>
                  </c15:fullRef>
                  <c15:levelRef>
                    <c15:sqref>Synthèse!$B$6:$B$11</c15:sqref>
                  </c15:levelRef>
                </c:ext>
              </c:extLst>
              <c:f>Synthèse!$B$6:$B$11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Total</c:v>
                </c:pt>
              </c:strCache>
            </c:strRef>
          </c:cat>
          <c:val>
            <c:numRef>
              <c:f>Synthèse!$H$6:$H$11</c:f>
              <c:numCache>
                <c:formatCode>0%</c:formatCode>
                <c:ptCount val="6"/>
                <c:pt idx="0">
                  <c:v>0.66666666666666663</c:v>
                </c:pt>
                <c:pt idx="1">
                  <c:v>0.36986301369863012</c:v>
                </c:pt>
                <c:pt idx="2">
                  <c:v>0.84010840108401086</c:v>
                </c:pt>
                <c:pt idx="3">
                  <c:v>0.5161290322580645</c:v>
                </c:pt>
                <c:pt idx="4">
                  <c:v>0.6</c:v>
                </c:pt>
                <c:pt idx="5">
                  <c:v>0.47822445561139026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910488"/>
        <c:axId val="550911272"/>
      </c:radarChart>
      <c:catAx>
        <c:axId val="55091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0911272"/>
        <c:crosses val="autoZero"/>
        <c:auto val="1"/>
        <c:lblAlgn val="ctr"/>
        <c:lblOffset val="100"/>
        <c:noMultiLvlLbl val="0"/>
      </c:catAx>
      <c:valAx>
        <c:axId val="55091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091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Synthèse!$B$6:$C$6</c:f>
              <c:strCache>
                <c:ptCount val="2"/>
                <c:pt idx="0">
                  <c:v>1</c:v>
                </c:pt>
                <c:pt idx="1">
                  <c:v>Application en service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Synthèse!$D$6:$H$6</c:f>
              <c:numCache>
                <c:formatCode>General</c:formatCode>
                <c:ptCount val="5"/>
                <c:pt idx="0">
                  <c:v>100</c:v>
                </c:pt>
                <c:pt idx="1">
                  <c:v>18</c:v>
                </c:pt>
                <c:pt idx="2">
                  <c:v>32</c:v>
                </c:pt>
                <c:pt idx="3">
                  <c:v>150</c:v>
                </c:pt>
                <c:pt idx="4" formatCode="0%">
                  <c:v>0.66666666666666663</c:v>
                </c:pt>
              </c:numCache>
            </c:numRef>
          </c:val>
        </c:ser>
        <c:ser>
          <c:idx val="1"/>
          <c:order val="1"/>
          <c:tx>
            <c:strRef>
              <c:f>Synthèse!$B$7:$C$7</c:f>
              <c:strCache>
                <c:ptCount val="2"/>
                <c:pt idx="0">
                  <c:v>2</c:v>
                </c:pt>
                <c:pt idx="1">
                  <c:v>Fonction informatique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Synthèse!$D$7:$H$7</c:f>
              <c:numCache>
                <c:formatCode>General</c:formatCode>
                <c:ptCount val="5"/>
                <c:pt idx="0">
                  <c:v>81</c:v>
                </c:pt>
                <c:pt idx="1">
                  <c:v>74</c:v>
                </c:pt>
                <c:pt idx="2">
                  <c:v>64</c:v>
                </c:pt>
                <c:pt idx="3">
                  <c:v>219</c:v>
                </c:pt>
                <c:pt idx="4" formatCode="0%">
                  <c:v>0.36986301369863012</c:v>
                </c:pt>
              </c:numCache>
            </c:numRef>
          </c:val>
        </c:ser>
        <c:ser>
          <c:idx val="2"/>
          <c:order val="2"/>
          <c:tx>
            <c:strRef>
              <c:f>Synthèse!$B$8:$C$8</c:f>
              <c:strCache>
                <c:ptCount val="2"/>
                <c:pt idx="0">
                  <c:v>3</c:v>
                </c:pt>
                <c:pt idx="1">
                  <c:v>Contrôle des projets informatique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Synthèse!$D$8:$H$8</c:f>
              <c:numCache>
                <c:formatCode>General</c:formatCode>
                <c:ptCount val="5"/>
                <c:pt idx="0">
                  <c:v>310</c:v>
                </c:pt>
                <c:pt idx="1">
                  <c:v>254</c:v>
                </c:pt>
                <c:pt idx="2">
                  <c:v>106</c:v>
                </c:pt>
                <c:pt idx="3">
                  <c:v>369</c:v>
                </c:pt>
                <c:pt idx="4" formatCode="0%">
                  <c:v>0.84010840108401086</c:v>
                </c:pt>
              </c:numCache>
            </c:numRef>
          </c:val>
        </c:ser>
        <c:ser>
          <c:idx val="3"/>
          <c:order val="3"/>
          <c:tx>
            <c:strRef>
              <c:f>Synthèse!$B$9:$C$9</c:f>
              <c:strCache>
                <c:ptCount val="2"/>
                <c:pt idx="0">
                  <c:v>4</c:v>
                </c:pt>
                <c:pt idx="1">
                  <c:v>Support utilisateur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Synthèse!$D$9:$H$9</c:f>
              <c:numCache>
                <c:formatCode>General</c:formatCode>
                <c:ptCount val="5"/>
                <c:pt idx="0">
                  <c:v>80</c:v>
                </c:pt>
                <c:pt idx="1">
                  <c:v>51</c:v>
                </c:pt>
                <c:pt idx="2">
                  <c:v>24</c:v>
                </c:pt>
                <c:pt idx="3">
                  <c:v>155</c:v>
                </c:pt>
                <c:pt idx="4" formatCode="0%">
                  <c:v>0.5161290322580645</c:v>
                </c:pt>
              </c:numCache>
            </c:numRef>
          </c:val>
        </c:ser>
        <c:ser>
          <c:idx val="4"/>
          <c:order val="4"/>
          <c:tx>
            <c:strRef>
              <c:f>Synthèse!$B$10:$C$10</c:f>
              <c:strCache>
                <c:ptCount val="2"/>
                <c:pt idx="0">
                  <c:v>5</c:v>
                </c:pt>
                <c:pt idx="1">
                  <c:v>Sécurité informatique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Synthèse!$D$10:$H$10</c:f>
              <c:numCache>
                <c:formatCode>General</c:formatCode>
                <c:ptCount val="5"/>
                <c:pt idx="0">
                  <c:v>75</c:v>
                </c:pt>
                <c:pt idx="1">
                  <c:v>35</c:v>
                </c:pt>
                <c:pt idx="2">
                  <c:v>15</c:v>
                </c:pt>
                <c:pt idx="3">
                  <c:v>125</c:v>
                </c:pt>
                <c:pt idx="4" formatCode="0%">
                  <c:v>0.6</c:v>
                </c:pt>
              </c:numCache>
            </c:numRef>
          </c:val>
        </c:ser>
        <c:ser>
          <c:idx val="5"/>
          <c:order val="5"/>
          <c:tx>
            <c:strRef>
              <c:f>Synthèse!$B$11:$C$11</c:f>
              <c:strCache>
                <c:ptCount val="2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Synthèse!$D$5:$H$5</c:f>
              <c:strCache>
                <c:ptCount val="5"/>
                <c:pt idx="0">
                  <c:v>Total OUI</c:v>
                </c:pt>
                <c:pt idx="1">
                  <c:v>Total NON</c:v>
                </c:pt>
                <c:pt idx="2">
                  <c:v>Total PAS</c:v>
                </c:pt>
                <c:pt idx="3">
                  <c:v>Total</c:v>
                </c:pt>
                <c:pt idx="4">
                  <c:v>Score</c:v>
                </c:pt>
              </c:strCache>
            </c:strRef>
          </c:cat>
          <c:val>
            <c:numRef>
              <c:f>Synthèse!$D$11:$H$11</c:f>
              <c:numCache>
                <c:formatCode>General</c:formatCode>
                <c:ptCount val="5"/>
                <c:pt idx="0">
                  <c:v>571</c:v>
                </c:pt>
                <c:pt idx="1">
                  <c:v>397</c:v>
                </c:pt>
                <c:pt idx="2">
                  <c:v>226</c:v>
                </c:pt>
                <c:pt idx="3">
                  <c:v>1194</c:v>
                </c:pt>
                <c:pt idx="4" formatCode="0%">
                  <c:v>0.47822445561139026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006224"/>
        <c:axId val="550005440"/>
      </c:barChart>
      <c:catAx>
        <c:axId val="55000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0005440"/>
        <c:crosses val="autoZero"/>
        <c:auto val="1"/>
        <c:lblAlgn val="ctr"/>
        <c:lblOffset val="100"/>
        <c:noMultiLvlLbl val="0"/>
      </c:catAx>
      <c:valAx>
        <c:axId val="5500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000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257735</xdr:colOff>
      <xdr:row>17</xdr:row>
      <xdr:rowOff>146796</xdr:rowOff>
    </xdr:from>
    <xdr:to>
      <xdr:col>4</xdr:col>
      <xdr:colOff>324970</xdr:colOff>
      <xdr:row>32</xdr:row>
      <xdr:rowOff>32496</xdr:rowOff>
    </xdr:to>
    <xdr:graphicFrame macro="">
      <xdr:nvGraphicFramePr>
        <xdr:cNvPr id="9" name="Graphique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22412</xdr:colOff>
      <xdr:row>18</xdr:row>
      <xdr:rowOff>1120</xdr:rowOff>
    </xdr:from>
    <xdr:to>
      <xdr:col>11</xdr:col>
      <xdr:colOff>22412</xdr:colOff>
      <xdr:row>32</xdr:row>
      <xdr:rowOff>77320</xdr:rowOff>
    </xdr:to>
    <xdr:graphicFrame macro="">
      <xdr:nvGraphicFramePr>
        <xdr:cNvPr id="10" name="Graphique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SSY/Desktop/NINKOUONG_FOFOU_PASCALE%20CasPratique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èse"/>
      <sheetName val="Global"/>
      <sheetName val="Domaines"/>
      <sheetName val="Questionnaires"/>
      <sheetName val="Matrice des risques"/>
      <sheetName val="Chronogramme"/>
      <sheetName val="Suivi de la Mission"/>
    </sheetNames>
    <sheetDataSet>
      <sheetData sheetId="0">
        <row r="5">
          <cell r="D5" t="str">
            <v>Total OUI</v>
          </cell>
          <cell r="E5" t="str">
            <v>Total NON</v>
          </cell>
          <cell r="F5" t="str">
            <v>Total PAS</v>
          </cell>
        </row>
        <row r="6">
          <cell r="C6" t="str">
            <v>Gestion des Comptes</v>
          </cell>
          <cell r="D6">
            <v>3</v>
          </cell>
          <cell r="E6">
            <v>0</v>
          </cell>
          <cell r="F6">
            <v>0</v>
          </cell>
        </row>
        <row r="7">
          <cell r="C7" t="str">
            <v>Saisie des Écritures Comptables</v>
          </cell>
          <cell r="D7">
            <v>1</v>
          </cell>
          <cell r="E7">
            <v>1</v>
          </cell>
          <cell r="F7">
            <v>1</v>
          </cell>
        </row>
        <row r="8">
          <cell r="C8" t="str">
            <v>Gestion des Clients et Fournisseurs</v>
          </cell>
          <cell r="D8">
            <v>3</v>
          </cell>
          <cell r="E8">
            <v>0</v>
          </cell>
          <cell r="F8">
            <v>1</v>
          </cell>
        </row>
        <row r="9">
          <cell r="C9" t="str">
            <v>Facturation et Gestion des Recettes</v>
          </cell>
          <cell r="D9">
            <v>2</v>
          </cell>
          <cell r="E9">
            <v>0</v>
          </cell>
          <cell r="F9">
            <v>1</v>
          </cell>
        </row>
        <row r="10">
          <cell r="C10" t="str">
            <v>Suivi de la Trésorerie</v>
          </cell>
          <cell r="D10">
            <v>2</v>
          </cell>
          <cell r="E10">
            <v>0</v>
          </cell>
          <cell r="F10">
            <v>0</v>
          </cell>
        </row>
        <row r="11">
          <cell r="C11" t="str">
            <v>Gestion des Immobilisations</v>
          </cell>
          <cell r="D11">
            <v>3</v>
          </cell>
          <cell r="E11">
            <v>1</v>
          </cell>
          <cell r="F11">
            <v>0</v>
          </cell>
        </row>
        <row r="12">
          <cell r="C12" t="str">
            <v>États Financiers et Rapports Comptables</v>
          </cell>
          <cell r="D12">
            <v>2</v>
          </cell>
          <cell r="E12">
            <v>0</v>
          </cell>
          <cell r="F12">
            <v>0</v>
          </cell>
        </row>
        <row r="13">
          <cell r="C13" t="str">
            <v>Conformité et Clôture de Fin d’Année</v>
          </cell>
          <cell r="D13">
            <v>2</v>
          </cell>
          <cell r="E13">
            <v>0</v>
          </cell>
          <cell r="F13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9"/>
  <sheetViews>
    <sheetView topLeftCell="A321" zoomScale="85" zoomScaleNormal="85" workbookViewId="0">
      <selection activeCell="D20" sqref="D20"/>
    </sheetView>
  </sheetViews>
  <sheetFormatPr baseColWidth="10" defaultRowHeight="15"/>
  <cols>
    <col min="1" max="1" width="24.5703125" style="376" bestFit="1" customWidth="1"/>
    <col min="2" max="2" width="43.7109375" style="376" bestFit="1" customWidth="1"/>
    <col min="3" max="3" width="58.85546875" style="376" customWidth="1"/>
    <col min="4" max="4" width="98.5703125" style="376" customWidth="1"/>
    <col min="5" max="5" width="112" style="376" customWidth="1"/>
    <col min="6" max="6" width="12.85546875" style="384" customWidth="1"/>
    <col min="7" max="7" width="78.28515625" style="376" customWidth="1"/>
    <col min="8" max="8" width="63.85546875" style="376" customWidth="1"/>
    <col min="9" max="9" width="14.28515625" style="376" bestFit="1" customWidth="1"/>
    <col min="10" max="10" width="71.5703125" style="376" customWidth="1"/>
    <col min="11" max="11" width="76.42578125" style="376" customWidth="1"/>
    <col min="12" max="16384" width="11.42578125" style="376"/>
  </cols>
  <sheetData>
    <row r="1" spans="1:11" s="386" customFormat="1" ht="15.75">
      <c r="A1" s="375" t="s">
        <v>1677</v>
      </c>
      <c r="B1" s="375" t="s">
        <v>5</v>
      </c>
      <c r="C1" s="375" t="s">
        <v>6</v>
      </c>
      <c r="D1" s="375" t="s">
        <v>7</v>
      </c>
      <c r="E1" s="375" t="s">
        <v>8</v>
      </c>
      <c r="F1" s="375" t="s">
        <v>9</v>
      </c>
      <c r="G1" s="375" t="s">
        <v>10</v>
      </c>
      <c r="H1" s="375" t="s">
        <v>11</v>
      </c>
      <c r="I1" s="375" t="s">
        <v>12</v>
      </c>
      <c r="J1" s="375" t="s">
        <v>13</v>
      </c>
      <c r="K1" s="375" t="s">
        <v>1678</v>
      </c>
    </row>
    <row r="2" spans="1:11" ht="30">
      <c r="A2" s="387" t="s">
        <v>1679</v>
      </c>
      <c r="B2" s="388" t="s">
        <v>1680</v>
      </c>
      <c r="C2" s="388" t="s">
        <v>1681</v>
      </c>
      <c r="D2" s="377" t="s">
        <v>1682</v>
      </c>
      <c r="E2" s="377" t="s">
        <v>1683</v>
      </c>
      <c r="F2" s="389" t="s">
        <v>20</v>
      </c>
      <c r="G2" s="377" t="s">
        <v>1684</v>
      </c>
      <c r="H2" s="377" t="s">
        <v>1685</v>
      </c>
      <c r="I2" s="379" t="s">
        <v>1686</v>
      </c>
      <c r="J2" s="377" t="s">
        <v>1687</v>
      </c>
      <c r="K2" s="377" t="s">
        <v>1688</v>
      </c>
    </row>
    <row r="3" spans="1:11" ht="30">
      <c r="A3" s="387"/>
      <c r="B3" s="388"/>
      <c r="C3" s="388"/>
      <c r="D3" s="377" t="s">
        <v>1689</v>
      </c>
      <c r="E3" s="377" t="s">
        <v>1690</v>
      </c>
      <c r="F3" s="389" t="s">
        <v>20</v>
      </c>
      <c r="G3" s="377" t="s">
        <v>1691</v>
      </c>
      <c r="H3" s="377" t="s">
        <v>1692</v>
      </c>
      <c r="I3" s="379" t="s">
        <v>1686</v>
      </c>
      <c r="J3" s="377" t="s">
        <v>1693</v>
      </c>
      <c r="K3" s="377" t="s">
        <v>1694</v>
      </c>
    </row>
    <row r="4" spans="1:11">
      <c r="A4" s="387"/>
      <c r="B4" s="388"/>
      <c r="C4" s="388"/>
      <c r="D4" s="377" t="s">
        <v>1695</v>
      </c>
      <c r="E4" s="377" t="s">
        <v>1696</v>
      </c>
      <c r="F4" s="389" t="s">
        <v>20</v>
      </c>
      <c r="G4" s="377" t="s">
        <v>1697</v>
      </c>
      <c r="H4" s="377" t="s">
        <v>1698</v>
      </c>
      <c r="I4" s="379" t="s">
        <v>1686</v>
      </c>
      <c r="J4" s="377" t="s">
        <v>1699</v>
      </c>
      <c r="K4" s="377" t="s">
        <v>1700</v>
      </c>
    </row>
    <row r="5" spans="1:11" ht="30">
      <c r="A5" s="387"/>
      <c r="B5" s="388"/>
      <c r="C5" s="388"/>
      <c r="D5" s="377" t="s">
        <v>1701</v>
      </c>
      <c r="E5" s="377" t="s">
        <v>1702</v>
      </c>
      <c r="F5" s="389" t="s">
        <v>229</v>
      </c>
      <c r="G5" s="377" t="s">
        <v>1703</v>
      </c>
      <c r="H5" s="377" t="s">
        <v>1704</v>
      </c>
      <c r="I5" s="379" t="s">
        <v>1686</v>
      </c>
      <c r="J5" s="377" t="s">
        <v>1705</v>
      </c>
      <c r="K5" s="377" t="s">
        <v>1706</v>
      </c>
    </row>
    <row r="6" spans="1:11">
      <c r="A6" s="387"/>
      <c r="B6" s="388"/>
      <c r="C6" s="388"/>
      <c r="D6" s="377" t="s">
        <v>1707</v>
      </c>
      <c r="E6" s="377" t="s">
        <v>1708</v>
      </c>
      <c r="F6" s="389" t="s">
        <v>20</v>
      </c>
      <c r="G6" s="377" t="s">
        <v>1709</v>
      </c>
      <c r="H6" s="377" t="s">
        <v>1710</v>
      </c>
      <c r="I6" s="379" t="s">
        <v>1686</v>
      </c>
      <c r="J6" s="377" t="s">
        <v>1711</v>
      </c>
      <c r="K6" s="377" t="s">
        <v>1712</v>
      </c>
    </row>
    <row r="7" spans="1:11">
      <c r="A7" s="387"/>
      <c r="B7" s="388"/>
      <c r="C7" s="388" t="s">
        <v>1713</v>
      </c>
      <c r="D7" s="377" t="s">
        <v>1714</v>
      </c>
      <c r="E7" s="377" t="s">
        <v>1715</v>
      </c>
      <c r="F7" s="389" t="s">
        <v>20</v>
      </c>
      <c r="G7" s="377" t="s">
        <v>1716</v>
      </c>
      <c r="H7" s="377" t="s">
        <v>1717</v>
      </c>
      <c r="I7" s="379" t="s">
        <v>1686</v>
      </c>
      <c r="J7" s="377" t="s">
        <v>1718</v>
      </c>
      <c r="K7" s="377" t="s">
        <v>1719</v>
      </c>
    </row>
    <row r="8" spans="1:11">
      <c r="A8" s="387"/>
      <c r="B8" s="388"/>
      <c r="C8" s="388"/>
      <c r="D8" s="377" t="s">
        <v>1720</v>
      </c>
      <c r="E8" s="377" t="s">
        <v>1721</v>
      </c>
      <c r="F8" s="389" t="s">
        <v>20</v>
      </c>
      <c r="G8" s="377" t="s">
        <v>1722</v>
      </c>
      <c r="H8" s="377" t="s">
        <v>1723</v>
      </c>
      <c r="I8" s="379" t="s">
        <v>1686</v>
      </c>
      <c r="J8" s="377" t="s">
        <v>1724</v>
      </c>
      <c r="K8" s="377" t="s">
        <v>1725</v>
      </c>
    </row>
    <row r="9" spans="1:11">
      <c r="A9" s="387"/>
      <c r="B9" s="388"/>
      <c r="C9" s="388"/>
      <c r="D9" s="377" t="s">
        <v>1726</v>
      </c>
      <c r="E9" s="377" t="s">
        <v>1727</v>
      </c>
      <c r="F9" s="389" t="s">
        <v>229</v>
      </c>
      <c r="G9" s="377" t="s">
        <v>1728</v>
      </c>
      <c r="H9" s="377" t="s">
        <v>1729</v>
      </c>
      <c r="I9" s="379" t="s">
        <v>1730</v>
      </c>
      <c r="J9" s="377" t="s">
        <v>1731</v>
      </c>
      <c r="K9" s="377" t="s">
        <v>1732</v>
      </c>
    </row>
    <row r="10" spans="1:11">
      <c r="A10" s="387"/>
      <c r="B10" s="388"/>
      <c r="C10" s="388"/>
      <c r="D10" s="377" t="s">
        <v>1733</v>
      </c>
      <c r="E10" s="377" t="s">
        <v>1734</v>
      </c>
      <c r="F10" s="389" t="s">
        <v>425</v>
      </c>
      <c r="G10" s="377" t="s">
        <v>1735</v>
      </c>
      <c r="H10" s="377" t="s">
        <v>1736</v>
      </c>
      <c r="I10" s="379" t="s">
        <v>1686</v>
      </c>
      <c r="J10" s="377" t="s">
        <v>1737</v>
      </c>
      <c r="K10" s="377" t="s">
        <v>1738</v>
      </c>
    </row>
    <row r="11" spans="1:11" ht="30">
      <c r="A11" s="387"/>
      <c r="B11" s="388"/>
      <c r="C11" s="388"/>
      <c r="D11" s="377" t="s">
        <v>1739</v>
      </c>
      <c r="E11" s="377" t="s">
        <v>1740</v>
      </c>
      <c r="F11" s="389" t="s">
        <v>425</v>
      </c>
      <c r="G11" s="377" t="s">
        <v>1741</v>
      </c>
      <c r="H11" s="377" t="s">
        <v>1742</v>
      </c>
      <c r="I11" s="379" t="s">
        <v>1686</v>
      </c>
      <c r="J11" s="377" t="s">
        <v>1743</v>
      </c>
      <c r="K11" s="377" t="s">
        <v>1744</v>
      </c>
    </row>
    <row r="12" spans="1:11">
      <c r="A12" s="387"/>
      <c r="B12" s="388"/>
      <c r="C12" s="388" t="s">
        <v>1745</v>
      </c>
      <c r="D12" s="377" t="s">
        <v>1746</v>
      </c>
      <c r="E12" s="377" t="s">
        <v>1747</v>
      </c>
      <c r="F12" s="389" t="s">
        <v>20</v>
      </c>
      <c r="G12" s="377" t="s">
        <v>1748</v>
      </c>
      <c r="H12" s="377" t="s">
        <v>1749</v>
      </c>
      <c r="I12" s="379" t="s">
        <v>1686</v>
      </c>
      <c r="J12" s="377" t="s">
        <v>1750</v>
      </c>
      <c r="K12" s="377" t="s">
        <v>1751</v>
      </c>
    </row>
    <row r="13" spans="1:11">
      <c r="A13" s="387"/>
      <c r="B13" s="388"/>
      <c r="C13" s="388"/>
      <c r="D13" s="377" t="s">
        <v>1752</v>
      </c>
      <c r="E13" s="377" t="s">
        <v>1753</v>
      </c>
      <c r="F13" s="389" t="s">
        <v>229</v>
      </c>
      <c r="G13" s="377" t="s">
        <v>1754</v>
      </c>
      <c r="H13" s="377" t="s">
        <v>1755</v>
      </c>
      <c r="I13" s="379" t="s">
        <v>1686</v>
      </c>
      <c r="J13" s="377" t="s">
        <v>1756</v>
      </c>
      <c r="K13" s="377" t="s">
        <v>1757</v>
      </c>
    </row>
    <row r="14" spans="1:11" ht="30">
      <c r="A14" s="387"/>
      <c r="B14" s="388"/>
      <c r="C14" s="388"/>
      <c r="D14" s="377" t="s">
        <v>1758</v>
      </c>
      <c r="E14" s="377" t="s">
        <v>1759</v>
      </c>
      <c r="F14" s="389" t="s">
        <v>229</v>
      </c>
      <c r="G14" s="377" t="s">
        <v>1760</v>
      </c>
      <c r="H14" s="377" t="s">
        <v>1761</v>
      </c>
      <c r="I14" s="379" t="s">
        <v>1686</v>
      </c>
      <c r="J14" s="377" t="s">
        <v>1762</v>
      </c>
      <c r="K14" s="377" t="s">
        <v>1763</v>
      </c>
    </row>
    <row r="15" spans="1:11" ht="30">
      <c r="A15" s="387"/>
      <c r="B15" s="388"/>
      <c r="C15" s="388"/>
      <c r="D15" s="377" t="s">
        <v>1764</v>
      </c>
      <c r="E15" s="377" t="s">
        <v>1765</v>
      </c>
      <c r="F15" s="389" t="s">
        <v>229</v>
      </c>
      <c r="G15" s="377" t="s">
        <v>1766</v>
      </c>
      <c r="H15" s="377" t="s">
        <v>1767</v>
      </c>
      <c r="I15" s="379" t="s">
        <v>1686</v>
      </c>
      <c r="J15" s="377" t="s">
        <v>1768</v>
      </c>
      <c r="K15" s="377" t="s">
        <v>1769</v>
      </c>
    </row>
    <row r="16" spans="1:11" ht="30">
      <c r="A16" s="387"/>
      <c r="B16" s="388"/>
      <c r="C16" s="388"/>
      <c r="D16" s="377" t="s">
        <v>1770</v>
      </c>
      <c r="E16" s="377" t="s">
        <v>1771</v>
      </c>
      <c r="F16" s="389" t="s">
        <v>229</v>
      </c>
      <c r="G16" s="377" t="s">
        <v>1772</v>
      </c>
      <c r="H16" s="377" t="s">
        <v>1773</v>
      </c>
      <c r="I16" s="379" t="s">
        <v>1686</v>
      </c>
      <c r="J16" s="377" t="s">
        <v>1774</v>
      </c>
      <c r="K16" s="377" t="s">
        <v>1775</v>
      </c>
    </row>
    <row r="17" spans="1:11">
      <c r="A17" s="387"/>
      <c r="B17" s="388"/>
      <c r="C17" s="388" t="s">
        <v>1776</v>
      </c>
      <c r="D17" s="377" t="s">
        <v>1777</v>
      </c>
      <c r="E17" s="377" t="s">
        <v>1778</v>
      </c>
      <c r="F17" s="389" t="s">
        <v>20</v>
      </c>
      <c r="G17" s="377" t="s">
        <v>1779</v>
      </c>
      <c r="H17" s="377" t="s">
        <v>1780</v>
      </c>
      <c r="I17" s="380" t="s">
        <v>1730</v>
      </c>
      <c r="J17" s="377" t="s">
        <v>1781</v>
      </c>
      <c r="K17" s="377" t="s">
        <v>1782</v>
      </c>
    </row>
    <row r="18" spans="1:11">
      <c r="A18" s="387"/>
      <c r="B18" s="388"/>
      <c r="C18" s="388"/>
      <c r="D18" s="377" t="s">
        <v>1783</v>
      </c>
      <c r="E18" s="377" t="s">
        <v>1784</v>
      </c>
      <c r="F18" s="389" t="s">
        <v>20</v>
      </c>
      <c r="G18" s="377" t="s">
        <v>1785</v>
      </c>
      <c r="H18" s="377" t="s">
        <v>1786</v>
      </c>
      <c r="I18" s="379" t="s">
        <v>1686</v>
      </c>
      <c r="J18" s="377" t="s">
        <v>1787</v>
      </c>
      <c r="K18" s="377" t="s">
        <v>1788</v>
      </c>
    </row>
    <row r="19" spans="1:11">
      <c r="A19" s="387"/>
      <c r="B19" s="388"/>
      <c r="C19" s="388"/>
      <c r="D19" s="377" t="s">
        <v>1789</v>
      </c>
      <c r="E19" s="377" t="s">
        <v>1790</v>
      </c>
      <c r="F19" s="389" t="s">
        <v>20</v>
      </c>
      <c r="G19" s="377" t="s">
        <v>1791</v>
      </c>
      <c r="H19" s="377" t="s">
        <v>1792</v>
      </c>
      <c r="I19" s="379" t="s">
        <v>1686</v>
      </c>
      <c r="J19" s="377" t="s">
        <v>1793</v>
      </c>
      <c r="K19" s="377" t="s">
        <v>1794</v>
      </c>
    </row>
    <row r="20" spans="1:11">
      <c r="A20" s="387"/>
      <c r="B20" s="388"/>
      <c r="C20" s="388"/>
      <c r="D20" s="377" t="s">
        <v>1795</v>
      </c>
      <c r="E20" s="377" t="s">
        <v>1796</v>
      </c>
      <c r="F20" s="389" t="s">
        <v>20</v>
      </c>
      <c r="G20" s="377" t="s">
        <v>1797</v>
      </c>
      <c r="H20" s="377" t="s">
        <v>1798</v>
      </c>
      <c r="I20" s="379" t="s">
        <v>1686</v>
      </c>
      <c r="J20" s="377" t="s">
        <v>1799</v>
      </c>
      <c r="K20" s="377" t="s">
        <v>1800</v>
      </c>
    </row>
    <row r="21" spans="1:11">
      <c r="A21" s="387"/>
      <c r="B21" s="388"/>
      <c r="C21" s="388"/>
      <c r="D21" s="377" t="s">
        <v>1801</v>
      </c>
      <c r="E21" s="377" t="s">
        <v>1802</v>
      </c>
      <c r="F21" s="389" t="s">
        <v>20</v>
      </c>
      <c r="G21" s="377" t="s">
        <v>1803</v>
      </c>
      <c r="H21" s="377" t="s">
        <v>1804</v>
      </c>
      <c r="I21" s="379" t="s">
        <v>1686</v>
      </c>
      <c r="J21" s="377" t="s">
        <v>1805</v>
      </c>
      <c r="K21" s="377" t="s">
        <v>1806</v>
      </c>
    </row>
    <row r="22" spans="1:11">
      <c r="A22" s="387"/>
      <c r="B22" s="388"/>
      <c r="C22" s="388" t="s">
        <v>1807</v>
      </c>
      <c r="D22" s="377" t="s">
        <v>1808</v>
      </c>
      <c r="E22" s="377" t="s">
        <v>1809</v>
      </c>
      <c r="F22" s="389" t="s">
        <v>425</v>
      </c>
      <c r="G22" s="377" t="s">
        <v>1810</v>
      </c>
      <c r="H22" s="377" t="s">
        <v>1811</v>
      </c>
      <c r="I22" s="379" t="s">
        <v>1686</v>
      </c>
      <c r="J22" s="377" t="s">
        <v>1812</v>
      </c>
      <c r="K22" s="377" t="s">
        <v>1813</v>
      </c>
    </row>
    <row r="23" spans="1:11">
      <c r="A23" s="387"/>
      <c r="B23" s="388"/>
      <c r="C23" s="388"/>
      <c r="D23" s="377" t="s">
        <v>1814</v>
      </c>
      <c r="E23" s="377" t="s">
        <v>1815</v>
      </c>
      <c r="F23" s="389" t="s">
        <v>425</v>
      </c>
      <c r="G23" s="377" t="s">
        <v>1816</v>
      </c>
      <c r="H23" s="377" t="s">
        <v>1817</v>
      </c>
      <c r="I23" s="379" t="s">
        <v>1686</v>
      </c>
      <c r="J23" s="377" t="s">
        <v>1818</v>
      </c>
      <c r="K23" s="377" t="s">
        <v>1819</v>
      </c>
    </row>
    <row r="24" spans="1:11">
      <c r="A24" s="387"/>
      <c r="B24" s="388"/>
      <c r="C24" s="388"/>
      <c r="D24" s="377" t="s">
        <v>1820</v>
      </c>
      <c r="E24" s="377" t="s">
        <v>1821</v>
      </c>
      <c r="F24" s="389" t="s">
        <v>20</v>
      </c>
      <c r="G24" s="377" t="s">
        <v>1822</v>
      </c>
      <c r="H24" s="377" t="s">
        <v>1823</v>
      </c>
      <c r="I24" s="379" t="s">
        <v>1686</v>
      </c>
      <c r="J24" s="377" t="s">
        <v>1824</v>
      </c>
      <c r="K24" s="377" t="s">
        <v>1825</v>
      </c>
    </row>
    <row r="25" spans="1:11">
      <c r="A25" s="387"/>
      <c r="B25" s="388"/>
      <c r="C25" s="388"/>
      <c r="D25" s="377" t="s">
        <v>1826</v>
      </c>
      <c r="E25" s="377" t="s">
        <v>1827</v>
      </c>
      <c r="F25" s="389" t="s">
        <v>20</v>
      </c>
      <c r="G25" s="377" t="s">
        <v>1828</v>
      </c>
      <c r="H25" s="377" t="s">
        <v>1829</v>
      </c>
      <c r="I25" s="379" t="s">
        <v>1686</v>
      </c>
      <c r="J25" s="377" t="s">
        <v>1830</v>
      </c>
      <c r="K25" s="377" t="s">
        <v>1831</v>
      </c>
    </row>
    <row r="26" spans="1:11">
      <c r="A26" s="387"/>
      <c r="B26" s="388"/>
      <c r="C26" s="388"/>
      <c r="D26" s="377" t="s">
        <v>1832</v>
      </c>
      <c r="E26" s="377" t="s">
        <v>1833</v>
      </c>
      <c r="F26" s="389" t="s">
        <v>20</v>
      </c>
      <c r="G26" s="377" t="s">
        <v>1834</v>
      </c>
      <c r="H26" s="377" t="s">
        <v>1835</v>
      </c>
      <c r="I26" s="379" t="s">
        <v>1686</v>
      </c>
      <c r="J26" s="377" t="s">
        <v>1836</v>
      </c>
      <c r="K26" s="377" t="s">
        <v>1837</v>
      </c>
    </row>
    <row r="27" spans="1:11">
      <c r="A27" s="387"/>
      <c r="B27" s="390" t="s">
        <v>1838</v>
      </c>
      <c r="C27" s="390" t="s">
        <v>1839</v>
      </c>
      <c r="D27" s="378" t="s">
        <v>1840</v>
      </c>
      <c r="E27" s="378" t="s">
        <v>1841</v>
      </c>
      <c r="F27" s="391" t="s">
        <v>20</v>
      </c>
      <c r="G27" s="378" t="s">
        <v>1842</v>
      </c>
      <c r="H27" s="378" t="s">
        <v>1843</v>
      </c>
      <c r="I27" s="379" t="s">
        <v>1686</v>
      </c>
      <c r="J27" s="378" t="s">
        <v>1844</v>
      </c>
      <c r="K27" s="378" t="s">
        <v>1845</v>
      </c>
    </row>
    <row r="28" spans="1:11" ht="30">
      <c r="A28" s="387"/>
      <c r="B28" s="390"/>
      <c r="C28" s="390"/>
      <c r="D28" s="378" t="s">
        <v>1846</v>
      </c>
      <c r="E28" s="378" t="s">
        <v>1847</v>
      </c>
      <c r="F28" s="391" t="s">
        <v>20</v>
      </c>
      <c r="G28" s="378" t="s">
        <v>1848</v>
      </c>
      <c r="H28" s="378" t="s">
        <v>1849</v>
      </c>
      <c r="I28" s="379" t="s">
        <v>1686</v>
      </c>
      <c r="J28" s="378" t="s">
        <v>1850</v>
      </c>
      <c r="K28" s="378" t="s">
        <v>1851</v>
      </c>
    </row>
    <row r="29" spans="1:11">
      <c r="A29" s="387"/>
      <c r="B29" s="390"/>
      <c r="C29" s="390"/>
      <c r="D29" s="378" t="s">
        <v>1852</v>
      </c>
      <c r="E29" s="378" t="s">
        <v>1853</v>
      </c>
      <c r="F29" s="391" t="s">
        <v>20</v>
      </c>
      <c r="G29" s="378" t="s">
        <v>1854</v>
      </c>
      <c r="H29" s="378" t="s">
        <v>1855</v>
      </c>
      <c r="I29" s="379" t="s">
        <v>1686</v>
      </c>
      <c r="J29" s="378" t="s">
        <v>1856</v>
      </c>
      <c r="K29" s="378" t="s">
        <v>1857</v>
      </c>
    </row>
    <row r="30" spans="1:11">
      <c r="A30" s="387"/>
      <c r="B30" s="390"/>
      <c r="C30" s="390"/>
      <c r="D30" s="378" t="s">
        <v>1858</v>
      </c>
      <c r="E30" s="378" t="s">
        <v>1859</v>
      </c>
      <c r="F30" s="391" t="s">
        <v>425</v>
      </c>
      <c r="G30" s="378" t="s">
        <v>1860</v>
      </c>
      <c r="H30" s="378" t="s">
        <v>1861</v>
      </c>
      <c r="I30" s="379" t="s">
        <v>1686</v>
      </c>
      <c r="J30" s="378" t="s">
        <v>1862</v>
      </c>
      <c r="K30" s="378" t="s">
        <v>1863</v>
      </c>
    </row>
    <row r="31" spans="1:11" ht="30">
      <c r="A31" s="387"/>
      <c r="B31" s="390"/>
      <c r="C31" s="390"/>
      <c r="D31" s="378" t="s">
        <v>1864</v>
      </c>
      <c r="E31" s="378" t="s">
        <v>1865</v>
      </c>
      <c r="F31" s="391" t="s">
        <v>229</v>
      </c>
      <c r="G31" s="378" t="s">
        <v>1684</v>
      </c>
      <c r="H31" s="378" t="s">
        <v>1685</v>
      </c>
      <c r="I31" s="379" t="s">
        <v>1686</v>
      </c>
      <c r="J31" s="378" t="s">
        <v>1687</v>
      </c>
      <c r="K31" s="378" t="s">
        <v>1866</v>
      </c>
    </row>
    <row r="32" spans="1:11" ht="30">
      <c r="A32" s="387"/>
      <c r="B32" s="390"/>
      <c r="C32" s="390" t="s">
        <v>1867</v>
      </c>
      <c r="D32" s="378" t="s">
        <v>1868</v>
      </c>
      <c r="E32" s="378" t="s">
        <v>1869</v>
      </c>
      <c r="F32" s="391" t="s">
        <v>20</v>
      </c>
      <c r="G32" s="378" t="s">
        <v>1691</v>
      </c>
      <c r="H32" s="378" t="s">
        <v>1692</v>
      </c>
      <c r="I32" s="379" t="s">
        <v>1686</v>
      </c>
      <c r="J32" s="378" t="s">
        <v>1693</v>
      </c>
      <c r="K32" s="378" t="s">
        <v>1870</v>
      </c>
    </row>
    <row r="33" spans="1:11">
      <c r="A33" s="387"/>
      <c r="B33" s="390"/>
      <c r="C33" s="390"/>
      <c r="D33" s="378" t="s">
        <v>1871</v>
      </c>
      <c r="E33" s="378" t="s">
        <v>1872</v>
      </c>
      <c r="F33" s="391" t="s">
        <v>20</v>
      </c>
      <c r="G33" s="378" t="s">
        <v>1697</v>
      </c>
      <c r="H33" s="378" t="s">
        <v>1873</v>
      </c>
      <c r="I33" s="380" t="s">
        <v>1730</v>
      </c>
      <c r="J33" s="378" t="s">
        <v>1874</v>
      </c>
      <c r="K33" s="378" t="s">
        <v>1875</v>
      </c>
    </row>
    <row r="34" spans="1:11" ht="30">
      <c r="A34" s="387"/>
      <c r="B34" s="390"/>
      <c r="C34" s="390"/>
      <c r="D34" s="378" t="s">
        <v>1876</v>
      </c>
      <c r="E34" s="378" t="s">
        <v>1877</v>
      </c>
      <c r="F34" s="391" t="s">
        <v>20</v>
      </c>
      <c r="G34" s="378" t="s">
        <v>1703</v>
      </c>
      <c r="H34" s="378" t="s">
        <v>1704</v>
      </c>
      <c r="I34" s="380" t="s">
        <v>1730</v>
      </c>
      <c r="J34" s="378" t="s">
        <v>1878</v>
      </c>
      <c r="K34" s="378" t="s">
        <v>1879</v>
      </c>
    </row>
    <row r="35" spans="1:11">
      <c r="A35" s="387"/>
      <c r="B35" s="390"/>
      <c r="C35" s="390"/>
      <c r="D35" s="378" t="s">
        <v>1880</v>
      </c>
      <c r="E35" s="378" t="s">
        <v>1881</v>
      </c>
      <c r="F35" s="391" t="s">
        <v>425</v>
      </c>
      <c r="G35" s="378" t="s">
        <v>1709</v>
      </c>
      <c r="H35" s="378" t="s">
        <v>1710</v>
      </c>
      <c r="I35" s="379" t="s">
        <v>1686</v>
      </c>
      <c r="J35" s="378" t="s">
        <v>1882</v>
      </c>
      <c r="K35" s="378" t="s">
        <v>1883</v>
      </c>
    </row>
    <row r="36" spans="1:11">
      <c r="A36" s="387"/>
      <c r="B36" s="390"/>
      <c r="C36" s="390"/>
      <c r="D36" s="378" t="s">
        <v>1884</v>
      </c>
      <c r="E36" s="378" t="s">
        <v>1885</v>
      </c>
      <c r="F36" s="391" t="s">
        <v>425</v>
      </c>
      <c r="G36" s="378" t="s">
        <v>1716</v>
      </c>
      <c r="H36" s="378" t="s">
        <v>1886</v>
      </c>
      <c r="I36" s="379" t="s">
        <v>1686</v>
      </c>
      <c r="J36" s="378" t="s">
        <v>1887</v>
      </c>
      <c r="K36" s="378" t="s">
        <v>1888</v>
      </c>
    </row>
    <row r="37" spans="1:11">
      <c r="A37" s="387"/>
      <c r="B37" s="390"/>
      <c r="C37" s="390" t="s">
        <v>1889</v>
      </c>
      <c r="D37" s="378" t="s">
        <v>1890</v>
      </c>
      <c r="E37" s="378" t="s">
        <v>1891</v>
      </c>
      <c r="F37" s="391" t="s">
        <v>20</v>
      </c>
      <c r="G37" s="378" t="s">
        <v>1722</v>
      </c>
      <c r="H37" s="378" t="s">
        <v>1723</v>
      </c>
      <c r="I37" s="380" t="s">
        <v>1730</v>
      </c>
      <c r="J37" s="378" t="s">
        <v>1892</v>
      </c>
      <c r="K37" s="378" t="s">
        <v>1893</v>
      </c>
    </row>
    <row r="38" spans="1:11">
      <c r="A38" s="387"/>
      <c r="B38" s="390"/>
      <c r="C38" s="390"/>
      <c r="D38" s="378" t="s">
        <v>1894</v>
      </c>
      <c r="E38" s="378" t="s">
        <v>1895</v>
      </c>
      <c r="F38" s="391" t="s">
        <v>20</v>
      </c>
      <c r="G38" s="378" t="s">
        <v>1728</v>
      </c>
      <c r="H38" s="378" t="s">
        <v>1729</v>
      </c>
      <c r="I38" s="380" t="s">
        <v>1730</v>
      </c>
      <c r="J38" s="378" t="s">
        <v>1896</v>
      </c>
      <c r="K38" s="378" t="s">
        <v>1897</v>
      </c>
    </row>
    <row r="39" spans="1:11">
      <c r="A39" s="387"/>
      <c r="B39" s="390"/>
      <c r="C39" s="390"/>
      <c r="D39" s="378" t="s">
        <v>1898</v>
      </c>
      <c r="E39" s="378" t="s">
        <v>1899</v>
      </c>
      <c r="F39" s="391" t="s">
        <v>20</v>
      </c>
      <c r="G39" s="378" t="s">
        <v>1735</v>
      </c>
      <c r="H39" s="378" t="s">
        <v>1736</v>
      </c>
      <c r="I39" s="379" t="s">
        <v>1686</v>
      </c>
      <c r="J39" s="378" t="s">
        <v>1900</v>
      </c>
      <c r="K39" s="378" t="s">
        <v>1901</v>
      </c>
    </row>
    <row r="40" spans="1:11" ht="30">
      <c r="A40" s="387"/>
      <c r="B40" s="390"/>
      <c r="C40" s="390"/>
      <c r="D40" s="378" t="s">
        <v>1902</v>
      </c>
      <c r="E40" s="378" t="s">
        <v>1903</v>
      </c>
      <c r="F40" s="391" t="s">
        <v>20</v>
      </c>
      <c r="G40" s="378" t="s">
        <v>1741</v>
      </c>
      <c r="H40" s="378" t="s">
        <v>1742</v>
      </c>
      <c r="I40" s="379" t="s">
        <v>1686</v>
      </c>
      <c r="J40" s="378" t="s">
        <v>1904</v>
      </c>
      <c r="K40" s="378" t="s">
        <v>1905</v>
      </c>
    </row>
    <row r="41" spans="1:11">
      <c r="A41" s="387"/>
      <c r="B41" s="390"/>
      <c r="C41" s="390"/>
      <c r="D41" s="378" t="s">
        <v>1906</v>
      </c>
      <c r="E41" s="378" t="s">
        <v>1907</v>
      </c>
      <c r="F41" s="391" t="s">
        <v>229</v>
      </c>
      <c r="G41" s="378" t="s">
        <v>1748</v>
      </c>
      <c r="H41" s="378" t="s">
        <v>1749</v>
      </c>
      <c r="I41" s="380" t="s">
        <v>1730</v>
      </c>
      <c r="J41" s="378" t="s">
        <v>1908</v>
      </c>
      <c r="K41" s="378" t="s">
        <v>1909</v>
      </c>
    </row>
    <row r="42" spans="1:11">
      <c r="A42" s="387"/>
      <c r="B42" s="390"/>
      <c r="C42" s="390" t="s">
        <v>1910</v>
      </c>
      <c r="D42" s="378" t="s">
        <v>1911</v>
      </c>
      <c r="E42" s="378" t="s">
        <v>1912</v>
      </c>
      <c r="F42" s="391" t="s">
        <v>20</v>
      </c>
      <c r="G42" s="378" t="s">
        <v>1754</v>
      </c>
      <c r="H42" s="378" t="s">
        <v>1755</v>
      </c>
      <c r="I42" s="379" t="s">
        <v>1686</v>
      </c>
      <c r="J42" s="378" t="s">
        <v>1913</v>
      </c>
      <c r="K42" s="378" t="s">
        <v>1914</v>
      </c>
    </row>
    <row r="43" spans="1:11">
      <c r="A43" s="387"/>
      <c r="B43" s="390"/>
      <c r="C43" s="390"/>
      <c r="D43" s="378" t="s">
        <v>1915</v>
      </c>
      <c r="E43" s="378" t="s">
        <v>1916</v>
      </c>
      <c r="F43" s="391" t="s">
        <v>20</v>
      </c>
      <c r="G43" s="378" t="s">
        <v>1760</v>
      </c>
      <c r="H43" s="378" t="s">
        <v>1761</v>
      </c>
      <c r="I43" s="379" t="s">
        <v>1686</v>
      </c>
      <c r="J43" s="378" t="s">
        <v>1917</v>
      </c>
      <c r="K43" s="378" t="s">
        <v>1918</v>
      </c>
    </row>
    <row r="44" spans="1:11">
      <c r="A44" s="387"/>
      <c r="B44" s="390"/>
      <c r="C44" s="390"/>
      <c r="D44" s="378" t="s">
        <v>1919</v>
      </c>
      <c r="E44" s="378" t="s">
        <v>1920</v>
      </c>
      <c r="F44" s="391" t="s">
        <v>425</v>
      </c>
      <c r="G44" s="378" t="s">
        <v>1766</v>
      </c>
      <c r="H44" s="378" t="s">
        <v>1767</v>
      </c>
      <c r="I44" s="379" t="s">
        <v>1686</v>
      </c>
      <c r="J44" s="378" t="s">
        <v>1921</v>
      </c>
      <c r="K44" s="378" t="s">
        <v>1922</v>
      </c>
    </row>
    <row r="45" spans="1:11">
      <c r="A45" s="387"/>
      <c r="B45" s="390"/>
      <c r="C45" s="390"/>
      <c r="D45" s="378" t="s">
        <v>1923</v>
      </c>
      <c r="E45" s="378" t="s">
        <v>1924</v>
      </c>
      <c r="F45" s="391" t="s">
        <v>20</v>
      </c>
      <c r="G45" s="378" t="s">
        <v>1772</v>
      </c>
      <c r="H45" s="378" t="s">
        <v>1773</v>
      </c>
      <c r="I45" s="379" t="s">
        <v>1686</v>
      </c>
      <c r="J45" s="378" t="s">
        <v>1925</v>
      </c>
      <c r="K45" s="378" t="s">
        <v>1926</v>
      </c>
    </row>
    <row r="46" spans="1:11" ht="30">
      <c r="A46" s="387"/>
      <c r="B46" s="390"/>
      <c r="C46" s="390"/>
      <c r="D46" s="378" t="s">
        <v>1927</v>
      </c>
      <c r="E46" s="378" t="s">
        <v>1928</v>
      </c>
      <c r="F46" s="391" t="s">
        <v>229</v>
      </c>
      <c r="G46" s="378" t="s">
        <v>1779</v>
      </c>
      <c r="H46" s="378" t="s">
        <v>1780</v>
      </c>
      <c r="I46" s="379" t="s">
        <v>1686</v>
      </c>
      <c r="J46" s="378" t="s">
        <v>1929</v>
      </c>
      <c r="K46" s="378" t="s">
        <v>1930</v>
      </c>
    </row>
    <row r="47" spans="1:11">
      <c r="A47" s="387"/>
      <c r="B47" s="390"/>
      <c r="C47" s="390" t="s">
        <v>1931</v>
      </c>
      <c r="D47" s="378" t="s">
        <v>1932</v>
      </c>
      <c r="E47" s="378" t="s">
        <v>1933</v>
      </c>
      <c r="F47" s="391" t="s">
        <v>229</v>
      </c>
      <c r="G47" s="378" t="s">
        <v>1785</v>
      </c>
      <c r="H47" s="378" t="s">
        <v>1786</v>
      </c>
      <c r="I47" s="380" t="s">
        <v>1730</v>
      </c>
      <c r="J47" s="378" t="s">
        <v>1934</v>
      </c>
      <c r="K47" s="378" t="s">
        <v>1935</v>
      </c>
    </row>
    <row r="48" spans="1:11">
      <c r="A48" s="387"/>
      <c r="B48" s="390"/>
      <c r="C48" s="390"/>
      <c r="D48" s="378" t="s">
        <v>1936</v>
      </c>
      <c r="E48" s="378" t="s">
        <v>1937</v>
      </c>
      <c r="F48" s="391" t="s">
        <v>425</v>
      </c>
      <c r="G48" s="378" t="s">
        <v>1791</v>
      </c>
      <c r="H48" s="378" t="s">
        <v>1792</v>
      </c>
      <c r="I48" s="380" t="s">
        <v>1730</v>
      </c>
      <c r="J48" s="378" t="s">
        <v>1938</v>
      </c>
      <c r="K48" s="378" t="s">
        <v>1939</v>
      </c>
    </row>
    <row r="49" spans="1:11">
      <c r="A49" s="387"/>
      <c r="B49" s="390"/>
      <c r="C49" s="390"/>
      <c r="D49" s="378" t="s">
        <v>1940</v>
      </c>
      <c r="E49" s="378" t="s">
        <v>1941</v>
      </c>
      <c r="F49" s="391" t="s">
        <v>425</v>
      </c>
      <c r="G49" s="378" t="s">
        <v>1797</v>
      </c>
      <c r="H49" s="378" t="s">
        <v>1798</v>
      </c>
      <c r="I49" s="380" t="s">
        <v>1730</v>
      </c>
      <c r="J49" s="378" t="s">
        <v>1942</v>
      </c>
      <c r="K49" s="378" t="s">
        <v>1943</v>
      </c>
    </row>
    <row r="50" spans="1:11">
      <c r="A50" s="387"/>
      <c r="B50" s="390"/>
      <c r="C50" s="390"/>
      <c r="D50" s="378" t="s">
        <v>1944</v>
      </c>
      <c r="E50" s="378" t="s">
        <v>1945</v>
      </c>
      <c r="F50" s="391" t="s">
        <v>20</v>
      </c>
      <c r="G50" s="378" t="s">
        <v>1803</v>
      </c>
      <c r="H50" s="378" t="s">
        <v>1946</v>
      </c>
      <c r="I50" s="379" t="s">
        <v>1686</v>
      </c>
      <c r="J50" s="378" t="s">
        <v>1947</v>
      </c>
      <c r="K50" s="378" t="s">
        <v>1948</v>
      </c>
    </row>
    <row r="51" spans="1:11" ht="30">
      <c r="A51" s="387"/>
      <c r="B51" s="390"/>
      <c r="C51" s="390"/>
      <c r="D51" s="378" t="s">
        <v>1949</v>
      </c>
      <c r="E51" s="378" t="s">
        <v>1950</v>
      </c>
      <c r="F51" s="391" t="s">
        <v>20</v>
      </c>
      <c r="G51" s="378" t="s">
        <v>1810</v>
      </c>
      <c r="H51" s="378" t="s">
        <v>1811</v>
      </c>
      <c r="I51" s="379" t="s">
        <v>1686</v>
      </c>
      <c r="J51" s="378" t="s">
        <v>1951</v>
      </c>
      <c r="K51" s="378" t="s">
        <v>1952</v>
      </c>
    </row>
    <row r="52" spans="1:11">
      <c r="A52" s="387"/>
      <c r="B52" s="392" t="s">
        <v>1953</v>
      </c>
      <c r="C52" s="392" t="s">
        <v>1954</v>
      </c>
      <c r="D52" s="381" t="s">
        <v>1955</v>
      </c>
      <c r="E52" s="381" t="s">
        <v>1956</v>
      </c>
      <c r="F52" s="393" t="s">
        <v>20</v>
      </c>
      <c r="G52" s="381" t="s">
        <v>1957</v>
      </c>
      <c r="H52" s="381" t="s">
        <v>1958</v>
      </c>
      <c r="I52" s="379" t="s">
        <v>1686</v>
      </c>
      <c r="J52" s="381" t="s">
        <v>1959</v>
      </c>
      <c r="K52" s="381" t="s">
        <v>1960</v>
      </c>
    </row>
    <row r="53" spans="1:11">
      <c r="A53" s="387"/>
      <c r="B53" s="392"/>
      <c r="C53" s="392"/>
      <c r="D53" s="381" t="s">
        <v>1961</v>
      </c>
      <c r="E53" s="381" t="s">
        <v>1962</v>
      </c>
      <c r="F53" s="393" t="s">
        <v>20</v>
      </c>
      <c r="G53" s="381" t="s">
        <v>1963</v>
      </c>
      <c r="H53" s="381" t="s">
        <v>1964</v>
      </c>
      <c r="I53" s="379" t="s">
        <v>1686</v>
      </c>
      <c r="J53" s="381" t="s">
        <v>1965</v>
      </c>
      <c r="K53" s="381" t="s">
        <v>1966</v>
      </c>
    </row>
    <row r="54" spans="1:11" ht="30">
      <c r="A54" s="387"/>
      <c r="B54" s="392"/>
      <c r="C54" s="392"/>
      <c r="D54" s="381" t="s">
        <v>1967</v>
      </c>
      <c r="E54" s="381" t="s">
        <v>1968</v>
      </c>
      <c r="F54" s="393" t="s">
        <v>20</v>
      </c>
      <c r="G54" s="381" t="s">
        <v>1969</v>
      </c>
      <c r="H54" s="381" t="s">
        <v>1970</v>
      </c>
      <c r="I54" s="380" t="s">
        <v>1730</v>
      </c>
      <c r="J54" s="381" t="s">
        <v>1971</v>
      </c>
      <c r="K54" s="381" t="s">
        <v>1972</v>
      </c>
    </row>
    <row r="55" spans="1:11">
      <c r="A55" s="387"/>
      <c r="B55" s="392"/>
      <c r="C55" s="392"/>
      <c r="D55" s="381" t="s">
        <v>1973</v>
      </c>
      <c r="E55" s="381" t="s">
        <v>1974</v>
      </c>
      <c r="F55" s="393" t="s">
        <v>425</v>
      </c>
      <c r="G55" s="381" t="s">
        <v>1975</v>
      </c>
      <c r="H55" s="381" t="s">
        <v>1976</v>
      </c>
      <c r="I55" s="379" t="s">
        <v>1686</v>
      </c>
      <c r="J55" s="381" t="s">
        <v>1977</v>
      </c>
      <c r="K55" s="381" t="s">
        <v>1978</v>
      </c>
    </row>
    <row r="56" spans="1:11">
      <c r="A56" s="387"/>
      <c r="B56" s="392"/>
      <c r="C56" s="392"/>
      <c r="D56" s="381" t="s">
        <v>1979</v>
      </c>
      <c r="E56" s="381" t="s">
        <v>1980</v>
      </c>
      <c r="F56" s="393" t="s">
        <v>20</v>
      </c>
      <c r="G56" s="381" t="s">
        <v>1981</v>
      </c>
      <c r="H56" s="381" t="s">
        <v>1982</v>
      </c>
      <c r="I56" s="380" t="s">
        <v>1730</v>
      </c>
      <c r="J56" s="381" t="s">
        <v>1983</v>
      </c>
      <c r="K56" s="381" t="s">
        <v>1984</v>
      </c>
    </row>
    <row r="57" spans="1:11">
      <c r="A57" s="387"/>
      <c r="B57" s="392"/>
      <c r="C57" s="392" t="s">
        <v>1985</v>
      </c>
      <c r="D57" s="381" t="s">
        <v>1986</v>
      </c>
      <c r="E57" s="381" t="s">
        <v>1987</v>
      </c>
      <c r="F57" s="393" t="s">
        <v>229</v>
      </c>
      <c r="G57" s="381" t="s">
        <v>1988</v>
      </c>
      <c r="H57" s="381" t="s">
        <v>1989</v>
      </c>
      <c r="I57" s="379" t="s">
        <v>1686</v>
      </c>
      <c r="J57" s="381" t="s">
        <v>1990</v>
      </c>
      <c r="K57" s="381" t="s">
        <v>1991</v>
      </c>
    </row>
    <row r="58" spans="1:11">
      <c r="A58" s="387"/>
      <c r="B58" s="392"/>
      <c r="C58" s="392"/>
      <c r="D58" s="381" t="s">
        <v>1992</v>
      </c>
      <c r="E58" s="381" t="s">
        <v>1993</v>
      </c>
      <c r="F58" s="393" t="s">
        <v>20</v>
      </c>
      <c r="G58" s="381" t="s">
        <v>1994</v>
      </c>
      <c r="H58" s="381" t="s">
        <v>1995</v>
      </c>
      <c r="I58" s="379" t="s">
        <v>1686</v>
      </c>
      <c r="J58" s="381" t="s">
        <v>1996</v>
      </c>
      <c r="K58" s="381" t="s">
        <v>1997</v>
      </c>
    </row>
    <row r="59" spans="1:11">
      <c r="A59" s="387"/>
      <c r="B59" s="392"/>
      <c r="C59" s="392"/>
      <c r="D59" s="381" t="s">
        <v>1998</v>
      </c>
      <c r="E59" s="381" t="s">
        <v>1999</v>
      </c>
      <c r="F59" s="393" t="s">
        <v>425</v>
      </c>
      <c r="G59" s="381" t="s">
        <v>2000</v>
      </c>
      <c r="H59" s="381" t="s">
        <v>1823</v>
      </c>
      <c r="I59" s="380" t="s">
        <v>1730</v>
      </c>
      <c r="J59" s="381" t="s">
        <v>2001</v>
      </c>
      <c r="K59" s="381" t="s">
        <v>2002</v>
      </c>
    </row>
    <row r="60" spans="1:11">
      <c r="A60" s="387"/>
      <c r="B60" s="392"/>
      <c r="C60" s="392"/>
      <c r="D60" s="381" t="s">
        <v>2003</v>
      </c>
      <c r="E60" s="381" t="s">
        <v>2004</v>
      </c>
      <c r="F60" s="393" t="s">
        <v>425</v>
      </c>
      <c r="G60" s="381" t="s">
        <v>2005</v>
      </c>
      <c r="H60" s="381" t="s">
        <v>2006</v>
      </c>
      <c r="I60" s="379" t="s">
        <v>1686</v>
      </c>
      <c r="J60" s="381" t="s">
        <v>2007</v>
      </c>
      <c r="K60" s="381" t="s">
        <v>2008</v>
      </c>
    </row>
    <row r="61" spans="1:11">
      <c r="A61" s="387"/>
      <c r="B61" s="392"/>
      <c r="C61" s="392"/>
      <c r="D61" s="381" t="s">
        <v>2009</v>
      </c>
      <c r="E61" s="381" t="s">
        <v>2010</v>
      </c>
      <c r="F61" s="393" t="s">
        <v>20</v>
      </c>
      <c r="G61" s="381" t="s">
        <v>2011</v>
      </c>
      <c r="H61" s="381" t="s">
        <v>2012</v>
      </c>
      <c r="I61" s="380" t="s">
        <v>1730</v>
      </c>
      <c r="J61" s="381" t="s">
        <v>2013</v>
      </c>
      <c r="K61" s="381" t="s">
        <v>2014</v>
      </c>
    </row>
    <row r="62" spans="1:11">
      <c r="A62" s="387"/>
      <c r="B62" s="392"/>
      <c r="C62" s="392" t="s">
        <v>2015</v>
      </c>
      <c r="D62" s="381" t="s">
        <v>2016</v>
      </c>
      <c r="E62" s="381" t="s">
        <v>2017</v>
      </c>
      <c r="F62" s="393" t="s">
        <v>20</v>
      </c>
      <c r="G62" s="381" t="s">
        <v>2018</v>
      </c>
      <c r="H62" s="381" t="s">
        <v>2019</v>
      </c>
      <c r="I62" s="380" t="s">
        <v>1730</v>
      </c>
      <c r="J62" s="381" t="s">
        <v>1750</v>
      </c>
      <c r="K62" s="381" t="s">
        <v>2020</v>
      </c>
    </row>
    <row r="63" spans="1:11">
      <c r="A63" s="387"/>
      <c r="B63" s="392"/>
      <c r="C63" s="392"/>
      <c r="D63" s="381" t="s">
        <v>2021</v>
      </c>
      <c r="E63" s="381" t="s">
        <v>2022</v>
      </c>
      <c r="F63" s="393" t="s">
        <v>20</v>
      </c>
      <c r="G63" s="381" t="s">
        <v>2023</v>
      </c>
      <c r="H63" s="381" t="s">
        <v>2024</v>
      </c>
      <c r="I63" s="379" t="s">
        <v>1686</v>
      </c>
      <c r="J63" s="381" t="s">
        <v>2025</v>
      </c>
      <c r="K63" s="381" t="s">
        <v>2026</v>
      </c>
    </row>
    <row r="64" spans="1:11">
      <c r="A64" s="387"/>
      <c r="B64" s="392"/>
      <c r="C64" s="392"/>
      <c r="D64" s="381" t="s">
        <v>2027</v>
      </c>
      <c r="E64" s="381" t="s">
        <v>2028</v>
      </c>
      <c r="F64" s="393" t="s">
        <v>425</v>
      </c>
      <c r="G64" s="381" t="s">
        <v>2029</v>
      </c>
      <c r="H64" s="381" t="s">
        <v>2030</v>
      </c>
      <c r="I64" s="379" t="s">
        <v>1686</v>
      </c>
      <c r="J64" s="381" t="s">
        <v>2031</v>
      </c>
      <c r="K64" s="381" t="s">
        <v>2032</v>
      </c>
    </row>
    <row r="65" spans="1:11" ht="30">
      <c r="A65" s="387"/>
      <c r="B65" s="392"/>
      <c r="C65" s="392"/>
      <c r="D65" s="381" t="s">
        <v>2033</v>
      </c>
      <c r="E65" s="381" t="s">
        <v>2034</v>
      </c>
      <c r="F65" s="393" t="s">
        <v>229</v>
      </c>
      <c r="G65" s="381" t="s">
        <v>2035</v>
      </c>
      <c r="H65" s="381" t="s">
        <v>2036</v>
      </c>
      <c r="I65" s="380" t="s">
        <v>1730</v>
      </c>
      <c r="J65" s="381" t="s">
        <v>2037</v>
      </c>
      <c r="K65" s="381" t="s">
        <v>2038</v>
      </c>
    </row>
    <row r="66" spans="1:11">
      <c r="A66" s="387"/>
      <c r="B66" s="392"/>
      <c r="C66" s="392"/>
      <c r="D66" s="381" t="s">
        <v>2039</v>
      </c>
      <c r="E66" s="381" t="s">
        <v>2040</v>
      </c>
      <c r="F66" s="393" t="s">
        <v>229</v>
      </c>
      <c r="G66" s="381" t="s">
        <v>2041</v>
      </c>
      <c r="H66" s="381" t="s">
        <v>2042</v>
      </c>
      <c r="I66" s="380" t="s">
        <v>1730</v>
      </c>
      <c r="J66" s="381" t="s">
        <v>2043</v>
      </c>
      <c r="K66" s="381" t="s">
        <v>2044</v>
      </c>
    </row>
    <row r="67" spans="1:11">
      <c r="A67" s="387"/>
      <c r="B67" s="392"/>
      <c r="C67" s="392" t="s">
        <v>2045</v>
      </c>
      <c r="D67" s="381" t="s">
        <v>2046</v>
      </c>
      <c r="E67" s="381" t="s">
        <v>2047</v>
      </c>
      <c r="F67" s="393" t="s">
        <v>20</v>
      </c>
      <c r="G67" s="381" t="s">
        <v>2048</v>
      </c>
      <c r="H67" s="381" t="s">
        <v>2049</v>
      </c>
      <c r="I67" s="379" t="s">
        <v>1686</v>
      </c>
      <c r="J67" s="381" t="s">
        <v>2050</v>
      </c>
      <c r="K67" s="381" t="s">
        <v>2051</v>
      </c>
    </row>
    <row r="68" spans="1:11">
      <c r="A68" s="387"/>
      <c r="B68" s="392"/>
      <c r="C68" s="392"/>
      <c r="D68" s="381" t="s">
        <v>2052</v>
      </c>
      <c r="E68" s="381" t="s">
        <v>2053</v>
      </c>
      <c r="F68" s="393" t="s">
        <v>425</v>
      </c>
      <c r="G68" s="381" t="s">
        <v>2054</v>
      </c>
      <c r="H68" s="381" t="s">
        <v>2055</v>
      </c>
      <c r="I68" s="380" t="s">
        <v>1730</v>
      </c>
      <c r="J68" s="381" t="s">
        <v>2056</v>
      </c>
      <c r="K68" s="381" t="s">
        <v>2057</v>
      </c>
    </row>
    <row r="69" spans="1:11">
      <c r="A69" s="387"/>
      <c r="B69" s="392"/>
      <c r="C69" s="392"/>
      <c r="D69" s="381" t="s">
        <v>2058</v>
      </c>
      <c r="E69" s="381" t="s">
        <v>2059</v>
      </c>
      <c r="F69" s="393" t="s">
        <v>20</v>
      </c>
      <c r="G69" s="381" t="s">
        <v>2060</v>
      </c>
      <c r="H69" s="381" t="s">
        <v>2061</v>
      </c>
      <c r="I69" s="379" t="s">
        <v>1686</v>
      </c>
      <c r="J69" s="381" t="s">
        <v>2062</v>
      </c>
      <c r="K69" s="381" t="s">
        <v>2063</v>
      </c>
    </row>
    <row r="70" spans="1:11">
      <c r="A70" s="387"/>
      <c r="B70" s="392"/>
      <c r="C70" s="392"/>
      <c r="D70" s="381" t="s">
        <v>2064</v>
      </c>
      <c r="E70" s="381" t="s">
        <v>2065</v>
      </c>
      <c r="F70" s="393" t="s">
        <v>20</v>
      </c>
      <c r="G70" s="381" t="s">
        <v>2066</v>
      </c>
      <c r="H70" s="381" t="s">
        <v>2067</v>
      </c>
      <c r="I70" s="379" t="s">
        <v>1686</v>
      </c>
      <c r="J70" s="381" t="s">
        <v>2068</v>
      </c>
      <c r="K70" s="381" t="s">
        <v>2069</v>
      </c>
    </row>
    <row r="71" spans="1:11">
      <c r="A71" s="387"/>
      <c r="B71" s="392"/>
      <c r="C71" s="392"/>
      <c r="D71" s="381" t="s">
        <v>2070</v>
      </c>
      <c r="E71" s="381" t="s">
        <v>2071</v>
      </c>
      <c r="F71" s="393" t="s">
        <v>20</v>
      </c>
      <c r="G71" s="381" t="s">
        <v>2072</v>
      </c>
      <c r="H71" s="381" t="s">
        <v>2073</v>
      </c>
      <c r="I71" s="380" t="s">
        <v>1730</v>
      </c>
      <c r="J71" s="381" t="s">
        <v>2074</v>
      </c>
      <c r="K71" s="381" t="s">
        <v>2075</v>
      </c>
    </row>
    <row r="72" spans="1:11">
      <c r="A72" s="387"/>
      <c r="B72" s="392"/>
      <c r="C72" s="392" t="s">
        <v>2076</v>
      </c>
      <c r="D72" s="381" t="s">
        <v>2077</v>
      </c>
      <c r="E72" s="381" t="s">
        <v>2078</v>
      </c>
      <c r="F72" s="393" t="s">
        <v>425</v>
      </c>
      <c r="G72" s="381" t="s">
        <v>2079</v>
      </c>
      <c r="H72" s="381" t="s">
        <v>2080</v>
      </c>
      <c r="I72" s="379" t="s">
        <v>1686</v>
      </c>
      <c r="J72" s="381" t="s">
        <v>2081</v>
      </c>
      <c r="K72" s="381" t="s">
        <v>2082</v>
      </c>
    </row>
    <row r="73" spans="1:11">
      <c r="A73" s="387"/>
      <c r="B73" s="392"/>
      <c r="C73" s="392"/>
      <c r="D73" s="381" t="s">
        <v>2083</v>
      </c>
      <c r="E73" s="381" t="s">
        <v>2084</v>
      </c>
      <c r="F73" s="393" t="s">
        <v>20</v>
      </c>
      <c r="G73" s="381" t="s">
        <v>2085</v>
      </c>
      <c r="H73" s="381" t="s">
        <v>2086</v>
      </c>
      <c r="I73" s="379" t="s">
        <v>1686</v>
      </c>
      <c r="J73" s="381" t="s">
        <v>2087</v>
      </c>
      <c r="K73" s="381" t="s">
        <v>2088</v>
      </c>
    </row>
    <row r="74" spans="1:11">
      <c r="A74" s="387"/>
      <c r="B74" s="392"/>
      <c r="C74" s="392"/>
      <c r="D74" s="381" t="s">
        <v>2089</v>
      </c>
      <c r="E74" s="381" t="s">
        <v>2090</v>
      </c>
      <c r="F74" s="393" t="s">
        <v>20</v>
      </c>
      <c r="G74" s="381" t="s">
        <v>2091</v>
      </c>
      <c r="H74" s="381" t="s">
        <v>2092</v>
      </c>
      <c r="I74" s="379" t="s">
        <v>1686</v>
      </c>
      <c r="J74" s="381" t="s">
        <v>2093</v>
      </c>
      <c r="K74" s="381" t="s">
        <v>2094</v>
      </c>
    </row>
    <row r="75" spans="1:11" ht="30">
      <c r="A75" s="387"/>
      <c r="B75" s="392"/>
      <c r="C75" s="392"/>
      <c r="D75" s="381" t="s">
        <v>2095</v>
      </c>
      <c r="E75" s="381" t="s">
        <v>2096</v>
      </c>
      <c r="F75" s="393" t="s">
        <v>20</v>
      </c>
      <c r="G75" s="381" t="s">
        <v>2097</v>
      </c>
      <c r="H75" s="381" t="s">
        <v>2098</v>
      </c>
      <c r="I75" s="380" t="s">
        <v>1730</v>
      </c>
      <c r="J75" s="381" t="s">
        <v>2099</v>
      </c>
      <c r="K75" s="381" t="s">
        <v>2100</v>
      </c>
    </row>
    <row r="76" spans="1:11" ht="30">
      <c r="A76" s="387"/>
      <c r="B76" s="392"/>
      <c r="C76" s="392"/>
      <c r="D76" s="381" t="s">
        <v>2101</v>
      </c>
      <c r="E76" s="381" t="s">
        <v>2102</v>
      </c>
      <c r="F76" s="393" t="s">
        <v>20</v>
      </c>
      <c r="G76" s="381" t="s">
        <v>2103</v>
      </c>
      <c r="H76" s="381" t="s">
        <v>2104</v>
      </c>
      <c r="I76" s="379" t="s">
        <v>1686</v>
      </c>
      <c r="J76" s="381" t="s">
        <v>2105</v>
      </c>
      <c r="K76" s="381" t="s">
        <v>2106</v>
      </c>
    </row>
    <row r="77" spans="1:11">
      <c r="A77" s="387"/>
      <c r="B77" s="394" t="s">
        <v>2107</v>
      </c>
      <c r="C77" s="394" t="s">
        <v>2108</v>
      </c>
      <c r="D77" s="382" t="s">
        <v>2109</v>
      </c>
      <c r="E77" s="382" t="s">
        <v>2110</v>
      </c>
      <c r="F77" s="395" t="s">
        <v>425</v>
      </c>
      <c r="G77" s="382" t="s">
        <v>2111</v>
      </c>
      <c r="H77" s="382" t="s">
        <v>2112</v>
      </c>
      <c r="I77" s="379" t="s">
        <v>1686</v>
      </c>
      <c r="J77" s="382" t="s">
        <v>2113</v>
      </c>
      <c r="K77" s="382" t="s">
        <v>2114</v>
      </c>
    </row>
    <row r="78" spans="1:11">
      <c r="A78" s="387"/>
      <c r="B78" s="394"/>
      <c r="C78" s="394"/>
      <c r="D78" s="382" t="s">
        <v>2115</v>
      </c>
      <c r="E78" s="382" t="s">
        <v>2116</v>
      </c>
      <c r="F78" s="395" t="s">
        <v>425</v>
      </c>
      <c r="G78" s="382" t="s">
        <v>2117</v>
      </c>
      <c r="H78" s="382" t="s">
        <v>2118</v>
      </c>
      <c r="I78" s="379" t="s">
        <v>1686</v>
      </c>
      <c r="J78" s="382" t="s">
        <v>2119</v>
      </c>
      <c r="K78" s="382" t="s">
        <v>2120</v>
      </c>
    </row>
    <row r="79" spans="1:11">
      <c r="A79" s="387"/>
      <c r="B79" s="394"/>
      <c r="C79" s="394"/>
      <c r="D79" s="382" t="s">
        <v>2121</v>
      </c>
      <c r="E79" s="382" t="s">
        <v>2122</v>
      </c>
      <c r="F79" s="395" t="s">
        <v>425</v>
      </c>
      <c r="G79" s="382" t="s">
        <v>2123</v>
      </c>
      <c r="H79" s="382" t="s">
        <v>2124</v>
      </c>
      <c r="I79" s="380" t="s">
        <v>1730</v>
      </c>
      <c r="J79" s="382" t="s">
        <v>2125</v>
      </c>
      <c r="K79" s="382" t="s">
        <v>2126</v>
      </c>
    </row>
    <row r="80" spans="1:11">
      <c r="A80" s="387"/>
      <c r="B80" s="394"/>
      <c r="C80" s="394"/>
      <c r="D80" s="382" t="s">
        <v>2127</v>
      </c>
      <c r="E80" s="382" t="s">
        <v>2128</v>
      </c>
      <c r="F80" s="395" t="s">
        <v>425</v>
      </c>
      <c r="G80" s="382" t="s">
        <v>2129</v>
      </c>
      <c r="H80" s="382" t="s">
        <v>2130</v>
      </c>
      <c r="I80" s="380" t="s">
        <v>1730</v>
      </c>
      <c r="J80" s="382" t="s">
        <v>2131</v>
      </c>
      <c r="K80" s="382" t="s">
        <v>2132</v>
      </c>
    </row>
    <row r="81" spans="1:11">
      <c r="A81" s="387"/>
      <c r="B81" s="394"/>
      <c r="C81" s="394"/>
      <c r="D81" s="382" t="s">
        <v>2133</v>
      </c>
      <c r="E81" s="382" t="s">
        <v>2134</v>
      </c>
      <c r="F81" s="395" t="s">
        <v>425</v>
      </c>
      <c r="G81" s="382" t="s">
        <v>2135</v>
      </c>
      <c r="H81" s="382" t="s">
        <v>2136</v>
      </c>
      <c r="I81" s="380" t="s">
        <v>1730</v>
      </c>
      <c r="J81" s="382" t="s">
        <v>2137</v>
      </c>
      <c r="K81" s="382" t="s">
        <v>2138</v>
      </c>
    </row>
    <row r="82" spans="1:11">
      <c r="A82" s="387"/>
      <c r="B82" s="394"/>
      <c r="C82" s="394" t="s">
        <v>2139</v>
      </c>
      <c r="D82" s="382" t="s">
        <v>2140</v>
      </c>
      <c r="E82" s="382" t="s">
        <v>2141</v>
      </c>
      <c r="F82" s="395" t="s">
        <v>229</v>
      </c>
      <c r="G82" s="382" t="s">
        <v>2142</v>
      </c>
      <c r="H82" s="382" t="s">
        <v>2143</v>
      </c>
      <c r="I82" s="380" t="s">
        <v>1730</v>
      </c>
      <c r="J82" s="382" t="s">
        <v>2144</v>
      </c>
      <c r="K82" s="382" t="s">
        <v>2145</v>
      </c>
    </row>
    <row r="83" spans="1:11">
      <c r="A83" s="387"/>
      <c r="B83" s="394"/>
      <c r="C83" s="394"/>
      <c r="D83" s="382" t="s">
        <v>2146</v>
      </c>
      <c r="E83" s="382" t="s">
        <v>2147</v>
      </c>
      <c r="F83" s="395" t="s">
        <v>20</v>
      </c>
      <c r="G83" s="382" t="s">
        <v>2148</v>
      </c>
      <c r="H83" s="382" t="s">
        <v>2149</v>
      </c>
      <c r="I83" s="379" t="s">
        <v>1686</v>
      </c>
      <c r="J83" s="382" t="s">
        <v>2150</v>
      </c>
      <c r="K83" s="382" t="s">
        <v>2151</v>
      </c>
    </row>
    <row r="84" spans="1:11">
      <c r="A84" s="387"/>
      <c r="B84" s="394"/>
      <c r="C84" s="394"/>
      <c r="D84" s="382" t="s">
        <v>2152</v>
      </c>
      <c r="E84" s="382" t="s">
        <v>2153</v>
      </c>
      <c r="F84" s="395" t="s">
        <v>20</v>
      </c>
      <c r="G84" s="382" t="s">
        <v>2154</v>
      </c>
      <c r="H84" s="382" t="s">
        <v>2155</v>
      </c>
      <c r="I84" s="380" t="s">
        <v>1730</v>
      </c>
      <c r="J84" s="382" t="s">
        <v>2156</v>
      </c>
      <c r="K84" s="382" t="s">
        <v>2157</v>
      </c>
    </row>
    <row r="85" spans="1:11">
      <c r="A85" s="387"/>
      <c r="B85" s="394"/>
      <c r="C85" s="394"/>
      <c r="D85" s="382" t="s">
        <v>2158</v>
      </c>
      <c r="E85" s="382" t="s">
        <v>2159</v>
      </c>
      <c r="F85" s="395" t="s">
        <v>425</v>
      </c>
      <c r="G85" s="382" t="s">
        <v>2160</v>
      </c>
      <c r="H85" s="382" t="s">
        <v>2161</v>
      </c>
      <c r="I85" s="380" t="s">
        <v>1730</v>
      </c>
      <c r="J85" s="382" t="s">
        <v>2162</v>
      </c>
      <c r="K85" s="382" t="s">
        <v>2163</v>
      </c>
    </row>
    <row r="86" spans="1:11">
      <c r="A86" s="387"/>
      <c r="B86" s="394"/>
      <c r="C86" s="394"/>
      <c r="D86" s="382" t="s">
        <v>2164</v>
      </c>
      <c r="E86" s="382" t="s">
        <v>2165</v>
      </c>
      <c r="F86" s="395" t="s">
        <v>20</v>
      </c>
      <c r="G86" s="382" t="s">
        <v>2166</v>
      </c>
      <c r="H86" s="382" t="s">
        <v>2167</v>
      </c>
      <c r="I86" s="379" t="s">
        <v>1686</v>
      </c>
      <c r="J86" s="382" t="s">
        <v>2168</v>
      </c>
      <c r="K86" s="382" t="s">
        <v>2169</v>
      </c>
    </row>
    <row r="87" spans="1:11">
      <c r="A87" s="387"/>
      <c r="B87" s="394"/>
      <c r="C87" s="394" t="s">
        <v>2170</v>
      </c>
      <c r="D87" s="382" t="s">
        <v>2171</v>
      </c>
      <c r="E87" s="382" t="s">
        <v>2172</v>
      </c>
      <c r="F87" s="395" t="s">
        <v>20</v>
      </c>
      <c r="G87" s="382" t="s">
        <v>2173</v>
      </c>
      <c r="H87" s="382" t="s">
        <v>2174</v>
      </c>
      <c r="I87" s="379" t="s">
        <v>1686</v>
      </c>
      <c r="J87" s="382" t="s">
        <v>2175</v>
      </c>
      <c r="K87" s="382" t="s">
        <v>2176</v>
      </c>
    </row>
    <row r="88" spans="1:11">
      <c r="A88" s="387"/>
      <c r="B88" s="394"/>
      <c r="C88" s="394"/>
      <c r="D88" s="382" t="s">
        <v>2177</v>
      </c>
      <c r="E88" s="382" t="s">
        <v>2178</v>
      </c>
      <c r="F88" s="395" t="s">
        <v>20</v>
      </c>
      <c r="G88" s="382" t="s">
        <v>2179</v>
      </c>
      <c r="H88" s="382" t="s">
        <v>2180</v>
      </c>
      <c r="I88" s="380" t="s">
        <v>1730</v>
      </c>
      <c r="J88" s="382" t="s">
        <v>2181</v>
      </c>
      <c r="K88" s="382" t="s">
        <v>2182</v>
      </c>
    </row>
    <row r="89" spans="1:11">
      <c r="A89" s="387"/>
      <c r="B89" s="394"/>
      <c r="C89" s="394"/>
      <c r="D89" s="382" t="s">
        <v>2183</v>
      </c>
      <c r="E89" s="382" t="s">
        <v>2184</v>
      </c>
      <c r="F89" s="395" t="s">
        <v>20</v>
      </c>
      <c r="G89" s="382" t="s">
        <v>2185</v>
      </c>
      <c r="H89" s="382" t="s">
        <v>2186</v>
      </c>
      <c r="I89" s="380" t="s">
        <v>1730</v>
      </c>
      <c r="J89" s="382" t="s">
        <v>2187</v>
      </c>
      <c r="K89" s="382" t="s">
        <v>2188</v>
      </c>
    </row>
    <row r="90" spans="1:11">
      <c r="A90" s="387"/>
      <c r="B90" s="394"/>
      <c r="C90" s="394"/>
      <c r="D90" s="382" t="s">
        <v>2189</v>
      </c>
      <c r="E90" s="382" t="s">
        <v>2190</v>
      </c>
      <c r="F90" s="395" t="s">
        <v>20</v>
      </c>
      <c r="G90" s="382" t="s">
        <v>2191</v>
      </c>
      <c r="H90" s="382" t="s">
        <v>2192</v>
      </c>
      <c r="I90" s="380" t="s">
        <v>1730</v>
      </c>
      <c r="J90" s="382" t="s">
        <v>2193</v>
      </c>
      <c r="K90" s="382" t="s">
        <v>2194</v>
      </c>
    </row>
    <row r="91" spans="1:11">
      <c r="A91" s="387"/>
      <c r="B91" s="394"/>
      <c r="C91" s="394"/>
      <c r="D91" s="382" t="s">
        <v>2195</v>
      </c>
      <c r="E91" s="382" t="s">
        <v>2196</v>
      </c>
      <c r="F91" s="395" t="s">
        <v>229</v>
      </c>
      <c r="G91" s="382" t="s">
        <v>2197</v>
      </c>
      <c r="H91" s="382" t="s">
        <v>2198</v>
      </c>
      <c r="I91" s="380" t="s">
        <v>1730</v>
      </c>
      <c r="J91" s="382" t="s">
        <v>2199</v>
      </c>
      <c r="K91" s="382" t="s">
        <v>2200</v>
      </c>
    </row>
    <row r="92" spans="1:11">
      <c r="A92" s="387"/>
      <c r="B92" s="394"/>
      <c r="C92" s="394" t="s">
        <v>2201</v>
      </c>
      <c r="D92" s="382" t="s">
        <v>2202</v>
      </c>
      <c r="E92" s="382" t="s">
        <v>2203</v>
      </c>
      <c r="F92" s="395" t="s">
        <v>20</v>
      </c>
      <c r="G92" s="382" t="s">
        <v>2204</v>
      </c>
      <c r="H92" s="382" t="s">
        <v>2205</v>
      </c>
      <c r="I92" s="380" t="s">
        <v>1730</v>
      </c>
      <c r="J92" s="382" t="s">
        <v>2206</v>
      </c>
      <c r="K92" s="382" t="s">
        <v>2207</v>
      </c>
    </row>
    <row r="93" spans="1:11">
      <c r="A93" s="387"/>
      <c r="B93" s="394"/>
      <c r="C93" s="394"/>
      <c r="D93" s="382" t="s">
        <v>2208</v>
      </c>
      <c r="E93" s="382" t="s">
        <v>2209</v>
      </c>
      <c r="F93" s="395" t="s">
        <v>20</v>
      </c>
      <c r="G93" s="382" t="s">
        <v>2210</v>
      </c>
      <c r="H93" s="382" t="s">
        <v>2211</v>
      </c>
      <c r="I93" s="379" t="s">
        <v>1686</v>
      </c>
      <c r="J93" s="382" t="s">
        <v>2212</v>
      </c>
      <c r="K93" s="382" t="s">
        <v>2213</v>
      </c>
    </row>
    <row r="94" spans="1:11">
      <c r="A94" s="387"/>
      <c r="B94" s="394"/>
      <c r="C94" s="394"/>
      <c r="D94" s="382" t="s">
        <v>2214</v>
      </c>
      <c r="E94" s="382" t="s">
        <v>2215</v>
      </c>
      <c r="F94" s="395" t="s">
        <v>20</v>
      </c>
      <c r="G94" s="382" t="s">
        <v>2216</v>
      </c>
      <c r="H94" s="382" t="s">
        <v>2217</v>
      </c>
      <c r="I94" s="380" t="s">
        <v>1730</v>
      </c>
      <c r="J94" s="382" t="s">
        <v>2218</v>
      </c>
      <c r="K94" s="382" t="s">
        <v>2219</v>
      </c>
    </row>
    <row r="95" spans="1:11">
      <c r="A95" s="387"/>
      <c r="B95" s="394"/>
      <c r="C95" s="394"/>
      <c r="D95" s="382" t="s">
        <v>2220</v>
      </c>
      <c r="E95" s="382" t="s">
        <v>2221</v>
      </c>
      <c r="F95" s="395" t="s">
        <v>229</v>
      </c>
      <c r="G95" s="382" t="s">
        <v>2222</v>
      </c>
      <c r="H95" s="382" t="s">
        <v>2067</v>
      </c>
      <c r="I95" s="380" t="s">
        <v>1730</v>
      </c>
      <c r="J95" s="382" t="s">
        <v>2223</v>
      </c>
      <c r="K95" s="382" t="s">
        <v>2224</v>
      </c>
    </row>
    <row r="96" spans="1:11">
      <c r="A96" s="387"/>
      <c r="B96" s="394"/>
      <c r="C96" s="394"/>
      <c r="D96" s="382" t="s">
        <v>2225</v>
      </c>
      <c r="E96" s="382" t="s">
        <v>2226</v>
      </c>
      <c r="F96" s="395" t="s">
        <v>229</v>
      </c>
      <c r="G96" s="382" t="s">
        <v>2072</v>
      </c>
      <c r="H96" s="382" t="s">
        <v>2227</v>
      </c>
      <c r="I96" s="379" t="s">
        <v>1686</v>
      </c>
      <c r="J96" s="382" t="s">
        <v>2228</v>
      </c>
      <c r="K96" s="382" t="s">
        <v>2229</v>
      </c>
    </row>
    <row r="97" spans="1:11">
      <c r="A97" s="387"/>
      <c r="B97" s="394"/>
      <c r="C97" s="394" t="s">
        <v>2230</v>
      </c>
      <c r="D97" s="382" t="s">
        <v>2231</v>
      </c>
      <c r="E97" s="382" t="s">
        <v>2232</v>
      </c>
      <c r="F97" s="395" t="s">
        <v>20</v>
      </c>
      <c r="G97" s="382" t="s">
        <v>2233</v>
      </c>
      <c r="H97" s="382" t="s">
        <v>2234</v>
      </c>
      <c r="I97" s="380" t="s">
        <v>1730</v>
      </c>
      <c r="J97" s="382" t="s">
        <v>2235</v>
      </c>
      <c r="K97" s="382" t="s">
        <v>2236</v>
      </c>
    </row>
    <row r="98" spans="1:11">
      <c r="A98" s="387"/>
      <c r="B98" s="394"/>
      <c r="C98" s="394"/>
      <c r="D98" s="382" t="s">
        <v>2237</v>
      </c>
      <c r="E98" s="382" t="s">
        <v>2238</v>
      </c>
      <c r="F98" s="395" t="s">
        <v>20</v>
      </c>
      <c r="G98" s="382" t="s">
        <v>2239</v>
      </c>
      <c r="H98" s="382" t="s">
        <v>2240</v>
      </c>
      <c r="I98" s="380" t="s">
        <v>1730</v>
      </c>
      <c r="J98" s="382" t="s">
        <v>2241</v>
      </c>
      <c r="K98" s="382" t="s">
        <v>2242</v>
      </c>
    </row>
    <row r="99" spans="1:11">
      <c r="A99" s="387"/>
      <c r="B99" s="394"/>
      <c r="C99" s="394"/>
      <c r="D99" s="382" t="s">
        <v>2243</v>
      </c>
      <c r="E99" s="382" t="s">
        <v>2244</v>
      </c>
      <c r="F99" s="395" t="s">
        <v>229</v>
      </c>
      <c r="G99" s="382" t="s">
        <v>2245</v>
      </c>
      <c r="H99" s="382" t="s">
        <v>2246</v>
      </c>
      <c r="I99" s="379" t="s">
        <v>1686</v>
      </c>
      <c r="J99" s="382" t="s">
        <v>2247</v>
      </c>
      <c r="K99" s="382" t="s">
        <v>2248</v>
      </c>
    </row>
    <row r="100" spans="1:11">
      <c r="A100" s="387"/>
      <c r="B100" s="394"/>
      <c r="C100" s="394"/>
      <c r="D100" s="382" t="s">
        <v>2249</v>
      </c>
      <c r="E100" s="382" t="s">
        <v>2250</v>
      </c>
      <c r="F100" s="395" t="s">
        <v>20</v>
      </c>
      <c r="G100" s="382" t="s">
        <v>2251</v>
      </c>
      <c r="H100" s="382" t="s">
        <v>2252</v>
      </c>
      <c r="I100" s="379" t="s">
        <v>1686</v>
      </c>
      <c r="J100" s="382" t="s">
        <v>2253</v>
      </c>
      <c r="K100" s="382" t="s">
        <v>2254</v>
      </c>
    </row>
    <row r="101" spans="1:11">
      <c r="A101" s="387"/>
      <c r="B101" s="394"/>
      <c r="C101" s="394"/>
      <c r="D101" s="382" t="s">
        <v>2255</v>
      </c>
      <c r="E101" s="382" t="s">
        <v>2256</v>
      </c>
      <c r="F101" s="395" t="s">
        <v>425</v>
      </c>
      <c r="G101" s="382" t="s">
        <v>2257</v>
      </c>
      <c r="H101" s="382" t="s">
        <v>2258</v>
      </c>
      <c r="I101" s="379" t="s">
        <v>1686</v>
      </c>
      <c r="J101" s="382" t="s">
        <v>1959</v>
      </c>
      <c r="K101" s="382" t="s">
        <v>2259</v>
      </c>
    </row>
    <row r="102" spans="1:11">
      <c r="A102" s="387"/>
      <c r="B102" s="396" t="s">
        <v>2260</v>
      </c>
      <c r="C102" s="396" t="s">
        <v>2261</v>
      </c>
      <c r="D102" s="383" t="s">
        <v>2262</v>
      </c>
      <c r="E102" s="383" t="s">
        <v>2263</v>
      </c>
      <c r="F102" s="397" t="s">
        <v>20</v>
      </c>
      <c r="G102" s="383" t="s">
        <v>2264</v>
      </c>
      <c r="H102" s="383" t="s">
        <v>2265</v>
      </c>
      <c r="I102" s="379" t="s">
        <v>1686</v>
      </c>
      <c r="J102" s="383" t="s">
        <v>2266</v>
      </c>
      <c r="K102" s="383" t="s">
        <v>2267</v>
      </c>
    </row>
    <row r="103" spans="1:11">
      <c r="A103" s="387"/>
      <c r="B103" s="396"/>
      <c r="C103" s="396"/>
      <c r="D103" s="383" t="s">
        <v>2268</v>
      </c>
      <c r="E103" s="383" t="s">
        <v>2269</v>
      </c>
      <c r="F103" s="397" t="s">
        <v>20</v>
      </c>
      <c r="G103" s="383" t="s">
        <v>2270</v>
      </c>
      <c r="H103" s="383" t="s">
        <v>2271</v>
      </c>
      <c r="I103" s="380" t="s">
        <v>1730</v>
      </c>
      <c r="J103" s="383" t="s">
        <v>2272</v>
      </c>
      <c r="K103" s="383" t="s">
        <v>2273</v>
      </c>
    </row>
    <row r="104" spans="1:11">
      <c r="A104" s="387"/>
      <c r="B104" s="396"/>
      <c r="C104" s="396"/>
      <c r="D104" s="383" t="s">
        <v>2152</v>
      </c>
      <c r="E104" s="383" t="s">
        <v>2153</v>
      </c>
      <c r="F104" s="397" t="s">
        <v>20</v>
      </c>
      <c r="G104" s="383" t="s">
        <v>2274</v>
      </c>
      <c r="H104" s="383" t="s">
        <v>2275</v>
      </c>
      <c r="I104" s="379" t="s">
        <v>1686</v>
      </c>
      <c r="J104" s="383" t="s">
        <v>2276</v>
      </c>
      <c r="K104" s="383" t="s">
        <v>2277</v>
      </c>
    </row>
    <row r="105" spans="1:11" ht="30">
      <c r="A105" s="387"/>
      <c r="B105" s="396"/>
      <c r="C105" s="396"/>
      <c r="D105" s="383" t="s">
        <v>2158</v>
      </c>
      <c r="E105" s="383" t="s">
        <v>2159</v>
      </c>
      <c r="F105" s="397" t="s">
        <v>425</v>
      </c>
      <c r="G105" s="383" t="s">
        <v>2278</v>
      </c>
      <c r="H105" s="383" t="s">
        <v>2279</v>
      </c>
      <c r="I105" s="380" t="s">
        <v>1730</v>
      </c>
      <c r="J105" s="383" t="s">
        <v>2280</v>
      </c>
      <c r="K105" s="383" t="s">
        <v>2281</v>
      </c>
    </row>
    <row r="106" spans="1:11" ht="30">
      <c r="A106" s="387"/>
      <c r="B106" s="396"/>
      <c r="C106" s="396"/>
      <c r="D106" s="383" t="s">
        <v>2164</v>
      </c>
      <c r="E106" s="383" t="s">
        <v>2165</v>
      </c>
      <c r="F106" s="397" t="s">
        <v>20</v>
      </c>
      <c r="G106" s="383" t="s">
        <v>2282</v>
      </c>
      <c r="H106" s="383" t="s">
        <v>2283</v>
      </c>
      <c r="I106" s="380" t="s">
        <v>1730</v>
      </c>
      <c r="J106" s="383" t="s">
        <v>2284</v>
      </c>
      <c r="K106" s="383" t="s">
        <v>2285</v>
      </c>
    </row>
    <row r="107" spans="1:11">
      <c r="A107" s="387"/>
      <c r="B107" s="396"/>
      <c r="C107" s="396" t="s">
        <v>2286</v>
      </c>
      <c r="D107" s="383" t="s">
        <v>2287</v>
      </c>
      <c r="E107" s="383" t="s">
        <v>2288</v>
      </c>
      <c r="F107" s="397" t="s">
        <v>20</v>
      </c>
      <c r="G107" s="383" t="s">
        <v>2289</v>
      </c>
      <c r="H107" s="383" t="s">
        <v>2290</v>
      </c>
      <c r="I107" s="379" t="s">
        <v>1686</v>
      </c>
      <c r="J107" s="383" t="s">
        <v>2291</v>
      </c>
      <c r="K107" s="383" t="s">
        <v>2292</v>
      </c>
    </row>
    <row r="108" spans="1:11">
      <c r="A108" s="387"/>
      <c r="B108" s="396"/>
      <c r="C108" s="396"/>
      <c r="D108" s="383" t="s">
        <v>2293</v>
      </c>
      <c r="E108" s="383" t="s">
        <v>2294</v>
      </c>
      <c r="F108" s="397" t="s">
        <v>20</v>
      </c>
      <c r="G108" s="383" t="s">
        <v>2295</v>
      </c>
      <c r="H108" s="383" t="s">
        <v>2296</v>
      </c>
      <c r="I108" s="380" t="s">
        <v>1730</v>
      </c>
      <c r="J108" s="383" t="s">
        <v>2297</v>
      </c>
      <c r="K108" s="383" t="s">
        <v>2298</v>
      </c>
    </row>
    <row r="109" spans="1:11">
      <c r="A109" s="387"/>
      <c r="B109" s="396"/>
      <c r="C109" s="396"/>
      <c r="D109" s="383" t="s">
        <v>2299</v>
      </c>
      <c r="E109" s="383" t="s">
        <v>2300</v>
      </c>
      <c r="F109" s="397" t="s">
        <v>20</v>
      </c>
      <c r="G109" s="383" t="s">
        <v>2301</v>
      </c>
      <c r="H109" s="383" t="s">
        <v>2302</v>
      </c>
      <c r="I109" s="380" t="s">
        <v>1730</v>
      </c>
      <c r="J109" s="383" t="s">
        <v>2303</v>
      </c>
      <c r="K109" s="383" t="s">
        <v>2304</v>
      </c>
    </row>
    <row r="110" spans="1:11">
      <c r="A110" s="387"/>
      <c r="B110" s="396"/>
      <c r="C110" s="396"/>
      <c r="D110" s="383" t="s">
        <v>2305</v>
      </c>
      <c r="E110" s="383" t="s">
        <v>2306</v>
      </c>
      <c r="F110" s="397" t="s">
        <v>20</v>
      </c>
      <c r="G110" s="383" t="s">
        <v>2307</v>
      </c>
      <c r="H110" s="383" t="s">
        <v>2308</v>
      </c>
      <c r="I110" s="379" t="s">
        <v>1686</v>
      </c>
      <c r="J110" s="383" t="s">
        <v>2309</v>
      </c>
      <c r="K110" s="383" t="s">
        <v>2310</v>
      </c>
    </row>
    <row r="111" spans="1:11">
      <c r="A111" s="387"/>
      <c r="B111" s="396"/>
      <c r="C111" s="396"/>
      <c r="D111" s="383" t="s">
        <v>2311</v>
      </c>
      <c r="E111" s="383" t="s">
        <v>2312</v>
      </c>
      <c r="F111" s="397" t="s">
        <v>20</v>
      </c>
      <c r="G111" s="383" t="s">
        <v>2313</v>
      </c>
      <c r="H111" s="383" t="s">
        <v>2314</v>
      </c>
      <c r="I111" s="380" t="s">
        <v>1730</v>
      </c>
      <c r="J111" s="383" t="s">
        <v>2315</v>
      </c>
      <c r="K111" s="383" t="s">
        <v>2316</v>
      </c>
    </row>
    <row r="112" spans="1:11">
      <c r="A112" s="387"/>
      <c r="B112" s="396"/>
      <c r="C112" s="396" t="s">
        <v>2317</v>
      </c>
      <c r="D112" s="383" t="s">
        <v>2318</v>
      </c>
      <c r="E112" s="383" t="s">
        <v>2319</v>
      </c>
      <c r="F112" s="397" t="s">
        <v>425</v>
      </c>
      <c r="G112" s="383" t="s">
        <v>2320</v>
      </c>
      <c r="H112" s="383" t="s">
        <v>2321</v>
      </c>
      <c r="I112" s="380" t="s">
        <v>1730</v>
      </c>
      <c r="J112" s="383" t="s">
        <v>2322</v>
      </c>
      <c r="K112" s="383" t="s">
        <v>2323</v>
      </c>
    </row>
    <row r="113" spans="1:11">
      <c r="A113" s="387"/>
      <c r="B113" s="396"/>
      <c r="C113" s="396"/>
      <c r="D113" s="383" t="s">
        <v>2324</v>
      </c>
      <c r="E113" s="383" t="s">
        <v>2325</v>
      </c>
      <c r="F113" s="397" t="s">
        <v>425</v>
      </c>
      <c r="G113" s="383" t="s">
        <v>2326</v>
      </c>
      <c r="H113" s="383" t="s">
        <v>2327</v>
      </c>
      <c r="I113" s="379" t="s">
        <v>1686</v>
      </c>
      <c r="J113" s="383" t="s">
        <v>2328</v>
      </c>
      <c r="K113" s="383" t="s">
        <v>2329</v>
      </c>
    </row>
    <row r="114" spans="1:11" ht="30">
      <c r="A114" s="387"/>
      <c r="B114" s="396"/>
      <c r="C114" s="396"/>
      <c r="D114" s="383" t="s">
        <v>2330</v>
      </c>
      <c r="E114" s="383" t="s">
        <v>2331</v>
      </c>
      <c r="F114" s="397" t="s">
        <v>20</v>
      </c>
      <c r="G114" s="383" t="s">
        <v>2332</v>
      </c>
      <c r="H114" s="383" t="s">
        <v>2333</v>
      </c>
      <c r="I114" s="380" t="s">
        <v>1730</v>
      </c>
      <c r="J114" s="383" t="s">
        <v>2334</v>
      </c>
      <c r="K114" s="383" t="s">
        <v>2335</v>
      </c>
    </row>
    <row r="115" spans="1:11">
      <c r="A115" s="387"/>
      <c r="B115" s="396"/>
      <c r="C115" s="396"/>
      <c r="D115" s="383" t="s">
        <v>2336</v>
      </c>
      <c r="E115" s="383" t="s">
        <v>2337</v>
      </c>
      <c r="F115" s="397" t="s">
        <v>425</v>
      </c>
      <c r="G115" s="383" t="s">
        <v>2129</v>
      </c>
      <c r="H115" s="383" t="s">
        <v>2338</v>
      </c>
      <c r="I115" s="380" t="s">
        <v>1730</v>
      </c>
      <c r="J115" s="383" t="s">
        <v>2339</v>
      </c>
      <c r="K115" s="383" t="s">
        <v>2340</v>
      </c>
    </row>
    <row r="116" spans="1:11">
      <c r="A116" s="387"/>
      <c r="B116" s="396"/>
      <c r="C116" s="396"/>
      <c r="D116" s="383" t="s">
        <v>2341</v>
      </c>
      <c r="E116" s="383" t="s">
        <v>2342</v>
      </c>
      <c r="F116" s="397" t="s">
        <v>20</v>
      </c>
      <c r="G116" s="383" t="s">
        <v>2343</v>
      </c>
      <c r="H116" s="383" t="s">
        <v>2344</v>
      </c>
      <c r="I116" s="379" t="s">
        <v>1686</v>
      </c>
      <c r="J116" s="383" t="s">
        <v>2345</v>
      </c>
      <c r="K116" s="383" t="s">
        <v>2346</v>
      </c>
    </row>
    <row r="117" spans="1:11">
      <c r="A117" s="387"/>
      <c r="B117" s="396"/>
      <c r="C117" s="396" t="s">
        <v>2347</v>
      </c>
      <c r="D117" s="383" t="s">
        <v>2348</v>
      </c>
      <c r="E117" s="383" t="s">
        <v>2349</v>
      </c>
      <c r="F117" s="397" t="s">
        <v>20</v>
      </c>
      <c r="G117" s="383" t="s">
        <v>2350</v>
      </c>
      <c r="H117" s="383" t="s">
        <v>2351</v>
      </c>
      <c r="I117" s="379" t="s">
        <v>1686</v>
      </c>
      <c r="J117" s="383" t="s">
        <v>2352</v>
      </c>
      <c r="K117" s="383" t="s">
        <v>2353</v>
      </c>
    </row>
    <row r="118" spans="1:11" ht="30">
      <c r="A118" s="387"/>
      <c r="B118" s="396"/>
      <c r="C118" s="396"/>
      <c r="D118" s="383" t="s">
        <v>2354</v>
      </c>
      <c r="E118" s="383" t="s">
        <v>2355</v>
      </c>
      <c r="F118" s="397" t="s">
        <v>20</v>
      </c>
      <c r="G118" s="383" t="s">
        <v>2356</v>
      </c>
      <c r="H118" s="383" t="s">
        <v>2357</v>
      </c>
      <c r="I118" s="379" t="s">
        <v>1686</v>
      </c>
      <c r="J118" s="383" t="s">
        <v>2358</v>
      </c>
      <c r="K118" s="383" t="s">
        <v>2359</v>
      </c>
    </row>
    <row r="119" spans="1:11">
      <c r="A119" s="387"/>
      <c r="B119" s="396"/>
      <c r="C119" s="396"/>
      <c r="D119" s="383" t="s">
        <v>2360</v>
      </c>
      <c r="E119" s="383" t="s">
        <v>2361</v>
      </c>
      <c r="F119" s="397" t="s">
        <v>20</v>
      </c>
      <c r="G119" s="383" t="s">
        <v>2362</v>
      </c>
      <c r="H119" s="383" t="s">
        <v>2363</v>
      </c>
      <c r="I119" s="380" t="s">
        <v>1730</v>
      </c>
      <c r="J119" s="383" t="s">
        <v>2364</v>
      </c>
      <c r="K119" s="383" t="s">
        <v>2365</v>
      </c>
    </row>
    <row r="120" spans="1:11">
      <c r="A120" s="387"/>
      <c r="B120" s="396"/>
      <c r="C120" s="396"/>
      <c r="D120" s="383" t="s">
        <v>2366</v>
      </c>
      <c r="E120" s="383" t="s">
        <v>2367</v>
      </c>
      <c r="F120" s="397" t="s">
        <v>20</v>
      </c>
      <c r="G120" s="383" t="s">
        <v>2368</v>
      </c>
      <c r="H120" s="383" t="s">
        <v>2369</v>
      </c>
      <c r="I120" s="380" t="s">
        <v>1730</v>
      </c>
      <c r="J120" s="383" t="s">
        <v>2370</v>
      </c>
      <c r="K120" s="383" t="s">
        <v>2371</v>
      </c>
    </row>
    <row r="121" spans="1:11">
      <c r="A121" s="387"/>
      <c r="B121" s="396"/>
      <c r="C121" s="396"/>
      <c r="D121" s="383" t="s">
        <v>2311</v>
      </c>
      <c r="E121" s="383" t="s">
        <v>2312</v>
      </c>
      <c r="F121" s="397" t="s">
        <v>425</v>
      </c>
      <c r="G121" s="383" t="s">
        <v>2372</v>
      </c>
      <c r="H121" s="383" t="s">
        <v>2373</v>
      </c>
      <c r="I121" s="380" t="s">
        <v>1730</v>
      </c>
      <c r="J121" s="383" t="s">
        <v>2374</v>
      </c>
      <c r="K121" s="383" t="s">
        <v>2375</v>
      </c>
    </row>
    <row r="122" spans="1:11">
      <c r="A122" s="387"/>
      <c r="B122" s="396"/>
      <c r="C122" s="396" t="s">
        <v>2376</v>
      </c>
      <c r="D122" s="383" t="s">
        <v>2377</v>
      </c>
      <c r="E122" s="383" t="s">
        <v>2378</v>
      </c>
      <c r="F122" s="397" t="s">
        <v>20</v>
      </c>
      <c r="G122" s="383" t="s">
        <v>2379</v>
      </c>
      <c r="H122" s="383" t="s">
        <v>2380</v>
      </c>
      <c r="I122" s="379" t="s">
        <v>1686</v>
      </c>
      <c r="J122" s="383" t="s">
        <v>2381</v>
      </c>
      <c r="K122" s="383" t="s">
        <v>2382</v>
      </c>
    </row>
    <row r="123" spans="1:11">
      <c r="A123" s="387"/>
      <c r="B123" s="396"/>
      <c r="C123" s="396"/>
      <c r="D123" s="383" t="s">
        <v>2383</v>
      </c>
      <c r="E123" s="383" t="s">
        <v>2384</v>
      </c>
      <c r="F123" s="397" t="s">
        <v>20</v>
      </c>
      <c r="G123" s="383" t="s">
        <v>2385</v>
      </c>
      <c r="H123" s="383" t="s">
        <v>2386</v>
      </c>
      <c r="I123" s="380" t="s">
        <v>1730</v>
      </c>
      <c r="J123" s="383" t="s">
        <v>2387</v>
      </c>
      <c r="K123" s="383" t="s">
        <v>2388</v>
      </c>
    </row>
    <row r="124" spans="1:11">
      <c r="A124" s="387"/>
      <c r="B124" s="396"/>
      <c r="C124" s="396"/>
      <c r="D124" s="383" t="s">
        <v>2389</v>
      </c>
      <c r="E124" s="383" t="s">
        <v>2390</v>
      </c>
      <c r="F124" s="397" t="s">
        <v>20</v>
      </c>
      <c r="G124" s="383" t="s">
        <v>2391</v>
      </c>
      <c r="H124" s="383" t="s">
        <v>2392</v>
      </c>
      <c r="I124" s="379" t="s">
        <v>1686</v>
      </c>
      <c r="J124" s="383" t="s">
        <v>2393</v>
      </c>
      <c r="K124" s="383" t="s">
        <v>2394</v>
      </c>
    </row>
    <row r="125" spans="1:11" ht="30">
      <c r="A125" s="387"/>
      <c r="B125" s="396"/>
      <c r="C125" s="396"/>
      <c r="D125" s="383" t="s">
        <v>2395</v>
      </c>
      <c r="E125" s="383" t="s">
        <v>2396</v>
      </c>
      <c r="F125" s="397" t="s">
        <v>20</v>
      </c>
      <c r="G125" s="383" t="s">
        <v>2397</v>
      </c>
      <c r="H125" s="383" t="s">
        <v>2398</v>
      </c>
      <c r="I125" s="379" t="s">
        <v>1686</v>
      </c>
      <c r="J125" s="383" t="s">
        <v>2399</v>
      </c>
      <c r="K125" s="383" t="s">
        <v>2400</v>
      </c>
    </row>
    <row r="126" spans="1:11">
      <c r="A126" s="387"/>
      <c r="B126" s="396"/>
      <c r="C126" s="396"/>
      <c r="D126" s="383" t="s">
        <v>2401</v>
      </c>
      <c r="E126" s="383" t="s">
        <v>2402</v>
      </c>
      <c r="F126" s="397" t="s">
        <v>425</v>
      </c>
      <c r="G126" s="383" t="s">
        <v>2403</v>
      </c>
      <c r="H126" s="383" t="s">
        <v>2404</v>
      </c>
      <c r="I126" s="379" t="s">
        <v>1686</v>
      </c>
      <c r="J126" s="383" t="s">
        <v>2405</v>
      </c>
      <c r="K126" s="383" t="s">
        <v>2406</v>
      </c>
    </row>
    <row r="127" spans="1:11">
      <c r="A127" s="387"/>
      <c r="B127" s="388" t="s">
        <v>2407</v>
      </c>
      <c r="C127" s="388" t="s">
        <v>2408</v>
      </c>
      <c r="D127" s="377" t="s">
        <v>2409</v>
      </c>
      <c r="E127" s="377" t="s">
        <v>2410</v>
      </c>
      <c r="F127" s="389" t="s">
        <v>20</v>
      </c>
      <c r="G127" s="377" t="s">
        <v>2411</v>
      </c>
      <c r="H127" s="377" t="s">
        <v>2412</v>
      </c>
      <c r="I127" s="380" t="s">
        <v>1730</v>
      </c>
      <c r="J127" s="377" t="s">
        <v>2413</v>
      </c>
      <c r="K127" s="377" t="s">
        <v>2414</v>
      </c>
    </row>
    <row r="128" spans="1:11" ht="30">
      <c r="A128" s="387"/>
      <c r="B128" s="388"/>
      <c r="C128" s="388"/>
      <c r="D128" s="377" t="s">
        <v>2415</v>
      </c>
      <c r="E128" s="377" t="s">
        <v>2416</v>
      </c>
      <c r="F128" s="389" t="s">
        <v>20</v>
      </c>
      <c r="G128" s="377" t="s">
        <v>2417</v>
      </c>
      <c r="H128" s="377" t="s">
        <v>2418</v>
      </c>
      <c r="I128" s="380" t="s">
        <v>1730</v>
      </c>
      <c r="J128" s="377" t="s">
        <v>2419</v>
      </c>
      <c r="K128" s="377" t="s">
        <v>2420</v>
      </c>
    </row>
    <row r="129" spans="1:11">
      <c r="A129" s="387"/>
      <c r="B129" s="388"/>
      <c r="C129" s="388"/>
      <c r="D129" s="377" t="s">
        <v>2421</v>
      </c>
      <c r="E129" s="377" t="s">
        <v>2422</v>
      </c>
      <c r="F129" s="389" t="s">
        <v>20</v>
      </c>
      <c r="G129" s="377" t="s">
        <v>2423</v>
      </c>
      <c r="H129" s="377" t="s">
        <v>2424</v>
      </c>
      <c r="I129" s="380" t="s">
        <v>1730</v>
      </c>
      <c r="J129" s="377" t="s">
        <v>2425</v>
      </c>
      <c r="K129" s="377" t="s">
        <v>2426</v>
      </c>
    </row>
    <row r="130" spans="1:11">
      <c r="A130" s="387"/>
      <c r="B130" s="388"/>
      <c r="C130" s="388"/>
      <c r="D130" s="377" t="s">
        <v>2427</v>
      </c>
      <c r="E130" s="377" t="s">
        <v>2428</v>
      </c>
      <c r="F130" s="389" t="s">
        <v>425</v>
      </c>
      <c r="G130" s="377" t="s">
        <v>2429</v>
      </c>
      <c r="H130" s="377" t="s">
        <v>2430</v>
      </c>
      <c r="I130" s="379" t="s">
        <v>1686</v>
      </c>
      <c r="J130" s="377" t="s">
        <v>2431</v>
      </c>
      <c r="K130" s="377" t="s">
        <v>2432</v>
      </c>
    </row>
    <row r="131" spans="1:11">
      <c r="A131" s="387"/>
      <c r="B131" s="388"/>
      <c r="C131" s="388"/>
      <c r="D131" s="377" t="s">
        <v>2433</v>
      </c>
      <c r="E131" s="377" t="s">
        <v>2434</v>
      </c>
      <c r="F131" s="389" t="s">
        <v>20</v>
      </c>
      <c r="G131" s="377" t="s">
        <v>2435</v>
      </c>
      <c r="H131" s="377" t="s">
        <v>2436</v>
      </c>
      <c r="I131" s="379" t="s">
        <v>1686</v>
      </c>
      <c r="J131" s="377" t="s">
        <v>2437</v>
      </c>
      <c r="K131" s="377" t="s">
        <v>2438</v>
      </c>
    </row>
    <row r="132" spans="1:11">
      <c r="A132" s="387"/>
      <c r="B132" s="388"/>
      <c r="C132" s="388" t="s">
        <v>2439</v>
      </c>
      <c r="D132" s="377" t="s">
        <v>2440</v>
      </c>
      <c r="E132" s="377" t="s">
        <v>2441</v>
      </c>
      <c r="F132" s="389" t="s">
        <v>20</v>
      </c>
      <c r="G132" s="377" t="s">
        <v>2442</v>
      </c>
      <c r="H132" s="377" t="s">
        <v>2443</v>
      </c>
      <c r="I132" s="379" t="s">
        <v>1686</v>
      </c>
      <c r="J132" s="377" t="s">
        <v>2444</v>
      </c>
      <c r="K132" s="377" t="s">
        <v>2445</v>
      </c>
    </row>
    <row r="133" spans="1:11">
      <c r="A133" s="387"/>
      <c r="B133" s="388"/>
      <c r="C133" s="388"/>
      <c r="D133" s="377" t="s">
        <v>2446</v>
      </c>
      <c r="E133" s="377" t="s">
        <v>2447</v>
      </c>
      <c r="F133" s="389" t="s">
        <v>20</v>
      </c>
      <c r="G133" s="377" t="s">
        <v>2448</v>
      </c>
      <c r="H133" s="377" t="s">
        <v>2265</v>
      </c>
      <c r="I133" s="379" t="s">
        <v>1686</v>
      </c>
      <c r="J133" s="377" t="s">
        <v>2449</v>
      </c>
      <c r="K133" s="377" t="s">
        <v>2450</v>
      </c>
    </row>
    <row r="134" spans="1:11">
      <c r="A134" s="387"/>
      <c r="B134" s="388"/>
      <c r="C134" s="388"/>
      <c r="D134" s="377" t="s">
        <v>2451</v>
      </c>
      <c r="E134" s="377" t="s">
        <v>2452</v>
      </c>
      <c r="F134" s="389" t="s">
        <v>425</v>
      </c>
      <c r="G134" s="377" t="s">
        <v>2453</v>
      </c>
      <c r="H134" s="377" t="s">
        <v>2271</v>
      </c>
      <c r="I134" s="380" t="s">
        <v>1730</v>
      </c>
      <c r="J134" s="377" t="s">
        <v>2454</v>
      </c>
      <c r="K134" s="377" t="s">
        <v>2455</v>
      </c>
    </row>
    <row r="135" spans="1:11">
      <c r="A135" s="387"/>
      <c r="B135" s="388"/>
      <c r="C135" s="388"/>
      <c r="D135" s="377" t="s">
        <v>2433</v>
      </c>
      <c r="E135" s="377" t="s">
        <v>2456</v>
      </c>
      <c r="F135" s="389" t="s">
        <v>20</v>
      </c>
      <c r="G135" s="377" t="s">
        <v>2457</v>
      </c>
      <c r="H135" s="377" t="s">
        <v>2275</v>
      </c>
      <c r="I135" s="379" t="s">
        <v>1686</v>
      </c>
      <c r="J135" s="377" t="s">
        <v>2458</v>
      </c>
      <c r="K135" s="377" t="s">
        <v>2459</v>
      </c>
    </row>
    <row r="136" spans="1:11" ht="30">
      <c r="A136" s="387"/>
      <c r="B136" s="388"/>
      <c r="C136" s="388"/>
      <c r="D136" s="377" t="s">
        <v>2460</v>
      </c>
      <c r="E136" s="377" t="s">
        <v>2461</v>
      </c>
      <c r="F136" s="389" t="s">
        <v>20</v>
      </c>
      <c r="G136" s="377" t="s">
        <v>2462</v>
      </c>
      <c r="H136" s="377" t="s">
        <v>2279</v>
      </c>
      <c r="I136" s="380" t="s">
        <v>1730</v>
      </c>
      <c r="J136" s="377" t="s">
        <v>2463</v>
      </c>
      <c r="K136" s="377" t="s">
        <v>2464</v>
      </c>
    </row>
    <row r="137" spans="1:11" ht="30">
      <c r="A137" s="387"/>
      <c r="B137" s="388"/>
      <c r="C137" s="388" t="s">
        <v>2465</v>
      </c>
      <c r="D137" s="377" t="s">
        <v>2466</v>
      </c>
      <c r="E137" s="377" t="s">
        <v>2467</v>
      </c>
      <c r="F137" s="389" t="s">
        <v>20</v>
      </c>
      <c r="G137" s="377" t="s">
        <v>2468</v>
      </c>
      <c r="H137" s="377" t="s">
        <v>2283</v>
      </c>
      <c r="I137" s="380" t="s">
        <v>1730</v>
      </c>
      <c r="J137" s="377" t="s">
        <v>2469</v>
      </c>
      <c r="K137" s="377" t="s">
        <v>2470</v>
      </c>
    </row>
    <row r="138" spans="1:11" ht="30">
      <c r="A138" s="387"/>
      <c r="B138" s="388"/>
      <c r="C138" s="388"/>
      <c r="D138" s="377" t="s">
        <v>2471</v>
      </c>
      <c r="E138" s="377" t="s">
        <v>2472</v>
      </c>
      <c r="F138" s="389" t="s">
        <v>20</v>
      </c>
      <c r="G138" s="377" t="s">
        <v>2473</v>
      </c>
      <c r="H138" s="377" t="s">
        <v>2290</v>
      </c>
      <c r="I138" s="379" t="s">
        <v>1686</v>
      </c>
      <c r="J138" s="377" t="s">
        <v>2474</v>
      </c>
      <c r="K138" s="377" t="s">
        <v>2475</v>
      </c>
    </row>
    <row r="139" spans="1:11" ht="30">
      <c r="A139" s="387"/>
      <c r="B139" s="388"/>
      <c r="C139" s="388"/>
      <c r="D139" s="377" t="s">
        <v>2476</v>
      </c>
      <c r="E139" s="377" t="s">
        <v>2477</v>
      </c>
      <c r="F139" s="389" t="s">
        <v>20</v>
      </c>
      <c r="G139" s="377" t="s">
        <v>2478</v>
      </c>
      <c r="H139" s="377" t="s">
        <v>2479</v>
      </c>
      <c r="I139" s="380" t="s">
        <v>1730</v>
      </c>
      <c r="J139" s="377" t="s">
        <v>2480</v>
      </c>
      <c r="K139" s="377" t="s">
        <v>2481</v>
      </c>
    </row>
    <row r="140" spans="1:11" ht="30">
      <c r="A140" s="387"/>
      <c r="B140" s="388"/>
      <c r="C140" s="388"/>
      <c r="D140" s="377" t="s">
        <v>2433</v>
      </c>
      <c r="E140" s="377" t="s">
        <v>2456</v>
      </c>
      <c r="F140" s="389" t="s">
        <v>20</v>
      </c>
      <c r="G140" s="377" t="s">
        <v>2482</v>
      </c>
      <c r="H140" s="377" t="s">
        <v>2302</v>
      </c>
      <c r="I140" s="380" t="s">
        <v>1730</v>
      </c>
      <c r="J140" s="377" t="s">
        <v>2483</v>
      </c>
      <c r="K140" s="377" t="s">
        <v>2484</v>
      </c>
    </row>
    <row r="141" spans="1:11">
      <c r="A141" s="387"/>
      <c r="B141" s="388"/>
      <c r="C141" s="388"/>
      <c r="D141" s="377" t="s">
        <v>2460</v>
      </c>
      <c r="E141" s="377" t="s">
        <v>2485</v>
      </c>
      <c r="F141" s="389" t="s">
        <v>20</v>
      </c>
      <c r="G141" s="377" t="s">
        <v>2486</v>
      </c>
      <c r="H141" s="377" t="s">
        <v>2308</v>
      </c>
      <c r="I141" s="379" t="s">
        <v>1686</v>
      </c>
      <c r="J141" s="377" t="s">
        <v>2309</v>
      </c>
      <c r="K141" s="377" t="s">
        <v>2487</v>
      </c>
    </row>
    <row r="142" spans="1:11" ht="30">
      <c r="A142" s="387"/>
      <c r="B142" s="388"/>
      <c r="C142" s="388" t="s">
        <v>2488</v>
      </c>
      <c r="D142" s="377" t="s">
        <v>2489</v>
      </c>
      <c r="E142" s="377" t="s">
        <v>2490</v>
      </c>
      <c r="F142" s="389" t="s">
        <v>20</v>
      </c>
      <c r="G142" s="377" t="s">
        <v>2491</v>
      </c>
      <c r="H142" s="377" t="s">
        <v>2314</v>
      </c>
      <c r="I142" s="380" t="s">
        <v>1730</v>
      </c>
      <c r="J142" s="377" t="s">
        <v>2492</v>
      </c>
      <c r="K142" s="377" t="s">
        <v>2493</v>
      </c>
    </row>
    <row r="143" spans="1:11" ht="30">
      <c r="A143" s="387"/>
      <c r="B143" s="388"/>
      <c r="C143" s="388"/>
      <c r="D143" s="377" t="s">
        <v>2494</v>
      </c>
      <c r="E143" s="377" t="s">
        <v>2495</v>
      </c>
      <c r="F143" s="389" t="s">
        <v>20</v>
      </c>
      <c r="G143" s="377" t="s">
        <v>2496</v>
      </c>
      <c r="H143" s="377" t="s">
        <v>2321</v>
      </c>
      <c r="I143" s="380" t="s">
        <v>1730</v>
      </c>
      <c r="J143" s="377" t="s">
        <v>2497</v>
      </c>
      <c r="K143" s="377" t="s">
        <v>2498</v>
      </c>
    </row>
    <row r="144" spans="1:11" ht="30">
      <c r="A144" s="387"/>
      <c r="B144" s="388"/>
      <c r="C144" s="388"/>
      <c r="D144" s="377" t="s">
        <v>2499</v>
      </c>
      <c r="E144" s="377" t="s">
        <v>2500</v>
      </c>
      <c r="F144" s="389" t="s">
        <v>20</v>
      </c>
      <c r="G144" s="377" t="s">
        <v>2264</v>
      </c>
      <c r="H144" s="377" t="s">
        <v>2327</v>
      </c>
      <c r="I144" s="379" t="s">
        <v>1686</v>
      </c>
      <c r="J144" s="377" t="s">
        <v>2501</v>
      </c>
      <c r="K144" s="377" t="s">
        <v>2502</v>
      </c>
    </row>
    <row r="145" spans="1:11" ht="30">
      <c r="A145" s="387"/>
      <c r="B145" s="388"/>
      <c r="C145" s="388"/>
      <c r="D145" s="377" t="s">
        <v>2503</v>
      </c>
      <c r="E145" s="377" t="s">
        <v>2504</v>
      </c>
      <c r="F145" s="389" t="s">
        <v>20</v>
      </c>
      <c r="G145" s="377" t="s">
        <v>2270</v>
      </c>
      <c r="H145" s="377" t="s">
        <v>2333</v>
      </c>
      <c r="I145" s="380" t="s">
        <v>1730</v>
      </c>
      <c r="J145" s="377" t="s">
        <v>2505</v>
      </c>
      <c r="K145" s="377" t="s">
        <v>2506</v>
      </c>
    </row>
    <row r="146" spans="1:11" ht="30">
      <c r="A146" s="387"/>
      <c r="B146" s="388"/>
      <c r="C146" s="388"/>
      <c r="D146" s="377" t="s">
        <v>2507</v>
      </c>
      <c r="E146" s="377" t="s">
        <v>2508</v>
      </c>
      <c r="F146" s="389" t="s">
        <v>20</v>
      </c>
      <c r="G146" s="377" t="s">
        <v>2274</v>
      </c>
      <c r="H146" s="377" t="s">
        <v>2338</v>
      </c>
      <c r="I146" s="380" t="s">
        <v>1730</v>
      </c>
      <c r="J146" s="377" t="s">
        <v>2509</v>
      </c>
      <c r="K146" s="377" t="s">
        <v>2510</v>
      </c>
    </row>
    <row r="147" spans="1:11" ht="30">
      <c r="A147" s="387"/>
      <c r="B147" s="388"/>
      <c r="C147" s="388" t="s">
        <v>2511</v>
      </c>
      <c r="D147" s="377" t="s">
        <v>2512</v>
      </c>
      <c r="E147" s="377" t="s">
        <v>2513</v>
      </c>
      <c r="F147" s="389" t="s">
        <v>20</v>
      </c>
      <c r="G147" s="377" t="s">
        <v>2278</v>
      </c>
      <c r="H147" s="377" t="s">
        <v>2514</v>
      </c>
      <c r="I147" s="379" t="s">
        <v>1686</v>
      </c>
      <c r="J147" s="377" t="s">
        <v>2515</v>
      </c>
      <c r="K147" s="377" t="s">
        <v>2516</v>
      </c>
    </row>
    <row r="148" spans="1:11">
      <c r="A148" s="387"/>
      <c r="B148" s="388"/>
      <c r="C148" s="388"/>
      <c r="D148" s="377" t="s">
        <v>2517</v>
      </c>
      <c r="E148" s="377" t="s">
        <v>2518</v>
      </c>
      <c r="F148" s="389" t="s">
        <v>425</v>
      </c>
      <c r="G148" s="377" t="s">
        <v>2282</v>
      </c>
      <c r="H148" s="377" t="s">
        <v>2351</v>
      </c>
      <c r="I148" s="379" t="s">
        <v>1686</v>
      </c>
      <c r="J148" s="377" t="s">
        <v>2519</v>
      </c>
      <c r="K148" s="377" t="s">
        <v>2520</v>
      </c>
    </row>
    <row r="149" spans="1:11" ht="30">
      <c r="A149" s="387"/>
      <c r="B149" s="388"/>
      <c r="C149" s="388"/>
      <c r="D149" s="377" t="s">
        <v>2503</v>
      </c>
      <c r="E149" s="377" t="s">
        <v>2504</v>
      </c>
      <c r="F149" s="389" t="s">
        <v>20</v>
      </c>
      <c r="G149" s="377" t="s">
        <v>2289</v>
      </c>
      <c r="H149" s="377" t="s">
        <v>2357</v>
      </c>
      <c r="I149" s="379" t="s">
        <v>1686</v>
      </c>
      <c r="J149" s="377" t="s">
        <v>2358</v>
      </c>
      <c r="K149" s="377" t="s">
        <v>2521</v>
      </c>
    </row>
    <row r="150" spans="1:11">
      <c r="A150" s="387"/>
      <c r="B150" s="388"/>
      <c r="C150" s="388"/>
      <c r="D150" s="377" t="s">
        <v>2507</v>
      </c>
      <c r="E150" s="377" t="s">
        <v>2508</v>
      </c>
      <c r="F150" s="389" t="s">
        <v>20</v>
      </c>
      <c r="G150" s="377" t="s">
        <v>2295</v>
      </c>
      <c r="H150" s="377" t="s">
        <v>2363</v>
      </c>
      <c r="I150" s="380" t="s">
        <v>1730</v>
      </c>
      <c r="J150" s="377" t="s">
        <v>2522</v>
      </c>
      <c r="K150" s="377" t="s">
        <v>2523</v>
      </c>
    </row>
    <row r="151" spans="1:11" ht="30">
      <c r="A151" s="387"/>
      <c r="B151" s="388"/>
      <c r="C151" s="388"/>
      <c r="D151" s="377" t="s">
        <v>2524</v>
      </c>
      <c r="E151" s="377" t="s">
        <v>2525</v>
      </c>
      <c r="F151" s="389" t="s">
        <v>20</v>
      </c>
      <c r="G151" s="377" t="s">
        <v>2301</v>
      </c>
      <c r="H151" s="377" t="s">
        <v>2369</v>
      </c>
      <c r="I151" s="380" t="s">
        <v>1730</v>
      </c>
      <c r="J151" s="377" t="s">
        <v>2526</v>
      </c>
      <c r="K151" s="377" t="s">
        <v>2527</v>
      </c>
    </row>
    <row r="152" spans="1:11">
      <c r="A152" s="398" t="s">
        <v>1953</v>
      </c>
      <c r="B152" s="399" t="s">
        <v>2539</v>
      </c>
      <c r="C152" s="399" t="s">
        <v>2540</v>
      </c>
      <c r="D152" s="399" t="s">
        <v>2541</v>
      </c>
      <c r="E152" s="399" t="s">
        <v>2542</v>
      </c>
      <c r="F152" s="400" t="s">
        <v>20</v>
      </c>
      <c r="G152" s="401" t="s">
        <v>2543</v>
      </c>
      <c r="H152" s="401" t="s">
        <v>2544</v>
      </c>
      <c r="I152" s="401" t="s">
        <v>2545</v>
      </c>
      <c r="J152" s="401" t="s">
        <v>2546</v>
      </c>
      <c r="K152" s="401" t="s">
        <v>2547</v>
      </c>
    </row>
    <row r="153" spans="1:11">
      <c r="A153" s="398"/>
      <c r="B153" s="399"/>
      <c r="C153" s="399"/>
      <c r="D153" s="399"/>
      <c r="E153" s="399"/>
      <c r="F153" s="400"/>
      <c r="G153" s="401" t="s">
        <v>2548</v>
      </c>
      <c r="H153" s="401" t="s">
        <v>2549</v>
      </c>
      <c r="I153" s="401" t="s">
        <v>94</v>
      </c>
      <c r="J153" s="401" t="s">
        <v>2550</v>
      </c>
      <c r="K153" s="401" t="s">
        <v>2551</v>
      </c>
    </row>
    <row r="154" spans="1:11">
      <c r="A154" s="398"/>
      <c r="B154" s="399"/>
      <c r="C154" s="399"/>
      <c r="D154" s="399" t="s">
        <v>2552</v>
      </c>
      <c r="E154" s="399" t="s">
        <v>2553</v>
      </c>
      <c r="F154" s="400" t="s">
        <v>20</v>
      </c>
      <c r="G154" s="401" t="s">
        <v>2554</v>
      </c>
      <c r="H154" s="401" t="s">
        <v>2555</v>
      </c>
      <c r="I154" s="401" t="s">
        <v>94</v>
      </c>
      <c r="J154" s="401" t="s">
        <v>2556</v>
      </c>
      <c r="K154" s="401" t="s">
        <v>2557</v>
      </c>
    </row>
    <row r="155" spans="1:11">
      <c r="A155" s="398"/>
      <c r="B155" s="399"/>
      <c r="C155" s="399"/>
      <c r="D155" s="399"/>
      <c r="E155" s="399"/>
      <c r="F155" s="400"/>
      <c r="G155" s="401" t="s">
        <v>2558</v>
      </c>
      <c r="H155" s="401" t="s">
        <v>2559</v>
      </c>
      <c r="I155" s="401" t="s">
        <v>2560</v>
      </c>
      <c r="J155" s="401" t="s">
        <v>2561</v>
      </c>
      <c r="K155" s="401" t="s">
        <v>2562</v>
      </c>
    </row>
    <row r="156" spans="1:11">
      <c r="A156" s="398"/>
      <c r="B156" s="399"/>
      <c r="C156" s="399"/>
      <c r="D156" s="399" t="s">
        <v>2563</v>
      </c>
      <c r="E156" s="399" t="s">
        <v>2564</v>
      </c>
      <c r="F156" s="400" t="s">
        <v>20</v>
      </c>
      <c r="G156" s="401" t="s">
        <v>2565</v>
      </c>
      <c r="H156" s="401" t="s">
        <v>2566</v>
      </c>
      <c r="I156" s="401" t="s">
        <v>94</v>
      </c>
      <c r="J156" s="401" t="s">
        <v>2567</v>
      </c>
      <c r="K156" s="401" t="s">
        <v>2568</v>
      </c>
    </row>
    <row r="157" spans="1:11">
      <c r="A157" s="398"/>
      <c r="B157" s="399"/>
      <c r="C157" s="399"/>
      <c r="D157" s="399"/>
      <c r="E157" s="399"/>
      <c r="F157" s="400"/>
      <c r="G157" s="401" t="s">
        <v>2569</v>
      </c>
      <c r="H157" s="401" t="s">
        <v>2570</v>
      </c>
      <c r="I157" s="401" t="s">
        <v>2560</v>
      </c>
      <c r="J157" s="401" t="s">
        <v>2571</v>
      </c>
      <c r="K157" s="401" t="s">
        <v>2572</v>
      </c>
    </row>
    <row r="158" spans="1:11">
      <c r="A158" s="398"/>
      <c r="B158" s="399"/>
      <c r="C158" s="399"/>
      <c r="D158" s="399" t="s">
        <v>2573</v>
      </c>
      <c r="E158" s="399" t="s">
        <v>2574</v>
      </c>
      <c r="F158" s="400" t="s">
        <v>20</v>
      </c>
      <c r="G158" s="401" t="s">
        <v>2575</v>
      </c>
      <c r="H158" s="401" t="s">
        <v>2576</v>
      </c>
      <c r="I158" s="401" t="s">
        <v>2545</v>
      </c>
      <c r="J158" s="401" t="s">
        <v>2577</v>
      </c>
      <c r="K158" s="401" t="s">
        <v>2578</v>
      </c>
    </row>
    <row r="159" spans="1:11">
      <c r="A159" s="398"/>
      <c r="B159" s="399"/>
      <c r="C159" s="399"/>
      <c r="D159" s="399"/>
      <c r="E159" s="399"/>
      <c r="F159" s="400"/>
      <c r="G159" s="401" t="s">
        <v>2579</v>
      </c>
      <c r="H159" s="401" t="s">
        <v>2580</v>
      </c>
      <c r="I159" s="401" t="s">
        <v>94</v>
      </c>
      <c r="J159" s="401" t="s">
        <v>2581</v>
      </c>
      <c r="K159" s="401" t="s">
        <v>2582</v>
      </c>
    </row>
    <row r="160" spans="1:11">
      <c r="A160" s="398"/>
      <c r="B160" s="399"/>
      <c r="C160" s="399"/>
      <c r="D160" s="399" t="s">
        <v>2583</v>
      </c>
      <c r="E160" s="399" t="s">
        <v>2584</v>
      </c>
      <c r="F160" s="400" t="s">
        <v>20</v>
      </c>
      <c r="G160" s="401" t="s">
        <v>2585</v>
      </c>
      <c r="H160" s="401" t="s">
        <v>2586</v>
      </c>
      <c r="I160" s="401" t="s">
        <v>2545</v>
      </c>
      <c r="J160" s="401" t="s">
        <v>2587</v>
      </c>
      <c r="K160" s="401" t="s">
        <v>2588</v>
      </c>
    </row>
    <row r="161" spans="1:11">
      <c r="A161" s="398"/>
      <c r="B161" s="399"/>
      <c r="C161" s="399"/>
      <c r="D161" s="399"/>
      <c r="E161" s="399"/>
      <c r="F161" s="400"/>
      <c r="G161" s="401" t="s">
        <v>2589</v>
      </c>
      <c r="H161" s="401" t="s">
        <v>2590</v>
      </c>
      <c r="I161" s="401" t="s">
        <v>2545</v>
      </c>
      <c r="J161" s="401" t="s">
        <v>2591</v>
      </c>
      <c r="K161" s="401" t="s">
        <v>2592</v>
      </c>
    </row>
    <row r="162" spans="1:11">
      <c r="A162" s="398"/>
      <c r="B162" s="399"/>
      <c r="C162" s="399" t="s">
        <v>2593</v>
      </c>
      <c r="D162" s="399" t="s">
        <v>2594</v>
      </c>
      <c r="E162" s="399" t="s">
        <v>2595</v>
      </c>
      <c r="F162" s="400" t="s">
        <v>20</v>
      </c>
      <c r="G162" s="401" t="s">
        <v>2596</v>
      </c>
      <c r="H162" s="401" t="s">
        <v>2597</v>
      </c>
      <c r="I162" s="401" t="s">
        <v>2545</v>
      </c>
      <c r="J162" s="401" t="s">
        <v>2598</v>
      </c>
      <c r="K162" s="401" t="s">
        <v>2599</v>
      </c>
    </row>
    <row r="163" spans="1:11">
      <c r="A163" s="398"/>
      <c r="B163" s="399"/>
      <c r="C163" s="399"/>
      <c r="D163" s="399"/>
      <c r="E163" s="399"/>
      <c r="F163" s="400"/>
      <c r="G163" s="401" t="s">
        <v>2600</v>
      </c>
      <c r="H163" s="401" t="s">
        <v>2601</v>
      </c>
      <c r="I163" s="401" t="s">
        <v>2545</v>
      </c>
      <c r="J163" s="401" t="s">
        <v>2602</v>
      </c>
      <c r="K163" s="401" t="s">
        <v>2603</v>
      </c>
    </row>
    <row r="164" spans="1:11">
      <c r="A164" s="398"/>
      <c r="B164" s="399"/>
      <c r="C164" s="399"/>
      <c r="D164" s="399" t="s">
        <v>2604</v>
      </c>
      <c r="E164" s="399" t="s">
        <v>2605</v>
      </c>
      <c r="F164" s="400" t="s">
        <v>229</v>
      </c>
      <c r="G164" s="401" t="s">
        <v>2606</v>
      </c>
      <c r="H164" s="401" t="s">
        <v>2607</v>
      </c>
      <c r="I164" s="401" t="s">
        <v>94</v>
      </c>
      <c r="J164" s="401" t="s">
        <v>2608</v>
      </c>
      <c r="K164" s="401" t="s">
        <v>2609</v>
      </c>
    </row>
    <row r="165" spans="1:11">
      <c r="A165" s="398"/>
      <c r="B165" s="399"/>
      <c r="C165" s="399"/>
      <c r="D165" s="399"/>
      <c r="E165" s="399"/>
      <c r="F165" s="400"/>
      <c r="G165" s="401" t="s">
        <v>2610</v>
      </c>
      <c r="H165" s="401" t="s">
        <v>2611</v>
      </c>
      <c r="I165" s="401" t="s">
        <v>94</v>
      </c>
      <c r="J165" s="401" t="s">
        <v>2612</v>
      </c>
      <c r="K165" s="401" t="s">
        <v>2613</v>
      </c>
    </row>
    <row r="166" spans="1:11">
      <c r="A166" s="398"/>
      <c r="B166" s="399"/>
      <c r="C166" s="399"/>
      <c r="D166" s="399" t="s">
        <v>2614</v>
      </c>
      <c r="E166" s="399" t="s">
        <v>2615</v>
      </c>
      <c r="F166" s="400" t="s">
        <v>229</v>
      </c>
      <c r="G166" s="401" t="s">
        <v>2616</v>
      </c>
      <c r="H166" s="401" t="s">
        <v>2617</v>
      </c>
      <c r="I166" s="401" t="s">
        <v>2545</v>
      </c>
      <c r="J166" s="401" t="s">
        <v>2618</v>
      </c>
      <c r="K166" s="401" t="s">
        <v>2619</v>
      </c>
    </row>
    <row r="167" spans="1:11">
      <c r="A167" s="398"/>
      <c r="B167" s="399"/>
      <c r="C167" s="399"/>
      <c r="D167" s="399"/>
      <c r="E167" s="399"/>
      <c r="F167" s="400"/>
      <c r="G167" s="401" t="s">
        <v>2620</v>
      </c>
      <c r="H167" s="401" t="s">
        <v>2621</v>
      </c>
      <c r="I167" s="401" t="s">
        <v>94</v>
      </c>
      <c r="J167" s="401" t="s">
        <v>2601</v>
      </c>
      <c r="K167" s="401" t="s">
        <v>2622</v>
      </c>
    </row>
    <row r="168" spans="1:11">
      <c r="A168" s="398"/>
      <c r="B168" s="399"/>
      <c r="C168" s="399"/>
      <c r="D168" s="399" t="s">
        <v>2623</v>
      </c>
      <c r="E168" s="399" t="s">
        <v>2624</v>
      </c>
      <c r="F168" s="400" t="s">
        <v>425</v>
      </c>
      <c r="G168" s="401" t="s">
        <v>2625</v>
      </c>
      <c r="H168" s="401" t="s">
        <v>2626</v>
      </c>
      <c r="I168" s="401" t="s">
        <v>2545</v>
      </c>
      <c r="J168" s="401" t="s">
        <v>2627</v>
      </c>
      <c r="K168" s="401" t="s">
        <v>2628</v>
      </c>
    </row>
    <row r="169" spans="1:11">
      <c r="A169" s="398"/>
      <c r="B169" s="399"/>
      <c r="C169" s="399"/>
      <c r="D169" s="399"/>
      <c r="E169" s="399"/>
      <c r="F169" s="400"/>
      <c r="G169" s="401" t="s">
        <v>2629</v>
      </c>
      <c r="H169" s="401" t="s">
        <v>2630</v>
      </c>
      <c r="I169" s="401" t="s">
        <v>2560</v>
      </c>
      <c r="J169" s="401" t="s">
        <v>2631</v>
      </c>
      <c r="K169" s="401" t="s">
        <v>2632</v>
      </c>
    </row>
    <row r="170" spans="1:11">
      <c r="A170" s="398"/>
      <c r="B170" s="399"/>
      <c r="C170" s="399"/>
      <c r="D170" s="399" t="s">
        <v>2633</v>
      </c>
      <c r="E170" s="399" t="s">
        <v>2634</v>
      </c>
      <c r="F170" s="400" t="s">
        <v>20</v>
      </c>
      <c r="G170" s="401" t="s">
        <v>2635</v>
      </c>
      <c r="H170" s="401" t="s">
        <v>2636</v>
      </c>
      <c r="I170" s="401" t="s">
        <v>94</v>
      </c>
      <c r="J170" s="401" t="s">
        <v>2637</v>
      </c>
      <c r="K170" s="401" t="s">
        <v>2638</v>
      </c>
    </row>
    <row r="171" spans="1:11">
      <c r="A171" s="398"/>
      <c r="B171" s="399"/>
      <c r="C171" s="399"/>
      <c r="D171" s="399"/>
      <c r="E171" s="399"/>
      <c r="F171" s="400"/>
      <c r="G171" s="401" t="s">
        <v>2639</v>
      </c>
      <c r="H171" s="401" t="s">
        <v>2640</v>
      </c>
      <c r="I171" s="401" t="s">
        <v>2560</v>
      </c>
      <c r="J171" s="401" t="s">
        <v>2641</v>
      </c>
      <c r="K171" s="401" t="s">
        <v>2642</v>
      </c>
    </row>
    <row r="172" spans="1:11">
      <c r="A172" s="398"/>
      <c r="B172" s="399"/>
      <c r="C172" s="399" t="s">
        <v>2643</v>
      </c>
      <c r="D172" s="399" t="s">
        <v>2644</v>
      </c>
      <c r="E172" s="399" t="s">
        <v>2645</v>
      </c>
      <c r="F172" s="400" t="s">
        <v>425</v>
      </c>
      <c r="G172" s="401" t="s">
        <v>2646</v>
      </c>
      <c r="H172" s="401" t="s">
        <v>2647</v>
      </c>
      <c r="I172" s="401" t="s">
        <v>2545</v>
      </c>
      <c r="J172" s="401" t="s">
        <v>2648</v>
      </c>
      <c r="K172" s="401" t="s">
        <v>2649</v>
      </c>
    </row>
    <row r="173" spans="1:11">
      <c r="A173" s="398"/>
      <c r="B173" s="399"/>
      <c r="C173" s="399"/>
      <c r="D173" s="399"/>
      <c r="E173" s="399"/>
      <c r="F173" s="400"/>
      <c r="G173" s="401" t="s">
        <v>2650</v>
      </c>
      <c r="H173" s="401" t="s">
        <v>2651</v>
      </c>
      <c r="I173" s="401" t="s">
        <v>2560</v>
      </c>
      <c r="J173" s="401" t="s">
        <v>2652</v>
      </c>
      <c r="K173" s="401" t="s">
        <v>2653</v>
      </c>
    </row>
    <row r="174" spans="1:11">
      <c r="A174" s="398"/>
      <c r="B174" s="399"/>
      <c r="C174" s="399"/>
      <c r="D174" s="399" t="s">
        <v>2654</v>
      </c>
      <c r="E174" s="399" t="s">
        <v>2655</v>
      </c>
      <c r="F174" s="400" t="s">
        <v>229</v>
      </c>
      <c r="G174" s="401" t="s">
        <v>2656</v>
      </c>
      <c r="H174" s="401" t="s">
        <v>2657</v>
      </c>
      <c r="I174" s="401" t="s">
        <v>2545</v>
      </c>
      <c r="J174" s="401" t="s">
        <v>2658</v>
      </c>
      <c r="K174" s="401" t="s">
        <v>2659</v>
      </c>
    </row>
    <row r="175" spans="1:11">
      <c r="A175" s="398"/>
      <c r="B175" s="399"/>
      <c r="C175" s="399"/>
      <c r="D175" s="399"/>
      <c r="E175" s="399"/>
      <c r="F175" s="400"/>
      <c r="G175" s="401" t="s">
        <v>2660</v>
      </c>
      <c r="H175" s="401" t="s">
        <v>2661</v>
      </c>
      <c r="I175" s="401" t="s">
        <v>94</v>
      </c>
      <c r="J175" s="401" t="s">
        <v>2662</v>
      </c>
      <c r="K175" s="401" t="s">
        <v>2663</v>
      </c>
    </row>
    <row r="176" spans="1:11">
      <c r="A176" s="398"/>
      <c r="B176" s="399"/>
      <c r="C176" s="399"/>
      <c r="D176" s="399" t="s">
        <v>2664</v>
      </c>
      <c r="E176" s="399" t="s">
        <v>2665</v>
      </c>
      <c r="F176" s="400" t="s">
        <v>229</v>
      </c>
      <c r="G176" s="401" t="s">
        <v>2666</v>
      </c>
      <c r="H176" s="401" t="s">
        <v>2667</v>
      </c>
      <c r="I176" s="401" t="s">
        <v>2545</v>
      </c>
      <c r="J176" s="401" t="s">
        <v>2668</v>
      </c>
      <c r="K176" s="401" t="s">
        <v>2669</v>
      </c>
    </row>
    <row r="177" spans="1:11">
      <c r="A177" s="398"/>
      <c r="B177" s="399"/>
      <c r="C177" s="399"/>
      <c r="D177" s="399"/>
      <c r="E177" s="399"/>
      <c r="F177" s="400"/>
      <c r="G177" s="401" t="s">
        <v>2670</v>
      </c>
      <c r="H177" s="401" t="s">
        <v>2671</v>
      </c>
      <c r="I177" s="401" t="s">
        <v>94</v>
      </c>
      <c r="J177" s="401" t="s">
        <v>2672</v>
      </c>
      <c r="K177" s="401" t="s">
        <v>2673</v>
      </c>
    </row>
    <row r="178" spans="1:11">
      <c r="A178" s="398"/>
      <c r="B178" s="399"/>
      <c r="C178" s="399"/>
      <c r="D178" s="399" t="s">
        <v>2674</v>
      </c>
      <c r="E178" s="399" t="s">
        <v>2675</v>
      </c>
      <c r="F178" s="400" t="s">
        <v>229</v>
      </c>
      <c r="G178" s="401" t="s">
        <v>2676</v>
      </c>
      <c r="H178" s="401" t="s">
        <v>2677</v>
      </c>
      <c r="I178" s="401" t="s">
        <v>94</v>
      </c>
      <c r="J178" s="401" t="s">
        <v>2678</v>
      </c>
      <c r="K178" s="401" t="s">
        <v>2679</v>
      </c>
    </row>
    <row r="179" spans="1:11">
      <c r="A179" s="398"/>
      <c r="B179" s="399"/>
      <c r="C179" s="399"/>
      <c r="D179" s="399"/>
      <c r="E179" s="399"/>
      <c r="F179" s="400"/>
      <c r="G179" s="401" t="s">
        <v>2680</v>
      </c>
      <c r="H179" s="401" t="s">
        <v>2681</v>
      </c>
      <c r="I179" s="401" t="s">
        <v>2560</v>
      </c>
      <c r="J179" s="401" t="s">
        <v>2682</v>
      </c>
      <c r="K179" s="401" t="s">
        <v>2683</v>
      </c>
    </row>
    <row r="180" spans="1:11">
      <c r="A180" s="398"/>
      <c r="B180" s="399"/>
      <c r="C180" s="399"/>
      <c r="D180" s="399" t="s">
        <v>2684</v>
      </c>
      <c r="E180" s="399" t="s">
        <v>2685</v>
      </c>
      <c r="F180" s="400" t="s">
        <v>20</v>
      </c>
      <c r="G180" s="401" t="s">
        <v>2686</v>
      </c>
      <c r="H180" s="401" t="s">
        <v>2687</v>
      </c>
      <c r="I180" s="401" t="s">
        <v>2545</v>
      </c>
      <c r="J180" s="401" t="s">
        <v>2688</v>
      </c>
      <c r="K180" s="401" t="s">
        <v>2689</v>
      </c>
    </row>
    <row r="181" spans="1:11">
      <c r="A181" s="398"/>
      <c r="B181" s="399"/>
      <c r="C181" s="399"/>
      <c r="D181" s="399"/>
      <c r="E181" s="399"/>
      <c r="F181" s="400"/>
      <c r="G181" s="401" t="s">
        <v>2690</v>
      </c>
      <c r="H181" s="401" t="s">
        <v>2691</v>
      </c>
      <c r="I181" s="401" t="s">
        <v>94</v>
      </c>
      <c r="J181" s="401" t="s">
        <v>2692</v>
      </c>
      <c r="K181" s="401" t="s">
        <v>2693</v>
      </c>
    </row>
    <row r="182" spans="1:11">
      <c r="A182" s="398"/>
      <c r="B182" s="399"/>
      <c r="C182" s="399" t="s">
        <v>2694</v>
      </c>
      <c r="D182" s="399" t="s">
        <v>2695</v>
      </c>
      <c r="E182" s="399" t="s">
        <v>2696</v>
      </c>
      <c r="F182" s="400" t="s">
        <v>20</v>
      </c>
      <c r="G182" s="401" t="s">
        <v>2697</v>
      </c>
      <c r="H182" s="401" t="s">
        <v>2698</v>
      </c>
      <c r="I182" s="401" t="s">
        <v>2545</v>
      </c>
      <c r="J182" s="401" t="s">
        <v>2699</v>
      </c>
      <c r="K182" s="401" t="s">
        <v>2700</v>
      </c>
    </row>
    <row r="183" spans="1:11">
      <c r="A183" s="398"/>
      <c r="B183" s="399"/>
      <c r="C183" s="399"/>
      <c r="D183" s="399"/>
      <c r="E183" s="399"/>
      <c r="F183" s="400"/>
      <c r="G183" s="401" t="s">
        <v>2701</v>
      </c>
      <c r="H183" s="401" t="s">
        <v>2702</v>
      </c>
      <c r="I183" s="401" t="s">
        <v>94</v>
      </c>
      <c r="J183" s="401" t="s">
        <v>2703</v>
      </c>
      <c r="K183" s="401" t="s">
        <v>2704</v>
      </c>
    </row>
    <row r="184" spans="1:11">
      <c r="A184" s="398"/>
      <c r="B184" s="399"/>
      <c r="C184" s="399"/>
      <c r="D184" s="399" t="s">
        <v>2705</v>
      </c>
      <c r="E184" s="399" t="s">
        <v>2706</v>
      </c>
      <c r="F184" s="400" t="s">
        <v>229</v>
      </c>
      <c r="G184" s="401" t="s">
        <v>2707</v>
      </c>
      <c r="H184" s="401" t="s">
        <v>2708</v>
      </c>
      <c r="I184" s="401" t="s">
        <v>94</v>
      </c>
      <c r="J184" s="401" t="s">
        <v>2703</v>
      </c>
      <c r="K184" s="401" t="s">
        <v>2709</v>
      </c>
    </row>
    <row r="185" spans="1:11">
      <c r="A185" s="398"/>
      <c r="B185" s="399"/>
      <c r="C185" s="399"/>
      <c r="D185" s="399"/>
      <c r="E185" s="399"/>
      <c r="F185" s="400"/>
      <c r="G185" s="401" t="s">
        <v>2710</v>
      </c>
      <c r="H185" s="401" t="s">
        <v>2711</v>
      </c>
      <c r="I185" s="401" t="s">
        <v>2560</v>
      </c>
      <c r="J185" s="401" t="s">
        <v>2671</v>
      </c>
      <c r="K185" s="401" t="s">
        <v>2712</v>
      </c>
    </row>
    <row r="186" spans="1:11">
      <c r="A186" s="398"/>
      <c r="B186" s="399"/>
      <c r="C186" s="399"/>
      <c r="D186" s="399" t="s">
        <v>2713</v>
      </c>
      <c r="E186" s="399" t="s">
        <v>2714</v>
      </c>
      <c r="F186" s="400" t="s">
        <v>425</v>
      </c>
      <c r="G186" s="401" t="s">
        <v>2715</v>
      </c>
      <c r="H186" s="401" t="s">
        <v>2601</v>
      </c>
      <c r="I186" s="401" t="s">
        <v>2545</v>
      </c>
      <c r="J186" s="401" t="s">
        <v>2716</v>
      </c>
      <c r="K186" s="401" t="s">
        <v>2717</v>
      </c>
    </row>
    <row r="187" spans="1:11">
      <c r="A187" s="398"/>
      <c r="B187" s="399"/>
      <c r="C187" s="399"/>
      <c r="D187" s="399"/>
      <c r="E187" s="399"/>
      <c r="F187" s="400"/>
      <c r="G187" s="401" t="s">
        <v>2718</v>
      </c>
      <c r="H187" s="401" t="s">
        <v>2719</v>
      </c>
      <c r="I187" s="401" t="s">
        <v>94</v>
      </c>
      <c r="J187" s="401" t="s">
        <v>2720</v>
      </c>
      <c r="K187" s="401" t="s">
        <v>2721</v>
      </c>
    </row>
    <row r="188" spans="1:11">
      <c r="A188" s="398"/>
      <c r="B188" s="399"/>
      <c r="C188" s="399"/>
      <c r="D188" s="399" t="s">
        <v>2722</v>
      </c>
      <c r="E188" s="399" t="s">
        <v>2723</v>
      </c>
      <c r="F188" s="400" t="s">
        <v>425</v>
      </c>
      <c r="G188" s="401" t="s">
        <v>2724</v>
      </c>
      <c r="H188" s="401" t="s">
        <v>2725</v>
      </c>
      <c r="I188" s="401" t="s">
        <v>2545</v>
      </c>
      <c r="J188" s="401" t="s">
        <v>2726</v>
      </c>
      <c r="K188" s="401" t="s">
        <v>2727</v>
      </c>
    </row>
    <row r="189" spans="1:11">
      <c r="A189" s="398"/>
      <c r="B189" s="399"/>
      <c r="C189" s="399"/>
      <c r="D189" s="399"/>
      <c r="E189" s="399"/>
      <c r="F189" s="400"/>
      <c r="G189" s="401" t="s">
        <v>2728</v>
      </c>
      <c r="H189" s="401" t="s">
        <v>2729</v>
      </c>
      <c r="I189" s="401" t="s">
        <v>94</v>
      </c>
      <c r="J189" s="401" t="s">
        <v>2730</v>
      </c>
      <c r="K189" s="401" t="s">
        <v>2731</v>
      </c>
    </row>
    <row r="190" spans="1:11">
      <c r="A190" s="398"/>
      <c r="B190" s="399"/>
      <c r="C190" s="399"/>
      <c r="D190" s="399" t="s">
        <v>2732</v>
      </c>
      <c r="E190" s="399" t="s">
        <v>2733</v>
      </c>
      <c r="F190" s="400" t="s">
        <v>20</v>
      </c>
      <c r="G190" s="401" t="s">
        <v>2650</v>
      </c>
      <c r="H190" s="401" t="s">
        <v>2734</v>
      </c>
      <c r="I190" s="401" t="s">
        <v>94</v>
      </c>
      <c r="J190" s="401" t="s">
        <v>2735</v>
      </c>
      <c r="K190" s="401" t="s">
        <v>2736</v>
      </c>
    </row>
    <row r="191" spans="1:11">
      <c r="A191" s="398"/>
      <c r="B191" s="399"/>
      <c r="C191" s="399"/>
      <c r="D191" s="399"/>
      <c r="E191" s="399"/>
      <c r="F191" s="400"/>
      <c r="G191" s="401" t="s">
        <v>2737</v>
      </c>
      <c r="H191" s="401" t="s">
        <v>2652</v>
      </c>
      <c r="I191" s="401" t="s">
        <v>2560</v>
      </c>
      <c r="J191" s="401" t="s">
        <v>2738</v>
      </c>
      <c r="K191" s="401" t="s">
        <v>2739</v>
      </c>
    </row>
    <row r="192" spans="1:11">
      <c r="A192" s="398"/>
      <c r="B192" s="399"/>
      <c r="C192" s="399" t="s">
        <v>2740</v>
      </c>
      <c r="D192" s="399" t="s">
        <v>2741</v>
      </c>
      <c r="E192" s="399" t="s">
        <v>2742</v>
      </c>
      <c r="F192" s="400" t="s">
        <v>20</v>
      </c>
      <c r="G192" s="401" t="s">
        <v>2743</v>
      </c>
      <c r="H192" s="401" t="s">
        <v>2657</v>
      </c>
      <c r="I192" s="401" t="s">
        <v>2545</v>
      </c>
      <c r="J192" s="401" t="s">
        <v>2744</v>
      </c>
      <c r="K192" s="401" t="s">
        <v>2745</v>
      </c>
    </row>
    <row r="193" spans="1:11">
      <c r="A193" s="398"/>
      <c r="B193" s="399"/>
      <c r="C193" s="399"/>
      <c r="D193" s="399"/>
      <c r="E193" s="399"/>
      <c r="F193" s="400"/>
      <c r="G193" s="401" t="s">
        <v>2746</v>
      </c>
      <c r="H193" s="401" t="s">
        <v>2747</v>
      </c>
      <c r="I193" s="401" t="s">
        <v>2545</v>
      </c>
      <c r="J193" s="401" t="s">
        <v>2748</v>
      </c>
      <c r="K193" s="401" t="s">
        <v>2749</v>
      </c>
    </row>
    <row r="194" spans="1:11">
      <c r="A194" s="398"/>
      <c r="B194" s="399"/>
      <c r="C194" s="399"/>
      <c r="D194" s="399" t="s">
        <v>2750</v>
      </c>
      <c r="E194" s="399" t="s">
        <v>2751</v>
      </c>
      <c r="F194" s="400" t="s">
        <v>20</v>
      </c>
      <c r="G194" s="401" t="s">
        <v>2752</v>
      </c>
      <c r="H194" s="401" t="s">
        <v>2753</v>
      </c>
      <c r="I194" s="401" t="s">
        <v>2545</v>
      </c>
      <c r="J194" s="401" t="s">
        <v>2671</v>
      </c>
      <c r="K194" s="401" t="s">
        <v>2754</v>
      </c>
    </row>
    <row r="195" spans="1:11">
      <c r="A195" s="398"/>
      <c r="B195" s="399"/>
      <c r="C195" s="399"/>
      <c r="D195" s="399"/>
      <c r="E195" s="399"/>
      <c r="F195" s="400"/>
      <c r="G195" s="401" t="s">
        <v>2755</v>
      </c>
      <c r="H195" s="401" t="s">
        <v>2597</v>
      </c>
      <c r="I195" s="401" t="s">
        <v>94</v>
      </c>
      <c r="J195" s="401" t="s">
        <v>2756</v>
      </c>
      <c r="K195" s="401" t="s">
        <v>2757</v>
      </c>
    </row>
    <row r="196" spans="1:11">
      <c r="A196" s="398"/>
      <c r="B196" s="399"/>
      <c r="C196" s="399"/>
      <c r="D196" s="399" t="s">
        <v>2758</v>
      </c>
      <c r="E196" s="399" t="s">
        <v>2759</v>
      </c>
      <c r="F196" s="400" t="s">
        <v>20</v>
      </c>
      <c r="G196" s="401" t="s">
        <v>2625</v>
      </c>
      <c r="H196" s="401" t="s">
        <v>2760</v>
      </c>
      <c r="I196" s="401" t="s">
        <v>2545</v>
      </c>
      <c r="J196" s="401" t="s">
        <v>2761</v>
      </c>
      <c r="K196" s="401" t="s">
        <v>2762</v>
      </c>
    </row>
    <row r="197" spans="1:11">
      <c r="A197" s="398"/>
      <c r="B197" s="399"/>
      <c r="C197" s="399"/>
      <c r="D197" s="399"/>
      <c r="E197" s="399"/>
      <c r="F197" s="400"/>
      <c r="G197" s="401" t="s">
        <v>2763</v>
      </c>
      <c r="H197" s="401" t="s">
        <v>2764</v>
      </c>
      <c r="I197" s="401" t="s">
        <v>94</v>
      </c>
      <c r="J197" s="401" t="s">
        <v>2765</v>
      </c>
      <c r="K197" s="401" t="s">
        <v>2766</v>
      </c>
    </row>
    <row r="198" spans="1:11">
      <c r="A198" s="398"/>
      <c r="B198" s="399"/>
      <c r="C198" s="399"/>
      <c r="D198" s="399" t="s">
        <v>2767</v>
      </c>
      <c r="E198" s="399" t="s">
        <v>2768</v>
      </c>
      <c r="F198" s="400" t="s">
        <v>20</v>
      </c>
      <c r="G198" s="401" t="s">
        <v>2769</v>
      </c>
      <c r="H198" s="401" t="s">
        <v>2770</v>
      </c>
      <c r="I198" s="401" t="s">
        <v>94</v>
      </c>
      <c r="J198" s="401" t="s">
        <v>2771</v>
      </c>
      <c r="K198" s="401" t="s">
        <v>2772</v>
      </c>
    </row>
    <row r="199" spans="1:11">
      <c r="A199" s="398"/>
      <c r="B199" s="399"/>
      <c r="C199" s="399"/>
      <c r="D199" s="399"/>
      <c r="E199" s="399"/>
      <c r="F199" s="400"/>
      <c r="G199" s="401" t="s">
        <v>2773</v>
      </c>
      <c r="H199" s="401" t="s">
        <v>2671</v>
      </c>
      <c r="I199" s="401" t="s">
        <v>2560</v>
      </c>
      <c r="J199" s="401" t="s">
        <v>2774</v>
      </c>
      <c r="K199" s="401" t="s">
        <v>2673</v>
      </c>
    </row>
    <row r="200" spans="1:11">
      <c r="A200" s="398"/>
      <c r="B200" s="399"/>
      <c r="C200" s="399"/>
      <c r="D200" s="399" t="s">
        <v>2775</v>
      </c>
      <c r="E200" s="399" t="s">
        <v>2776</v>
      </c>
      <c r="F200" s="400" t="s">
        <v>229</v>
      </c>
      <c r="G200" s="401" t="s">
        <v>2777</v>
      </c>
      <c r="H200" s="401" t="s">
        <v>2778</v>
      </c>
      <c r="I200" s="401" t="s">
        <v>94</v>
      </c>
      <c r="J200" s="401" t="s">
        <v>2779</v>
      </c>
      <c r="K200" s="401" t="s">
        <v>2780</v>
      </c>
    </row>
    <row r="201" spans="1:11">
      <c r="A201" s="398"/>
      <c r="B201" s="399"/>
      <c r="C201" s="399"/>
      <c r="D201" s="399"/>
      <c r="E201" s="399"/>
      <c r="F201" s="400"/>
      <c r="G201" s="401" t="s">
        <v>2710</v>
      </c>
      <c r="H201" s="401" t="s">
        <v>2711</v>
      </c>
      <c r="I201" s="401" t="s">
        <v>2560</v>
      </c>
      <c r="J201" s="401" t="s">
        <v>2703</v>
      </c>
      <c r="K201" s="401" t="s">
        <v>2781</v>
      </c>
    </row>
    <row r="202" spans="1:11">
      <c r="A202" s="398"/>
      <c r="B202" s="399" t="s">
        <v>2782</v>
      </c>
      <c r="C202" s="399" t="s">
        <v>2783</v>
      </c>
      <c r="D202" s="399" t="s">
        <v>2784</v>
      </c>
      <c r="E202" s="399" t="s">
        <v>2785</v>
      </c>
      <c r="F202" s="400" t="s">
        <v>229</v>
      </c>
      <c r="G202" s="401" t="s">
        <v>2606</v>
      </c>
      <c r="H202" s="401" t="s">
        <v>2786</v>
      </c>
      <c r="I202" s="401" t="s">
        <v>2545</v>
      </c>
      <c r="J202" s="401" t="s">
        <v>2787</v>
      </c>
      <c r="K202" s="401" t="s">
        <v>2788</v>
      </c>
    </row>
    <row r="203" spans="1:11">
      <c r="A203" s="398"/>
      <c r="B203" s="399"/>
      <c r="C203" s="399"/>
      <c r="D203" s="399"/>
      <c r="E203" s="399"/>
      <c r="F203" s="400"/>
      <c r="G203" s="401" t="s">
        <v>2789</v>
      </c>
      <c r="H203" s="401" t="s">
        <v>2790</v>
      </c>
      <c r="I203" s="401" t="s">
        <v>94</v>
      </c>
      <c r="J203" s="401" t="s">
        <v>2791</v>
      </c>
      <c r="K203" s="401" t="s">
        <v>2792</v>
      </c>
    </row>
    <row r="204" spans="1:11">
      <c r="A204" s="398"/>
      <c r="B204" s="399"/>
      <c r="C204" s="399"/>
      <c r="D204" s="399" t="s">
        <v>2793</v>
      </c>
      <c r="E204" s="399" t="s">
        <v>2794</v>
      </c>
      <c r="F204" s="400" t="s">
        <v>229</v>
      </c>
      <c r="G204" s="401" t="s">
        <v>2795</v>
      </c>
      <c r="H204" s="401" t="s">
        <v>2774</v>
      </c>
      <c r="I204" s="401" t="s">
        <v>2545</v>
      </c>
      <c r="J204" s="401" t="s">
        <v>2796</v>
      </c>
      <c r="K204" s="401" t="s">
        <v>2797</v>
      </c>
    </row>
    <row r="205" spans="1:11">
      <c r="A205" s="398"/>
      <c r="B205" s="399"/>
      <c r="C205" s="399"/>
      <c r="D205" s="399"/>
      <c r="E205" s="399"/>
      <c r="F205" s="400"/>
      <c r="G205" s="401" t="s">
        <v>2798</v>
      </c>
      <c r="H205" s="401" t="s">
        <v>2799</v>
      </c>
      <c r="I205" s="401" t="s">
        <v>94</v>
      </c>
      <c r="J205" s="401" t="s">
        <v>2800</v>
      </c>
      <c r="K205" s="401" t="s">
        <v>2801</v>
      </c>
    </row>
    <row r="206" spans="1:11">
      <c r="A206" s="398"/>
      <c r="B206" s="399"/>
      <c r="C206" s="399"/>
      <c r="D206" s="399" t="s">
        <v>2802</v>
      </c>
      <c r="E206" s="399" t="s">
        <v>2803</v>
      </c>
      <c r="F206" s="400" t="s">
        <v>229</v>
      </c>
      <c r="G206" s="401" t="s">
        <v>2804</v>
      </c>
      <c r="H206" s="401" t="s">
        <v>2805</v>
      </c>
      <c r="I206" s="401" t="s">
        <v>2545</v>
      </c>
      <c r="J206" s="401" t="s">
        <v>2806</v>
      </c>
      <c r="K206" s="401" t="s">
        <v>2807</v>
      </c>
    </row>
    <row r="207" spans="1:11">
      <c r="A207" s="398"/>
      <c r="B207" s="399"/>
      <c r="C207" s="399"/>
      <c r="D207" s="399"/>
      <c r="E207" s="399"/>
      <c r="F207" s="400"/>
      <c r="G207" s="401" t="s">
        <v>2808</v>
      </c>
      <c r="H207" s="401" t="s">
        <v>2809</v>
      </c>
      <c r="I207" s="401" t="s">
        <v>94</v>
      </c>
      <c r="J207" s="401" t="s">
        <v>2810</v>
      </c>
      <c r="K207" s="401" t="s">
        <v>2811</v>
      </c>
    </row>
    <row r="208" spans="1:11">
      <c r="A208" s="398"/>
      <c r="B208" s="399"/>
      <c r="C208" s="399"/>
      <c r="D208" s="399" t="s">
        <v>2812</v>
      </c>
      <c r="E208" s="399" t="s">
        <v>2813</v>
      </c>
      <c r="F208" s="400" t="s">
        <v>229</v>
      </c>
      <c r="G208" s="401" t="s">
        <v>2814</v>
      </c>
      <c r="H208" s="401" t="s">
        <v>2815</v>
      </c>
      <c r="I208" s="401" t="s">
        <v>2545</v>
      </c>
      <c r="J208" s="401" t="s">
        <v>2816</v>
      </c>
      <c r="K208" s="401" t="s">
        <v>2609</v>
      </c>
    </row>
    <row r="209" spans="1:11">
      <c r="A209" s="398"/>
      <c r="B209" s="399"/>
      <c r="C209" s="399"/>
      <c r="D209" s="399"/>
      <c r="E209" s="399"/>
      <c r="F209" s="400"/>
      <c r="G209" s="401" t="s">
        <v>2817</v>
      </c>
      <c r="H209" s="401" t="s">
        <v>2791</v>
      </c>
      <c r="I209" s="401" t="s">
        <v>94</v>
      </c>
      <c r="J209" s="401" t="s">
        <v>2818</v>
      </c>
      <c r="K209" s="401" t="s">
        <v>2819</v>
      </c>
    </row>
    <row r="210" spans="1:11">
      <c r="A210" s="398"/>
      <c r="B210" s="399"/>
      <c r="C210" s="399"/>
      <c r="D210" s="399" t="s">
        <v>2820</v>
      </c>
      <c r="E210" s="399" t="s">
        <v>2821</v>
      </c>
      <c r="F210" s="400" t="s">
        <v>229</v>
      </c>
      <c r="G210" s="401" t="s">
        <v>2822</v>
      </c>
      <c r="H210" s="401" t="s">
        <v>2823</v>
      </c>
      <c r="I210" s="401" t="s">
        <v>94</v>
      </c>
      <c r="J210" s="401" t="s">
        <v>2824</v>
      </c>
      <c r="K210" s="401" t="s">
        <v>2825</v>
      </c>
    </row>
    <row r="211" spans="1:11">
      <c r="A211" s="398"/>
      <c r="B211" s="399"/>
      <c r="C211" s="399"/>
      <c r="D211" s="399"/>
      <c r="E211" s="399"/>
      <c r="F211" s="400"/>
      <c r="G211" s="401" t="s">
        <v>2826</v>
      </c>
      <c r="H211" s="401" t="s">
        <v>2827</v>
      </c>
      <c r="I211" s="401" t="s">
        <v>2560</v>
      </c>
      <c r="J211" s="401" t="s">
        <v>2828</v>
      </c>
      <c r="K211" s="401" t="s">
        <v>2829</v>
      </c>
    </row>
    <row r="212" spans="1:11">
      <c r="A212" s="398"/>
      <c r="B212" s="399"/>
      <c r="C212" s="399" t="s">
        <v>2830</v>
      </c>
      <c r="D212" s="399" t="s">
        <v>2831</v>
      </c>
      <c r="E212" s="399" t="s">
        <v>2832</v>
      </c>
      <c r="F212" s="400" t="s">
        <v>425</v>
      </c>
      <c r="G212" s="401" t="s">
        <v>2610</v>
      </c>
      <c r="H212" s="401" t="s">
        <v>2833</v>
      </c>
      <c r="I212" s="401" t="s">
        <v>2545</v>
      </c>
      <c r="J212" s="401" t="s">
        <v>2834</v>
      </c>
      <c r="K212" s="401" t="s">
        <v>2835</v>
      </c>
    </row>
    <row r="213" spans="1:11">
      <c r="A213" s="398"/>
      <c r="B213" s="399"/>
      <c r="C213" s="399"/>
      <c r="D213" s="399"/>
      <c r="E213" s="399"/>
      <c r="F213" s="400"/>
      <c r="G213" s="401" t="s">
        <v>2836</v>
      </c>
      <c r="H213" s="401" t="s">
        <v>2837</v>
      </c>
      <c r="I213" s="401" t="s">
        <v>94</v>
      </c>
      <c r="J213" s="401" t="s">
        <v>2765</v>
      </c>
      <c r="K213" s="401" t="s">
        <v>2838</v>
      </c>
    </row>
    <row r="214" spans="1:11">
      <c r="A214" s="398"/>
      <c r="B214" s="399"/>
      <c r="C214" s="399"/>
      <c r="D214" s="399" t="s">
        <v>2839</v>
      </c>
      <c r="E214" s="399" t="s">
        <v>2840</v>
      </c>
      <c r="F214" s="400" t="s">
        <v>425</v>
      </c>
      <c r="G214" s="401" t="s">
        <v>2841</v>
      </c>
      <c r="H214" s="401" t="s">
        <v>2842</v>
      </c>
      <c r="I214" s="401" t="s">
        <v>2545</v>
      </c>
      <c r="J214" s="401" t="s">
        <v>2678</v>
      </c>
      <c r="K214" s="401" t="s">
        <v>2843</v>
      </c>
    </row>
    <row r="215" spans="1:11">
      <c r="A215" s="398"/>
      <c r="B215" s="399"/>
      <c r="C215" s="399"/>
      <c r="D215" s="399"/>
      <c r="E215" s="399"/>
      <c r="F215" s="400"/>
      <c r="G215" s="401" t="s">
        <v>2844</v>
      </c>
      <c r="H215" s="401" t="s">
        <v>2845</v>
      </c>
      <c r="I215" s="401" t="s">
        <v>94</v>
      </c>
      <c r="J215" s="401" t="s">
        <v>2810</v>
      </c>
      <c r="K215" s="401" t="s">
        <v>2846</v>
      </c>
    </row>
    <row r="216" spans="1:11">
      <c r="A216" s="398"/>
      <c r="B216" s="399"/>
      <c r="C216" s="399"/>
      <c r="D216" s="399" t="s">
        <v>2847</v>
      </c>
      <c r="E216" s="399" t="s">
        <v>2848</v>
      </c>
      <c r="F216" s="400" t="s">
        <v>425</v>
      </c>
      <c r="G216" s="401" t="s">
        <v>2849</v>
      </c>
      <c r="H216" s="401" t="s">
        <v>2850</v>
      </c>
      <c r="I216" s="401" t="s">
        <v>94</v>
      </c>
      <c r="J216" s="401" t="s">
        <v>2765</v>
      </c>
      <c r="K216" s="401" t="s">
        <v>2851</v>
      </c>
    </row>
    <row r="217" spans="1:11">
      <c r="A217" s="398"/>
      <c r="B217" s="399"/>
      <c r="C217" s="399"/>
      <c r="D217" s="399"/>
      <c r="E217" s="399"/>
      <c r="F217" s="400"/>
      <c r="G217" s="401" t="s">
        <v>2852</v>
      </c>
      <c r="H217" s="401" t="s">
        <v>2853</v>
      </c>
      <c r="I217" s="401" t="s">
        <v>2560</v>
      </c>
      <c r="J217" s="401" t="s">
        <v>2735</v>
      </c>
      <c r="K217" s="401" t="s">
        <v>2854</v>
      </c>
    </row>
    <row r="218" spans="1:11">
      <c r="A218" s="398"/>
      <c r="B218" s="399"/>
      <c r="C218" s="399"/>
      <c r="D218" s="399" t="s">
        <v>2855</v>
      </c>
      <c r="E218" s="399" t="s">
        <v>2856</v>
      </c>
      <c r="F218" s="400" t="s">
        <v>425</v>
      </c>
      <c r="G218" s="401" t="s">
        <v>2857</v>
      </c>
      <c r="H218" s="401" t="s">
        <v>2858</v>
      </c>
      <c r="I218" s="401" t="s">
        <v>2545</v>
      </c>
      <c r="J218" s="401" t="s">
        <v>2859</v>
      </c>
      <c r="K218" s="401" t="s">
        <v>2669</v>
      </c>
    </row>
    <row r="219" spans="1:11">
      <c r="A219" s="398"/>
      <c r="B219" s="399"/>
      <c r="C219" s="399"/>
      <c r="D219" s="399"/>
      <c r="E219" s="399"/>
      <c r="F219" s="400"/>
      <c r="G219" s="401" t="s">
        <v>2860</v>
      </c>
      <c r="H219" s="401" t="s">
        <v>2842</v>
      </c>
      <c r="I219" s="401" t="s">
        <v>94</v>
      </c>
      <c r="J219" s="401" t="s">
        <v>2672</v>
      </c>
      <c r="K219" s="401" t="s">
        <v>2673</v>
      </c>
    </row>
    <row r="220" spans="1:11">
      <c r="A220" s="398"/>
      <c r="B220" s="399"/>
      <c r="C220" s="399" t="s">
        <v>2861</v>
      </c>
      <c r="D220" s="402" t="s">
        <v>2862</v>
      </c>
      <c r="E220" s="402" t="s">
        <v>2863</v>
      </c>
      <c r="F220" s="400" t="s">
        <v>425</v>
      </c>
      <c r="G220" s="401" t="s">
        <v>2864</v>
      </c>
      <c r="H220" s="401" t="s">
        <v>2865</v>
      </c>
      <c r="I220" s="401" t="s">
        <v>2545</v>
      </c>
      <c r="J220" s="401" t="s">
        <v>2866</v>
      </c>
      <c r="K220" s="401" t="s">
        <v>2867</v>
      </c>
    </row>
    <row r="221" spans="1:11">
      <c r="A221" s="398"/>
      <c r="B221" s="399"/>
      <c r="C221" s="399"/>
      <c r="D221" s="402"/>
      <c r="E221" s="402"/>
      <c r="F221" s="400"/>
      <c r="G221" s="401" t="s">
        <v>2868</v>
      </c>
      <c r="H221" s="401" t="s">
        <v>2799</v>
      </c>
      <c r="I221" s="401" t="s">
        <v>94</v>
      </c>
      <c r="J221" s="401" t="s">
        <v>2816</v>
      </c>
      <c r="K221" s="401" t="s">
        <v>2869</v>
      </c>
    </row>
    <row r="222" spans="1:11">
      <c r="A222" s="398"/>
      <c r="B222" s="399"/>
      <c r="C222" s="399"/>
      <c r="D222" s="402" t="s">
        <v>2870</v>
      </c>
      <c r="E222" s="402" t="s">
        <v>2871</v>
      </c>
      <c r="F222" s="400" t="s">
        <v>425</v>
      </c>
      <c r="G222" s="401" t="s">
        <v>2872</v>
      </c>
      <c r="H222" s="401" t="s">
        <v>2873</v>
      </c>
      <c r="I222" s="401" t="s">
        <v>2545</v>
      </c>
      <c r="J222" s="401" t="s">
        <v>2874</v>
      </c>
      <c r="K222" s="401" t="s">
        <v>2875</v>
      </c>
    </row>
    <row r="223" spans="1:11">
      <c r="A223" s="398"/>
      <c r="B223" s="399"/>
      <c r="C223" s="399"/>
      <c r="D223" s="402"/>
      <c r="E223" s="402"/>
      <c r="F223" s="400"/>
      <c r="G223" s="401" t="s">
        <v>2876</v>
      </c>
      <c r="H223" s="401" t="s">
        <v>2877</v>
      </c>
      <c r="I223" s="401" t="s">
        <v>94</v>
      </c>
      <c r="J223" s="401" t="s">
        <v>2823</v>
      </c>
      <c r="K223" s="401" t="s">
        <v>2788</v>
      </c>
    </row>
    <row r="224" spans="1:11">
      <c r="A224" s="398"/>
      <c r="B224" s="399"/>
      <c r="C224" s="399"/>
      <c r="D224" s="402" t="s">
        <v>2878</v>
      </c>
      <c r="E224" s="402" t="s">
        <v>2879</v>
      </c>
      <c r="F224" s="400" t="s">
        <v>425</v>
      </c>
      <c r="G224" s="401" t="s">
        <v>2880</v>
      </c>
      <c r="H224" s="401" t="s">
        <v>2881</v>
      </c>
      <c r="I224" s="401" t="s">
        <v>94</v>
      </c>
      <c r="J224" s="401" t="s">
        <v>2882</v>
      </c>
      <c r="K224" s="401" t="s">
        <v>2883</v>
      </c>
    </row>
    <row r="225" spans="1:11">
      <c r="A225" s="398"/>
      <c r="B225" s="399"/>
      <c r="C225" s="399"/>
      <c r="D225" s="402"/>
      <c r="E225" s="402"/>
      <c r="F225" s="400"/>
      <c r="G225" s="401" t="s">
        <v>2884</v>
      </c>
      <c r="H225" s="401" t="s">
        <v>2885</v>
      </c>
      <c r="I225" s="401" t="s">
        <v>94</v>
      </c>
      <c r="J225" s="401" t="s">
        <v>2886</v>
      </c>
      <c r="K225" s="401" t="s">
        <v>2887</v>
      </c>
    </row>
    <row r="226" spans="1:11">
      <c r="A226" s="398"/>
      <c r="B226" s="399"/>
      <c r="C226" s="399"/>
      <c r="D226" s="402" t="s">
        <v>2888</v>
      </c>
      <c r="E226" s="402" t="s">
        <v>2889</v>
      </c>
      <c r="F226" s="400" t="s">
        <v>425</v>
      </c>
      <c r="G226" s="401" t="s">
        <v>2890</v>
      </c>
      <c r="H226" s="401" t="s">
        <v>2891</v>
      </c>
      <c r="I226" s="401" t="s">
        <v>2545</v>
      </c>
      <c r="J226" s="401" t="s">
        <v>2892</v>
      </c>
      <c r="K226" s="401" t="s">
        <v>2893</v>
      </c>
    </row>
    <row r="227" spans="1:11">
      <c r="A227" s="398"/>
      <c r="B227" s="399"/>
      <c r="C227" s="399"/>
      <c r="D227" s="402"/>
      <c r="E227" s="402"/>
      <c r="F227" s="400"/>
      <c r="G227" s="401" t="s">
        <v>2817</v>
      </c>
      <c r="H227" s="401" t="s">
        <v>2894</v>
      </c>
      <c r="I227" s="401" t="s">
        <v>94</v>
      </c>
      <c r="J227" s="401" t="s">
        <v>2895</v>
      </c>
      <c r="K227" s="401" t="s">
        <v>2896</v>
      </c>
    </row>
    <row r="228" spans="1:11">
      <c r="A228" s="398"/>
      <c r="B228" s="399"/>
      <c r="C228" s="399"/>
      <c r="D228" s="402" t="s">
        <v>2897</v>
      </c>
      <c r="E228" s="402" t="s">
        <v>2898</v>
      </c>
      <c r="F228" s="400" t="s">
        <v>425</v>
      </c>
      <c r="G228" s="401" t="s">
        <v>2899</v>
      </c>
      <c r="H228" s="401" t="s">
        <v>2900</v>
      </c>
      <c r="I228" s="401" t="s">
        <v>94</v>
      </c>
      <c r="J228" s="401" t="s">
        <v>2627</v>
      </c>
      <c r="K228" s="401" t="s">
        <v>2901</v>
      </c>
    </row>
    <row r="229" spans="1:11">
      <c r="A229" s="398"/>
      <c r="B229" s="399"/>
      <c r="C229" s="399"/>
      <c r="D229" s="402"/>
      <c r="E229" s="402"/>
      <c r="F229" s="400"/>
      <c r="G229" s="401" t="s">
        <v>2902</v>
      </c>
      <c r="H229" s="401" t="s">
        <v>2652</v>
      </c>
      <c r="I229" s="401" t="s">
        <v>2560</v>
      </c>
      <c r="J229" s="401" t="s">
        <v>2903</v>
      </c>
      <c r="K229" s="401" t="s">
        <v>2904</v>
      </c>
    </row>
    <row r="230" spans="1:11">
      <c r="A230" s="398"/>
      <c r="B230" s="399"/>
      <c r="C230" s="399" t="s">
        <v>2905</v>
      </c>
      <c r="D230" s="399" t="s">
        <v>2906</v>
      </c>
      <c r="E230" s="399" t="s">
        <v>2907</v>
      </c>
      <c r="F230" s="400" t="s">
        <v>20</v>
      </c>
      <c r="G230" s="401" t="s">
        <v>2908</v>
      </c>
      <c r="H230" s="401" t="s">
        <v>2909</v>
      </c>
      <c r="I230" s="401" t="s">
        <v>2545</v>
      </c>
      <c r="J230" s="401" t="s">
        <v>2910</v>
      </c>
      <c r="K230" s="401" t="s">
        <v>2911</v>
      </c>
    </row>
    <row r="231" spans="1:11">
      <c r="A231" s="398"/>
      <c r="B231" s="399"/>
      <c r="C231" s="399"/>
      <c r="D231" s="399"/>
      <c r="E231" s="399"/>
      <c r="F231" s="400"/>
      <c r="G231" s="401" t="s">
        <v>2912</v>
      </c>
      <c r="H231" s="401" t="s">
        <v>2913</v>
      </c>
      <c r="I231" s="401" t="s">
        <v>2560</v>
      </c>
      <c r="J231" s="401" t="s">
        <v>2823</v>
      </c>
      <c r="K231" s="401" t="s">
        <v>2914</v>
      </c>
    </row>
    <row r="232" spans="1:11">
      <c r="A232" s="398"/>
      <c r="B232" s="399"/>
      <c r="C232" s="399"/>
      <c r="D232" s="399" t="s">
        <v>2915</v>
      </c>
      <c r="E232" s="399" t="s">
        <v>2916</v>
      </c>
      <c r="F232" s="400" t="s">
        <v>20</v>
      </c>
      <c r="G232" s="401" t="s">
        <v>2917</v>
      </c>
      <c r="H232" s="401" t="s">
        <v>2918</v>
      </c>
      <c r="I232" s="401" t="s">
        <v>94</v>
      </c>
      <c r="J232" s="401" t="s">
        <v>2919</v>
      </c>
      <c r="K232" s="401" t="s">
        <v>2920</v>
      </c>
    </row>
    <row r="233" spans="1:11">
      <c r="A233" s="398"/>
      <c r="B233" s="399"/>
      <c r="C233" s="399"/>
      <c r="D233" s="399"/>
      <c r="E233" s="399"/>
      <c r="F233" s="400"/>
      <c r="G233" s="401" t="s">
        <v>2921</v>
      </c>
      <c r="H233" s="401" t="s">
        <v>2922</v>
      </c>
      <c r="I233" s="401" t="s">
        <v>94</v>
      </c>
      <c r="J233" s="401" t="s">
        <v>2923</v>
      </c>
      <c r="K233" s="401" t="s">
        <v>2924</v>
      </c>
    </row>
    <row r="234" spans="1:11">
      <c r="A234" s="398"/>
      <c r="B234" s="399"/>
      <c r="C234" s="399"/>
      <c r="D234" s="399" t="s">
        <v>2925</v>
      </c>
      <c r="E234" s="399" t="s">
        <v>2926</v>
      </c>
      <c r="F234" s="400" t="s">
        <v>20</v>
      </c>
      <c r="G234" s="401" t="s">
        <v>2927</v>
      </c>
      <c r="H234" s="401" t="s">
        <v>2928</v>
      </c>
      <c r="I234" s="401" t="s">
        <v>2545</v>
      </c>
      <c r="J234" s="401" t="s">
        <v>2929</v>
      </c>
      <c r="K234" s="401" t="s">
        <v>2930</v>
      </c>
    </row>
    <row r="235" spans="1:11">
      <c r="A235" s="398"/>
      <c r="B235" s="399"/>
      <c r="C235" s="399"/>
      <c r="D235" s="399"/>
      <c r="E235" s="399"/>
      <c r="F235" s="400"/>
      <c r="G235" s="401" t="s">
        <v>2931</v>
      </c>
      <c r="H235" s="401" t="s">
        <v>2932</v>
      </c>
      <c r="I235" s="401" t="s">
        <v>94</v>
      </c>
      <c r="J235" s="401" t="s">
        <v>2933</v>
      </c>
      <c r="K235" s="401" t="s">
        <v>2807</v>
      </c>
    </row>
    <row r="236" spans="1:11">
      <c r="A236" s="398"/>
      <c r="B236" s="399"/>
      <c r="C236" s="399"/>
      <c r="D236" s="399" t="s">
        <v>2934</v>
      </c>
      <c r="E236" s="399" t="s">
        <v>2935</v>
      </c>
      <c r="F236" s="400" t="s">
        <v>20</v>
      </c>
      <c r="G236" s="401" t="s">
        <v>2936</v>
      </c>
      <c r="H236" s="401" t="s">
        <v>2937</v>
      </c>
      <c r="I236" s="401" t="s">
        <v>94</v>
      </c>
      <c r="J236" s="401" t="s">
        <v>2938</v>
      </c>
      <c r="K236" s="401" t="s">
        <v>2939</v>
      </c>
    </row>
    <row r="237" spans="1:11">
      <c r="A237" s="398"/>
      <c r="B237" s="399"/>
      <c r="C237" s="399"/>
      <c r="D237" s="399"/>
      <c r="E237" s="399"/>
      <c r="F237" s="400"/>
      <c r="G237" s="401" t="s">
        <v>2940</v>
      </c>
      <c r="H237" s="401" t="s">
        <v>2941</v>
      </c>
      <c r="I237" s="401" t="s">
        <v>94</v>
      </c>
      <c r="J237" s="401" t="s">
        <v>2942</v>
      </c>
      <c r="K237" s="401" t="s">
        <v>2943</v>
      </c>
    </row>
    <row r="238" spans="1:11">
      <c r="A238" s="398"/>
      <c r="B238" s="399"/>
      <c r="C238" s="399"/>
      <c r="D238" s="399" t="s">
        <v>2944</v>
      </c>
      <c r="E238" s="399" t="s">
        <v>2945</v>
      </c>
      <c r="F238" s="400" t="s">
        <v>229</v>
      </c>
      <c r="G238" s="401" t="s">
        <v>2946</v>
      </c>
      <c r="H238" s="401" t="s">
        <v>2947</v>
      </c>
      <c r="I238" s="401" t="s">
        <v>2545</v>
      </c>
      <c r="J238" s="401" t="s">
        <v>2948</v>
      </c>
      <c r="K238" s="401" t="s">
        <v>2949</v>
      </c>
    </row>
    <row r="239" spans="1:11">
      <c r="A239" s="398"/>
      <c r="B239" s="399"/>
      <c r="C239" s="399"/>
      <c r="D239" s="399"/>
      <c r="E239" s="399"/>
      <c r="F239" s="400"/>
      <c r="G239" s="401" t="s">
        <v>2808</v>
      </c>
      <c r="H239" s="401" t="s">
        <v>2950</v>
      </c>
      <c r="I239" s="401" t="s">
        <v>94</v>
      </c>
      <c r="J239" s="401" t="s">
        <v>2951</v>
      </c>
      <c r="K239" s="401" t="s">
        <v>2952</v>
      </c>
    </row>
    <row r="240" spans="1:11">
      <c r="A240" s="398"/>
      <c r="B240" s="399"/>
      <c r="C240" s="399" t="s">
        <v>2953</v>
      </c>
      <c r="D240" s="399" t="s">
        <v>2954</v>
      </c>
      <c r="E240" s="399" t="s">
        <v>2955</v>
      </c>
      <c r="F240" s="400" t="s">
        <v>20</v>
      </c>
      <c r="G240" s="401" t="s">
        <v>2956</v>
      </c>
      <c r="H240" s="401" t="s">
        <v>2957</v>
      </c>
      <c r="I240" s="401" t="s">
        <v>2545</v>
      </c>
      <c r="J240" s="401" t="s">
        <v>2958</v>
      </c>
      <c r="K240" s="401" t="s">
        <v>2959</v>
      </c>
    </row>
    <row r="241" spans="1:11">
      <c r="A241" s="398"/>
      <c r="B241" s="399"/>
      <c r="C241" s="399"/>
      <c r="D241" s="399"/>
      <c r="E241" s="399"/>
      <c r="F241" s="400"/>
      <c r="G241" s="401" t="s">
        <v>2960</v>
      </c>
      <c r="H241" s="401" t="s">
        <v>2961</v>
      </c>
      <c r="I241" s="401" t="s">
        <v>94</v>
      </c>
      <c r="J241" s="401" t="s">
        <v>2962</v>
      </c>
      <c r="K241" s="401" t="s">
        <v>2963</v>
      </c>
    </row>
    <row r="242" spans="1:11">
      <c r="A242" s="398"/>
      <c r="B242" s="399"/>
      <c r="C242" s="399"/>
      <c r="D242" s="399" t="s">
        <v>2964</v>
      </c>
      <c r="E242" s="399" t="s">
        <v>2965</v>
      </c>
      <c r="F242" s="400" t="s">
        <v>425</v>
      </c>
      <c r="G242" s="401" t="s">
        <v>2966</v>
      </c>
      <c r="H242" s="401" t="s">
        <v>2967</v>
      </c>
      <c r="I242" s="401" t="s">
        <v>2545</v>
      </c>
      <c r="J242" s="401" t="s">
        <v>2968</v>
      </c>
      <c r="K242" s="401" t="s">
        <v>2969</v>
      </c>
    </row>
    <row r="243" spans="1:11">
      <c r="A243" s="398"/>
      <c r="B243" s="399"/>
      <c r="C243" s="399"/>
      <c r="D243" s="399"/>
      <c r="E243" s="399"/>
      <c r="F243" s="400"/>
      <c r="G243" s="401" t="s">
        <v>2789</v>
      </c>
      <c r="H243" s="401" t="s">
        <v>2970</v>
      </c>
      <c r="I243" s="401" t="s">
        <v>94</v>
      </c>
      <c r="J243" s="401" t="s">
        <v>1970</v>
      </c>
      <c r="K243" s="401" t="s">
        <v>2851</v>
      </c>
    </row>
    <row r="244" spans="1:11">
      <c r="A244" s="398"/>
      <c r="B244" s="399"/>
      <c r="C244" s="399"/>
      <c r="D244" s="399" t="s">
        <v>2971</v>
      </c>
      <c r="E244" s="399" t="s">
        <v>2972</v>
      </c>
      <c r="F244" s="400" t="s">
        <v>229</v>
      </c>
      <c r="G244" s="401" t="s">
        <v>2973</v>
      </c>
      <c r="H244" s="401" t="s">
        <v>2974</v>
      </c>
      <c r="I244" s="401" t="s">
        <v>2545</v>
      </c>
      <c r="J244" s="401" t="s">
        <v>2975</v>
      </c>
      <c r="K244" s="401" t="s">
        <v>2976</v>
      </c>
    </row>
    <row r="245" spans="1:11">
      <c r="A245" s="398"/>
      <c r="B245" s="399"/>
      <c r="C245" s="399"/>
      <c r="D245" s="399"/>
      <c r="E245" s="399"/>
      <c r="F245" s="400"/>
      <c r="G245" s="401" t="s">
        <v>2977</v>
      </c>
      <c r="H245" s="401" t="s">
        <v>2978</v>
      </c>
      <c r="I245" s="401" t="s">
        <v>94</v>
      </c>
      <c r="J245" s="401" t="s">
        <v>2979</v>
      </c>
      <c r="K245" s="401" t="s">
        <v>2980</v>
      </c>
    </row>
    <row r="246" spans="1:11">
      <c r="A246" s="398"/>
      <c r="B246" s="399"/>
      <c r="C246" s="399"/>
      <c r="D246" s="399" t="s">
        <v>2981</v>
      </c>
      <c r="E246" s="399" t="s">
        <v>2982</v>
      </c>
      <c r="F246" s="400" t="s">
        <v>20</v>
      </c>
      <c r="G246" s="401" t="s">
        <v>2983</v>
      </c>
      <c r="H246" s="401" t="s">
        <v>2984</v>
      </c>
      <c r="I246" s="401" t="s">
        <v>94</v>
      </c>
      <c r="J246" s="401" t="s">
        <v>2985</v>
      </c>
      <c r="K246" s="401" t="s">
        <v>2619</v>
      </c>
    </row>
    <row r="247" spans="1:11">
      <c r="A247" s="398"/>
      <c r="B247" s="399"/>
      <c r="C247" s="399"/>
      <c r="D247" s="399"/>
      <c r="E247" s="399"/>
      <c r="F247" s="400"/>
      <c r="G247" s="401" t="s">
        <v>2986</v>
      </c>
      <c r="H247" s="401" t="s">
        <v>2987</v>
      </c>
      <c r="I247" s="401" t="s">
        <v>94</v>
      </c>
      <c r="J247" s="401" t="s">
        <v>2988</v>
      </c>
      <c r="K247" s="401" t="s">
        <v>2673</v>
      </c>
    </row>
    <row r="248" spans="1:11">
      <c r="A248" s="398"/>
      <c r="B248" s="399"/>
      <c r="C248" s="399"/>
      <c r="D248" s="399" t="s">
        <v>2989</v>
      </c>
      <c r="E248" s="399" t="s">
        <v>2990</v>
      </c>
      <c r="F248" s="400" t="s">
        <v>20</v>
      </c>
      <c r="G248" s="401" t="s">
        <v>2991</v>
      </c>
      <c r="H248" s="401" t="s">
        <v>2992</v>
      </c>
      <c r="I248" s="401" t="s">
        <v>2545</v>
      </c>
      <c r="J248" s="401" t="s">
        <v>2993</v>
      </c>
      <c r="K248" s="401" t="s">
        <v>2829</v>
      </c>
    </row>
    <row r="249" spans="1:11">
      <c r="A249" s="398"/>
      <c r="B249" s="399"/>
      <c r="C249" s="399"/>
      <c r="D249" s="399"/>
      <c r="E249" s="399"/>
      <c r="F249" s="400"/>
      <c r="G249" s="401" t="s">
        <v>2994</v>
      </c>
      <c r="H249" s="401" t="s">
        <v>2566</v>
      </c>
      <c r="I249" s="401" t="s">
        <v>94</v>
      </c>
      <c r="J249" s="401" t="s">
        <v>2995</v>
      </c>
      <c r="K249" s="401" t="s">
        <v>2996</v>
      </c>
    </row>
    <row r="250" spans="1:11">
      <c r="A250" s="398"/>
      <c r="B250" s="399"/>
      <c r="C250" s="399" t="s">
        <v>2997</v>
      </c>
      <c r="D250" s="401" t="s">
        <v>2998</v>
      </c>
      <c r="E250" s="401" t="s">
        <v>2999</v>
      </c>
      <c r="F250" s="403" t="s">
        <v>20</v>
      </c>
      <c r="G250" s="401" t="s">
        <v>3000</v>
      </c>
      <c r="H250" s="401" t="s">
        <v>3001</v>
      </c>
      <c r="I250" s="401" t="s">
        <v>2545</v>
      </c>
      <c r="J250" s="401" t="s">
        <v>3002</v>
      </c>
      <c r="K250" s="401" t="s">
        <v>3003</v>
      </c>
    </row>
    <row r="251" spans="1:11">
      <c r="A251" s="398"/>
      <c r="B251" s="399"/>
      <c r="C251" s="399"/>
      <c r="D251" s="401" t="s">
        <v>3004</v>
      </c>
      <c r="E251" s="401" t="s">
        <v>3005</v>
      </c>
      <c r="F251" s="403" t="s">
        <v>229</v>
      </c>
      <c r="G251" s="401" t="s">
        <v>3006</v>
      </c>
      <c r="H251" s="401" t="s">
        <v>3007</v>
      </c>
      <c r="I251" s="401" t="s">
        <v>2545</v>
      </c>
      <c r="J251" s="401" t="s">
        <v>3008</v>
      </c>
      <c r="K251" s="401" t="s">
        <v>3009</v>
      </c>
    </row>
    <row r="252" spans="1:11">
      <c r="A252" s="398"/>
      <c r="B252" s="399"/>
      <c r="C252" s="399"/>
      <c r="D252" s="401" t="s">
        <v>3010</v>
      </c>
      <c r="E252" s="401" t="s">
        <v>3011</v>
      </c>
      <c r="F252" s="403" t="s">
        <v>425</v>
      </c>
      <c r="G252" s="401" t="s">
        <v>3012</v>
      </c>
      <c r="H252" s="401" t="s">
        <v>3013</v>
      </c>
      <c r="I252" s="401" t="s">
        <v>2545</v>
      </c>
      <c r="J252" s="401" t="s">
        <v>3014</v>
      </c>
      <c r="K252" s="401" t="s">
        <v>3015</v>
      </c>
    </row>
    <row r="253" spans="1:11">
      <c r="A253" s="398"/>
      <c r="B253" s="399"/>
      <c r="C253" s="399"/>
      <c r="D253" s="401" t="s">
        <v>3016</v>
      </c>
      <c r="E253" s="401" t="s">
        <v>3017</v>
      </c>
      <c r="F253" s="403" t="s">
        <v>229</v>
      </c>
      <c r="G253" s="401" t="s">
        <v>3018</v>
      </c>
      <c r="H253" s="401" t="s">
        <v>3019</v>
      </c>
      <c r="I253" s="401" t="s">
        <v>2545</v>
      </c>
      <c r="J253" s="401" t="s">
        <v>2688</v>
      </c>
      <c r="K253" s="401" t="s">
        <v>3020</v>
      </c>
    </row>
    <row r="254" spans="1:11">
      <c r="A254" s="398"/>
      <c r="B254" s="399"/>
      <c r="C254" s="399"/>
      <c r="D254" s="401" t="s">
        <v>3021</v>
      </c>
      <c r="E254" s="401" t="s">
        <v>3022</v>
      </c>
      <c r="F254" s="403" t="s">
        <v>20</v>
      </c>
      <c r="G254" s="401" t="s">
        <v>3023</v>
      </c>
      <c r="H254" s="401" t="s">
        <v>3024</v>
      </c>
      <c r="I254" s="401" t="s">
        <v>2545</v>
      </c>
      <c r="J254" s="401" t="s">
        <v>2658</v>
      </c>
      <c r="K254" s="401" t="s">
        <v>3025</v>
      </c>
    </row>
    <row r="255" spans="1:11">
      <c r="A255" s="398"/>
      <c r="B255" s="399" t="s">
        <v>3026</v>
      </c>
      <c r="C255" s="399" t="s">
        <v>3027</v>
      </c>
      <c r="D255" s="401" t="s">
        <v>3028</v>
      </c>
      <c r="E255" s="401" t="s">
        <v>3029</v>
      </c>
      <c r="F255" s="403" t="s">
        <v>425</v>
      </c>
      <c r="G255" s="401" t="s">
        <v>3030</v>
      </c>
      <c r="H255" s="401" t="s">
        <v>3031</v>
      </c>
      <c r="I255" s="401" t="s">
        <v>2545</v>
      </c>
      <c r="J255" s="401" t="s">
        <v>3032</v>
      </c>
      <c r="K255" s="401" t="s">
        <v>3033</v>
      </c>
    </row>
    <row r="256" spans="1:11">
      <c r="A256" s="398"/>
      <c r="B256" s="399"/>
      <c r="C256" s="399"/>
      <c r="D256" s="401" t="s">
        <v>3034</v>
      </c>
      <c r="E256" s="401" t="s">
        <v>3035</v>
      </c>
      <c r="F256" s="403" t="s">
        <v>229</v>
      </c>
      <c r="G256" s="401" t="s">
        <v>3036</v>
      </c>
      <c r="H256" s="401" t="s">
        <v>3037</v>
      </c>
      <c r="I256" s="401" t="s">
        <v>94</v>
      </c>
      <c r="J256" s="401" t="s">
        <v>3038</v>
      </c>
      <c r="K256" s="401" t="s">
        <v>2673</v>
      </c>
    </row>
    <row r="257" spans="1:11">
      <c r="A257" s="398"/>
      <c r="B257" s="399"/>
      <c r="C257" s="399"/>
      <c r="D257" s="401" t="s">
        <v>3039</v>
      </c>
      <c r="E257" s="401" t="s">
        <v>3040</v>
      </c>
      <c r="F257" s="403" t="s">
        <v>20</v>
      </c>
      <c r="G257" s="401" t="s">
        <v>3041</v>
      </c>
      <c r="H257" s="401" t="s">
        <v>3042</v>
      </c>
      <c r="I257" s="401" t="s">
        <v>94</v>
      </c>
      <c r="J257" s="401" t="s">
        <v>3043</v>
      </c>
      <c r="K257" s="401" t="s">
        <v>3044</v>
      </c>
    </row>
    <row r="258" spans="1:11">
      <c r="A258" s="398"/>
      <c r="B258" s="399"/>
      <c r="C258" s="399"/>
      <c r="D258" s="401" t="s">
        <v>3045</v>
      </c>
      <c r="E258" s="401" t="s">
        <v>3046</v>
      </c>
      <c r="F258" s="403" t="s">
        <v>20</v>
      </c>
      <c r="G258" s="401" t="s">
        <v>3047</v>
      </c>
      <c r="H258" s="401" t="s">
        <v>3048</v>
      </c>
      <c r="I258" s="401" t="s">
        <v>2545</v>
      </c>
      <c r="J258" s="401" t="s">
        <v>3049</v>
      </c>
      <c r="K258" s="401" t="s">
        <v>3050</v>
      </c>
    </row>
    <row r="259" spans="1:11">
      <c r="A259" s="398"/>
      <c r="B259" s="399"/>
      <c r="C259" s="399"/>
      <c r="D259" s="401" t="s">
        <v>3051</v>
      </c>
      <c r="E259" s="401" t="s">
        <v>3052</v>
      </c>
      <c r="F259" s="403" t="s">
        <v>229</v>
      </c>
      <c r="G259" s="401" t="s">
        <v>2579</v>
      </c>
      <c r="H259" s="401" t="s">
        <v>3053</v>
      </c>
      <c r="I259" s="401" t="s">
        <v>2545</v>
      </c>
      <c r="J259" s="401" t="s">
        <v>3054</v>
      </c>
      <c r="K259" s="401" t="s">
        <v>3055</v>
      </c>
    </row>
    <row r="260" spans="1:11">
      <c r="A260" s="398"/>
      <c r="B260" s="399"/>
      <c r="C260" s="399" t="s">
        <v>3056</v>
      </c>
      <c r="D260" s="401" t="s">
        <v>3057</v>
      </c>
      <c r="E260" s="401" t="s">
        <v>3058</v>
      </c>
      <c r="F260" s="403" t="s">
        <v>425</v>
      </c>
      <c r="G260" s="401" t="s">
        <v>3059</v>
      </c>
      <c r="H260" s="401" t="s">
        <v>3060</v>
      </c>
      <c r="I260" s="401" t="s">
        <v>2545</v>
      </c>
      <c r="J260" s="401" t="s">
        <v>3061</v>
      </c>
      <c r="K260" s="401" t="s">
        <v>2669</v>
      </c>
    </row>
    <row r="261" spans="1:11">
      <c r="A261" s="398"/>
      <c r="B261" s="399"/>
      <c r="C261" s="399"/>
      <c r="D261" s="401" t="s">
        <v>3062</v>
      </c>
      <c r="E261" s="401" t="s">
        <v>3063</v>
      </c>
      <c r="F261" s="403" t="s">
        <v>20</v>
      </c>
      <c r="G261" s="401" t="s">
        <v>3064</v>
      </c>
      <c r="H261" s="401" t="s">
        <v>3065</v>
      </c>
      <c r="I261" s="401" t="s">
        <v>94</v>
      </c>
      <c r="J261" s="401" t="s">
        <v>3066</v>
      </c>
      <c r="K261" s="401" t="s">
        <v>3067</v>
      </c>
    </row>
    <row r="262" spans="1:11">
      <c r="A262" s="398"/>
      <c r="B262" s="399"/>
      <c r="C262" s="399"/>
      <c r="D262" s="401" t="s">
        <v>3068</v>
      </c>
      <c r="E262" s="401" t="s">
        <v>3069</v>
      </c>
      <c r="F262" s="403" t="s">
        <v>229</v>
      </c>
      <c r="G262" s="401" t="s">
        <v>3070</v>
      </c>
      <c r="H262" s="401" t="s">
        <v>3071</v>
      </c>
      <c r="I262" s="401" t="s">
        <v>94</v>
      </c>
      <c r="J262" s="401" t="s">
        <v>3072</v>
      </c>
      <c r="K262" s="401" t="s">
        <v>3073</v>
      </c>
    </row>
    <row r="263" spans="1:11">
      <c r="A263" s="398"/>
      <c r="B263" s="399"/>
      <c r="C263" s="399"/>
      <c r="D263" s="401" t="s">
        <v>3074</v>
      </c>
      <c r="E263" s="401" t="s">
        <v>3075</v>
      </c>
      <c r="F263" s="403" t="s">
        <v>425</v>
      </c>
      <c r="G263" s="401" t="s">
        <v>2808</v>
      </c>
      <c r="H263" s="401" t="s">
        <v>3076</v>
      </c>
      <c r="I263" s="401" t="s">
        <v>94</v>
      </c>
      <c r="J263" s="401" t="s">
        <v>2778</v>
      </c>
      <c r="K263" s="401" t="s">
        <v>3077</v>
      </c>
    </row>
    <row r="264" spans="1:11">
      <c r="A264" s="398"/>
      <c r="B264" s="399"/>
      <c r="C264" s="399"/>
      <c r="D264" s="401" t="s">
        <v>3078</v>
      </c>
      <c r="E264" s="401" t="s">
        <v>3079</v>
      </c>
      <c r="F264" s="403" t="s">
        <v>425</v>
      </c>
      <c r="G264" s="401" t="s">
        <v>3080</v>
      </c>
      <c r="H264" s="401" t="s">
        <v>3081</v>
      </c>
      <c r="I264" s="401" t="s">
        <v>2545</v>
      </c>
      <c r="J264" s="401" t="s">
        <v>3082</v>
      </c>
      <c r="K264" s="401" t="s">
        <v>3083</v>
      </c>
    </row>
    <row r="265" spans="1:11">
      <c r="A265" s="398"/>
      <c r="B265" s="399"/>
      <c r="C265" s="399" t="s">
        <v>3084</v>
      </c>
      <c r="D265" s="401" t="s">
        <v>3085</v>
      </c>
      <c r="E265" s="401" t="s">
        <v>3086</v>
      </c>
      <c r="F265" s="403" t="s">
        <v>20</v>
      </c>
      <c r="G265" s="401" t="s">
        <v>3087</v>
      </c>
      <c r="H265" s="401" t="s">
        <v>3088</v>
      </c>
      <c r="I265" s="401" t="s">
        <v>2545</v>
      </c>
      <c r="J265" s="401" t="s">
        <v>3089</v>
      </c>
      <c r="K265" s="401" t="s">
        <v>3090</v>
      </c>
    </row>
    <row r="266" spans="1:11">
      <c r="A266" s="398"/>
      <c r="B266" s="399"/>
      <c r="C266" s="399"/>
      <c r="D266" s="401" t="s">
        <v>3091</v>
      </c>
      <c r="E266" s="401" t="s">
        <v>3092</v>
      </c>
      <c r="F266" s="403" t="s">
        <v>229</v>
      </c>
      <c r="G266" s="401" t="s">
        <v>3093</v>
      </c>
      <c r="H266" s="401" t="s">
        <v>3094</v>
      </c>
      <c r="I266" s="401" t="s">
        <v>2545</v>
      </c>
      <c r="J266" s="401" t="s">
        <v>2587</v>
      </c>
      <c r="K266" s="401" t="s">
        <v>3095</v>
      </c>
    </row>
    <row r="267" spans="1:11">
      <c r="A267" s="398"/>
      <c r="B267" s="399"/>
      <c r="C267" s="399"/>
      <c r="D267" s="401" t="s">
        <v>3096</v>
      </c>
      <c r="E267" s="401" t="s">
        <v>3097</v>
      </c>
      <c r="F267" s="403" t="s">
        <v>20</v>
      </c>
      <c r="G267" s="401" t="s">
        <v>3098</v>
      </c>
      <c r="H267" s="401" t="s">
        <v>2910</v>
      </c>
      <c r="I267" s="401" t="s">
        <v>2545</v>
      </c>
      <c r="J267" s="401" t="s">
        <v>3099</v>
      </c>
      <c r="K267" s="401" t="s">
        <v>3100</v>
      </c>
    </row>
    <row r="268" spans="1:11">
      <c r="A268" s="398"/>
      <c r="B268" s="399"/>
      <c r="C268" s="399"/>
      <c r="D268" s="401" t="s">
        <v>3101</v>
      </c>
      <c r="E268" s="401" t="s">
        <v>3102</v>
      </c>
      <c r="F268" s="403" t="s">
        <v>425</v>
      </c>
      <c r="G268" s="401" t="s">
        <v>3103</v>
      </c>
      <c r="H268" s="401" t="s">
        <v>2770</v>
      </c>
      <c r="I268" s="401" t="s">
        <v>2545</v>
      </c>
      <c r="J268" s="401" t="s">
        <v>3104</v>
      </c>
      <c r="K268" s="401" t="s">
        <v>3105</v>
      </c>
    </row>
    <row r="269" spans="1:11">
      <c r="A269" s="398"/>
      <c r="B269" s="399"/>
      <c r="C269" s="399"/>
      <c r="D269" s="401" t="s">
        <v>3106</v>
      </c>
      <c r="E269" s="401" t="s">
        <v>3107</v>
      </c>
      <c r="F269" s="403" t="s">
        <v>229</v>
      </c>
      <c r="G269" s="401" t="s">
        <v>3108</v>
      </c>
      <c r="H269" s="401" t="s">
        <v>3109</v>
      </c>
      <c r="I269" s="401" t="s">
        <v>94</v>
      </c>
      <c r="J269" s="401" t="s">
        <v>3110</v>
      </c>
      <c r="K269" s="401" t="s">
        <v>3111</v>
      </c>
    </row>
    <row r="270" spans="1:11">
      <c r="A270" s="398"/>
      <c r="B270" s="399"/>
      <c r="C270" s="399" t="s">
        <v>3112</v>
      </c>
      <c r="D270" s="401" t="s">
        <v>3113</v>
      </c>
      <c r="E270" s="401" t="s">
        <v>3114</v>
      </c>
      <c r="F270" s="403" t="s">
        <v>20</v>
      </c>
      <c r="G270" s="401" t="s">
        <v>3115</v>
      </c>
      <c r="H270" s="401" t="s">
        <v>3116</v>
      </c>
      <c r="I270" s="401" t="s">
        <v>2545</v>
      </c>
      <c r="J270" s="401" t="s">
        <v>2672</v>
      </c>
      <c r="K270" s="401" t="s">
        <v>3117</v>
      </c>
    </row>
    <row r="271" spans="1:11">
      <c r="A271" s="398"/>
      <c r="B271" s="399"/>
      <c r="C271" s="399"/>
      <c r="D271" s="401" t="s">
        <v>3118</v>
      </c>
      <c r="E271" s="401" t="s">
        <v>3119</v>
      </c>
      <c r="F271" s="403" t="s">
        <v>229</v>
      </c>
      <c r="G271" s="401" t="s">
        <v>3120</v>
      </c>
      <c r="H271" s="401" t="s">
        <v>3121</v>
      </c>
      <c r="I271" s="401" t="s">
        <v>94</v>
      </c>
      <c r="J271" s="401" t="s">
        <v>3122</v>
      </c>
      <c r="K271" s="401" t="s">
        <v>3123</v>
      </c>
    </row>
    <row r="272" spans="1:11">
      <c r="A272" s="398"/>
      <c r="B272" s="399"/>
      <c r="C272" s="399"/>
      <c r="D272" s="401" t="s">
        <v>3124</v>
      </c>
      <c r="E272" s="401" t="s">
        <v>3125</v>
      </c>
      <c r="F272" s="403" t="s">
        <v>425</v>
      </c>
      <c r="G272" s="401" t="s">
        <v>2860</v>
      </c>
      <c r="H272" s="401" t="s">
        <v>3126</v>
      </c>
      <c r="I272" s="401" t="s">
        <v>94</v>
      </c>
      <c r="J272" s="401" t="s">
        <v>3127</v>
      </c>
      <c r="K272" s="401" t="s">
        <v>3128</v>
      </c>
    </row>
    <row r="273" spans="1:11">
      <c r="A273" s="398"/>
      <c r="B273" s="399"/>
      <c r="C273" s="399"/>
      <c r="D273" s="401" t="s">
        <v>3129</v>
      </c>
      <c r="E273" s="401" t="s">
        <v>3130</v>
      </c>
      <c r="F273" s="403" t="s">
        <v>20</v>
      </c>
      <c r="G273" s="401" t="s">
        <v>3131</v>
      </c>
      <c r="H273" s="401" t="s">
        <v>3132</v>
      </c>
      <c r="I273" s="401" t="s">
        <v>94</v>
      </c>
      <c r="J273" s="401" t="s">
        <v>3133</v>
      </c>
      <c r="K273" s="401" t="s">
        <v>3134</v>
      </c>
    </row>
    <row r="274" spans="1:11">
      <c r="A274" s="398"/>
      <c r="B274" s="399"/>
      <c r="C274" s="399"/>
      <c r="D274" s="401" t="s">
        <v>3135</v>
      </c>
      <c r="E274" s="401" t="s">
        <v>3136</v>
      </c>
      <c r="F274" s="403" t="s">
        <v>229</v>
      </c>
      <c r="G274" s="401" t="s">
        <v>3137</v>
      </c>
      <c r="H274" s="401" t="s">
        <v>3138</v>
      </c>
      <c r="I274" s="401" t="s">
        <v>2545</v>
      </c>
      <c r="J274" s="401" t="s">
        <v>3139</v>
      </c>
      <c r="K274" s="401" t="s">
        <v>3140</v>
      </c>
    </row>
    <row r="275" spans="1:11">
      <c r="A275" s="398"/>
      <c r="B275" s="399"/>
      <c r="C275" s="399" t="s">
        <v>3141</v>
      </c>
      <c r="D275" s="401" t="s">
        <v>3142</v>
      </c>
      <c r="E275" s="401" t="s">
        <v>3143</v>
      </c>
      <c r="F275" s="403" t="s">
        <v>425</v>
      </c>
      <c r="G275" s="401" t="s">
        <v>3144</v>
      </c>
      <c r="H275" s="401" t="s">
        <v>3145</v>
      </c>
      <c r="I275" s="401" t="s">
        <v>94</v>
      </c>
      <c r="J275" s="401" t="s">
        <v>2923</v>
      </c>
      <c r="K275" s="401" t="s">
        <v>3146</v>
      </c>
    </row>
    <row r="276" spans="1:11">
      <c r="A276" s="398"/>
      <c r="B276" s="399"/>
      <c r="C276" s="399"/>
      <c r="D276" s="401" t="s">
        <v>3147</v>
      </c>
      <c r="E276" s="401" t="s">
        <v>3148</v>
      </c>
      <c r="F276" s="403" t="s">
        <v>229</v>
      </c>
      <c r="G276" s="401" t="s">
        <v>3149</v>
      </c>
      <c r="H276" s="401" t="s">
        <v>3150</v>
      </c>
      <c r="I276" s="401" t="s">
        <v>94</v>
      </c>
      <c r="J276" s="401" t="s">
        <v>3151</v>
      </c>
      <c r="K276" s="401" t="s">
        <v>3152</v>
      </c>
    </row>
    <row r="277" spans="1:11">
      <c r="A277" s="398"/>
      <c r="B277" s="399"/>
      <c r="C277" s="399"/>
      <c r="D277" s="401" t="s">
        <v>3153</v>
      </c>
      <c r="E277" s="401" t="s">
        <v>3154</v>
      </c>
      <c r="F277" s="403" t="s">
        <v>20</v>
      </c>
      <c r="G277" s="401" t="s">
        <v>3155</v>
      </c>
      <c r="H277" s="401" t="s">
        <v>3156</v>
      </c>
      <c r="I277" s="401" t="s">
        <v>2545</v>
      </c>
      <c r="J277" s="401" t="s">
        <v>2791</v>
      </c>
      <c r="K277" s="401" t="s">
        <v>3157</v>
      </c>
    </row>
    <row r="278" spans="1:11">
      <c r="A278" s="398"/>
      <c r="B278" s="399"/>
      <c r="C278" s="399"/>
      <c r="D278" s="401" t="s">
        <v>3158</v>
      </c>
      <c r="E278" s="401" t="s">
        <v>3159</v>
      </c>
      <c r="F278" s="403" t="s">
        <v>425</v>
      </c>
      <c r="G278" s="401" t="s">
        <v>3160</v>
      </c>
      <c r="H278" s="401" t="s">
        <v>3161</v>
      </c>
      <c r="I278" s="401" t="s">
        <v>2560</v>
      </c>
      <c r="J278" s="401" t="s">
        <v>3162</v>
      </c>
      <c r="K278" s="401" t="s">
        <v>3163</v>
      </c>
    </row>
    <row r="279" spans="1:11">
      <c r="A279" s="398"/>
      <c r="B279" s="399"/>
      <c r="C279" s="399"/>
      <c r="D279" s="401" t="s">
        <v>3164</v>
      </c>
      <c r="E279" s="401" t="s">
        <v>3165</v>
      </c>
      <c r="F279" s="403" t="s">
        <v>20</v>
      </c>
      <c r="G279" s="401" t="s">
        <v>2931</v>
      </c>
      <c r="H279" s="401" t="s">
        <v>3071</v>
      </c>
      <c r="I279" s="401" t="s">
        <v>94</v>
      </c>
      <c r="J279" s="401" t="s">
        <v>3166</v>
      </c>
      <c r="K279" s="401" t="s">
        <v>3167</v>
      </c>
    </row>
    <row r="280" spans="1:11">
      <c r="A280" s="398"/>
      <c r="B280" s="399" t="s">
        <v>3168</v>
      </c>
      <c r="C280" s="399" t="s">
        <v>3169</v>
      </c>
      <c r="D280" s="401" t="s">
        <v>3170</v>
      </c>
      <c r="E280" s="401" t="s">
        <v>3171</v>
      </c>
      <c r="F280" s="403" t="s">
        <v>229</v>
      </c>
      <c r="G280" s="401" t="s">
        <v>3172</v>
      </c>
      <c r="H280" s="401" t="s">
        <v>3173</v>
      </c>
      <c r="I280" s="401" t="s">
        <v>2545</v>
      </c>
      <c r="J280" s="401" t="s">
        <v>3174</v>
      </c>
      <c r="K280" s="401" t="s">
        <v>2700</v>
      </c>
    </row>
    <row r="281" spans="1:11">
      <c r="A281" s="398"/>
      <c r="B281" s="399"/>
      <c r="C281" s="399"/>
      <c r="D281" s="401" t="s">
        <v>3175</v>
      </c>
      <c r="E281" s="401" t="s">
        <v>3176</v>
      </c>
      <c r="F281" s="403" t="s">
        <v>425</v>
      </c>
      <c r="G281" s="401" t="s">
        <v>3177</v>
      </c>
      <c r="H281" s="401" t="s">
        <v>3178</v>
      </c>
      <c r="I281" s="401" t="s">
        <v>94</v>
      </c>
      <c r="J281" s="401" t="s">
        <v>3179</v>
      </c>
      <c r="K281" s="401" t="s">
        <v>3180</v>
      </c>
    </row>
    <row r="282" spans="1:11">
      <c r="A282" s="398"/>
      <c r="B282" s="399"/>
      <c r="C282" s="399"/>
      <c r="D282" s="401" t="s">
        <v>3181</v>
      </c>
      <c r="E282" s="401" t="s">
        <v>3182</v>
      </c>
      <c r="F282" s="403" t="s">
        <v>229</v>
      </c>
      <c r="G282" s="401" t="s">
        <v>3183</v>
      </c>
      <c r="H282" s="401" t="s">
        <v>3184</v>
      </c>
      <c r="I282" s="401" t="s">
        <v>94</v>
      </c>
      <c r="J282" s="401" t="s">
        <v>3185</v>
      </c>
      <c r="K282" s="401" t="s">
        <v>3186</v>
      </c>
    </row>
    <row r="283" spans="1:11">
      <c r="A283" s="398"/>
      <c r="B283" s="399"/>
      <c r="C283" s="399"/>
      <c r="D283" s="401" t="s">
        <v>3187</v>
      </c>
      <c r="E283" s="401" t="s">
        <v>3188</v>
      </c>
      <c r="F283" s="403" t="s">
        <v>20</v>
      </c>
      <c r="G283" s="401" t="s">
        <v>3189</v>
      </c>
      <c r="H283" s="401" t="s">
        <v>3190</v>
      </c>
      <c r="I283" s="401" t="s">
        <v>94</v>
      </c>
      <c r="J283" s="401" t="s">
        <v>3191</v>
      </c>
      <c r="K283" s="401" t="s">
        <v>3192</v>
      </c>
    </row>
    <row r="284" spans="1:11">
      <c r="A284" s="398"/>
      <c r="B284" s="399"/>
      <c r="C284" s="399"/>
      <c r="D284" s="401" t="s">
        <v>3193</v>
      </c>
      <c r="E284" s="401" t="s">
        <v>3194</v>
      </c>
      <c r="F284" s="403" t="s">
        <v>229</v>
      </c>
      <c r="G284" s="401" t="s">
        <v>2841</v>
      </c>
      <c r="H284" s="401" t="s">
        <v>3195</v>
      </c>
      <c r="I284" s="401" t="s">
        <v>94</v>
      </c>
      <c r="J284" s="401" t="s">
        <v>3196</v>
      </c>
      <c r="K284" s="401" t="s">
        <v>3197</v>
      </c>
    </row>
    <row r="285" spans="1:11">
      <c r="A285" s="398"/>
      <c r="B285" s="399"/>
      <c r="C285" s="399" t="s">
        <v>3198</v>
      </c>
      <c r="D285" s="401" t="s">
        <v>3199</v>
      </c>
      <c r="E285" s="401" t="s">
        <v>3200</v>
      </c>
      <c r="F285" s="403" t="s">
        <v>425</v>
      </c>
      <c r="G285" s="401" t="s">
        <v>3201</v>
      </c>
      <c r="H285" s="401" t="s">
        <v>3202</v>
      </c>
      <c r="I285" s="401" t="s">
        <v>2545</v>
      </c>
      <c r="J285" s="401" t="s">
        <v>3203</v>
      </c>
      <c r="K285" s="401" t="s">
        <v>3204</v>
      </c>
    </row>
    <row r="286" spans="1:11">
      <c r="A286" s="398"/>
      <c r="B286" s="399"/>
      <c r="C286" s="399"/>
      <c r="D286" s="401" t="s">
        <v>3205</v>
      </c>
      <c r="E286" s="401" t="s">
        <v>3206</v>
      </c>
      <c r="F286" s="403" t="s">
        <v>20</v>
      </c>
      <c r="G286" s="401" t="s">
        <v>3207</v>
      </c>
      <c r="H286" s="401" t="s">
        <v>3208</v>
      </c>
      <c r="I286" s="401" t="s">
        <v>2560</v>
      </c>
      <c r="J286" s="401" t="s">
        <v>2612</v>
      </c>
      <c r="K286" s="401" t="s">
        <v>2673</v>
      </c>
    </row>
    <row r="287" spans="1:11">
      <c r="A287" s="398"/>
      <c r="B287" s="399"/>
      <c r="C287" s="399"/>
      <c r="D287" s="401" t="s">
        <v>3209</v>
      </c>
      <c r="E287" s="401" t="s">
        <v>3210</v>
      </c>
      <c r="F287" s="403" t="s">
        <v>229</v>
      </c>
      <c r="G287" s="401" t="s">
        <v>3211</v>
      </c>
      <c r="H287" s="401" t="s">
        <v>3212</v>
      </c>
      <c r="I287" s="401" t="s">
        <v>94</v>
      </c>
      <c r="J287" s="401" t="s">
        <v>2756</v>
      </c>
      <c r="K287" s="401" t="s">
        <v>3213</v>
      </c>
    </row>
    <row r="288" spans="1:11">
      <c r="A288" s="398"/>
      <c r="B288" s="399"/>
      <c r="C288" s="399"/>
      <c r="D288" s="401" t="s">
        <v>3214</v>
      </c>
      <c r="E288" s="401" t="s">
        <v>3215</v>
      </c>
      <c r="F288" s="403" t="s">
        <v>20</v>
      </c>
      <c r="G288" s="401" t="s">
        <v>3216</v>
      </c>
      <c r="H288" s="401" t="s">
        <v>3217</v>
      </c>
      <c r="I288" s="401" t="s">
        <v>2545</v>
      </c>
      <c r="J288" s="401" t="s">
        <v>2648</v>
      </c>
      <c r="K288" s="401" t="s">
        <v>3218</v>
      </c>
    </row>
    <row r="289" spans="1:11">
      <c r="A289" s="398"/>
      <c r="B289" s="399"/>
      <c r="C289" s="399"/>
      <c r="D289" s="401" t="s">
        <v>3219</v>
      </c>
      <c r="E289" s="401" t="s">
        <v>3220</v>
      </c>
      <c r="F289" s="403" t="s">
        <v>425</v>
      </c>
      <c r="G289" s="401" t="s">
        <v>3221</v>
      </c>
      <c r="H289" s="401" t="s">
        <v>3222</v>
      </c>
      <c r="I289" s="401" t="s">
        <v>2545</v>
      </c>
      <c r="J289" s="401" t="s">
        <v>3223</v>
      </c>
      <c r="K289" s="401" t="s">
        <v>3224</v>
      </c>
    </row>
    <row r="290" spans="1:11" ht="30">
      <c r="A290" s="398"/>
      <c r="B290" s="399"/>
      <c r="C290" s="399" t="s">
        <v>3225</v>
      </c>
      <c r="D290" s="401" t="s">
        <v>3226</v>
      </c>
      <c r="E290" s="401" t="s">
        <v>3227</v>
      </c>
      <c r="F290" s="403" t="s">
        <v>229</v>
      </c>
      <c r="G290" s="401" t="s">
        <v>3228</v>
      </c>
      <c r="H290" s="401" t="s">
        <v>3229</v>
      </c>
      <c r="I290" s="401" t="s">
        <v>2545</v>
      </c>
      <c r="J290" s="401" t="s">
        <v>2667</v>
      </c>
      <c r="K290" s="401" t="s">
        <v>3230</v>
      </c>
    </row>
    <row r="291" spans="1:11">
      <c r="A291" s="398"/>
      <c r="B291" s="399"/>
      <c r="C291" s="399"/>
      <c r="D291" s="401" t="s">
        <v>3231</v>
      </c>
      <c r="E291" s="401" t="s">
        <v>3232</v>
      </c>
      <c r="F291" s="403" t="s">
        <v>20</v>
      </c>
      <c r="G291" s="401" t="s">
        <v>3233</v>
      </c>
      <c r="H291" s="401" t="s">
        <v>3234</v>
      </c>
      <c r="I291" s="401" t="s">
        <v>94</v>
      </c>
      <c r="J291" s="401" t="s">
        <v>3235</v>
      </c>
      <c r="K291" s="401" t="s">
        <v>3236</v>
      </c>
    </row>
    <row r="292" spans="1:11">
      <c r="A292" s="398"/>
      <c r="B292" s="399"/>
      <c r="C292" s="399"/>
      <c r="D292" s="401" t="s">
        <v>3237</v>
      </c>
      <c r="E292" s="401" t="s">
        <v>3238</v>
      </c>
      <c r="F292" s="403" t="s">
        <v>425</v>
      </c>
      <c r="G292" s="401" t="s">
        <v>3239</v>
      </c>
      <c r="H292" s="401" t="s">
        <v>3240</v>
      </c>
      <c r="I292" s="401" t="s">
        <v>94</v>
      </c>
      <c r="J292" s="401" t="s">
        <v>3241</v>
      </c>
      <c r="K292" s="401" t="s">
        <v>3242</v>
      </c>
    </row>
    <row r="293" spans="1:11">
      <c r="A293" s="398"/>
      <c r="B293" s="399"/>
      <c r="C293" s="399"/>
      <c r="D293" s="401" t="s">
        <v>3243</v>
      </c>
      <c r="E293" s="401" t="s">
        <v>3244</v>
      </c>
      <c r="F293" s="403" t="s">
        <v>229</v>
      </c>
      <c r="G293" s="401" t="s">
        <v>3245</v>
      </c>
      <c r="H293" s="401" t="s">
        <v>3246</v>
      </c>
      <c r="I293" s="401" t="s">
        <v>2545</v>
      </c>
      <c r="J293" s="401" t="s">
        <v>3247</v>
      </c>
      <c r="K293" s="401" t="s">
        <v>3248</v>
      </c>
    </row>
    <row r="294" spans="1:11">
      <c r="A294" s="398"/>
      <c r="B294" s="399"/>
      <c r="C294" s="399"/>
      <c r="D294" s="401" t="s">
        <v>3249</v>
      </c>
      <c r="E294" s="401" t="s">
        <v>3250</v>
      </c>
      <c r="F294" s="403" t="s">
        <v>20</v>
      </c>
      <c r="G294" s="401" t="s">
        <v>3251</v>
      </c>
      <c r="H294" s="401" t="s">
        <v>3252</v>
      </c>
      <c r="I294" s="401" t="s">
        <v>94</v>
      </c>
      <c r="J294" s="401" t="s">
        <v>3253</v>
      </c>
      <c r="K294" s="401" t="s">
        <v>3254</v>
      </c>
    </row>
    <row r="295" spans="1:11">
      <c r="A295" s="398"/>
      <c r="B295" s="399"/>
      <c r="C295" s="399" t="s">
        <v>3255</v>
      </c>
      <c r="D295" s="401" t="s">
        <v>3256</v>
      </c>
      <c r="E295" s="401" t="s">
        <v>3257</v>
      </c>
      <c r="F295" s="403" t="s">
        <v>229</v>
      </c>
      <c r="G295" s="401" t="s">
        <v>3258</v>
      </c>
      <c r="H295" s="401" t="s">
        <v>3259</v>
      </c>
      <c r="I295" s="401" t="s">
        <v>2545</v>
      </c>
      <c r="J295" s="401" t="s">
        <v>3260</v>
      </c>
      <c r="K295" s="401" t="s">
        <v>3261</v>
      </c>
    </row>
    <row r="296" spans="1:11">
      <c r="A296" s="398"/>
      <c r="B296" s="399"/>
      <c r="C296" s="399"/>
      <c r="D296" s="401" t="s">
        <v>3262</v>
      </c>
      <c r="E296" s="401" t="s">
        <v>3263</v>
      </c>
      <c r="F296" s="403" t="s">
        <v>425</v>
      </c>
      <c r="G296" s="401" t="s">
        <v>3264</v>
      </c>
      <c r="H296" s="401" t="s">
        <v>3265</v>
      </c>
      <c r="I296" s="401" t="s">
        <v>94</v>
      </c>
      <c r="J296" s="401" t="s">
        <v>3266</v>
      </c>
      <c r="K296" s="401" t="s">
        <v>3267</v>
      </c>
    </row>
    <row r="297" spans="1:11">
      <c r="A297" s="398"/>
      <c r="B297" s="399"/>
      <c r="C297" s="399"/>
      <c r="D297" s="401" t="s">
        <v>3268</v>
      </c>
      <c r="E297" s="401" t="s">
        <v>3269</v>
      </c>
      <c r="F297" s="403" t="s">
        <v>20</v>
      </c>
      <c r="G297" s="401" t="s">
        <v>3270</v>
      </c>
      <c r="H297" s="401" t="s">
        <v>3271</v>
      </c>
      <c r="I297" s="401" t="s">
        <v>2545</v>
      </c>
      <c r="J297" s="401" t="s">
        <v>3272</v>
      </c>
      <c r="K297" s="401" t="s">
        <v>3273</v>
      </c>
    </row>
    <row r="298" spans="1:11">
      <c r="A298" s="398"/>
      <c r="B298" s="399"/>
      <c r="C298" s="399"/>
      <c r="D298" s="401" t="s">
        <v>3274</v>
      </c>
      <c r="E298" s="401" t="s">
        <v>3275</v>
      </c>
      <c r="F298" s="403" t="s">
        <v>229</v>
      </c>
      <c r="G298" s="401" t="s">
        <v>3276</v>
      </c>
      <c r="H298" s="401" t="s">
        <v>3277</v>
      </c>
      <c r="I298" s="401" t="s">
        <v>94</v>
      </c>
      <c r="J298" s="401" t="s">
        <v>2612</v>
      </c>
      <c r="K298" s="401" t="s">
        <v>3278</v>
      </c>
    </row>
    <row r="299" spans="1:11">
      <c r="A299" s="398"/>
      <c r="B299" s="399"/>
      <c r="C299" s="399"/>
      <c r="D299" s="401" t="s">
        <v>3279</v>
      </c>
      <c r="E299" s="401" t="s">
        <v>3280</v>
      </c>
      <c r="F299" s="403" t="s">
        <v>425</v>
      </c>
      <c r="G299" s="401" t="s">
        <v>3281</v>
      </c>
      <c r="H299" s="401" t="s">
        <v>3007</v>
      </c>
      <c r="I299" s="401" t="s">
        <v>94</v>
      </c>
      <c r="J299" s="401" t="s">
        <v>3282</v>
      </c>
      <c r="K299" s="401" t="s">
        <v>3283</v>
      </c>
    </row>
    <row r="300" spans="1:11">
      <c r="A300" s="398"/>
      <c r="B300" s="399"/>
      <c r="C300" s="399" t="s">
        <v>3284</v>
      </c>
      <c r="D300" s="401" t="s">
        <v>3285</v>
      </c>
      <c r="E300" s="401" t="s">
        <v>3286</v>
      </c>
      <c r="F300" s="403" t="s">
        <v>20</v>
      </c>
      <c r="G300" s="401" t="s">
        <v>3287</v>
      </c>
      <c r="H300" s="401" t="s">
        <v>3288</v>
      </c>
      <c r="I300" s="401" t="s">
        <v>94</v>
      </c>
      <c r="J300" s="401" t="s">
        <v>3289</v>
      </c>
      <c r="K300" s="401" t="s">
        <v>2851</v>
      </c>
    </row>
    <row r="301" spans="1:11">
      <c r="A301" s="398"/>
      <c r="B301" s="399"/>
      <c r="C301" s="399"/>
      <c r="D301" s="401" t="s">
        <v>3290</v>
      </c>
      <c r="E301" s="401" t="s">
        <v>3291</v>
      </c>
      <c r="F301" s="403" t="s">
        <v>229</v>
      </c>
      <c r="G301" s="401" t="s">
        <v>3292</v>
      </c>
      <c r="H301" s="401" t="s">
        <v>3293</v>
      </c>
      <c r="I301" s="401" t="s">
        <v>2545</v>
      </c>
      <c r="J301" s="401" t="s">
        <v>2891</v>
      </c>
      <c r="K301" s="401" t="s">
        <v>3294</v>
      </c>
    </row>
    <row r="302" spans="1:11">
      <c r="A302" s="398"/>
      <c r="B302" s="399"/>
      <c r="C302" s="399"/>
      <c r="D302" s="401" t="s">
        <v>3295</v>
      </c>
      <c r="E302" s="401" t="s">
        <v>3296</v>
      </c>
      <c r="F302" s="403" t="s">
        <v>20</v>
      </c>
      <c r="G302" s="401" t="s">
        <v>3297</v>
      </c>
      <c r="H302" s="401" t="s">
        <v>3298</v>
      </c>
      <c r="I302" s="401" t="s">
        <v>2545</v>
      </c>
      <c r="J302" s="401" t="s">
        <v>3299</v>
      </c>
      <c r="K302" s="401" t="s">
        <v>2693</v>
      </c>
    </row>
    <row r="303" spans="1:11">
      <c r="A303" s="398"/>
      <c r="B303" s="399"/>
      <c r="C303" s="399"/>
      <c r="D303" s="401" t="s">
        <v>3300</v>
      </c>
      <c r="E303" s="401" t="s">
        <v>3301</v>
      </c>
      <c r="F303" s="403" t="s">
        <v>20</v>
      </c>
      <c r="G303" s="401" t="s">
        <v>3302</v>
      </c>
      <c r="H303" s="401" t="s">
        <v>3303</v>
      </c>
      <c r="I303" s="401" t="s">
        <v>94</v>
      </c>
      <c r="J303" s="401" t="s">
        <v>3304</v>
      </c>
      <c r="K303" s="401" t="s">
        <v>3305</v>
      </c>
    </row>
    <row r="304" spans="1:11">
      <c r="A304" s="398"/>
      <c r="B304" s="399"/>
      <c r="C304" s="399"/>
      <c r="D304" s="401" t="s">
        <v>3306</v>
      </c>
      <c r="E304" s="401" t="s">
        <v>3307</v>
      </c>
      <c r="F304" s="403" t="s">
        <v>229</v>
      </c>
      <c r="G304" s="401" t="s">
        <v>3308</v>
      </c>
      <c r="H304" s="401" t="s">
        <v>3309</v>
      </c>
      <c r="I304" s="401" t="s">
        <v>2545</v>
      </c>
      <c r="J304" s="401" t="s">
        <v>3310</v>
      </c>
      <c r="K304" s="401" t="s">
        <v>3311</v>
      </c>
    </row>
    <row r="305" spans="1:11">
      <c r="A305" s="398"/>
      <c r="B305" s="399" t="s">
        <v>3312</v>
      </c>
      <c r="C305" s="399" t="s">
        <v>3313</v>
      </c>
      <c r="D305" s="401" t="s">
        <v>3314</v>
      </c>
      <c r="E305" s="401" t="s">
        <v>3315</v>
      </c>
      <c r="F305" s="403" t="s">
        <v>425</v>
      </c>
      <c r="G305" s="401" t="s">
        <v>3316</v>
      </c>
      <c r="H305" s="401" t="s">
        <v>3317</v>
      </c>
      <c r="I305" s="401" t="s">
        <v>94</v>
      </c>
      <c r="J305" s="401" t="s">
        <v>3318</v>
      </c>
      <c r="K305" s="401" t="s">
        <v>3319</v>
      </c>
    </row>
    <row r="306" spans="1:11">
      <c r="A306" s="398"/>
      <c r="B306" s="399"/>
      <c r="C306" s="399"/>
      <c r="D306" s="401" t="s">
        <v>3320</v>
      </c>
      <c r="E306" s="401" t="s">
        <v>3321</v>
      </c>
      <c r="F306" s="403" t="s">
        <v>229</v>
      </c>
      <c r="G306" s="401" t="s">
        <v>3322</v>
      </c>
      <c r="H306" s="401" t="s">
        <v>3323</v>
      </c>
      <c r="I306" s="401" t="s">
        <v>94</v>
      </c>
      <c r="J306" s="401" t="s">
        <v>3324</v>
      </c>
      <c r="K306" s="401" t="s">
        <v>3325</v>
      </c>
    </row>
    <row r="307" spans="1:11">
      <c r="A307" s="398"/>
      <c r="B307" s="399"/>
      <c r="C307" s="399"/>
      <c r="D307" s="401" t="s">
        <v>3326</v>
      </c>
      <c r="E307" s="401" t="s">
        <v>3327</v>
      </c>
      <c r="F307" s="403" t="s">
        <v>20</v>
      </c>
      <c r="G307" s="401" t="s">
        <v>3328</v>
      </c>
      <c r="H307" s="401" t="s">
        <v>3329</v>
      </c>
      <c r="I307" s="401" t="s">
        <v>2545</v>
      </c>
      <c r="J307" s="401" t="s">
        <v>3330</v>
      </c>
      <c r="K307" s="401" t="s">
        <v>3331</v>
      </c>
    </row>
    <row r="308" spans="1:11">
      <c r="A308" s="398"/>
      <c r="B308" s="399"/>
      <c r="C308" s="399"/>
      <c r="D308" s="401" t="s">
        <v>3332</v>
      </c>
      <c r="E308" s="401" t="s">
        <v>3333</v>
      </c>
      <c r="F308" s="403" t="s">
        <v>425</v>
      </c>
      <c r="G308" s="401" t="s">
        <v>3334</v>
      </c>
      <c r="H308" s="401" t="s">
        <v>3335</v>
      </c>
      <c r="I308" s="401" t="s">
        <v>94</v>
      </c>
      <c r="J308" s="401" t="s">
        <v>3336</v>
      </c>
      <c r="K308" s="401" t="s">
        <v>3337</v>
      </c>
    </row>
    <row r="309" spans="1:11">
      <c r="A309" s="398"/>
      <c r="B309" s="399"/>
      <c r="C309" s="399"/>
      <c r="D309" s="401" t="s">
        <v>3338</v>
      </c>
      <c r="E309" s="401" t="s">
        <v>3339</v>
      </c>
      <c r="F309" s="403" t="s">
        <v>229</v>
      </c>
      <c r="G309" s="401" t="s">
        <v>3340</v>
      </c>
      <c r="H309" s="401" t="s">
        <v>3341</v>
      </c>
      <c r="I309" s="401" t="s">
        <v>2545</v>
      </c>
      <c r="J309" s="401" t="s">
        <v>3342</v>
      </c>
      <c r="K309" s="401" t="s">
        <v>3343</v>
      </c>
    </row>
    <row r="310" spans="1:11">
      <c r="A310" s="398"/>
      <c r="B310" s="399"/>
      <c r="C310" s="399" t="s">
        <v>3344</v>
      </c>
      <c r="D310" s="401" t="s">
        <v>3345</v>
      </c>
      <c r="E310" s="401" t="s">
        <v>3346</v>
      </c>
      <c r="F310" s="403" t="s">
        <v>20</v>
      </c>
      <c r="G310" s="401" t="s">
        <v>3347</v>
      </c>
      <c r="H310" s="401" t="s">
        <v>3348</v>
      </c>
      <c r="I310" s="401" t="s">
        <v>2545</v>
      </c>
      <c r="J310" s="401" t="s">
        <v>2598</v>
      </c>
      <c r="K310" s="401" t="s">
        <v>3349</v>
      </c>
    </row>
    <row r="311" spans="1:11">
      <c r="A311" s="398"/>
      <c r="B311" s="399"/>
      <c r="C311" s="399"/>
      <c r="D311" s="401" t="s">
        <v>3350</v>
      </c>
      <c r="E311" s="401" t="s">
        <v>3351</v>
      </c>
      <c r="F311" s="403" t="s">
        <v>20</v>
      </c>
      <c r="G311" s="401" t="s">
        <v>2610</v>
      </c>
      <c r="H311" s="401" t="s">
        <v>3352</v>
      </c>
      <c r="I311" s="401" t="s">
        <v>94</v>
      </c>
      <c r="J311" s="401" t="s">
        <v>3353</v>
      </c>
      <c r="K311" s="401" t="s">
        <v>3224</v>
      </c>
    </row>
    <row r="312" spans="1:11">
      <c r="A312" s="398"/>
      <c r="B312" s="399"/>
      <c r="C312" s="399"/>
      <c r="D312" s="401" t="s">
        <v>3354</v>
      </c>
      <c r="E312" s="401" t="s">
        <v>3355</v>
      </c>
      <c r="F312" s="403" t="s">
        <v>229</v>
      </c>
      <c r="G312" s="401" t="s">
        <v>3356</v>
      </c>
      <c r="H312" s="401" t="s">
        <v>3357</v>
      </c>
      <c r="I312" s="401" t="s">
        <v>94</v>
      </c>
      <c r="J312" s="401" t="s">
        <v>3235</v>
      </c>
      <c r="K312" s="401" t="s">
        <v>3358</v>
      </c>
    </row>
    <row r="313" spans="1:11">
      <c r="A313" s="398"/>
      <c r="B313" s="399"/>
      <c r="C313" s="399"/>
      <c r="D313" s="401" t="s">
        <v>3359</v>
      </c>
      <c r="E313" s="401" t="s">
        <v>3360</v>
      </c>
      <c r="F313" s="403" t="s">
        <v>425</v>
      </c>
      <c r="G313" s="401" t="s">
        <v>3361</v>
      </c>
      <c r="H313" s="401" t="s">
        <v>3362</v>
      </c>
      <c r="I313" s="401" t="s">
        <v>2545</v>
      </c>
      <c r="J313" s="401" t="s">
        <v>3363</v>
      </c>
      <c r="K313" s="401" t="s">
        <v>3364</v>
      </c>
    </row>
    <row r="314" spans="1:11">
      <c r="A314" s="398"/>
      <c r="B314" s="399"/>
      <c r="C314" s="399"/>
      <c r="D314" s="401" t="s">
        <v>3365</v>
      </c>
      <c r="E314" s="401" t="s">
        <v>3366</v>
      </c>
      <c r="F314" s="403" t="s">
        <v>20</v>
      </c>
      <c r="G314" s="401" t="s">
        <v>3367</v>
      </c>
      <c r="H314" s="401" t="s">
        <v>3368</v>
      </c>
      <c r="I314" s="401" t="s">
        <v>94</v>
      </c>
      <c r="J314" s="401" t="s">
        <v>3369</v>
      </c>
      <c r="K314" s="401" t="s">
        <v>3370</v>
      </c>
    </row>
    <row r="315" spans="1:11">
      <c r="A315" s="398"/>
      <c r="B315" s="399"/>
      <c r="C315" s="399" t="s">
        <v>3371</v>
      </c>
      <c r="D315" s="401" t="s">
        <v>3372</v>
      </c>
      <c r="E315" s="401" t="s">
        <v>3373</v>
      </c>
      <c r="F315" s="403" t="s">
        <v>229</v>
      </c>
      <c r="G315" s="401" t="s">
        <v>3374</v>
      </c>
      <c r="H315" s="401" t="s">
        <v>2786</v>
      </c>
      <c r="I315" s="401" t="s">
        <v>2545</v>
      </c>
      <c r="J315" s="401" t="s">
        <v>2805</v>
      </c>
      <c r="K315" s="401" t="s">
        <v>3375</v>
      </c>
    </row>
    <row r="316" spans="1:11">
      <c r="A316" s="398"/>
      <c r="B316" s="399"/>
      <c r="C316" s="399"/>
      <c r="D316" s="401" t="s">
        <v>3376</v>
      </c>
      <c r="E316" s="401" t="s">
        <v>3377</v>
      </c>
      <c r="F316" s="403" t="s">
        <v>425</v>
      </c>
      <c r="G316" s="401" t="s">
        <v>3378</v>
      </c>
      <c r="H316" s="401" t="s">
        <v>3379</v>
      </c>
      <c r="I316" s="401" t="s">
        <v>2545</v>
      </c>
      <c r="J316" s="401" t="s">
        <v>2601</v>
      </c>
      <c r="K316" s="401" t="s">
        <v>3380</v>
      </c>
    </row>
    <row r="317" spans="1:11">
      <c r="A317" s="398"/>
      <c r="B317" s="399"/>
      <c r="C317" s="399"/>
      <c r="D317" s="401" t="s">
        <v>3381</v>
      </c>
      <c r="E317" s="401" t="s">
        <v>3382</v>
      </c>
      <c r="F317" s="403" t="s">
        <v>425</v>
      </c>
      <c r="G317" s="401" t="s">
        <v>3383</v>
      </c>
      <c r="H317" s="401" t="s">
        <v>3384</v>
      </c>
      <c r="I317" s="401" t="s">
        <v>2545</v>
      </c>
      <c r="J317" s="401" t="s">
        <v>2581</v>
      </c>
      <c r="K317" s="401" t="s">
        <v>3385</v>
      </c>
    </row>
    <row r="318" spans="1:11">
      <c r="A318" s="398"/>
      <c r="B318" s="399"/>
      <c r="C318" s="399"/>
      <c r="D318" s="401" t="s">
        <v>3386</v>
      </c>
      <c r="E318" s="401" t="s">
        <v>3387</v>
      </c>
      <c r="F318" s="403" t="s">
        <v>20</v>
      </c>
      <c r="G318" s="401" t="s">
        <v>3388</v>
      </c>
      <c r="H318" s="401" t="s">
        <v>2815</v>
      </c>
      <c r="I318" s="401" t="s">
        <v>2545</v>
      </c>
      <c r="J318" s="401" t="s">
        <v>3389</v>
      </c>
      <c r="K318" s="401" t="s">
        <v>3390</v>
      </c>
    </row>
    <row r="319" spans="1:11">
      <c r="A319" s="398"/>
      <c r="B319" s="399"/>
      <c r="C319" s="399"/>
      <c r="D319" s="401" t="s">
        <v>3391</v>
      </c>
      <c r="E319" s="401" t="s">
        <v>3392</v>
      </c>
      <c r="F319" s="403" t="s">
        <v>229</v>
      </c>
      <c r="G319" s="401" t="s">
        <v>3393</v>
      </c>
      <c r="H319" s="401" t="s">
        <v>3394</v>
      </c>
      <c r="I319" s="401" t="s">
        <v>2545</v>
      </c>
      <c r="J319" s="401" t="s">
        <v>3395</v>
      </c>
      <c r="K319" s="401" t="s">
        <v>3396</v>
      </c>
    </row>
    <row r="320" spans="1:11">
      <c r="A320" s="398"/>
      <c r="B320" s="399"/>
      <c r="C320" s="399" t="s">
        <v>3397</v>
      </c>
      <c r="D320" s="401" t="s">
        <v>3398</v>
      </c>
      <c r="E320" s="401" t="s">
        <v>3399</v>
      </c>
      <c r="F320" s="403" t="s">
        <v>20</v>
      </c>
      <c r="G320" s="401" t="s">
        <v>3400</v>
      </c>
      <c r="H320" s="401" t="s">
        <v>3401</v>
      </c>
      <c r="I320" s="401" t="s">
        <v>2545</v>
      </c>
      <c r="J320" s="401" t="s">
        <v>3402</v>
      </c>
      <c r="K320" s="401" t="s">
        <v>3403</v>
      </c>
    </row>
    <row r="321" spans="1:11">
      <c r="A321" s="398"/>
      <c r="B321" s="399"/>
      <c r="C321" s="399"/>
      <c r="D321" s="401" t="s">
        <v>3404</v>
      </c>
      <c r="E321" s="401" t="s">
        <v>3405</v>
      </c>
      <c r="F321" s="403" t="s">
        <v>425</v>
      </c>
      <c r="G321" s="401" t="s">
        <v>3406</v>
      </c>
      <c r="H321" s="401" t="s">
        <v>3407</v>
      </c>
      <c r="I321" s="401" t="s">
        <v>94</v>
      </c>
      <c r="J321" s="401" t="s">
        <v>3208</v>
      </c>
      <c r="K321" s="401" t="s">
        <v>3408</v>
      </c>
    </row>
    <row r="322" spans="1:11">
      <c r="A322" s="398"/>
      <c r="B322" s="399"/>
      <c r="C322" s="399"/>
      <c r="D322" s="401" t="s">
        <v>3409</v>
      </c>
      <c r="E322" s="401" t="s">
        <v>3410</v>
      </c>
      <c r="F322" s="403" t="s">
        <v>229</v>
      </c>
      <c r="G322" s="401" t="s">
        <v>3411</v>
      </c>
      <c r="H322" s="401" t="s">
        <v>3412</v>
      </c>
      <c r="I322" s="401" t="s">
        <v>2545</v>
      </c>
      <c r="J322" s="401" t="s">
        <v>3413</v>
      </c>
      <c r="K322" s="401" t="s">
        <v>3414</v>
      </c>
    </row>
    <row r="323" spans="1:11">
      <c r="A323" s="398"/>
      <c r="B323" s="399"/>
      <c r="C323" s="399"/>
      <c r="D323" s="401" t="s">
        <v>3415</v>
      </c>
      <c r="E323" s="401" t="s">
        <v>3416</v>
      </c>
      <c r="F323" s="403" t="s">
        <v>20</v>
      </c>
      <c r="G323" s="401" t="s">
        <v>3417</v>
      </c>
      <c r="H323" s="401" t="s">
        <v>3418</v>
      </c>
      <c r="I323" s="401" t="s">
        <v>94</v>
      </c>
      <c r="J323" s="401" t="s">
        <v>3419</v>
      </c>
      <c r="K323" s="401" t="s">
        <v>3420</v>
      </c>
    </row>
    <row r="324" spans="1:11">
      <c r="A324" s="398"/>
      <c r="B324" s="399"/>
      <c r="C324" s="399"/>
      <c r="D324" s="401" t="s">
        <v>3421</v>
      </c>
      <c r="E324" s="401" t="s">
        <v>3422</v>
      </c>
      <c r="F324" s="403" t="s">
        <v>229</v>
      </c>
      <c r="G324" s="401" t="s">
        <v>3423</v>
      </c>
      <c r="H324" s="401" t="s">
        <v>3424</v>
      </c>
      <c r="I324" s="401" t="s">
        <v>94</v>
      </c>
      <c r="J324" s="401" t="s">
        <v>2652</v>
      </c>
      <c r="K324" s="401" t="s">
        <v>3425</v>
      </c>
    </row>
    <row r="325" spans="1:11">
      <c r="A325" s="398"/>
      <c r="B325" s="399"/>
      <c r="C325" s="399" t="s">
        <v>3426</v>
      </c>
      <c r="D325" s="401" t="s">
        <v>3427</v>
      </c>
      <c r="E325" s="401" t="s">
        <v>3428</v>
      </c>
      <c r="F325" s="403" t="s">
        <v>425</v>
      </c>
      <c r="G325" s="401" t="s">
        <v>3429</v>
      </c>
      <c r="H325" s="401" t="s">
        <v>2974</v>
      </c>
      <c r="I325" s="401" t="s">
        <v>2545</v>
      </c>
      <c r="J325" s="401" t="s">
        <v>3235</v>
      </c>
      <c r="K325" s="401" t="s">
        <v>2609</v>
      </c>
    </row>
    <row r="326" spans="1:11">
      <c r="A326" s="398"/>
      <c r="B326" s="399"/>
      <c r="C326" s="399"/>
      <c r="D326" s="401" t="s">
        <v>3430</v>
      </c>
      <c r="E326" s="401" t="s">
        <v>3431</v>
      </c>
      <c r="F326" s="403" t="s">
        <v>20</v>
      </c>
      <c r="G326" s="401" t="s">
        <v>3432</v>
      </c>
      <c r="H326" s="401" t="s">
        <v>3433</v>
      </c>
      <c r="I326" s="401" t="s">
        <v>2545</v>
      </c>
      <c r="J326" s="401" t="s">
        <v>2618</v>
      </c>
      <c r="K326" s="401" t="s">
        <v>3434</v>
      </c>
    </row>
    <row r="327" spans="1:11">
      <c r="A327" s="398"/>
      <c r="B327" s="399"/>
      <c r="C327" s="399"/>
      <c r="D327" s="401" t="s">
        <v>3435</v>
      </c>
      <c r="E327" s="401" t="s">
        <v>3436</v>
      </c>
      <c r="F327" s="403" t="s">
        <v>229</v>
      </c>
      <c r="G327" s="401" t="s">
        <v>3437</v>
      </c>
      <c r="H327" s="401" t="s">
        <v>2978</v>
      </c>
      <c r="I327" s="401" t="s">
        <v>94</v>
      </c>
      <c r="J327" s="401" t="s">
        <v>3438</v>
      </c>
      <c r="K327" s="401" t="s">
        <v>3439</v>
      </c>
    </row>
    <row r="328" spans="1:11">
      <c r="A328" s="398"/>
      <c r="B328" s="399"/>
      <c r="C328" s="399"/>
      <c r="D328" s="401" t="s">
        <v>3440</v>
      </c>
      <c r="E328" s="401" t="s">
        <v>3441</v>
      </c>
      <c r="F328" s="403" t="s">
        <v>425</v>
      </c>
      <c r="G328" s="401" t="s">
        <v>3442</v>
      </c>
      <c r="H328" s="401" t="s">
        <v>3443</v>
      </c>
      <c r="I328" s="401" t="s">
        <v>2545</v>
      </c>
      <c r="J328" s="401" t="s">
        <v>3444</v>
      </c>
      <c r="K328" s="401" t="s">
        <v>3445</v>
      </c>
    </row>
    <row r="329" spans="1:11">
      <c r="A329" s="398"/>
      <c r="B329" s="399"/>
      <c r="C329" s="399"/>
      <c r="D329" s="401" t="s">
        <v>3446</v>
      </c>
      <c r="E329" s="401" t="s">
        <v>3447</v>
      </c>
      <c r="F329" s="403" t="s">
        <v>229</v>
      </c>
      <c r="G329" s="401" t="s">
        <v>3448</v>
      </c>
      <c r="H329" s="401" t="s">
        <v>3449</v>
      </c>
      <c r="I329" s="401" t="s">
        <v>94</v>
      </c>
      <c r="J329" s="401" t="s">
        <v>3412</v>
      </c>
      <c r="K329" s="401" t="s">
        <v>3450</v>
      </c>
    </row>
    <row r="330" spans="1:11">
      <c r="A330" s="398"/>
      <c r="B330" s="399"/>
      <c r="C330" s="399" t="s">
        <v>3451</v>
      </c>
      <c r="D330" s="401" t="s">
        <v>3452</v>
      </c>
      <c r="E330" s="401" t="s">
        <v>3453</v>
      </c>
      <c r="F330" s="403" t="s">
        <v>20</v>
      </c>
      <c r="G330" s="401" t="s">
        <v>3454</v>
      </c>
      <c r="H330" s="401" t="s">
        <v>3455</v>
      </c>
      <c r="I330" s="401" t="s">
        <v>2545</v>
      </c>
      <c r="J330" s="401" t="s">
        <v>2891</v>
      </c>
      <c r="K330" s="401" t="s">
        <v>3456</v>
      </c>
    </row>
    <row r="331" spans="1:11">
      <c r="A331" s="398"/>
      <c r="B331" s="399"/>
      <c r="C331" s="399"/>
      <c r="D331" s="401" t="s">
        <v>3457</v>
      </c>
      <c r="E331" s="401" t="s">
        <v>3458</v>
      </c>
      <c r="F331" s="403" t="s">
        <v>425</v>
      </c>
      <c r="G331" s="401" t="s">
        <v>3459</v>
      </c>
      <c r="H331" s="401" t="s">
        <v>3460</v>
      </c>
      <c r="I331" s="401" t="s">
        <v>94</v>
      </c>
      <c r="J331" s="401" t="s">
        <v>3190</v>
      </c>
      <c r="K331" s="401" t="s">
        <v>3461</v>
      </c>
    </row>
    <row r="332" spans="1:11">
      <c r="A332" s="398"/>
      <c r="B332" s="399"/>
      <c r="C332" s="399"/>
      <c r="D332" s="401" t="s">
        <v>3462</v>
      </c>
      <c r="E332" s="401" t="s">
        <v>3463</v>
      </c>
      <c r="F332" s="403" t="s">
        <v>20</v>
      </c>
      <c r="G332" s="401" t="s">
        <v>3464</v>
      </c>
      <c r="H332" s="401" t="s">
        <v>2903</v>
      </c>
      <c r="I332" s="401" t="s">
        <v>2545</v>
      </c>
      <c r="J332" s="401" t="s">
        <v>3465</v>
      </c>
      <c r="K332" s="401" t="s">
        <v>3466</v>
      </c>
    </row>
    <row r="333" spans="1:11">
      <c r="A333" s="398"/>
      <c r="B333" s="399"/>
      <c r="C333" s="399"/>
      <c r="D333" s="401" t="s">
        <v>3467</v>
      </c>
      <c r="E333" s="401" t="s">
        <v>3468</v>
      </c>
      <c r="F333" s="403" t="s">
        <v>229</v>
      </c>
      <c r="G333" s="401" t="s">
        <v>3469</v>
      </c>
      <c r="H333" s="401" t="s">
        <v>3470</v>
      </c>
      <c r="I333" s="401" t="s">
        <v>2545</v>
      </c>
      <c r="J333" s="401" t="s">
        <v>3471</v>
      </c>
      <c r="K333" s="401" t="s">
        <v>3472</v>
      </c>
    </row>
    <row r="334" spans="1:11">
      <c r="A334" s="398"/>
      <c r="B334" s="399"/>
      <c r="C334" s="399"/>
      <c r="D334" s="401" t="s">
        <v>3473</v>
      </c>
      <c r="E334" s="401" t="s">
        <v>3474</v>
      </c>
      <c r="F334" s="403" t="s">
        <v>425</v>
      </c>
      <c r="G334" s="401" t="s">
        <v>3475</v>
      </c>
      <c r="H334" s="401" t="s">
        <v>3476</v>
      </c>
      <c r="I334" s="401" t="s">
        <v>94</v>
      </c>
      <c r="J334" s="401" t="s">
        <v>3477</v>
      </c>
      <c r="K334" s="401" t="s">
        <v>3478</v>
      </c>
    </row>
    <row r="335" spans="1:11">
      <c r="A335" s="398"/>
      <c r="B335" s="399"/>
      <c r="C335" s="399" t="s">
        <v>3479</v>
      </c>
      <c r="D335" s="401" t="s">
        <v>3480</v>
      </c>
      <c r="E335" s="401" t="s">
        <v>3481</v>
      </c>
      <c r="F335" s="403" t="s">
        <v>229</v>
      </c>
      <c r="G335" s="401" t="s">
        <v>3276</v>
      </c>
      <c r="H335" s="401" t="s">
        <v>3482</v>
      </c>
      <c r="I335" s="401" t="s">
        <v>2545</v>
      </c>
      <c r="J335" s="401" t="s">
        <v>3483</v>
      </c>
      <c r="K335" s="401" t="s">
        <v>2592</v>
      </c>
    </row>
    <row r="336" spans="1:11">
      <c r="A336" s="398"/>
      <c r="B336" s="399"/>
      <c r="C336" s="399"/>
      <c r="D336" s="401" t="s">
        <v>3484</v>
      </c>
      <c r="E336" s="401" t="s">
        <v>3485</v>
      </c>
      <c r="F336" s="403" t="s">
        <v>20</v>
      </c>
      <c r="G336" s="401" t="s">
        <v>3486</v>
      </c>
      <c r="H336" s="401" t="s">
        <v>3487</v>
      </c>
      <c r="I336" s="401" t="s">
        <v>2545</v>
      </c>
      <c r="J336" s="401" t="s">
        <v>3488</v>
      </c>
      <c r="K336" s="401" t="s">
        <v>3489</v>
      </c>
    </row>
    <row r="337" spans="1:11">
      <c r="A337" s="398"/>
      <c r="B337" s="399"/>
      <c r="C337" s="399"/>
      <c r="D337" s="401" t="s">
        <v>3490</v>
      </c>
      <c r="E337" s="401" t="s">
        <v>3491</v>
      </c>
      <c r="F337" s="403" t="s">
        <v>229</v>
      </c>
      <c r="G337" s="401" t="s">
        <v>3492</v>
      </c>
      <c r="H337" s="401" t="s">
        <v>3493</v>
      </c>
      <c r="I337" s="401" t="s">
        <v>2545</v>
      </c>
      <c r="J337" s="401" t="s">
        <v>3494</v>
      </c>
      <c r="K337" s="401" t="s">
        <v>3495</v>
      </c>
    </row>
    <row r="338" spans="1:11">
      <c r="A338" s="398"/>
      <c r="B338" s="399"/>
      <c r="C338" s="399"/>
      <c r="D338" s="401" t="s">
        <v>3496</v>
      </c>
      <c r="E338" s="401" t="s">
        <v>3497</v>
      </c>
      <c r="F338" s="403" t="s">
        <v>425</v>
      </c>
      <c r="G338" s="401" t="s">
        <v>3498</v>
      </c>
      <c r="H338" s="401" t="s">
        <v>3121</v>
      </c>
      <c r="I338" s="401" t="s">
        <v>94</v>
      </c>
      <c r="J338" s="401" t="s">
        <v>3499</v>
      </c>
      <c r="K338" s="401" t="s">
        <v>3500</v>
      </c>
    </row>
    <row r="339" spans="1:11">
      <c r="A339" s="398"/>
      <c r="B339" s="399"/>
      <c r="C339" s="399"/>
      <c r="D339" s="401" t="s">
        <v>3501</v>
      </c>
      <c r="E339" s="401" t="s">
        <v>3502</v>
      </c>
      <c r="F339" s="403" t="s">
        <v>20</v>
      </c>
      <c r="G339" s="401" t="s">
        <v>3503</v>
      </c>
      <c r="H339" s="401" t="s">
        <v>3504</v>
      </c>
      <c r="I339" s="401" t="s">
        <v>2545</v>
      </c>
      <c r="J339" s="401" t="s">
        <v>3505</v>
      </c>
      <c r="K339" s="401" t="s">
        <v>3506</v>
      </c>
    </row>
    <row r="340" spans="1:11">
      <c r="A340" s="398"/>
      <c r="B340" s="399"/>
      <c r="C340" s="399" t="s">
        <v>3507</v>
      </c>
      <c r="D340" s="401" t="s">
        <v>3508</v>
      </c>
      <c r="E340" s="401" t="s">
        <v>3509</v>
      </c>
      <c r="F340" s="403" t="s">
        <v>229</v>
      </c>
      <c r="G340" s="401" t="s">
        <v>3510</v>
      </c>
      <c r="H340" s="401" t="s">
        <v>3007</v>
      </c>
      <c r="I340" s="401" t="s">
        <v>2545</v>
      </c>
      <c r="J340" s="401" t="s">
        <v>2765</v>
      </c>
      <c r="K340" s="401" t="s">
        <v>3511</v>
      </c>
    </row>
    <row r="341" spans="1:11">
      <c r="A341" s="398"/>
      <c r="B341" s="399"/>
      <c r="C341" s="399"/>
      <c r="D341" s="401" t="s">
        <v>3512</v>
      </c>
      <c r="E341" s="401" t="s">
        <v>3513</v>
      </c>
      <c r="F341" s="403" t="s">
        <v>20</v>
      </c>
      <c r="G341" s="401" t="s">
        <v>2610</v>
      </c>
      <c r="H341" s="401" t="s">
        <v>2833</v>
      </c>
      <c r="I341" s="401" t="s">
        <v>2545</v>
      </c>
      <c r="J341" s="401" t="s">
        <v>2612</v>
      </c>
      <c r="K341" s="401" t="s">
        <v>3349</v>
      </c>
    </row>
    <row r="342" spans="1:11">
      <c r="A342" s="398"/>
      <c r="B342" s="399"/>
      <c r="C342" s="399"/>
      <c r="D342" s="401" t="s">
        <v>3514</v>
      </c>
      <c r="E342" s="401" t="s">
        <v>3515</v>
      </c>
      <c r="F342" s="403" t="s">
        <v>425</v>
      </c>
      <c r="G342" s="401" t="s">
        <v>3516</v>
      </c>
      <c r="H342" s="401" t="s">
        <v>3517</v>
      </c>
      <c r="I342" s="401" t="s">
        <v>94</v>
      </c>
      <c r="J342" s="401" t="s">
        <v>3518</v>
      </c>
      <c r="K342" s="401" t="s">
        <v>3519</v>
      </c>
    </row>
    <row r="343" spans="1:11">
      <c r="A343" s="398"/>
      <c r="B343" s="399"/>
      <c r="C343" s="399"/>
      <c r="D343" s="401" t="s">
        <v>3520</v>
      </c>
      <c r="E343" s="401" t="s">
        <v>3521</v>
      </c>
      <c r="F343" s="403" t="s">
        <v>229</v>
      </c>
      <c r="G343" s="401" t="s">
        <v>3522</v>
      </c>
      <c r="H343" s="401" t="s">
        <v>3523</v>
      </c>
      <c r="I343" s="401" t="s">
        <v>2545</v>
      </c>
      <c r="J343" s="401" t="s">
        <v>3524</v>
      </c>
      <c r="K343" s="401" t="s">
        <v>3525</v>
      </c>
    </row>
    <row r="344" spans="1:11">
      <c r="A344" s="398"/>
      <c r="B344" s="399"/>
      <c r="C344" s="399"/>
      <c r="D344" s="401" t="s">
        <v>3526</v>
      </c>
      <c r="E344" s="401" t="s">
        <v>3527</v>
      </c>
      <c r="F344" s="403" t="s">
        <v>20</v>
      </c>
      <c r="G344" s="401" t="s">
        <v>3528</v>
      </c>
      <c r="H344" s="401" t="s">
        <v>3310</v>
      </c>
      <c r="I344" s="401" t="s">
        <v>94</v>
      </c>
      <c r="J344" s="401" t="s">
        <v>3529</v>
      </c>
      <c r="K344" s="401" t="s">
        <v>3530</v>
      </c>
    </row>
    <row r="345" spans="1:11">
      <c r="A345" s="398"/>
      <c r="B345" s="399"/>
      <c r="C345" s="399" t="s">
        <v>3531</v>
      </c>
      <c r="D345" s="401" t="s">
        <v>3532</v>
      </c>
      <c r="E345" s="401" t="s">
        <v>3533</v>
      </c>
      <c r="F345" s="403" t="s">
        <v>425</v>
      </c>
      <c r="G345" s="401" t="s">
        <v>3534</v>
      </c>
      <c r="H345" s="401" t="s">
        <v>3535</v>
      </c>
      <c r="I345" s="401" t="s">
        <v>2545</v>
      </c>
      <c r="J345" s="401" t="s">
        <v>2796</v>
      </c>
      <c r="K345" s="401" t="s">
        <v>3536</v>
      </c>
    </row>
    <row r="346" spans="1:11">
      <c r="A346" s="398"/>
      <c r="B346" s="399"/>
      <c r="C346" s="399"/>
      <c r="D346" s="401" t="s">
        <v>3537</v>
      </c>
      <c r="E346" s="401" t="s">
        <v>3538</v>
      </c>
      <c r="F346" s="403" t="s">
        <v>229</v>
      </c>
      <c r="G346" s="401" t="s">
        <v>3539</v>
      </c>
      <c r="H346" s="401" t="s">
        <v>3540</v>
      </c>
      <c r="I346" s="401" t="s">
        <v>2545</v>
      </c>
      <c r="J346" s="401" t="s">
        <v>3541</v>
      </c>
      <c r="K346" s="401" t="s">
        <v>3542</v>
      </c>
    </row>
    <row r="347" spans="1:11">
      <c r="A347" s="398"/>
      <c r="B347" s="399"/>
      <c r="C347" s="399"/>
      <c r="D347" s="401" t="s">
        <v>3543</v>
      </c>
      <c r="E347" s="401" t="s">
        <v>3544</v>
      </c>
      <c r="F347" s="403" t="s">
        <v>20</v>
      </c>
      <c r="G347" s="401" t="s">
        <v>3545</v>
      </c>
      <c r="H347" s="401" t="s">
        <v>3546</v>
      </c>
      <c r="I347" s="401" t="s">
        <v>2545</v>
      </c>
      <c r="J347" s="401" t="s">
        <v>3547</v>
      </c>
      <c r="K347" s="401" t="s">
        <v>3548</v>
      </c>
    </row>
    <row r="348" spans="1:11">
      <c r="A348" s="398"/>
      <c r="B348" s="399"/>
      <c r="C348" s="399"/>
      <c r="D348" s="401" t="s">
        <v>3549</v>
      </c>
      <c r="E348" s="401" t="s">
        <v>3550</v>
      </c>
      <c r="F348" s="403" t="s">
        <v>229</v>
      </c>
      <c r="G348" s="401" t="s">
        <v>3551</v>
      </c>
      <c r="H348" s="401" t="s">
        <v>3552</v>
      </c>
      <c r="I348" s="401" t="s">
        <v>94</v>
      </c>
      <c r="J348" s="401" t="s">
        <v>3553</v>
      </c>
      <c r="K348" s="401" t="s">
        <v>3554</v>
      </c>
    </row>
    <row r="349" spans="1:11">
      <c r="A349" s="398"/>
      <c r="B349" s="399"/>
      <c r="C349" s="399"/>
      <c r="D349" s="401" t="s">
        <v>3555</v>
      </c>
      <c r="E349" s="401" t="s">
        <v>3556</v>
      </c>
      <c r="F349" s="403" t="s">
        <v>425</v>
      </c>
      <c r="G349" s="401" t="s">
        <v>3557</v>
      </c>
      <c r="H349" s="401" t="s">
        <v>3558</v>
      </c>
      <c r="I349" s="401" t="s">
        <v>2545</v>
      </c>
      <c r="J349" s="401" t="s">
        <v>3559</v>
      </c>
      <c r="K349" s="401" t="s">
        <v>3560</v>
      </c>
    </row>
    <row r="350" spans="1:11">
      <c r="A350" s="398"/>
      <c r="B350" s="399"/>
      <c r="C350" s="399" t="s">
        <v>3561</v>
      </c>
      <c r="D350" s="401" t="s">
        <v>3562</v>
      </c>
      <c r="E350" s="401" t="s">
        <v>3563</v>
      </c>
      <c r="F350" s="403" t="s">
        <v>20</v>
      </c>
      <c r="G350" s="401" t="s">
        <v>3564</v>
      </c>
      <c r="H350" s="401" t="s">
        <v>3565</v>
      </c>
      <c r="I350" s="401" t="s">
        <v>2545</v>
      </c>
      <c r="J350" s="401" t="s">
        <v>3413</v>
      </c>
      <c r="K350" s="401" t="s">
        <v>3566</v>
      </c>
    </row>
    <row r="351" spans="1:11">
      <c r="A351" s="398"/>
      <c r="B351" s="399"/>
      <c r="C351" s="399"/>
      <c r="D351" s="401" t="s">
        <v>3567</v>
      </c>
      <c r="E351" s="401" t="s">
        <v>3568</v>
      </c>
      <c r="F351" s="403" t="s">
        <v>229</v>
      </c>
      <c r="G351" s="401" t="s">
        <v>3569</v>
      </c>
      <c r="H351" s="401" t="s">
        <v>3379</v>
      </c>
      <c r="I351" s="401" t="s">
        <v>94</v>
      </c>
      <c r="J351" s="401" t="s">
        <v>3570</v>
      </c>
      <c r="K351" s="401" t="s">
        <v>3571</v>
      </c>
    </row>
    <row r="352" spans="1:11">
      <c r="A352" s="398"/>
      <c r="B352" s="399"/>
      <c r="C352" s="399"/>
      <c r="D352" s="401" t="s">
        <v>3572</v>
      </c>
      <c r="E352" s="401" t="s">
        <v>3573</v>
      </c>
      <c r="F352" s="403" t="s">
        <v>425</v>
      </c>
      <c r="G352" s="401" t="s">
        <v>3574</v>
      </c>
      <c r="H352" s="401" t="s">
        <v>3575</v>
      </c>
      <c r="I352" s="401" t="s">
        <v>2545</v>
      </c>
      <c r="J352" s="401" t="s">
        <v>3576</v>
      </c>
      <c r="K352" s="401" t="s">
        <v>3577</v>
      </c>
    </row>
    <row r="353" spans="1:11">
      <c r="A353" s="398"/>
      <c r="B353" s="399"/>
      <c r="C353" s="399"/>
      <c r="D353" s="401" t="s">
        <v>3578</v>
      </c>
      <c r="E353" s="401" t="s">
        <v>3579</v>
      </c>
      <c r="F353" s="403" t="s">
        <v>20</v>
      </c>
      <c r="G353" s="401" t="s">
        <v>3580</v>
      </c>
      <c r="H353" s="401" t="s">
        <v>3581</v>
      </c>
      <c r="I353" s="401" t="s">
        <v>94</v>
      </c>
      <c r="J353" s="401" t="s">
        <v>3582</v>
      </c>
      <c r="K353" s="401" t="s">
        <v>3583</v>
      </c>
    </row>
    <row r="354" spans="1:11">
      <c r="A354" s="398"/>
      <c r="B354" s="399"/>
      <c r="C354" s="399"/>
      <c r="D354" s="401" t="s">
        <v>3584</v>
      </c>
      <c r="E354" s="401" t="s">
        <v>3585</v>
      </c>
      <c r="F354" s="403" t="s">
        <v>229</v>
      </c>
      <c r="G354" s="401" t="s">
        <v>3586</v>
      </c>
      <c r="H354" s="401" t="s">
        <v>3587</v>
      </c>
      <c r="I354" s="401" t="s">
        <v>2545</v>
      </c>
      <c r="J354" s="401" t="s">
        <v>3588</v>
      </c>
      <c r="K354" s="401" t="s">
        <v>3589</v>
      </c>
    </row>
    <row r="355" spans="1:11">
      <c r="A355" s="398"/>
      <c r="B355" s="399"/>
      <c r="C355" s="399" t="s">
        <v>3590</v>
      </c>
      <c r="D355" s="401" t="s">
        <v>3591</v>
      </c>
      <c r="E355" s="401" t="s">
        <v>3592</v>
      </c>
      <c r="F355" s="403" t="s">
        <v>20</v>
      </c>
      <c r="G355" s="401" t="s">
        <v>3593</v>
      </c>
      <c r="H355" s="401" t="s">
        <v>3594</v>
      </c>
      <c r="I355" s="401" t="s">
        <v>94</v>
      </c>
      <c r="J355" s="401" t="s">
        <v>3595</v>
      </c>
      <c r="K355" s="401" t="s">
        <v>3596</v>
      </c>
    </row>
    <row r="356" spans="1:11">
      <c r="A356" s="398"/>
      <c r="B356" s="399"/>
      <c r="C356" s="399"/>
      <c r="D356" s="401" t="s">
        <v>3597</v>
      </c>
      <c r="E356" s="401" t="s">
        <v>3598</v>
      </c>
      <c r="F356" s="403" t="s">
        <v>425</v>
      </c>
      <c r="G356" s="401" t="s">
        <v>3599</v>
      </c>
      <c r="H356" s="401" t="s">
        <v>3600</v>
      </c>
      <c r="I356" s="401" t="s">
        <v>2545</v>
      </c>
      <c r="J356" s="401" t="s">
        <v>3412</v>
      </c>
      <c r="K356" s="401" t="s">
        <v>3601</v>
      </c>
    </row>
    <row r="357" spans="1:11">
      <c r="A357" s="398"/>
      <c r="B357" s="399"/>
      <c r="C357" s="399"/>
      <c r="D357" s="401" t="s">
        <v>3602</v>
      </c>
      <c r="E357" s="401" t="s">
        <v>3603</v>
      </c>
      <c r="F357" s="403" t="s">
        <v>229</v>
      </c>
      <c r="G357" s="401" t="s">
        <v>3604</v>
      </c>
      <c r="H357" s="401" t="s">
        <v>3605</v>
      </c>
      <c r="I357" s="401" t="s">
        <v>2545</v>
      </c>
      <c r="J357" s="401" t="s">
        <v>3606</v>
      </c>
      <c r="K357" s="401" t="s">
        <v>3607</v>
      </c>
    </row>
    <row r="358" spans="1:11">
      <c r="A358" s="398"/>
      <c r="B358" s="399"/>
      <c r="C358" s="399"/>
      <c r="D358" s="401" t="s">
        <v>3608</v>
      </c>
      <c r="E358" s="401" t="s">
        <v>3609</v>
      </c>
      <c r="F358" s="403" t="s">
        <v>20</v>
      </c>
      <c r="G358" s="401" t="s">
        <v>3610</v>
      </c>
      <c r="H358" s="401" t="s">
        <v>3611</v>
      </c>
      <c r="I358" s="401" t="s">
        <v>2545</v>
      </c>
      <c r="J358" s="401" t="s">
        <v>3612</v>
      </c>
      <c r="K358" s="401" t="s">
        <v>3613</v>
      </c>
    </row>
    <row r="359" spans="1:11">
      <c r="A359" s="398"/>
      <c r="B359" s="399"/>
      <c r="C359" s="399"/>
      <c r="D359" s="401" t="s">
        <v>3614</v>
      </c>
      <c r="E359" s="401" t="s">
        <v>3615</v>
      </c>
      <c r="F359" s="403" t="s">
        <v>425</v>
      </c>
      <c r="G359" s="401" t="s">
        <v>3616</v>
      </c>
      <c r="H359" s="401" t="s">
        <v>3617</v>
      </c>
      <c r="I359" s="401" t="s">
        <v>94</v>
      </c>
      <c r="J359" s="401" t="s">
        <v>3618</v>
      </c>
      <c r="K359" s="401" t="s">
        <v>3619</v>
      </c>
    </row>
    <row r="360" spans="1:11">
      <c r="A360" s="398"/>
      <c r="B360" s="399"/>
      <c r="C360" s="399" t="s">
        <v>3620</v>
      </c>
      <c r="D360" s="401" t="s">
        <v>3621</v>
      </c>
      <c r="E360" s="401" t="s">
        <v>3622</v>
      </c>
      <c r="F360" s="403" t="s">
        <v>229</v>
      </c>
      <c r="G360" s="401" t="s">
        <v>3623</v>
      </c>
      <c r="H360" s="401" t="s">
        <v>3438</v>
      </c>
      <c r="I360" s="401" t="s">
        <v>94</v>
      </c>
      <c r="J360" s="401" t="s">
        <v>2652</v>
      </c>
      <c r="K360" s="401" t="s">
        <v>3624</v>
      </c>
    </row>
    <row r="361" spans="1:11">
      <c r="A361" s="398"/>
      <c r="B361" s="399"/>
      <c r="C361" s="399"/>
      <c r="D361" s="401" t="s">
        <v>3625</v>
      </c>
      <c r="E361" s="401" t="s">
        <v>3626</v>
      </c>
      <c r="F361" s="403" t="s">
        <v>20</v>
      </c>
      <c r="G361" s="401" t="s">
        <v>3627</v>
      </c>
      <c r="H361" s="401" t="s">
        <v>3628</v>
      </c>
      <c r="I361" s="401" t="s">
        <v>94</v>
      </c>
      <c r="J361" s="401" t="s">
        <v>3629</v>
      </c>
      <c r="K361" s="401" t="s">
        <v>3630</v>
      </c>
    </row>
    <row r="362" spans="1:11">
      <c r="A362" s="398"/>
      <c r="B362" s="399"/>
      <c r="C362" s="399"/>
      <c r="D362" s="401" t="s">
        <v>3631</v>
      </c>
      <c r="E362" s="401" t="s">
        <v>3632</v>
      </c>
      <c r="F362" s="403" t="s">
        <v>229</v>
      </c>
      <c r="G362" s="401" t="s">
        <v>3633</v>
      </c>
      <c r="H362" s="401" t="s">
        <v>3634</v>
      </c>
      <c r="I362" s="401" t="s">
        <v>2545</v>
      </c>
      <c r="J362" s="401" t="s">
        <v>3635</v>
      </c>
      <c r="K362" s="401" t="s">
        <v>3636</v>
      </c>
    </row>
    <row r="363" spans="1:11">
      <c r="A363" s="398"/>
      <c r="B363" s="399"/>
      <c r="C363" s="399"/>
      <c r="D363" s="401" t="s">
        <v>3637</v>
      </c>
      <c r="E363" s="401" t="s">
        <v>3638</v>
      </c>
      <c r="F363" s="403" t="s">
        <v>425</v>
      </c>
      <c r="G363" s="401" t="s">
        <v>3639</v>
      </c>
      <c r="H363" s="401" t="s">
        <v>3640</v>
      </c>
      <c r="I363" s="401" t="s">
        <v>2545</v>
      </c>
      <c r="J363" s="401" t="s">
        <v>3641</v>
      </c>
      <c r="K363" s="401" t="s">
        <v>3642</v>
      </c>
    </row>
    <row r="364" spans="1:11">
      <c r="A364" s="398"/>
      <c r="B364" s="399"/>
      <c r="C364" s="399"/>
      <c r="D364" s="401" t="s">
        <v>3643</v>
      </c>
      <c r="E364" s="401" t="s">
        <v>3644</v>
      </c>
      <c r="F364" s="403" t="s">
        <v>20</v>
      </c>
      <c r="G364" s="401" t="s">
        <v>3645</v>
      </c>
      <c r="H364" s="401" t="s">
        <v>3449</v>
      </c>
      <c r="I364" s="401" t="s">
        <v>94</v>
      </c>
      <c r="J364" s="401" t="s">
        <v>3646</v>
      </c>
      <c r="K364" s="401" t="s">
        <v>3647</v>
      </c>
    </row>
    <row r="365" spans="1:11">
      <c r="A365" s="398"/>
      <c r="B365" s="399"/>
      <c r="C365" s="399" t="s">
        <v>3648</v>
      </c>
      <c r="D365" s="401" t="s">
        <v>3649</v>
      </c>
      <c r="E365" s="401" t="s">
        <v>3650</v>
      </c>
      <c r="F365" s="403" t="s">
        <v>229</v>
      </c>
      <c r="G365" s="401" t="s">
        <v>3651</v>
      </c>
      <c r="H365" s="401" t="s">
        <v>3652</v>
      </c>
      <c r="I365" s="401" t="s">
        <v>2545</v>
      </c>
      <c r="J365" s="401" t="s">
        <v>2652</v>
      </c>
      <c r="K365" s="401" t="s">
        <v>3653</v>
      </c>
    </row>
    <row r="366" spans="1:11">
      <c r="A366" s="398"/>
      <c r="B366" s="399"/>
      <c r="C366" s="399"/>
      <c r="D366" s="401" t="s">
        <v>3654</v>
      </c>
      <c r="E366" s="401" t="s">
        <v>3655</v>
      </c>
      <c r="F366" s="403" t="s">
        <v>425</v>
      </c>
      <c r="G366" s="401" t="s">
        <v>3656</v>
      </c>
      <c r="H366" s="401" t="s">
        <v>3657</v>
      </c>
      <c r="I366" s="401" t="s">
        <v>94</v>
      </c>
      <c r="J366" s="401" t="s">
        <v>2756</v>
      </c>
      <c r="K366" s="401" t="s">
        <v>3658</v>
      </c>
    </row>
    <row r="367" spans="1:11">
      <c r="A367" s="398"/>
      <c r="B367" s="399"/>
      <c r="C367" s="399"/>
      <c r="D367" s="401" t="s">
        <v>3659</v>
      </c>
      <c r="E367" s="401" t="s">
        <v>3660</v>
      </c>
      <c r="F367" s="403" t="s">
        <v>229</v>
      </c>
      <c r="G367" s="401" t="s">
        <v>3661</v>
      </c>
      <c r="H367" s="401" t="s">
        <v>3662</v>
      </c>
      <c r="I367" s="401" t="s">
        <v>94</v>
      </c>
      <c r="J367" s="401" t="s">
        <v>3663</v>
      </c>
      <c r="K367" s="401" t="s">
        <v>3664</v>
      </c>
    </row>
    <row r="368" spans="1:11">
      <c r="A368" s="398"/>
      <c r="B368" s="399"/>
      <c r="C368" s="399"/>
      <c r="D368" s="401" t="s">
        <v>3665</v>
      </c>
      <c r="E368" s="401" t="s">
        <v>3666</v>
      </c>
      <c r="F368" s="403" t="s">
        <v>20</v>
      </c>
      <c r="G368" s="401" t="s">
        <v>3667</v>
      </c>
      <c r="H368" s="401" t="s">
        <v>3668</v>
      </c>
      <c r="I368" s="401" t="s">
        <v>2545</v>
      </c>
      <c r="J368" s="401" t="s">
        <v>3407</v>
      </c>
      <c r="K368" s="401" t="s">
        <v>3669</v>
      </c>
    </row>
    <row r="369" spans="1:11">
      <c r="A369" s="398"/>
      <c r="B369" s="399"/>
      <c r="C369" s="399"/>
      <c r="D369" s="401" t="s">
        <v>3670</v>
      </c>
      <c r="E369" s="401" t="s">
        <v>3671</v>
      </c>
      <c r="F369" s="403" t="s">
        <v>425</v>
      </c>
      <c r="G369" s="401" t="s">
        <v>3672</v>
      </c>
      <c r="H369" s="401" t="s">
        <v>3673</v>
      </c>
      <c r="I369" s="401" t="s">
        <v>2545</v>
      </c>
      <c r="J369" s="401" t="s">
        <v>3674</v>
      </c>
      <c r="K369" s="401" t="s">
        <v>3675</v>
      </c>
    </row>
    <row r="370" spans="1:11">
      <c r="A370" s="398"/>
      <c r="B370" s="399"/>
      <c r="C370" s="399" t="s">
        <v>3676</v>
      </c>
      <c r="D370" s="401" t="s">
        <v>3677</v>
      </c>
      <c r="E370" s="401" t="s">
        <v>3678</v>
      </c>
      <c r="F370" s="403" t="s">
        <v>20</v>
      </c>
      <c r="G370" s="401" t="s">
        <v>3679</v>
      </c>
      <c r="H370" s="401" t="s">
        <v>3418</v>
      </c>
      <c r="I370" s="401" t="s">
        <v>2545</v>
      </c>
      <c r="J370" s="401" t="s">
        <v>3680</v>
      </c>
      <c r="K370" s="401" t="s">
        <v>3681</v>
      </c>
    </row>
    <row r="371" spans="1:11">
      <c r="A371" s="398"/>
      <c r="B371" s="399"/>
      <c r="C371" s="399"/>
      <c r="D371" s="401" t="s">
        <v>3682</v>
      </c>
      <c r="E371" s="401" t="s">
        <v>3683</v>
      </c>
      <c r="F371" s="403" t="s">
        <v>229</v>
      </c>
      <c r="G371" s="401" t="s">
        <v>3684</v>
      </c>
      <c r="H371" s="401" t="s">
        <v>3685</v>
      </c>
      <c r="I371" s="401" t="s">
        <v>2545</v>
      </c>
      <c r="J371" s="401" t="s">
        <v>3686</v>
      </c>
      <c r="K371" s="401" t="s">
        <v>3687</v>
      </c>
    </row>
    <row r="372" spans="1:11">
      <c r="A372" s="398"/>
      <c r="B372" s="399"/>
      <c r="C372" s="399"/>
      <c r="D372" s="401" t="s">
        <v>3688</v>
      </c>
      <c r="E372" s="401" t="s">
        <v>3689</v>
      </c>
      <c r="F372" s="403" t="s">
        <v>425</v>
      </c>
      <c r="G372" s="401" t="s">
        <v>3690</v>
      </c>
      <c r="H372" s="401" t="s">
        <v>3691</v>
      </c>
      <c r="I372" s="401" t="s">
        <v>2545</v>
      </c>
      <c r="J372" s="401" t="s">
        <v>3692</v>
      </c>
      <c r="K372" s="401" t="s">
        <v>3693</v>
      </c>
    </row>
    <row r="373" spans="1:11">
      <c r="A373" s="398"/>
      <c r="B373" s="399"/>
      <c r="C373" s="399"/>
      <c r="D373" s="401" t="s">
        <v>3694</v>
      </c>
      <c r="E373" s="401" t="s">
        <v>3695</v>
      </c>
      <c r="F373" s="403" t="s">
        <v>20</v>
      </c>
      <c r="G373" s="401" t="s">
        <v>3696</v>
      </c>
      <c r="H373" s="401" t="s">
        <v>3697</v>
      </c>
      <c r="I373" s="401" t="s">
        <v>2545</v>
      </c>
      <c r="J373" s="401" t="s">
        <v>3698</v>
      </c>
      <c r="K373" s="401" t="s">
        <v>3699</v>
      </c>
    </row>
    <row r="374" spans="1:11">
      <c r="A374" s="398"/>
      <c r="B374" s="399"/>
      <c r="C374" s="399"/>
      <c r="D374" s="401" t="s">
        <v>3700</v>
      </c>
      <c r="E374" s="401" t="s">
        <v>3701</v>
      </c>
      <c r="F374" s="403" t="s">
        <v>229</v>
      </c>
      <c r="G374" s="401" t="s">
        <v>3702</v>
      </c>
      <c r="H374" s="401" t="s">
        <v>3703</v>
      </c>
      <c r="I374" s="401" t="s">
        <v>2545</v>
      </c>
      <c r="J374" s="401" t="s">
        <v>3704</v>
      </c>
      <c r="K374" s="401" t="s">
        <v>3705</v>
      </c>
    </row>
    <row r="375" spans="1:11">
      <c r="A375" s="398"/>
      <c r="B375" s="399"/>
      <c r="C375" s="399" t="s">
        <v>3706</v>
      </c>
      <c r="D375" s="401" t="s">
        <v>3707</v>
      </c>
      <c r="E375" s="401" t="s">
        <v>3708</v>
      </c>
      <c r="F375" s="403" t="s">
        <v>425</v>
      </c>
      <c r="G375" s="401" t="s">
        <v>3709</v>
      </c>
      <c r="H375" s="401" t="s">
        <v>3710</v>
      </c>
      <c r="I375" s="401" t="s">
        <v>2545</v>
      </c>
      <c r="J375" s="401" t="s">
        <v>3711</v>
      </c>
      <c r="K375" s="401" t="s">
        <v>3712</v>
      </c>
    </row>
    <row r="376" spans="1:11">
      <c r="A376" s="398"/>
      <c r="B376" s="399"/>
      <c r="C376" s="399"/>
      <c r="D376" s="401" t="s">
        <v>3713</v>
      </c>
      <c r="E376" s="401" t="s">
        <v>3714</v>
      </c>
      <c r="F376" s="403" t="s">
        <v>229</v>
      </c>
      <c r="G376" s="401" t="s">
        <v>3715</v>
      </c>
      <c r="H376" s="401" t="s">
        <v>3716</v>
      </c>
      <c r="I376" s="401" t="s">
        <v>94</v>
      </c>
      <c r="J376" s="401" t="s">
        <v>3717</v>
      </c>
      <c r="K376" s="401" t="s">
        <v>3718</v>
      </c>
    </row>
    <row r="377" spans="1:11">
      <c r="A377" s="398"/>
      <c r="B377" s="399"/>
      <c r="C377" s="399"/>
      <c r="D377" s="401" t="s">
        <v>3719</v>
      </c>
      <c r="E377" s="401" t="s">
        <v>3720</v>
      </c>
      <c r="F377" s="403" t="s">
        <v>20</v>
      </c>
      <c r="G377" s="401" t="s">
        <v>3721</v>
      </c>
      <c r="H377" s="401" t="s">
        <v>3722</v>
      </c>
      <c r="I377" s="401" t="s">
        <v>94</v>
      </c>
      <c r="J377" s="401" t="s">
        <v>3723</v>
      </c>
      <c r="K377" s="401" t="s">
        <v>3724</v>
      </c>
    </row>
    <row r="378" spans="1:11">
      <c r="A378" s="398"/>
      <c r="B378" s="399"/>
      <c r="C378" s="399"/>
      <c r="D378" s="401" t="s">
        <v>3725</v>
      </c>
      <c r="E378" s="401" t="s">
        <v>3726</v>
      </c>
      <c r="F378" s="403" t="s">
        <v>425</v>
      </c>
      <c r="G378" s="401" t="s">
        <v>3727</v>
      </c>
      <c r="H378" s="401" t="s">
        <v>3728</v>
      </c>
      <c r="I378" s="401" t="s">
        <v>2545</v>
      </c>
      <c r="J378" s="401" t="s">
        <v>3729</v>
      </c>
      <c r="K378" s="401" t="s">
        <v>3319</v>
      </c>
    </row>
    <row r="379" spans="1:11">
      <c r="A379" s="398"/>
      <c r="B379" s="399"/>
      <c r="C379" s="399"/>
      <c r="D379" s="401" t="s">
        <v>3730</v>
      </c>
      <c r="E379" s="401" t="s">
        <v>3731</v>
      </c>
      <c r="F379" s="403" t="s">
        <v>20</v>
      </c>
      <c r="G379" s="401" t="s">
        <v>3732</v>
      </c>
      <c r="H379" s="401" t="s">
        <v>2601</v>
      </c>
      <c r="I379" s="401" t="s">
        <v>2545</v>
      </c>
      <c r="J379" s="401" t="s">
        <v>3733</v>
      </c>
      <c r="K379" s="401" t="s">
        <v>3734</v>
      </c>
    </row>
    <row r="380" spans="1:11">
      <c r="A380" s="398"/>
      <c r="B380" s="399"/>
      <c r="C380" s="399" t="s">
        <v>3735</v>
      </c>
      <c r="D380" s="401" t="s">
        <v>3736</v>
      </c>
      <c r="E380" s="401" t="s">
        <v>3737</v>
      </c>
      <c r="F380" s="403" t="s">
        <v>229</v>
      </c>
      <c r="G380" s="401" t="s">
        <v>3738</v>
      </c>
      <c r="H380" s="401" t="s">
        <v>3739</v>
      </c>
      <c r="I380" s="401" t="s">
        <v>94</v>
      </c>
      <c r="J380" s="401" t="s">
        <v>3740</v>
      </c>
      <c r="K380" s="401" t="s">
        <v>3741</v>
      </c>
    </row>
    <row r="381" spans="1:11">
      <c r="A381" s="398"/>
      <c r="B381" s="399"/>
      <c r="C381" s="399"/>
      <c r="D381" s="401" t="s">
        <v>3742</v>
      </c>
      <c r="E381" s="401" t="s">
        <v>3743</v>
      </c>
      <c r="F381" s="403" t="s">
        <v>425</v>
      </c>
      <c r="G381" s="401" t="s">
        <v>3744</v>
      </c>
      <c r="H381" s="401" t="s">
        <v>3745</v>
      </c>
      <c r="I381" s="401" t="s">
        <v>2545</v>
      </c>
      <c r="J381" s="401" t="s">
        <v>3746</v>
      </c>
      <c r="K381" s="401" t="s">
        <v>3747</v>
      </c>
    </row>
    <row r="382" spans="1:11">
      <c r="A382" s="398"/>
      <c r="B382" s="399"/>
      <c r="C382" s="399"/>
      <c r="D382" s="401" t="s">
        <v>3748</v>
      </c>
      <c r="E382" s="401" t="s">
        <v>3749</v>
      </c>
      <c r="F382" s="403" t="s">
        <v>229</v>
      </c>
      <c r="G382" s="401" t="s">
        <v>3750</v>
      </c>
      <c r="H382" s="401" t="s">
        <v>3751</v>
      </c>
      <c r="I382" s="401" t="s">
        <v>94</v>
      </c>
      <c r="J382" s="401" t="s">
        <v>3752</v>
      </c>
      <c r="K382" s="401" t="s">
        <v>3753</v>
      </c>
    </row>
    <row r="383" spans="1:11">
      <c r="A383" s="398"/>
      <c r="B383" s="399"/>
      <c r="C383" s="399"/>
      <c r="D383" s="401" t="s">
        <v>3754</v>
      </c>
      <c r="E383" s="401" t="s">
        <v>3755</v>
      </c>
      <c r="F383" s="403" t="s">
        <v>20</v>
      </c>
      <c r="G383" s="401" t="s">
        <v>3756</v>
      </c>
      <c r="H383" s="401" t="s">
        <v>3757</v>
      </c>
      <c r="I383" s="401" t="s">
        <v>94</v>
      </c>
      <c r="J383" s="401" t="s">
        <v>3758</v>
      </c>
      <c r="K383" s="401" t="s">
        <v>3759</v>
      </c>
    </row>
    <row r="384" spans="1:11">
      <c r="A384" s="398"/>
      <c r="B384" s="399"/>
      <c r="C384" s="399"/>
      <c r="D384" s="401" t="s">
        <v>3760</v>
      </c>
      <c r="E384" s="401" t="s">
        <v>3761</v>
      </c>
      <c r="F384" s="403" t="s">
        <v>229</v>
      </c>
      <c r="G384" s="401" t="s">
        <v>3762</v>
      </c>
      <c r="H384" s="401" t="s">
        <v>3412</v>
      </c>
      <c r="I384" s="401" t="s">
        <v>2545</v>
      </c>
      <c r="J384" s="401" t="s">
        <v>3763</v>
      </c>
      <c r="K384" s="401" t="s">
        <v>3764</v>
      </c>
    </row>
    <row r="385" spans="1:11">
      <c r="A385" s="398"/>
      <c r="B385" s="399"/>
      <c r="C385" s="399" t="s">
        <v>3765</v>
      </c>
      <c r="D385" s="401" t="s">
        <v>3766</v>
      </c>
      <c r="E385" s="401" t="s">
        <v>3767</v>
      </c>
      <c r="F385" s="403" t="s">
        <v>425</v>
      </c>
      <c r="G385" s="401" t="s">
        <v>3768</v>
      </c>
      <c r="H385" s="401" t="s">
        <v>3769</v>
      </c>
      <c r="I385" s="401" t="s">
        <v>2545</v>
      </c>
      <c r="J385" s="401" t="s">
        <v>3770</v>
      </c>
      <c r="K385" s="401" t="s">
        <v>3771</v>
      </c>
    </row>
    <row r="386" spans="1:11">
      <c r="A386" s="398"/>
      <c r="B386" s="399"/>
      <c r="C386" s="399"/>
      <c r="D386" s="401" t="s">
        <v>3772</v>
      </c>
      <c r="E386" s="401" t="s">
        <v>3773</v>
      </c>
      <c r="F386" s="403" t="s">
        <v>20</v>
      </c>
      <c r="G386" s="401" t="s">
        <v>3774</v>
      </c>
      <c r="H386" s="401" t="s">
        <v>3775</v>
      </c>
      <c r="I386" s="401" t="s">
        <v>94</v>
      </c>
      <c r="J386" s="401" t="s">
        <v>3776</v>
      </c>
      <c r="K386" s="401" t="s">
        <v>3777</v>
      </c>
    </row>
    <row r="387" spans="1:11">
      <c r="A387" s="398"/>
      <c r="B387" s="399"/>
      <c r="C387" s="399"/>
      <c r="D387" s="401" t="s">
        <v>3778</v>
      </c>
      <c r="E387" s="401" t="s">
        <v>3779</v>
      </c>
      <c r="F387" s="403" t="s">
        <v>229</v>
      </c>
      <c r="G387" s="401" t="s">
        <v>3780</v>
      </c>
      <c r="H387" s="401" t="s">
        <v>3781</v>
      </c>
      <c r="I387" s="401" t="s">
        <v>94</v>
      </c>
      <c r="J387" s="401" t="s">
        <v>3782</v>
      </c>
      <c r="K387" s="401" t="s">
        <v>3783</v>
      </c>
    </row>
    <row r="388" spans="1:11">
      <c r="A388" s="398"/>
      <c r="B388" s="399"/>
      <c r="C388" s="399"/>
      <c r="D388" s="401" t="s">
        <v>3784</v>
      </c>
      <c r="E388" s="401" t="s">
        <v>3785</v>
      </c>
      <c r="F388" s="403" t="s">
        <v>20</v>
      </c>
      <c r="G388" s="401" t="s">
        <v>3432</v>
      </c>
      <c r="H388" s="401" t="s">
        <v>3433</v>
      </c>
      <c r="I388" s="401" t="s">
        <v>2545</v>
      </c>
      <c r="J388" s="401" t="s">
        <v>3786</v>
      </c>
      <c r="K388" s="401" t="s">
        <v>3787</v>
      </c>
    </row>
    <row r="389" spans="1:11">
      <c r="A389" s="398"/>
      <c r="B389" s="399"/>
      <c r="C389" s="399"/>
      <c r="D389" s="401" t="s">
        <v>3788</v>
      </c>
      <c r="E389" s="401" t="s">
        <v>3789</v>
      </c>
      <c r="F389" s="403" t="s">
        <v>425</v>
      </c>
      <c r="G389" s="401" t="s">
        <v>3790</v>
      </c>
      <c r="H389" s="401" t="s">
        <v>3791</v>
      </c>
      <c r="I389" s="401" t="s">
        <v>94</v>
      </c>
      <c r="J389" s="401" t="s">
        <v>3792</v>
      </c>
      <c r="K389" s="401" t="s">
        <v>3793</v>
      </c>
    </row>
    <row r="390" spans="1:11">
      <c r="A390" s="398"/>
      <c r="B390" s="399"/>
      <c r="C390" s="399" t="s">
        <v>3794</v>
      </c>
      <c r="D390" s="401" t="s">
        <v>3795</v>
      </c>
      <c r="E390" s="401" t="s">
        <v>3796</v>
      </c>
      <c r="F390" s="403" t="s">
        <v>20</v>
      </c>
      <c r="G390" s="401" t="s">
        <v>3797</v>
      </c>
      <c r="H390" s="401" t="s">
        <v>3798</v>
      </c>
      <c r="I390" s="401" t="s">
        <v>2545</v>
      </c>
      <c r="J390" s="401" t="s">
        <v>3799</v>
      </c>
      <c r="K390" s="401" t="s">
        <v>3800</v>
      </c>
    </row>
    <row r="391" spans="1:11">
      <c r="A391" s="398"/>
      <c r="B391" s="399"/>
      <c r="C391" s="399"/>
      <c r="D391" s="401" t="s">
        <v>3801</v>
      </c>
      <c r="E391" s="401" t="s">
        <v>3802</v>
      </c>
      <c r="F391" s="403" t="s">
        <v>229</v>
      </c>
      <c r="G391" s="401" t="s">
        <v>3803</v>
      </c>
      <c r="H391" s="401" t="s">
        <v>3804</v>
      </c>
      <c r="I391" s="401" t="s">
        <v>94</v>
      </c>
      <c r="J391" s="401" t="s">
        <v>3674</v>
      </c>
      <c r="K391" s="401" t="s">
        <v>3805</v>
      </c>
    </row>
    <row r="392" spans="1:11">
      <c r="A392" s="398"/>
      <c r="B392" s="399"/>
      <c r="C392" s="399"/>
      <c r="D392" s="401" t="s">
        <v>3806</v>
      </c>
      <c r="E392" s="401" t="s">
        <v>3807</v>
      </c>
      <c r="F392" s="403" t="s">
        <v>425</v>
      </c>
      <c r="G392" s="401" t="s">
        <v>3808</v>
      </c>
      <c r="H392" s="401" t="s">
        <v>3809</v>
      </c>
      <c r="I392" s="401" t="s">
        <v>94</v>
      </c>
      <c r="J392" s="401" t="s">
        <v>3810</v>
      </c>
      <c r="K392" s="401" t="s">
        <v>3811</v>
      </c>
    </row>
    <row r="393" spans="1:11">
      <c r="A393" s="398"/>
      <c r="B393" s="399"/>
      <c r="C393" s="399"/>
      <c r="D393" s="401" t="s">
        <v>3812</v>
      </c>
      <c r="E393" s="401" t="s">
        <v>3813</v>
      </c>
      <c r="F393" s="403" t="s">
        <v>229</v>
      </c>
      <c r="G393" s="401" t="s">
        <v>3814</v>
      </c>
      <c r="H393" s="401" t="s">
        <v>3815</v>
      </c>
      <c r="I393" s="401" t="s">
        <v>94</v>
      </c>
      <c r="J393" s="401" t="s">
        <v>3816</v>
      </c>
      <c r="K393" s="401" t="s">
        <v>3817</v>
      </c>
    </row>
    <row r="394" spans="1:11">
      <c r="A394" s="398"/>
      <c r="B394" s="399"/>
      <c r="C394" s="399"/>
      <c r="D394" s="401" t="s">
        <v>3818</v>
      </c>
      <c r="E394" s="401" t="s">
        <v>3819</v>
      </c>
      <c r="F394" s="403" t="s">
        <v>20</v>
      </c>
      <c r="G394" s="401" t="s">
        <v>3820</v>
      </c>
      <c r="H394" s="401" t="s">
        <v>3821</v>
      </c>
      <c r="I394" s="401" t="s">
        <v>94</v>
      </c>
      <c r="J394" s="401" t="s">
        <v>3066</v>
      </c>
      <c r="K394" s="401" t="s">
        <v>3822</v>
      </c>
    </row>
    <row r="395" spans="1:11">
      <c r="A395" s="398"/>
      <c r="B395" s="399" t="s">
        <v>3823</v>
      </c>
      <c r="C395" s="399" t="s">
        <v>3824</v>
      </c>
      <c r="D395" s="401" t="s">
        <v>3825</v>
      </c>
      <c r="E395" s="401" t="s">
        <v>3826</v>
      </c>
      <c r="F395" s="403" t="s">
        <v>425</v>
      </c>
      <c r="G395" s="401" t="s">
        <v>3827</v>
      </c>
      <c r="H395" s="401" t="s">
        <v>3828</v>
      </c>
      <c r="I395" s="401" t="s">
        <v>2545</v>
      </c>
      <c r="J395" s="401" t="s">
        <v>3829</v>
      </c>
      <c r="K395" s="401" t="s">
        <v>3830</v>
      </c>
    </row>
    <row r="396" spans="1:11">
      <c r="A396" s="398"/>
      <c r="B396" s="399"/>
      <c r="C396" s="399"/>
      <c r="D396" s="401" t="s">
        <v>3831</v>
      </c>
      <c r="E396" s="401" t="s">
        <v>3832</v>
      </c>
      <c r="F396" s="403" t="s">
        <v>229</v>
      </c>
      <c r="G396" s="401" t="s">
        <v>3833</v>
      </c>
      <c r="H396" s="401" t="s">
        <v>3834</v>
      </c>
      <c r="I396" s="401" t="s">
        <v>2545</v>
      </c>
      <c r="J396" s="401" t="s">
        <v>3835</v>
      </c>
      <c r="K396" s="401" t="s">
        <v>3836</v>
      </c>
    </row>
    <row r="397" spans="1:11">
      <c r="A397" s="398"/>
      <c r="B397" s="399"/>
      <c r="C397" s="399"/>
      <c r="D397" s="401" t="s">
        <v>3837</v>
      </c>
      <c r="E397" s="401" t="s">
        <v>3838</v>
      </c>
      <c r="F397" s="403" t="s">
        <v>20</v>
      </c>
      <c r="G397" s="401" t="s">
        <v>3839</v>
      </c>
      <c r="H397" s="401" t="s">
        <v>3840</v>
      </c>
      <c r="I397" s="401" t="s">
        <v>94</v>
      </c>
      <c r="J397" s="401" t="s">
        <v>3841</v>
      </c>
      <c r="K397" s="401" t="s">
        <v>3842</v>
      </c>
    </row>
    <row r="398" spans="1:11">
      <c r="A398" s="398"/>
      <c r="B398" s="399"/>
      <c r="C398" s="399"/>
      <c r="D398" s="401" t="s">
        <v>3843</v>
      </c>
      <c r="E398" s="401" t="s">
        <v>3844</v>
      </c>
      <c r="F398" s="403" t="s">
        <v>20</v>
      </c>
      <c r="G398" s="401" t="s">
        <v>3845</v>
      </c>
      <c r="H398" s="401" t="s">
        <v>3433</v>
      </c>
      <c r="I398" s="401" t="s">
        <v>2545</v>
      </c>
      <c r="J398" s="401" t="s">
        <v>3829</v>
      </c>
      <c r="K398" s="401" t="s">
        <v>3846</v>
      </c>
    </row>
    <row r="399" spans="1:11">
      <c r="A399" s="398"/>
      <c r="B399" s="399"/>
      <c r="C399" s="399"/>
      <c r="D399" s="401" t="s">
        <v>3847</v>
      </c>
      <c r="E399" s="401" t="s">
        <v>3848</v>
      </c>
      <c r="F399" s="403" t="s">
        <v>229</v>
      </c>
      <c r="G399" s="401" t="s">
        <v>3849</v>
      </c>
      <c r="H399" s="401" t="s">
        <v>3850</v>
      </c>
      <c r="I399" s="401" t="s">
        <v>2545</v>
      </c>
      <c r="J399" s="401" t="s">
        <v>3851</v>
      </c>
      <c r="K399" s="401" t="s">
        <v>3852</v>
      </c>
    </row>
    <row r="400" spans="1:11">
      <c r="A400" s="398"/>
      <c r="B400" s="399"/>
      <c r="C400" s="399" t="s">
        <v>3853</v>
      </c>
      <c r="D400" s="401" t="s">
        <v>3854</v>
      </c>
      <c r="E400" s="401" t="s">
        <v>3855</v>
      </c>
      <c r="F400" s="403" t="s">
        <v>425</v>
      </c>
      <c r="G400" s="401" t="s">
        <v>3856</v>
      </c>
      <c r="H400" s="401" t="s">
        <v>3857</v>
      </c>
      <c r="I400" s="401" t="s">
        <v>2545</v>
      </c>
      <c r="J400" s="401" t="s">
        <v>3858</v>
      </c>
      <c r="K400" s="401" t="s">
        <v>3859</v>
      </c>
    </row>
    <row r="401" spans="1:11">
      <c r="A401" s="398"/>
      <c r="B401" s="399"/>
      <c r="C401" s="399"/>
      <c r="D401" s="401" t="s">
        <v>3860</v>
      </c>
      <c r="E401" s="401" t="s">
        <v>3861</v>
      </c>
      <c r="F401" s="403" t="s">
        <v>20</v>
      </c>
      <c r="G401" s="401" t="s">
        <v>3862</v>
      </c>
      <c r="H401" s="401" t="s">
        <v>3863</v>
      </c>
      <c r="I401" s="401" t="s">
        <v>2545</v>
      </c>
      <c r="J401" s="401" t="s">
        <v>3864</v>
      </c>
      <c r="K401" s="401" t="s">
        <v>3865</v>
      </c>
    </row>
    <row r="402" spans="1:11">
      <c r="A402" s="398"/>
      <c r="B402" s="399"/>
      <c r="C402" s="399"/>
      <c r="D402" s="401" t="s">
        <v>3866</v>
      </c>
      <c r="E402" s="401" t="s">
        <v>3867</v>
      </c>
      <c r="F402" s="403" t="s">
        <v>229</v>
      </c>
      <c r="G402" s="401" t="s">
        <v>3868</v>
      </c>
      <c r="H402" s="401" t="s">
        <v>3840</v>
      </c>
      <c r="I402" s="401" t="s">
        <v>94</v>
      </c>
      <c r="J402" s="401" t="s">
        <v>3869</v>
      </c>
      <c r="K402" s="401" t="s">
        <v>3870</v>
      </c>
    </row>
    <row r="403" spans="1:11">
      <c r="A403" s="398"/>
      <c r="B403" s="399"/>
      <c r="C403" s="399"/>
      <c r="D403" s="401" t="s">
        <v>3871</v>
      </c>
      <c r="E403" s="401" t="s">
        <v>3872</v>
      </c>
      <c r="F403" s="403" t="s">
        <v>425</v>
      </c>
      <c r="G403" s="401" t="s">
        <v>3873</v>
      </c>
      <c r="H403" s="401" t="s">
        <v>3874</v>
      </c>
      <c r="I403" s="401" t="s">
        <v>2545</v>
      </c>
      <c r="J403" s="401" t="s">
        <v>3875</v>
      </c>
      <c r="K403" s="401" t="s">
        <v>3876</v>
      </c>
    </row>
    <row r="404" spans="1:11">
      <c r="A404" s="398"/>
      <c r="B404" s="399"/>
      <c r="C404" s="399"/>
      <c r="D404" s="401" t="s">
        <v>3877</v>
      </c>
      <c r="E404" s="401" t="s">
        <v>3878</v>
      </c>
      <c r="F404" s="403" t="s">
        <v>425</v>
      </c>
      <c r="G404" s="401" t="s">
        <v>3879</v>
      </c>
      <c r="H404" s="401" t="s">
        <v>3880</v>
      </c>
      <c r="I404" s="401" t="s">
        <v>2545</v>
      </c>
      <c r="J404" s="401" t="s">
        <v>2688</v>
      </c>
      <c r="K404" s="401" t="s">
        <v>3881</v>
      </c>
    </row>
    <row r="405" spans="1:11">
      <c r="A405" s="398"/>
      <c r="B405" s="399"/>
      <c r="C405" s="399" t="s">
        <v>3882</v>
      </c>
      <c r="D405" s="401" t="s">
        <v>3883</v>
      </c>
      <c r="E405" s="401" t="s">
        <v>3884</v>
      </c>
      <c r="F405" s="403" t="s">
        <v>20</v>
      </c>
      <c r="G405" s="401" t="s">
        <v>3885</v>
      </c>
      <c r="H405" s="401" t="s">
        <v>3886</v>
      </c>
      <c r="I405" s="401" t="s">
        <v>2545</v>
      </c>
      <c r="J405" s="401" t="s">
        <v>3887</v>
      </c>
      <c r="K405" s="401" t="s">
        <v>3888</v>
      </c>
    </row>
    <row r="406" spans="1:11">
      <c r="A406" s="398"/>
      <c r="B406" s="399"/>
      <c r="C406" s="399"/>
      <c r="D406" s="401" t="s">
        <v>3889</v>
      </c>
      <c r="E406" s="401" t="s">
        <v>3890</v>
      </c>
      <c r="F406" s="403" t="s">
        <v>229</v>
      </c>
      <c r="G406" s="401" t="s">
        <v>3891</v>
      </c>
      <c r="H406" s="401" t="s">
        <v>3892</v>
      </c>
      <c r="I406" s="401" t="s">
        <v>2545</v>
      </c>
      <c r="J406" s="401" t="s">
        <v>3893</v>
      </c>
      <c r="K406" s="401" t="s">
        <v>3894</v>
      </c>
    </row>
    <row r="407" spans="1:11">
      <c r="A407" s="398"/>
      <c r="B407" s="399"/>
      <c r="C407" s="399"/>
      <c r="D407" s="401" t="s">
        <v>3895</v>
      </c>
      <c r="E407" s="401" t="s">
        <v>3896</v>
      </c>
      <c r="F407" s="403" t="s">
        <v>20</v>
      </c>
      <c r="G407" s="401" t="s">
        <v>3897</v>
      </c>
      <c r="H407" s="401" t="s">
        <v>3898</v>
      </c>
      <c r="I407" s="401" t="s">
        <v>2545</v>
      </c>
      <c r="J407" s="401" t="s">
        <v>3899</v>
      </c>
      <c r="K407" s="401" t="s">
        <v>3900</v>
      </c>
    </row>
    <row r="408" spans="1:11">
      <c r="A408" s="398"/>
      <c r="B408" s="399"/>
      <c r="C408" s="399"/>
      <c r="D408" s="401" t="s">
        <v>3901</v>
      </c>
      <c r="E408" s="401" t="s">
        <v>3902</v>
      </c>
      <c r="F408" s="403" t="s">
        <v>425</v>
      </c>
      <c r="G408" s="401" t="s">
        <v>3903</v>
      </c>
      <c r="H408" s="401" t="s">
        <v>3710</v>
      </c>
      <c r="I408" s="401" t="s">
        <v>2545</v>
      </c>
      <c r="J408" s="401" t="s">
        <v>3904</v>
      </c>
      <c r="K408" s="401" t="s">
        <v>3905</v>
      </c>
    </row>
    <row r="409" spans="1:11">
      <c r="A409" s="398"/>
      <c r="B409" s="399"/>
      <c r="C409" s="399"/>
      <c r="D409" s="401" t="s">
        <v>3906</v>
      </c>
      <c r="E409" s="401" t="s">
        <v>3907</v>
      </c>
      <c r="F409" s="403" t="s">
        <v>229</v>
      </c>
      <c r="G409" s="401" t="s">
        <v>3908</v>
      </c>
      <c r="H409" s="401" t="s">
        <v>3909</v>
      </c>
      <c r="I409" s="401" t="s">
        <v>2545</v>
      </c>
      <c r="J409" s="401" t="s">
        <v>3910</v>
      </c>
      <c r="K409" s="401" t="s">
        <v>3911</v>
      </c>
    </row>
    <row r="410" spans="1:11">
      <c r="A410" s="398"/>
      <c r="B410" s="399"/>
      <c r="C410" s="399" t="s">
        <v>3912</v>
      </c>
      <c r="D410" s="401" t="s">
        <v>3913</v>
      </c>
      <c r="E410" s="401" t="s">
        <v>3914</v>
      </c>
      <c r="F410" s="403" t="s">
        <v>20</v>
      </c>
      <c r="G410" s="401" t="s">
        <v>3915</v>
      </c>
      <c r="H410" s="401" t="s">
        <v>3916</v>
      </c>
      <c r="I410" s="401" t="s">
        <v>2545</v>
      </c>
      <c r="J410" s="401" t="s">
        <v>3917</v>
      </c>
      <c r="K410" s="401" t="s">
        <v>3918</v>
      </c>
    </row>
    <row r="411" spans="1:11">
      <c r="A411" s="398"/>
      <c r="B411" s="399"/>
      <c r="C411" s="399"/>
      <c r="D411" s="401" t="s">
        <v>3919</v>
      </c>
      <c r="E411" s="401" t="s">
        <v>3920</v>
      </c>
      <c r="F411" s="403" t="s">
        <v>229</v>
      </c>
      <c r="G411" s="401" t="s">
        <v>3921</v>
      </c>
      <c r="H411" s="401" t="s">
        <v>3922</v>
      </c>
      <c r="I411" s="401" t="s">
        <v>2545</v>
      </c>
      <c r="J411" s="401" t="s">
        <v>3923</v>
      </c>
      <c r="K411" s="401" t="s">
        <v>3924</v>
      </c>
    </row>
    <row r="412" spans="1:11">
      <c r="A412" s="398"/>
      <c r="B412" s="399"/>
      <c r="C412" s="399"/>
      <c r="D412" s="401" t="s">
        <v>3925</v>
      </c>
      <c r="E412" s="401" t="s">
        <v>3926</v>
      </c>
      <c r="F412" s="403" t="s">
        <v>425</v>
      </c>
      <c r="G412" s="401" t="s">
        <v>3927</v>
      </c>
      <c r="H412" s="401" t="s">
        <v>3928</v>
      </c>
      <c r="I412" s="401" t="s">
        <v>94</v>
      </c>
      <c r="J412" s="401" t="s">
        <v>3929</v>
      </c>
      <c r="K412" s="401" t="s">
        <v>3930</v>
      </c>
    </row>
    <row r="413" spans="1:11">
      <c r="A413" s="398"/>
      <c r="B413" s="399"/>
      <c r="C413" s="399"/>
      <c r="D413" s="401" t="s">
        <v>3931</v>
      </c>
      <c r="E413" s="401" t="s">
        <v>3932</v>
      </c>
      <c r="F413" s="403" t="s">
        <v>20</v>
      </c>
      <c r="G413" s="401" t="s">
        <v>3933</v>
      </c>
      <c r="H413" s="401" t="s">
        <v>3934</v>
      </c>
      <c r="I413" s="401" t="s">
        <v>94</v>
      </c>
      <c r="J413" s="401" t="s">
        <v>3904</v>
      </c>
      <c r="K413" s="401" t="s">
        <v>3935</v>
      </c>
    </row>
    <row r="414" spans="1:11">
      <c r="A414" s="398"/>
      <c r="B414" s="399"/>
      <c r="C414" s="399"/>
      <c r="D414" s="401" t="s">
        <v>3936</v>
      </c>
      <c r="E414" s="401" t="s">
        <v>3937</v>
      </c>
      <c r="F414" s="403" t="s">
        <v>229</v>
      </c>
      <c r="G414" s="401" t="s">
        <v>3938</v>
      </c>
      <c r="H414" s="401" t="s">
        <v>3939</v>
      </c>
      <c r="I414" s="401" t="s">
        <v>94</v>
      </c>
      <c r="J414" s="401" t="s">
        <v>3940</v>
      </c>
      <c r="K414" s="401" t="s">
        <v>3941</v>
      </c>
    </row>
    <row r="415" spans="1:11">
      <c r="A415" s="398"/>
      <c r="B415" s="399"/>
      <c r="C415" s="399" t="s">
        <v>3942</v>
      </c>
      <c r="D415" s="401" t="s">
        <v>3943</v>
      </c>
      <c r="E415" s="401" t="s">
        <v>3944</v>
      </c>
      <c r="F415" s="403" t="s">
        <v>425</v>
      </c>
      <c r="G415" s="401" t="s">
        <v>3945</v>
      </c>
      <c r="H415" s="401" t="s">
        <v>3946</v>
      </c>
      <c r="I415" s="401" t="s">
        <v>2545</v>
      </c>
      <c r="J415" s="401" t="s">
        <v>3947</v>
      </c>
      <c r="K415" s="401" t="s">
        <v>3948</v>
      </c>
    </row>
    <row r="416" spans="1:11">
      <c r="A416" s="398"/>
      <c r="B416" s="399"/>
      <c r="C416" s="399"/>
      <c r="D416" s="401" t="s">
        <v>3949</v>
      </c>
      <c r="E416" s="401" t="s">
        <v>3950</v>
      </c>
      <c r="F416" s="403" t="s">
        <v>229</v>
      </c>
      <c r="G416" s="401" t="s">
        <v>3951</v>
      </c>
      <c r="H416" s="401" t="s">
        <v>3952</v>
      </c>
      <c r="I416" s="401" t="s">
        <v>2545</v>
      </c>
      <c r="J416" s="401" t="s">
        <v>3899</v>
      </c>
      <c r="K416" s="401" t="s">
        <v>3953</v>
      </c>
    </row>
    <row r="417" spans="1:11">
      <c r="A417" s="398"/>
      <c r="B417" s="399"/>
      <c r="C417" s="399"/>
      <c r="D417" s="401" t="s">
        <v>3954</v>
      </c>
      <c r="E417" s="401" t="s">
        <v>3955</v>
      </c>
      <c r="F417" s="403" t="s">
        <v>20</v>
      </c>
      <c r="G417" s="401" t="s">
        <v>3956</v>
      </c>
      <c r="H417" s="401" t="s">
        <v>3957</v>
      </c>
      <c r="I417" s="401" t="s">
        <v>2545</v>
      </c>
      <c r="J417" s="401" t="s">
        <v>3958</v>
      </c>
      <c r="K417" s="401" t="s">
        <v>3959</v>
      </c>
    </row>
    <row r="418" spans="1:11">
      <c r="A418" s="398"/>
      <c r="B418" s="399"/>
      <c r="C418" s="399"/>
      <c r="D418" s="401" t="s">
        <v>3960</v>
      </c>
      <c r="E418" s="401" t="s">
        <v>3961</v>
      </c>
      <c r="F418" s="403" t="s">
        <v>425</v>
      </c>
      <c r="G418" s="401" t="s">
        <v>3962</v>
      </c>
      <c r="H418" s="401" t="s">
        <v>3963</v>
      </c>
      <c r="I418" s="401" t="s">
        <v>94</v>
      </c>
      <c r="J418" s="401" t="s">
        <v>3964</v>
      </c>
      <c r="K418" s="401" t="s">
        <v>3965</v>
      </c>
    </row>
    <row r="419" spans="1:11">
      <c r="A419" s="398"/>
      <c r="B419" s="399"/>
      <c r="C419" s="399"/>
      <c r="D419" s="401" t="s">
        <v>3966</v>
      </c>
      <c r="E419" s="401" t="s">
        <v>3967</v>
      </c>
      <c r="F419" s="403" t="s">
        <v>20</v>
      </c>
      <c r="G419" s="401" t="s">
        <v>3498</v>
      </c>
      <c r="H419" s="401" t="s">
        <v>3968</v>
      </c>
      <c r="I419" s="401" t="s">
        <v>94</v>
      </c>
      <c r="J419" s="401" t="s">
        <v>3969</v>
      </c>
      <c r="K419" s="401" t="s">
        <v>3970</v>
      </c>
    </row>
    <row r="420" spans="1:11" ht="30">
      <c r="A420" s="387" t="s">
        <v>9641</v>
      </c>
      <c r="B420" s="387" t="s">
        <v>3982</v>
      </c>
      <c r="C420" s="387" t="s">
        <v>3983</v>
      </c>
      <c r="D420" s="404" t="s">
        <v>3984</v>
      </c>
      <c r="E420" s="404" t="s">
        <v>3985</v>
      </c>
      <c r="F420" s="385" t="s">
        <v>20</v>
      </c>
      <c r="G420" s="404"/>
      <c r="H420" s="404" t="s">
        <v>3986</v>
      </c>
      <c r="I420" s="404" t="s">
        <v>23</v>
      </c>
      <c r="J420" s="404" t="s">
        <v>3987</v>
      </c>
      <c r="K420" s="404" t="s">
        <v>3988</v>
      </c>
    </row>
    <row r="421" spans="1:11" ht="30">
      <c r="A421" s="387"/>
      <c r="B421" s="387"/>
      <c r="C421" s="387"/>
      <c r="D421" s="404" t="s">
        <v>3989</v>
      </c>
      <c r="E421" s="404" t="s">
        <v>3990</v>
      </c>
      <c r="F421" s="385" t="s">
        <v>229</v>
      </c>
      <c r="G421" s="404" t="s">
        <v>3991</v>
      </c>
      <c r="H421" s="404" t="s">
        <v>3992</v>
      </c>
      <c r="I421" s="404" t="s">
        <v>23</v>
      </c>
      <c r="J421" s="404" t="s">
        <v>3993</v>
      </c>
      <c r="K421" s="404" t="s">
        <v>3994</v>
      </c>
    </row>
    <row r="422" spans="1:11" ht="30">
      <c r="A422" s="387"/>
      <c r="B422" s="387"/>
      <c r="C422" s="387"/>
      <c r="D422" s="404" t="s">
        <v>3995</v>
      </c>
      <c r="E422" s="404" t="s">
        <v>3996</v>
      </c>
      <c r="F422" s="385" t="s">
        <v>425</v>
      </c>
      <c r="G422" s="404" t="s">
        <v>3997</v>
      </c>
      <c r="H422" s="404" t="s">
        <v>3998</v>
      </c>
      <c r="I422" s="404" t="s">
        <v>23</v>
      </c>
      <c r="J422" s="404" t="s">
        <v>3999</v>
      </c>
      <c r="K422" s="404" t="s">
        <v>4000</v>
      </c>
    </row>
    <row r="423" spans="1:11" ht="30">
      <c r="A423" s="387"/>
      <c r="B423" s="387"/>
      <c r="C423" s="387"/>
      <c r="D423" s="404" t="s">
        <v>4001</v>
      </c>
      <c r="E423" s="404" t="s">
        <v>4002</v>
      </c>
      <c r="F423" s="385" t="s">
        <v>20</v>
      </c>
      <c r="G423" s="404" t="s">
        <v>4003</v>
      </c>
      <c r="H423" s="404" t="s">
        <v>4004</v>
      </c>
      <c r="I423" s="404" t="s">
        <v>2560</v>
      </c>
      <c r="J423" s="404" t="s">
        <v>4005</v>
      </c>
      <c r="K423" s="404" t="s">
        <v>4006</v>
      </c>
    </row>
    <row r="424" spans="1:11" ht="30">
      <c r="A424" s="387"/>
      <c r="B424" s="387"/>
      <c r="C424" s="387"/>
      <c r="D424" s="404" t="s">
        <v>4007</v>
      </c>
      <c r="E424" s="404" t="s">
        <v>4008</v>
      </c>
      <c r="F424" s="385" t="s">
        <v>20</v>
      </c>
      <c r="G424" s="404" t="s">
        <v>4009</v>
      </c>
      <c r="H424" s="404" t="s">
        <v>4010</v>
      </c>
      <c r="I424" s="404" t="s">
        <v>23</v>
      </c>
      <c r="J424" s="404" t="s">
        <v>4011</v>
      </c>
      <c r="K424" s="404" t="s">
        <v>4012</v>
      </c>
    </row>
    <row r="425" spans="1:11" ht="30">
      <c r="A425" s="387"/>
      <c r="B425" s="387"/>
      <c r="C425" s="387" t="s">
        <v>4013</v>
      </c>
      <c r="D425" s="404" t="s">
        <v>4014</v>
      </c>
      <c r="E425" s="404" t="s">
        <v>4015</v>
      </c>
      <c r="F425" s="385" t="s">
        <v>20</v>
      </c>
      <c r="G425" s="404" t="s">
        <v>4016</v>
      </c>
      <c r="H425" s="404" t="s">
        <v>4017</v>
      </c>
      <c r="I425" s="404" t="s">
        <v>23</v>
      </c>
      <c r="J425" s="404" t="s">
        <v>4018</v>
      </c>
      <c r="K425" s="404" t="s">
        <v>4019</v>
      </c>
    </row>
    <row r="426" spans="1:11" ht="30">
      <c r="A426" s="387"/>
      <c r="B426" s="387"/>
      <c r="C426" s="387"/>
      <c r="D426" s="404" t="s">
        <v>4020</v>
      </c>
      <c r="E426" s="404" t="s">
        <v>4021</v>
      </c>
      <c r="F426" s="385" t="s">
        <v>20</v>
      </c>
      <c r="G426" s="404" t="s">
        <v>4022</v>
      </c>
      <c r="H426" s="404" t="s">
        <v>4023</v>
      </c>
      <c r="I426" s="404" t="s">
        <v>94</v>
      </c>
      <c r="J426" s="404" t="s">
        <v>4024</v>
      </c>
      <c r="K426" s="404" t="s">
        <v>4025</v>
      </c>
    </row>
    <row r="427" spans="1:11" ht="30">
      <c r="A427" s="387"/>
      <c r="B427" s="387"/>
      <c r="C427" s="387"/>
      <c r="D427" s="404" t="s">
        <v>4026</v>
      </c>
      <c r="E427" s="404" t="s">
        <v>4027</v>
      </c>
      <c r="F427" s="385" t="s">
        <v>425</v>
      </c>
      <c r="G427" s="404" t="s">
        <v>4028</v>
      </c>
      <c r="H427" s="404" t="s">
        <v>4029</v>
      </c>
      <c r="I427" s="404" t="s">
        <v>23</v>
      </c>
      <c r="J427" s="404" t="s">
        <v>4030</v>
      </c>
      <c r="K427" s="404" t="s">
        <v>4031</v>
      </c>
    </row>
    <row r="428" spans="1:11" ht="30">
      <c r="A428" s="387"/>
      <c r="B428" s="387"/>
      <c r="C428" s="387"/>
      <c r="D428" s="404" t="s">
        <v>4032</v>
      </c>
      <c r="E428" s="404" t="s">
        <v>4033</v>
      </c>
      <c r="F428" s="385" t="s">
        <v>425</v>
      </c>
      <c r="G428" s="404" t="s">
        <v>4034</v>
      </c>
      <c r="H428" s="404" t="s">
        <v>4035</v>
      </c>
      <c r="I428" s="404" t="s">
        <v>23</v>
      </c>
      <c r="J428" s="404" t="s">
        <v>4036</v>
      </c>
      <c r="K428" s="404" t="s">
        <v>4037</v>
      </c>
    </row>
    <row r="429" spans="1:11" ht="30">
      <c r="A429" s="387"/>
      <c r="B429" s="387"/>
      <c r="C429" s="387"/>
      <c r="D429" s="404" t="s">
        <v>4038</v>
      </c>
      <c r="E429" s="404" t="s">
        <v>4039</v>
      </c>
      <c r="F429" s="385" t="s">
        <v>425</v>
      </c>
      <c r="G429" s="404" t="s">
        <v>4040</v>
      </c>
      <c r="H429" s="404" t="s">
        <v>4041</v>
      </c>
      <c r="I429" s="404" t="s">
        <v>23</v>
      </c>
      <c r="J429" s="404" t="s">
        <v>4042</v>
      </c>
      <c r="K429" s="404" t="s">
        <v>4043</v>
      </c>
    </row>
    <row r="430" spans="1:11" ht="30">
      <c r="A430" s="387"/>
      <c r="B430" s="387"/>
      <c r="C430" s="387" t="s">
        <v>4044</v>
      </c>
      <c r="D430" s="404" t="s">
        <v>4045</v>
      </c>
      <c r="E430" s="404" t="s">
        <v>4046</v>
      </c>
      <c r="F430" s="385" t="s">
        <v>229</v>
      </c>
      <c r="G430" s="404" t="s">
        <v>4047</v>
      </c>
      <c r="H430" s="404" t="s">
        <v>4048</v>
      </c>
      <c r="I430" s="404" t="s">
        <v>23</v>
      </c>
      <c r="J430" s="404" t="s">
        <v>4049</v>
      </c>
      <c r="K430" s="404" t="s">
        <v>4050</v>
      </c>
    </row>
    <row r="431" spans="1:11" ht="30">
      <c r="A431" s="387"/>
      <c r="B431" s="387"/>
      <c r="C431" s="387"/>
      <c r="D431" s="404" t="s">
        <v>4051</v>
      </c>
      <c r="E431" s="404" t="s">
        <v>4052</v>
      </c>
      <c r="F431" s="385" t="s">
        <v>229</v>
      </c>
      <c r="G431" s="404" t="s">
        <v>4053</v>
      </c>
      <c r="H431" s="404" t="s">
        <v>4054</v>
      </c>
      <c r="I431" s="404" t="s">
        <v>23</v>
      </c>
      <c r="J431" s="404" t="s">
        <v>4055</v>
      </c>
      <c r="K431" s="404" t="s">
        <v>4056</v>
      </c>
    </row>
    <row r="432" spans="1:11" ht="30">
      <c r="A432" s="387"/>
      <c r="B432" s="387"/>
      <c r="C432" s="387"/>
      <c r="D432" s="404" t="s">
        <v>4057</v>
      </c>
      <c r="E432" s="404" t="s">
        <v>4058</v>
      </c>
      <c r="F432" s="385" t="s">
        <v>20</v>
      </c>
      <c r="G432" s="404" t="s">
        <v>4059</v>
      </c>
      <c r="H432" s="404" t="s">
        <v>4060</v>
      </c>
      <c r="I432" s="404" t="s">
        <v>23</v>
      </c>
      <c r="J432" s="404" t="s">
        <v>4061</v>
      </c>
      <c r="K432" s="404" t="s">
        <v>4062</v>
      </c>
    </row>
    <row r="433" spans="1:11" ht="30">
      <c r="A433" s="387"/>
      <c r="B433" s="387"/>
      <c r="C433" s="387"/>
      <c r="D433" s="404" t="s">
        <v>4063</v>
      </c>
      <c r="E433" s="404" t="s">
        <v>4064</v>
      </c>
      <c r="F433" s="385" t="s">
        <v>229</v>
      </c>
      <c r="G433" s="404" t="s">
        <v>4065</v>
      </c>
      <c r="H433" s="404" t="s">
        <v>4066</v>
      </c>
      <c r="I433" s="404" t="s">
        <v>23</v>
      </c>
      <c r="J433" s="404" t="s">
        <v>4067</v>
      </c>
      <c r="K433" s="404" t="s">
        <v>4068</v>
      </c>
    </row>
    <row r="434" spans="1:11" ht="30">
      <c r="A434" s="387"/>
      <c r="B434" s="387"/>
      <c r="C434" s="387"/>
      <c r="D434" s="404" t="s">
        <v>4069</v>
      </c>
      <c r="E434" s="404" t="s">
        <v>4070</v>
      </c>
      <c r="F434" s="385" t="s">
        <v>20</v>
      </c>
      <c r="G434" s="404" t="s">
        <v>4071</v>
      </c>
      <c r="H434" s="404" t="s">
        <v>4072</v>
      </c>
      <c r="I434" s="404" t="s">
        <v>23</v>
      </c>
      <c r="J434" s="404" t="s">
        <v>4073</v>
      </c>
      <c r="K434" s="404" t="s">
        <v>4074</v>
      </c>
    </row>
    <row r="435" spans="1:11" ht="30">
      <c r="A435" s="387"/>
      <c r="B435" s="387"/>
      <c r="C435" s="387" t="s">
        <v>4075</v>
      </c>
      <c r="D435" s="404" t="s">
        <v>4076</v>
      </c>
      <c r="E435" s="404" t="s">
        <v>4077</v>
      </c>
      <c r="F435" s="385" t="s">
        <v>20</v>
      </c>
      <c r="G435" s="404" t="s">
        <v>4078</v>
      </c>
      <c r="H435" s="404" t="s">
        <v>4079</v>
      </c>
      <c r="I435" s="404" t="s">
        <v>23</v>
      </c>
      <c r="J435" s="404" t="s">
        <v>4080</v>
      </c>
      <c r="K435" s="404" t="s">
        <v>4081</v>
      </c>
    </row>
    <row r="436" spans="1:11" ht="30">
      <c r="A436" s="387"/>
      <c r="B436" s="387"/>
      <c r="C436" s="387"/>
      <c r="D436" s="404" t="s">
        <v>4082</v>
      </c>
      <c r="E436" s="404" t="s">
        <v>4083</v>
      </c>
      <c r="F436" s="385" t="s">
        <v>20</v>
      </c>
      <c r="G436" s="404" t="s">
        <v>4084</v>
      </c>
      <c r="H436" s="404" t="s">
        <v>4085</v>
      </c>
      <c r="I436" s="404" t="s">
        <v>23</v>
      </c>
      <c r="J436" s="404" t="s">
        <v>4086</v>
      </c>
      <c r="K436" s="404" t="s">
        <v>4087</v>
      </c>
    </row>
    <row r="437" spans="1:11" ht="30">
      <c r="A437" s="387"/>
      <c r="B437" s="387"/>
      <c r="C437" s="387"/>
      <c r="D437" s="404" t="s">
        <v>4088</v>
      </c>
      <c r="E437" s="404" t="s">
        <v>4089</v>
      </c>
      <c r="F437" s="385" t="s">
        <v>229</v>
      </c>
      <c r="G437" s="404" t="s">
        <v>4090</v>
      </c>
      <c r="H437" s="404" t="s">
        <v>4091</v>
      </c>
      <c r="I437" s="404" t="s">
        <v>94</v>
      </c>
      <c r="J437" s="404" t="s">
        <v>4092</v>
      </c>
      <c r="K437" s="404" t="s">
        <v>4093</v>
      </c>
    </row>
    <row r="438" spans="1:11" ht="30">
      <c r="A438" s="387"/>
      <c r="B438" s="387"/>
      <c r="C438" s="387"/>
      <c r="D438" s="404" t="s">
        <v>4094</v>
      </c>
      <c r="E438" s="404" t="s">
        <v>4095</v>
      </c>
      <c r="F438" s="385" t="s">
        <v>229</v>
      </c>
      <c r="G438" s="404" t="s">
        <v>4096</v>
      </c>
      <c r="H438" s="404" t="s">
        <v>4097</v>
      </c>
      <c r="I438" s="404" t="s">
        <v>23</v>
      </c>
      <c r="J438" s="404" t="s">
        <v>4098</v>
      </c>
      <c r="K438" s="404" t="s">
        <v>4099</v>
      </c>
    </row>
    <row r="439" spans="1:11" ht="30">
      <c r="A439" s="387"/>
      <c r="B439" s="387"/>
      <c r="C439" s="387"/>
      <c r="D439" s="404" t="s">
        <v>4100</v>
      </c>
      <c r="E439" s="404" t="s">
        <v>4101</v>
      </c>
      <c r="F439" s="385" t="s">
        <v>229</v>
      </c>
      <c r="G439" s="404" t="s">
        <v>4102</v>
      </c>
      <c r="H439" s="404" t="s">
        <v>4103</v>
      </c>
      <c r="I439" s="404" t="s">
        <v>23</v>
      </c>
      <c r="J439" s="404" t="s">
        <v>4104</v>
      </c>
      <c r="K439" s="404" t="s">
        <v>4105</v>
      </c>
    </row>
    <row r="440" spans="1:11" ht="30">
      <c r="A440" s="387"/>
      <c r="B440" s="387"/>
      <c r="C440" s="387" t="s">
        <v>4106</v>
      </c>
      <c r="D440" s="404" t="s">
        <v>4107</v>
      </c>
      <c r="E440" s="404" t="s">
        <v>4108</v>
      </c>
      <c r="F440" s="385" t="s">
        <v>20</v>
      </c>
      <c r="G440" s="404" t="s">
        <v>4109</v>
      </c>
      <c r="H440" s="404" t="s">
        <v>4110</v>
      </c>
      <c r="I440" s="404" t="s">
        <v>23</v>
      </c>
      <c r="J440" s="404" t="s">
        <v>4111</v>
      </c>
      <c r="K440" s="404" t="s">
        <v>4112</v>
      </c>
    </row>
    <row r="441" spans="1:11" ht="30">
      <c r="A441" s="387"/>
      <c r="B441" s="387"/>
      <c r="C441" s="387"/>
      <c r="D441" s="404" t="s">
        <v>4113</v>
      </c>
      <c r="E441" s="404" t="s">
        <v>4114</v>
      </c>
      <c r="F441" s="385" t="s">
        <v>425</v>
      </c>
      <c r="G441" s="404" t="s">
        <v>4115</v>
      </c>
      <c r="H441" s="404" t="s">
        <v>4116</v>
      </c>
      <c r="I441" s="404" t="s">
        <v>23</v>
      </c>
      <c r="J441" s="404" t="s">
        <v>4117</v>
      </c>
      <c r="K441" s="404" t="s">
        <v>4118</v>
      </c>
    </row>
    <row r="442" spans="1:11" ht="30">
      <c r="A442" s="387"/>
      <c r="B442" s="387"/>
      <c r="C442" s="387"/>
      <c r="D442" s="404" t="s">
        <v>4119</v>
      </c>
      <c r="E442" s="404" t="s">
        <v>4120</v>
      </c>
      <c r="F442" s="385" t="s">
        <v>229</v>
      </c>
      <c r="G442" s="404" t="s">
        <v>4121</v>
      </c>
      <c r="H442" s="404" t="s">
        <v>4122</v>
      </c>
      <c r="I442" s="404" t="s">
        <v>94</v>
      </c>
      <c r="J442" s="404" t="s">
        <v>4123</v>
      </c>
      <c r="K442" s="404" t="s">
        <v>4124</v>
      </c>
    </row>
    <row r="443" spans="1:11" ht="30">
      <c r="A443" s="387"/>
      <c r="B443" s="387"/>
      <c r="C443" s="387"/>
      <c r="D443" s="404" t="s">
        <v>4125</v>
      </c>
      <c r="E443" s="404" t="s">
        <v>4126</v>
      </c>
      <c r="F443" s="385" t="s">
        <v>229</v>
      </c>
      <c r="G443" s="404" t="s">
        <v>4127</v>
      </c>
      <c r="H443" s="404" t="s">
        <v>4128</v>
      </c>
      <c r="I443" s="404" t="s">
        <v>23</v>
      </c>
      <c r="J443" s="404" t="s">
        <v>4129</v>
      </c>
      <c r="K443" s="404" t="s">
        <v>4130</v>
      </c>
    </row>
    <row r="444" spans="1:11" ht="30">
      <c r="A444" s="387"/>
      <c r="B444" s="387"/>
      <c r="C444" s="387"/>
      <c r="D444" s="404" t="s">
        <v>4131</v>
      </c>
      <c r="E444" s="404" t="s">
        <v>4132</v>
      </c>
      <c r="F444" s="385" t="s">
        <v>20</v>
      </c>
      <c r="G444" s="404" t="s">
        <v>4133</v>
      </c>
      <c r="H444" s="404" t="s">
        <v>4134</v>
      </c>
      <c r="I444" s="404" t="s">
        <v>23</v>
      </c>
      <c r="J444" s="404" t="s">
        <v>4135</v>
      </c>
      <c r="K444" s="404" t="s">
        <v>4136</v>
      </c>
    </row>
    <row r="445" spans="1:11" ht="30">
      <c r="A445" s="387"/>
      <c r="B445" s="387" t="s">
        <v>4137</v>
      </c>
      <c r="C445" s="387" t="s">
        <v>4138</v>
      </c>
      <c r="D445" s="404" t="s">
        <v>4139</v>
      </c>
      <c r="E445" s="404" t="s">
        <v>4140</v>
      </c>
      <c r="F445" s="385" t="s">
        <v>425</v>
      </c>
      <c r="G445" s="404" t="s">
        <v>4141</v>
      </c>
      <c r="H445" s="404" t="s">
        <v>4142</v>
      </c>
      <c r="I445" s="404" t="s">
        <v>23</v>
      </c>
      <c r="J445" s="404" t="s">
        <v>4143</v>
      </c>
      <c r="K445" s="404" t="s">
        <v>4144</v>
      </c>
    </row>
    <row r="446" spans="1:11" ht="30">
      <c r="A446" s="387"/>
      <c r="B446" s="387"/>
      <c r="C446" s="387"/>
      <c r="D446" s="404" t="s">
        <v>4145</v>
      </c>
      <c r="E446" s="404" t="s">
        <v>4146</v>
      </c>
      <c r="F446" s="385" t="s">
        <v>20</v>
      </c>
      <c r="G446" s="404" t="s">
        <v>4147</v>
      </c>
      <c r="H446" s="404" t="s">
        <v>4148</v>
      </c>
      <c r="I446" s="404" t="s">
        <v>23</v>
      </c>
      <c r="J446" s="404" t="s">
        <v>4149</v>
      </c>
      <c r="K446" s="404" t="s">
        <v>4150</v>
      </c>
    </row>
    <row r="447" spans="1:11" ht="30">
      <c r="A447" s="387"/>
      <c r="B447" s="387"/>
      <c r="C447" s="387"/>
      <c r="D447" s="404" t="s">
        <v>4151</v>
      </c>
      <c r="E447" s="404" t="s">
        <v>4152</v>
      </c>
      <c r="F447" s="385" t="s">
        <v>20</v>
      </c>
      <c r="G447" s="404" t="s">
        <v>4153</v>
      </c>
      <c r="H447" s="404" t="s">
        <v>4154</v>
      </c>
      <c r="I447" s="404" t="s">
        <v>23</v>
      </c>
      <c r="J447" s="404" t="s">
        <v>4155</v>
      </c>
      <c r="K447" s="404" t="s">
        <v>4156</v>
      </c>
    </row>
    <row r="448" spans="1:11" ht="30">
      <c r="A448" s="387"/>
      <c r="B448" s="387"/>
      <c r="C448" s="387"/>
      <c r="D448" s="404" t="s">
        <v>4157</v>
      </c>
      <c r="E448" s="404" t="s">
        <v>4158</v>
      </c>
      <c r="F448" s="385" t="s">
        <v>20</v>
      </c>
      <c r="G448" s="404" t="s">
        <v>4159</v>
      </c>
      <c r="H448" s="404" t="s">
        <v>4160</v>
      </c>
      <c r="I448" s="404" t="s">
        <v>23</v>
      </c>
      <c r="J448" s="404" t="s">
        <v>4161</v>
      </c>
      <c r="K448" s="404" t="s">
        <v>4162</v>
      </c>
    </row>
    <row r="449" spans="1:11" ht="30">
      <c r="A449" s="387"/>
      <c r="B449" s="387"/>
      <c r="C449" s="387"/>
      <c r="D449" s="404" t="s">
        <v>4163</v>
      </c>
      <c r="E449" s="404" t="s">
        <v>4164</v>
      </c>
      <c r="F449" s="385" t="s">
        <v>229</v>
      </c>
      <c r="G449" s="404" t="s">
        <v>4165</v>
      </c>
      <c r="H449" s="404" t="s">
        <v>4166</v>
      </c>
      <c r="I449" s="404" t="s">
        <v>23</v>
      </c>
      <c r="J449" s="404" t="s">
        <v>4167</v>
      </c>
      <c r="K449" s="404" t="s">
        <v>4168</v>
      </c>
    </row>
    <row r="450" spans="1:11" ht="30">
      <c r="A450" s="387"/>
      <c r="B450" s="387"/>
      <c r="C450" s="387" t="s">
        <v>4169</v>
      </c>
      <c r="D450" s="404" t="s">
        <v>4170</v>
      </c>
      <c r="E450" s="404" t="s">
        <v>4171</v>
      </c>
      <c r="F450" s="385" t="s">
        <v>229</v>
      </c>
      <c r="G450" s="404" t="s">
        <v>4172</v>
      </c>
      <c r="H450" s="404" t="s">
        <v>4173</v>
      </c>
      <c r="I450" s="404" t="s">
        <v>23</v>
      </c>
      <c r="J450" s="404" t="s">
        <v>4174</v>
      </c>
      <c r="K450" s="404" t="s">
        <v>4175</v>
      </c>
    </row>
    <row r="451" spans="1:11" ht="30">
      <c r="A451" s="387"/>
      <c r="B451" s="387"/>
      <c r="C451" s="387"/>
      <c r="D451" s="404" t="s">
        <v>4176</v>
      </c>
      <c r="E451" s="404" t="s">
        <v>4177</v>
      </c>
      <c r="F451" s="385" t="s">
        <v>425</v>
      </c>
      <c r="G451" s="404" t="s">
        <v>4178</v>
      </c>
      <c r="H451" s="404" t="s">
        <v>4179</v>
      </c>
      <c r="I451" s="404" t="s">
        <v>23</v>
      </c>
      <c r="J451" s="404" t="s">
        <v>4180</v>
      </c>
      <c r="K451" s="404" t="s">
        <v>4181</v>
      </c>
    </row>
    <row r="452" spans="1:11" ht="30">
      <c r="A452" s="387"/>
      <c r="B452" s="387"/>
      <c r="C452" s="387"/>
      <c r="D452" s="404" t="s">
        <v>4182</v>
      </c>
      <c r="E452" s="404" t="s">
        <v>4183</v>
      </c>
      <c r="F452" s="385" t="s">
        <v>425</v>
      </c>
      <c r="G452" s="404" t="s">
        <v>4184</v>
      </c>
      <c r="H452" s="404" t="s">
        <v>4185</v>
      </c>
      <c r="I452" s="404" t="s">
        <v>23</v>
      </c>
      <c r="J452" s="404" t="s">
        <v>4186</v>
      </c>
      <c r="K452" s="404" t="s">
        <v>4187</v>
      </c>
    </row>
    <row r="453" spans="1:11" ht="30">
      <c r="A453" s="387"/>
      <c r="B453" s="387"/>
      <c r="C453" s="387"/>
      <c r="D453" s="404" t="s">
        <v>4188</v>
      </c>
      <c r="E453" s="404" t="s">
        <v>4189</v>
      </c>
      <c r="F453" s="385" t="s">
        <v>425</v>
      </c>
      <c r="G453" s="404" t="s">
        <v>4190</v>
      </c>
      <c r="H453" s="404" t="s">
        <v>4191</v>
      </c>
      <c r="I453" s="404" t="s">
        <v>23</v>
      </c>
      <c r="J453" s="404" t="s">
        <v>4192</v>
      </c>
      <c r="K453" s="404" t="s">
        <v>4193</v>
      </c>
    </row>
    <row r="454" spans="1:11" ht="30">
      <c r="A454" s="387"/>
      <c r="B454" s="387"/>
      <c r="C454" s="387"/>
      <c r="D454" s="404" t="s">
        <v>4194</v>
      </c>
      <c r="E454" s="404" t="s">
        <v>4195</v>
      </c>
      <c r="F454" s="385" t="s">
        <v>20</v>
      </c>
      <c r="G454" s="404" t="s">
        <v>4196</v>
      </c>
      <c r="H454" s="404" t="s">
        <v>4197</v>
      </c>
      <c r="I454" s="404" t="s">
        <v>23</v>
      </c>
      <c r="J454" s="404" t="s">
        <v>4198</v>
      </c>
      <c r="K454" s="404" t="s">
        <v>4199</v>
      </c>
    </row>
    <row r="455" spans="1:11" ht="30">
      <c r="A455" s="387"/>
      <c r="B455" s="387"/>
      <c r="C455" s="387" t="s">
        <v>4200</v>
      </c>
      <c r="D455" s="404" t="s">
        <v>4201</v>
      </c>
      <c r="E455" s="404" t="s">
        <v>4202</v>
      </c>
      <c r="F455" s="385" t="s">
        <v>20</v>
      </c>
      <c r="G455" s="404" t="s">
        <v>4203</v>
      </c>
      <c r="H455" s="404" t="s">
        <v>4204</v>
      </c>
      <c r="I455" s="404" t="s">
        <v>23</v>
      </c>
      <c r="J455" s="404" t="s">
        <v>4205</v>
      </c>
      <c r="K455" s="404" t="s">
        <v>4206</v>
      </c>
    </row>
    <row r="456" spans="1:11" ht="30">
      <c r="A456" s="387"/>
      <c r="B456" s="387"/>
      <c r="C456" s="387"/>
      <c r="D456" s="404" t="s">
        <v>4207</v>
      </c>
      <c r="E456" s="404" t="s">
        <v>4208</v>
      </c>
      <c r="F456" s="385" t="s">
        <v>20</v>
      </c>
      <c r="G456" s="404" t="s">
        <v>4209</v>
      </c>
      <c r="H456" s="404" t="s">
        <v>4210</v>
      </c>
      <c r="I456" s="404" t="s">
        <v>23</v>
      </c>
      <c r="J456" s="404" t="s">
        <v>4211</v>
      </c>
      <c r="K456" s="404" t="s">
        <v>4212</v>
      </c>
    </row>
    <row r="457" spans="1:11" ht="30">
      <c r="A457" s="387"/>
      <c r="B457" s="387"/>
      <c r="C457" s="387"/>
      <c r="D457" s="404" t="s">
        <v>4213</v>
      </c>
      <c r="E457" s="404" t="s">
        <v>4214</v>
      </c>
      <c r="F457" s="385" t="s">
        <v>20</v>
      </c>
      <c r="G457" s="404" t="s">
        <v>4215</v>
      </c>
      <c r="H457" s="404" t="s">
        <v>4216</v>
      </c>
      <c r="I457" s="404" t="s">
        <v>23</v>
      </c>
      <c r="J457" s="404" t="s">
        <v>4217</v>
      </c>
      <c r="K457" s="404" t="s">
        <v>4218</v>
      </c>
    </row>
    <row r="458" spans="1:11" ht="30">
      <c r="A458" s="387"/>
      <c r="B458" s="387"/>
      <c r="C458" s="387"/>
      <c r="D458" s="404" t="s">
        <v>4219</v>
      </c>
      <c r="E458" s="404" t="s">
        <v>4220</v>
      </c>
      <c r="F458" s="385" t="s">
        <v>229</v>
      </c>
      <c r="G458" s="404" t="s">
        <v>4221</v>
      </c>
      <c r="H458" s="404" t="s">
        <v>4222</v>
      </c>
      <c r="I458" s="404" t="s">
        <v>23</v>
      </c>
      <c r="J458" s="404" t="s">
        <v>4223</v>
      </c>
      <c r="K458" s="404" t="s">
        <v>4224</v>
      </c>
    </row>
    <row r="459" spans="1:11" ht="30">
      <c r="A459" s="387"/>
      <c r="B459" s="387"/>
      <c r="C459" s="387"/>
      <c r="D459" s="404" t="s">
        <v>4225</v>
      </c>
      <c r="E459" s="404" t="s">
        <v>4226</v>
      </c>
      <c r="F459" s="385" t="s">
        <v>229</v>
      </c>
      <c r="G459" s="404" t="s">
        <v>4227</v>
      </c>
      <c r="H459" s="404" t="s">
        <v>4228</v>
      </c>
      <c r="I459" s="404" t="s">
        <v>23</v>
      </c>
      <c r="J459" s="404" t="s">
        <v>4229</v>
      </c>
      <c r="K459" s="404" t="s">
        <v>4230</v>
      </c>
    </row>
    <row r="460" spans="1:11" ht="30">
      <c r="A460" s="387"/>
      <c r="B460" s="387"/>
      <c r="C460" s="387" t="s">
        <v>4231</v>
      </c>
      <c r="D460" s="404" t="s">
        <v>4232</v>
      </c>
      <c r="E460" s="404" t="s">
        <v>4233</v>
      </c>
      <c r="F460" s="385" t="s">
        <v>20</v>
      </c>
      <c r="G460" s="404" t="s">
        <v>4234</v>
      </c>
      <c r="H460" s="404" t="s">
        <v>4235</v>
      </c>
      <c r="I460" s="404" t="s">
        <v>94</v>
      </c>
      <c r="J460" s="404" t="s">
        <v>4236</v>
      </c>
      <c r="K460" s="404" t="s">
        <v>4237</v>
      </c>
    </row>
    <row r="461" spans="1:11" ht="30">
      <c r="A461" s="387"/>
      <c r="B461" s="387"/>
      <c r="C461" s="387"/>
      <c r="D461" s="404" t="s">
        <v>4238</v>
      </c>
      <c r="E461" s="404" t="s">
        <v>4239</v>
      </c>
      <c r="F461" s="385" t="s">
        <v>20</v>
      </c>
      <c r="G461" s="404" t="s">
        <v>4240</v>
      </c>
      <c r="H461" s="404" t="s">
        <v>4241</v>
      </c>
      <c r="I461" s="404" t="s">
        <v>23</v>
      </c>
      <c r="J461" s="404" t="s">
        <v>4242</v>
      </c>
      <c r="K461" s="404" t="s">
        <v>4243</v>
      </c>
    </row>
    <row r="462" spans="1:11" ht="30">
      <c r="A462" s="387"/>
      <c r="B462" s="387"/>
      <c r="C462" s="387"/>
      <c r="D462" s="404" t="s">
        <v>4244</v>
      </c>
      <c r="E462" s="404" t="s">
        <v>4245</v>
      </c>
      <c r="F462" s="385" t="s">
        <v>229</v>
      </c>
      <c r="G462" s="404" t="s">
        <v>4246</v>
      </c>
      <c r="H462" s="404" t="s">
        <v>4247</v>
      </c>
      <c r="I462" s="404" t="s">
        <v>23</v>
      </c>
      <c r="J462" s="404" t="s">
        <v>4248</v>
      </c>
      <c r="K462" s="404" t="s">
        <v>4249</v>
      </c>
    </row>
    <row r="463" spans="1:11" ht="30">
      <c r="A463" s="387"/>
      <c r="B463" s="387"/>
      <c r="C463" s="387"/>
      <c r="D463" s="404" t="s">
        <v>4250</v>
      </c>
      <c r="E463" s="404" t="s">
        <v>4251</v>
      </c>
      <c r="F463" s="385" t="s">
        <v>425</v>
      </c>
      <c r="G463" s="404" t="s">
        <v>4252</v>
      </c>
      <c r="H463" s="404" t="s">
        <v>4253</v>
      </c>
      <c r="I463" s="404" t="s">
        <v>23</v>
      </c>
      <c r="J463" s="404" t="s">
        <v>4254</v>
      </c>
      <c r="K463" s="404" t="s">
        <v>4255</v>
      </c>
    </row>
    <row r="464" spans="1:11" ht="30">
      <c r="A464" s="387"/>
      <c r="B464" s="387"/>
      <c r="C464" s="387"/>
      <c r="D464" s="404" t="s">
        <v>4256</v>
      </c>
      <c r="E464" s="404" t="s">
        <v>4257</v>
      </c>
      <c r="F464" s="385" t="s">
        <v>229</v>
      </c>
      <c r="G464" s="404" t="s">
        <v>4258</v>
      </c>
      <c r="H464" s="404" t="s">
        <v>4259</v>
      </c>
      <c r="I464" s="404" t="s">
        <v>23</v>
      </c>
      <c r="J464" s="404" t="s">
        <v>4260</v>
      </c>
      <c r="K464" s="404" t="s">
        <v>4261</v>
      </c>
    </row>
    <row r="465" spans="1:11" ht="30">
      <c r="A465" s="387"/>
      <c r="B465" s="387"/>
      <c r="C465" s="387" t="s">
        <v>4262</v>
      </c>
      <c r="D465" s="404" t="s">
        <v>4263</v>
      </c>
      <c r="E465" s="404" t="s">
        <v>4264</v>
      </c>
      <c r="F465" s="385" t="s">
        <v>425</v>
      </c>
      <c r="G465" s="404" t="s">
        <v>4265</v>
      </c>
      <c r="H465" s="404" t="s">
        <v>4266</v>
      </c>
      <c r="I465" s="404" t="s">
        <v>23</v>
      </c>
      <c r="J465" s="404" t="s">
        <v>4267</v>
      </c>
      <c r="K465" s="404" t="s">
        <v>4268</v>
      </c>
    </row>
    <row r="466" spans="1:11" ht="30">
      <c r="A466" s="387"/>
      <c r="B466" s="387"/>
      <c r="C466" s="387"/>
      <c r="D466" s="404" t="s">
        <v>4269</v>
      </c>
      <c r="E466" s="404" t="s">
        <v>4270</v>
      </c>
      <c r="F466" s="385" t="s">
        <v>229</v>
      </c>
      <c r="G466" s="404" t="s">
        <v>4271</v>
      </c>
      <c r="H466" s="404" t="s">
        <v>4272</v>
      </c>
      <c r="I466" s="404" t="s">
        <v>23</v>
      </c>
      <c r="J466" s="404" t="s">
        <v>4273</v>
      </c>
      <c r="K466" s="404" t="s">
        <v>4274</v>
      </c>
    </row>
    <row r="467" spans="1:11" ht="30">
      <c r="A467" s="387"/>
      <c r="B467" s="387"/>
      <c r="C467" s="387"/>
      <c r="D467" s="404" t="s">
        <v>4275</v>
      </c>
      <c r="E467" s="404" t="s">
        <v>4276</v>
      </c>
      <c r="F467" s="385" t="s">
        <v>425</v>
      </c>
      <c r="G467" s="404" t="s">
        <v>4277</v>
      </c>
      <c r="H467" s="404" t="s">
        <v>4278</v>
      </c>
      <c r="I467" s="404" t="s">
        <v>23</v>
      </c>
      <c r="J467" s="404" t="s">
        <v>4279</v>
      </c>
      <c r="K467" s="404" t="s">
        <v>4280</v>
      </c>
    </row>
    <row r="468" spans="1:11" ht="30">
      <c r="A468" s="387"/>
      <c r="B468" s="387"/>
      <c r="C468" s="387"/>
      <c r="D468" s="404" t="s">
        <v>4281</v>
      </c>
      <c r="E468" s="404" t="s">
        <v>4282</v>
      </c>
      <c r="F468" s="385" t="s">
        <v>425</v>
      </c>
      <c r="G468" s="404" t="s">
        <v>4283</v>
      </c>
      <c r="H468" s="404" t="s">
        <v>4284</v>
      </c>
      <c r="I468" s="404" t="s">
        <v>94</v>
      </c>
      <c r="J468" s="404" t="s">
        <v>4285</v>
      </c>
      <c r="K468" s="404" t="s">
        <v>4286</v>
      </c>
    </row>
    <row r="469" spans="1:11" ht="30">
      <c r="A469" s="387"/>
      <c r="B469" s="387"/>
      <c r="C469" s="387"/>
      <c r="D469" s="404" t="s">
        <v>4287</v>
      </c>
      <c r="E469" s="404" t="s">
        <v>4288</v>
      </c>
      <c r="F469" s="385" t="s">
        <v>20</v>
      </c>
      <c r="G469" s="404" t="s">
        <v>4289</v>
      </c>
      <c r="H469" s="404" t="s">
        <v>4290</v>
      </c>
      <c r="I469" s="404" t="s">
        <v>23</v>
      </c>
      <c r="J469" s="404" t="s">
        <v>4291</v>
      </c>
      <c r="K469" s="404" t="s">
        <v>4292</v>
      </c>
    </row>
    <row r="470" spans="1:11" ht="30">
      <c r="A470" s="387"/>
      <c r="B470" s="387"/>
      <c r="C470" s="387" t="s">
        <v>4293</v>
      </c>
      <c r="D470" s="404" t="s">
        <v>4294</v>
      </c>
      <c r="E470" s="404" t="s">
        <v>4295</v>
      </c>
      <c r="F470" s="385" t="s">
        <v>20</v>
      </c>
      <c r="G470" s="404" t="s">
        <v>4296</v>
      </c>
      <c r="H470" s="404" t="s">
        <v>4297</v>
      </c>
      <c r="I470" s="404" t="s">
        <v>23</v>
      </c>
      <c r="J470" s="404" t="s">
        <v>4298</v>
      </c>
      <c r="K470" s="404" t="s">
        <v>4299</v>
      </c>
    </row>
    <row r="471" spans="1:11" ht="30">
      <c r="A471" s="387"/>
      <c r="B471" s="387"/>
      <c r="C471" s="387"/>
      <c r="D471" s="404" t="s">
        <v>4300</v>
      </c>
      <c r="E471" s="404" t="s">
        <v>4301</v>
      </c>
      <c r="F471" s="385" t="s">
        <v>20</v>
      </c>
      <c r="G471" s="404" t="s">
        <v>4302</v>
      </c>
      <c r="H471" s="404" t="s">
        <v>4303</v>
      </c>
      <c r="I471" s="404" t="s">
        <v>23</v>
      </c>
      <c r="J471" s="404" t="s">
        <v>4304</v>
      </c>
      <c r="K471" s="404" t="s">
        <v>4305</v>
      </c>
    </row>
    <row r="472" spans="1:11" ht="30">
      <c r="A472" s="387"/>
      <c r="B472" s="387"/>
      <c r="C472" s="387"/>
      <c r="D472" s="404" t="s">
        <v>4306</v>
      </c>
      <c r="E472" s="404" t="s">
        <v>4307</v>
      </c>
      <c r="F472" s="385" t="s">
        <v>20</v>
      </c>
      <c r="G472" s="404" t="s">
        <v>4308</v>
      </c>
      <c r="H472" s="404" t="s">
        <v>4309</v>
      </c>
      <c r="I472" s="404" t="s">
        <v>23</v>
      </c>
      <c r="J472" s="404" t="s">
        <v>4310</v>
      </c>
      <c r="K472" s="404" t="s">
        <v>4311</v>
      </c>
    </row>
    <row r="473" spans="1:11" ht="30">
      <c r="A473" s="387"/>
      <c r="B473" s="387"/>
      <c r="C473" s="387"/>
      <c r="D473" s="404" t="s">
        <v>4312</v>
      </c>
      <c r="E473" s="404" t="s">
        <v>4313</v>
      </c>
      <c r="F473" s="385" t="s">
        <v>20</v>
      </c>
      <c r="G473" s="404" t="s">
        <v>4314</v>
      </c>
      <c r="H473" s="404" t="s">
        <v>4315</v>
      </c>
      <c r="I473" s="404" t="s">
        <v>23</v>
      </c>
      <c r="J473" s="404" t="s">
        <v>4316</v>
      </c>
      <c r="K473" s="404" t="s">
        <v>4317</v>
      </c>
    </row>
    <row r="474" spans="1:11" ht="30">
      <c r="A474" s="387"/>
      <c r="B474" s="387"/>
      <c r="C474" s="387"/>
      <c r="D474" s="404" t="s">
        <v>4318</v>
      </c>
      <c r="E474" s="404" t="s">
        <v>4319</v>
      </c>
      <c r="F474" s="385" t="s">
        <v>425</v>
      </c>
      <c r="G474" s="404" t="s">
        <v>4320</v>
      </c>
      <c r="H474" s="404" t="s">
        <v>4321</v>
      </c>
      <c r="I474" s="404" t="s">
        <v>23</v>
      </c>
      <c r="J474" s="404" t="s">
        <v>4322</v>
      </c>
      <c r="K474" s="404" t="s">
        <v>4323</v>
      </c>
    </row>
    <row r="475" spans="1:11" ht="30">
      <c r="A475" s="387"/>
      <c r="B475" s="387"/>
      <c r="C475" s="387" t="s">
        <v>4324</v>
      </c>
      <c r="D475" s="404" t="s">
        <v>4325</v>
      </c>
      <c r="E475" s="404" t="s">
        <v>4326</v>
      </c>
      <c r="F475" s="385" t="s">
        <v>425</v>
      </c>
      <c r="G475" s="404" t="s">
        <v>4327</v>
      </c>
      <c r="H475" s="404" t="s">
        <v>4328</v>
      </c>
      <c r="I475" s="404" t="s">
        <v>23</v>
      </c>
      <c r="J475" s="404" t="s">
        <v>4329</v>
      </c>
      <c r="K475" s="404" t="s">
        <v>4330</v>
      </c>
    </row>
    <row r="476" spans="1:11" ht="30">
      <c r="A476" s="387"/>
      <c r="B476" s="387"/>
      <c r="C476" s="387"/>
      <c r="D476" s="404" t="s">
        <v>4331</v>
      </c>
      <c r="E476" s="404" t="s">
        <v>4332</v>
      </c>
      <c r="F476" s="385" t="s">
        <v>425</v>
      </c>
      <c r="G476" s="404" t="s">
        <v>4333</v>
      </c>
      <c r="H476" s="404" t="s">
        <v>4334</v>
      </c>
      <c r="I476" s="404" t="s">
        <v>23</v>
      </c>
      <c r="J476" s="404" t="s">
        <v>4335</v>
      </c>
      <c r="K476" s="404" t="s">
        <v>4336</v>
      </c>
    </row>
    <row r="477" spans="1:11" ht="30">
      <c r="A477" s="387"/>
      <c r="B477" s="387"/>
      <c r="C477" s="387"/>
      <c r="D477" s="404" t="s">
        <v>4337</v>
      </c>
      <c r="E477" s="404" t="s">
        <v>4338</v>
      </c>
      <c r="F477" s="385" t="s">
        <v>229</v>
      </c>
      <c r="G477" s="404" t="s">
        <v>4339</v>
      </c>
      <c r="H477" s="404" t="s">
        <v>4340</v>
      </c>
      <c r="I477" s="404" t="s">
        <v>23</v>
      </c>
      <c r="J477" s="404" t="s">
        <v>4341</v>
      </c>
      <c r="K477" s="404" t="s">
        <v>4342</v>
      </c>
    </row>
    <row r="478" spans="1:11" ht="30">
      <c r="A478" s="387"/>
      <c r="B478" s="387"/>
      <c r="C478" s="387"/>
      <c r="D478" s="404" t="s">
        <v>4343</v>
      </c>
      <c r="E478" s="404" t="s">
        <v>4344</v>
      </c>
      <c r="F478" s="385" t="s">
        <v>229</v>
      </c>
      <c r="G478" s="404" t="s">
        <v>4345</v>
      </c>
      <c r="H478" s="404" t="s">
        <v>4346</v>
      </c>
      <c r="I478" s="404" t="s">
        <v>23</v>
      </c>
      <c r="J478" s="404" t="s">
        <v>4347</v>
      </c>
      <c r="K478" s="404" t="s">
        <v>4348</v>
      </c>
    </row>
    <row r="479" spans="1:11" ht="30">
      <c r="A479" s="387"/>
      <c r="B479" s="387"/>
      <c r="C479" s="387"/>
      <c r="D479" s="404" t="s">
        <v>4349</v>
      </c>
      <c r="E479" s="404" t="s">
        <v>4350</v>
      </c>
      <c r="F479" s="385" t="s">
        <v>229</v>
      </c>
      <c r="G479" s="404" t="s">
        <v>4351</v>
      </c>
      <c r="H479" s="404" t="s">
        <v>4352</v>
      </c>
      <c r="I479" s="404" t="s">
        <v>23</v>
      </c>
      <c r="J479" s="404" t="s">
        <v>4353</v>
      </c>
      <c r="K479" s="404" t="s">
        <v>4354</v>
      </c>
    </row>
    <row r="480" spans="1:11" ht="30">
      <c r="A480" s="387"/>
      <c r="B480" s="387" t="s">
        <v>4355</v>
      </c>
      <c r="C480" s="387" t="s">
        <v>4356</v>
      </c>
      <c r="D480" s="404" t="s">
        <v>4357</v>
      </c>
      <c r="E480" s="404" t="s">
        <v>4358</v>
      </c>
      <c r="F480" s="385" t="s">
        <v>425</v>
      </c>
      <c r="G480" s="404" t="s">
        <v>4359</v>
      </c>
      <c r="H480" s="404" t="s">
        <v>4360</v>
      </c>
      <c r="I480" s="404" t="s">
        <v>23</v>
      </c>
      <c r="J480" s="404" t="s">
        <v>4361</v>
      </c>
      <c r="K480" s="404" t="s">
        <v>4362</v>
      </c>
    </row>
    <row r="481" spans="1:11" ht="30">
      <c r="A481" s="387"/>
      <c r="B481" s="387"/>
      <c r="C481" s="387"/>
      <c r="D481" s="404" t="s">
        <v>4363</v>
      </c>
      <c r="E481" s="404" t="s">
        <v>4364</v>
      </c>
      <c r="F481" s="385" t="s">
        <v>229</v>
      </c>
      <c r="G481" s="404" t="s">
        <v>4365</v>
      </c>
      <c r="H481" s="404" t="s">
        <v>4366</v>
      </c>
      <c r="I481" s="404" t="s">
        <v>23</v>
      </c>
      <c r="J481" s="404" t="s">
        <v>4367</v>
      </c>
      <c r="K481" s="404" t="s">
        <v>4368</v>
      </c>
    </row>
    <row r="482" spans="1:11" ht="30">
      <c r="A482" s="387"/>
      <c r="B482" s="387"/>
      <c r="C482" s="387"/>
      <c r="D482" s="404" t="s">
        <v>4369</v>
      </c>
      <c r="E482" s="404" t="s">
        <v>4370</v>
      </c>
      <c r="F482" s="385" t="s">
        <v>20</v>
      </c>
      <c r="G482" s="404" t="s">
        <v>4371</v>
      </c>
      <c r="H482" s="404" t="s">
        <v>4372</v>
      </c>
      <c r="I482" s="404" t="s">
        <v>23</v>
      </c>
      <c r="J482" s="404" t="s">
        <v>4373</v>
      </c>
      <c r="K482" s="404" t="s">
        <v>4374</v>
      </c>
    </row>
    <row r="483" spans="1:11" ht="30">
      <c r="A483" s="387"/>
      <c r="B483" s="387"/>
      <c r="C483" s="387"/>
      <c r="D483" s="404" t="s">
        <v>4375</v>
      </c>
      <c r="E483" s="404" t="s">
        <v>4376</v>
      </c>
      <c r="F483" s="385" t="s">
        <v>20</v>
      </c>
      <c r="G483" s="404" t="s">
        <v>4377</v>
      </c>
      <c r="H483" s="404" t="s">
        <v>4378</v>
      </c>
      <c r="I483" s="404" t="s">
        <v>23</v>
      </c>
      <c r="J483" s="404" t="s">
        <v>4379</v>
      </c>
      <c r="K483" s="404" t="s">
        <v>4380</v>
      </c>
    </row>
    <row r="484" spans="1:11" ht="30">
      <c r="A484" s="387"/>
      <c r="B484" s="387"/>
      <c r="C484" s="387"/>
      <c r="D484" s="404" t="s">
        <v>4381</v>
      </c>
      <c r="E484" s="404" t="s">
        <v>4382</v>
      </c>
      <c r="F484" s="385" t="s">
        <v>20</v>
      </c>
      <c r="G484" s="404" t="s">
        <v>4383</v>
      </c>
      <c r="H484" s="404" t="s">
        <v>4384</v>
      </c>
      <c r="I484" s="404" t="s">
        <v>23</v>
      </c>
      <c r="J484" s="404" t="s">
        <v>4385</v>
      </c>
      <c r="K484" s="404" t="s">
        <v>4386</v>
      </c>
    </row>
    <row r="485" spans="1:11" ht="30">
      <c r="A485" s="387"/>
      <c r="B485" s="387"/>
      <c r="C485" s="387" t="s">
        <v>4387</v>
      </c>
      <c r="D485" s="404" t="s">
        <v>4388</v>
      </c>
      <c r="E485" s="404" t="s">
        <v>4389</v>
      </c>
      <c r="F485" s="385" t="s">
        <v>20</v>
      </c>
      <c r="G485" s="404" t="s">
        <v>4390</v>
      </c>
      <c r="H485" s="404" t="s">
        <v>4391</v>
      </c>
      <c r="I485" s="404" t="s">
        <v>23</v>
      </c>
      <c r="J485" s="404" t="s">
        <v>4392</v>
      </c>
      <c r="K485" s="404" t="s">
        <v>4393</v>
      </c>
    </row>
    <row r="486" spans="1:11" ht="30">
      <c r="A486" s="387"/>
      <c r="B486" s="387"/>
      <c r="C486" s="387"/>
      <c r="D486" s="404" t="s">
        <v>4394</v>
      </c>
      <c r="E486" s="404" t="s">
        <v>4395</v>
      </c>
      <c r="F486" s="385" t="s">
        <v>20</v>
      </c>
      <c r="G486" s="404" t="s">
        <v>4396</v>
      </c>
      <c r="H486" s="404" t="s">
        <v>4397</v>
      </c>
      <c r="I486" s="404" t="s">
        <v>23</v>
      </c>
      <c r="J486" s="404" t="s">
        <v>4398</v>
      </c>
      <c r="K486" s="404" t="s">
        <v>4399</v>
      </c>
    </row>
    <row r="487" spans="1:11" ht="30">
      <c r="A487" s="387"/>
      <c r="B487" s="387"/>
      <c r="C487" s="387"/>
      <c r="D487" s="404" t="s">
        <v>4400</v>
      </c>
      <c r="E487" s="404" t="s">
        <v>4401</v>
      </c>
      <c r="F487" s="385" t="s">
        <v>20</v>
      </c>
      <c r="G487" s="404" t="s">
        <v>4402</v>
      </c>
      <c r="H487" s="404" t="s">
        <v>4403</v>
      </c>
      <c r="I487" s="404" t="s">
        <v>23</v>
      </c>
      <c r="J487" s="404" t="s">
        <v>4404</v>
      </c>
      <c r="K487" s="404" t="s">
        <v>4405</v>
      </c>
    </row>
    <row r="488" spans="1:11" ht="30">
      <c r="A488" s="387"/>
      <c r="B488" s="387"/>
      <c r="C488" s="387"/>
      <c r="D488" s="404" t="s">
        <v>4406</v>
      </c>
      <c r="E488" s="404" t="s">
        <v>4407</v>
      </c>
      <c r="F488" s="385" t="s">
        <v>20</v>
      </c>
      <c r="G488" s="404" t="s">
        <v>4408</v>
      </c>
      <c r="H488" s="404" t="s">
        <v>4409</v>
      </c>
      <c r="I488" s="404" t="s">
        <v>23</v>
      </c>
      <c r="J488" s="404" t="s">
        <v>4410</v>
      </c>
      <c r="K488" s="404" t="s">
        <v>4411</v>
      </c>
    </row>
    <row r="489" spans="1:11" ht="30">
      <c r="A489" s="387"/>
      <c r="B489" s="387"/>
      <c r="C489" s="387"/>
      <c r="D489" s="404" t="s">
        <v>4412</v>
      </c>
      <c r="E489" s="404" t="s">
        <v>4413</v>
      </c>
      <c r="F489" s="385" t="s">
        <v>20</v>
      </c>
      <c r="G489" s="404" t="s">
        <v>4414</v>
      </c>
      <c r="H489" s="404" t="s">
        <v>4415</v>
      </c>
      <c r="I489" s="404" t="s">
        <v>23</v>
      </c>
      <c r="J489" s="404" t="s">
        <v>4416</v>
      </c>
      <c r="K489" s="404" t="s">
        <v>4417</v>
      </c>
    </row>
    <row r="490" spans="1:11" ht="30">
      <c r="A490" s="387"/>
      <c r="B490" s="387"/>
      <c r="C490" s="387" t="s">
        <v>4418</v>
      </c>
      <c r="D490" s="404" t="s">
        <v>4419</v>
      </c>
      <c r="E490" s="404" t="s">
        <v>4420</v>
      </c>
      <c r="F490" s="385" t="s">
        <v>20</v>
      </c>
      <c r="G490" s="404" t="s">
        <v>4421</v>
      </c>
      <c r="H490" s="404" t="s">
        <v>4422</v>
      </c>
      <c r="I490" s="404" t="s">
        <v>23</v>
      </c>
      <c r="J490" s="404" t="s">
        <v>4423</v>
      </c>
      <c r="K490" s="404" t="s">
        <v>4424</v>
      </c>
    </row>
    <row r="491" spans="1:11" ht="30">
      <c r="A491" s="387"/>
      <c r="B491" s="387"/>
      <c r="C491" s="387"/>
      <c r="D491" s="404" t="s">
        <v>4425</v>
      </c>
      <c r="E491" s="404" t="s">
        <v>4426</v>
      </c>
      <c r="F491" s="385" t="s">
        <v>229</v>
      </c>
      <c r="G491" s="404" t="s">
        <v>4427</v>
      </c>
      <c r="H491" s="404" t="s">
        <v>4428</v>
      </c>
      <c r="I491" s="404" t="s">
        <v>23</v>
      </c>
      <c r="J491" s="404" t="s">
        <v>4429</v>
      </c>
      <c r="K491" s="404" t="s">
        <v>4430</v>
      </c>
    </row>
    <row r="492" spans="1:11" ht="30">
      <c r="A492" s="387"/>
      <c r="B492" s="387"/>
      <c r="C492" s="387"/>
      <c r="D492" s="404" t="s">
        <v>4431</v>
      </c>
      <c r="E492" s="404" t="s">
        <v>4432</v>
      </c>
      <c r="F492" s="385" t="s">
        <v>229</v>
      </c>
      <c r="G492" s="404" t="s">
        <v>4433</v>
      </c>
      <c r="H492" s="404" t="s">
        <v>4434</v>
      </c>
      <c r="I492" s="404" t="s">
        <v>23</v>
      </c>
      <c r="J492" s="404" t="s">
        <v>4435</v>
      </c>
      <c r="K492" s="404" t="s">
        <v>4436</v>
      </c>
    </row>
    <row r="493" spans="1:11" ht="30">
      <c r="A493" s="387"/>
      <c r="B493" s="387"/>
      <c r="C493" s="387"/>
      <c r="D493" s="404" t="s">
        <v>4437</v>
      </c>
      <c r="E493" s="404" t="s">
        <v>4438</v>
      </c>
      <c r="F493" s="385" t="s">
        <v>20</v>
      </c>
      <c r="G493" s="404" t="s">
        <v>4439</v>
      </c>
      <c r="H493" s="404" t="s">
        <v>4440</v>
      </c>
      <c r="I493" s="404" t="s">
        <v>23</v>
      </c>
      <c r="J493" s="404" t="s">
        <v>4441</v>
      </c>
      <c r="K493" s="404" t="s">
        <v>4442</v>
      </c>
    </row>
    <row r="494" spans="1:11" ht="30">
      <c r="A494" s="387"/>
      <c r="B494" s="387"/>
      <c r="C494" s="387"/>
      <c r="D494" s="404" t="s">
        <v>4443</v>
      </c>
      <c r="E494" s="404" t="s">
        <v>4444</v>
      </c>
      <c r="F494" s="385" t="s">
        <v>20</v>
      </c>
      <c r="G494" s="404" t="s">
        <v>4445</v>
      </c>
      <c r="H494" s="404" t="s">
        <v>4446</v>
      </c>
      <c r="I494" s="404" t="s">
        <v>23</v>
      </c>
      <c r="J494" s="404" t="s">
        <v>4447</v>
      </c>
      <c r="K494" s="404" t="s">
        <v>4448</v>
      </c>
    </row>
    <row r="495" spans="1:11" ht="30">
      <c r="A495" s="387"/>
      <c r="B495" s="387"/>
      <c r="C495" s="387" t="s">
        <v>4449</v>
      </c>
      <c r="D495" s="404" t="s">
        <v>4450</v>
      </c>
      <c r="E495" s="404" t="s">
        <v>4451</v>
      </c>
      <c r="F495" s="385" t="s">
        <v>20</v>
      </c>
      <c r="G495" s="404" t="s">
        <v>4452</v>
      </c>
      <c r="H495" s="404" t="s">
        <v>4453</v>
      </c>
      <c r="I495" s="404" t="s">
        <v>94</v>
      </c>
      <c r="J495" s="404" t="s">
        <v>4454</v>
      </c>
      <c r="K495" s="404" t="s">
        <v>4455</v>
      </c>
    </row>
    <row r="496" spans="1:11" ht="30">
      <c r="A496" s="387"/>
      <c r="B496" s="387"/>
      <c r="C496" s="387"/>
      <c r="D496" s="404" t="s">
        <v>4456</v>
      </c>
      <c r="E496" s="404" t="s">
        <v>4457</v>
      </c>
      <c r="F496" s="385" t="s">
        <v>425</v>
      </c>
      <c r="G496" s="404" t="s">
        <v>4458</v>
      </c>
      <c r="H496" s="404" t="s">
        <v>4459</v>
      </c>
      <c r="I496" s="404" t="s">
        <v>23</v>
      </c>
      <c r="J496" s="404" t="s">
        <v>4460</v>
      </c>
      <c r="K496" s="404" t="s">
        <v>4461</v>
      </c>
    </row>
    <row r="497" spans="1:11" ht="30">
      <c r="A497" s="387"/>
      <c r="B497" s="387"/>
      <c r="C497" s="387"/>
      <c r="D497" s="404" t="s">
        <v>4462</v>
      </c>
      <c r="E497" s="404" t="s">
        <v>4463</v>
      </c>
      <c r="F497" s="385" t="s">
        <v>425</v>
      </c>
      <c r="G497" s="404" t="s">
        <v>4464</v>
      </c>
      <c r="H497" s="404" t="s">
        <v>4465</v>
      </c>
      <c r="I497" s="404" t="s">
        <v>23</v>
      </c>
      <c r="J497" s="404" t="s">
        <v>4466</v>
      </c>
      <c r="K497" s="404" t="s">
        <v>4467</v>
      </c>
    </row>
    <row r="498" spans="1:11" ht="30">
      <c r="A498" s="387"/>
      <c r="B498" s="387"/>
      <c r="C498" s="387"/>
      <c r="D498" s="404" t="s">
        <v>4468</v>
      </c>
      <c r="E498" s="404" t="s">
        <v>4469</v>
      </c>
      <c r="F498" s="385" t="s">
        <v>20</v>
      </c>
      <c r="G498" s="404" t="s">
        <v>4470</v>
      </c>
      <c r="H498" s="404" t="s">
        <v>4471</v>
      </c>
      <c r="I498" s="404" t="s">
        <v>23</v>
      </c>
      <c r="J498" s="404" t="s">
        <v>4472</v>
      </c>
      <c r="K498" s="404" t="s">
        <v>4473</v>
      </c>
    </row>
    <row r="499" spans="1:11" ht="30">
      <c r="A499" s="387"/>
      <c r="B499" s="387"/>
      <c r="C499" s="387"/>
      <c r="D499" s="404" t="s">
        <v>4474</v>
      </c>
      <c r="E499" s="404" t="s">
        <v>4475</v>
      </c>
      <c r="F499" s="385" t="s">
        <v>20</v>
      </c>
      <c r="G499" s="404" t="s">
        <v>4476</v>
      </c>
      <c r="H499" s="404" t="s">
        <v>4477</v>
      </c>
      <c r="I499" s="404" t="s">
        <v>23</v>
      </c>
      <c r="J499" s="404" t="s">
        <v>4478</v>
      </c>
      <c r="K499" s="404" t="s">
        <v>4479</v>
      </c>
    </row>
    <row r="500" spans="1:11" ht="30">
      <c r="A500" s="387"/>
      <c r="B500" s="387"/>
      <c r="C500" s="387" t="s">
        <v>4480</v>
      </c>
      <c r="D500" s="404" t="s">
        <v>4481</v>
      </c>
      <c r="E500" s="404" t="s">
        <v>4482</v>
      </c>
      <c r="F500" s="385" t="s">
        <v>229</v>
      </c>
      <c r="G500" s="404" t="s">
        <v>4483</v>
      </c>
      <c r="H500" s="404" t="s">
        <v>4484</v>
      </c>
      <c r="I500" s="404" t="s">
        <v>23</v>
      </c>
      <c r="J500" s="404" t="s">
        <v>4485</v>
      </c>
      <c r="K500" s="404" t="s">
        <v>4486</v>
      </c>
    </row>
    <row r="501" spans="1:11" ht="30">
      <c r="A501" s="387"/>
      <c r="B501" s="387"/>
      <c r="C501" s="387"/>
      <c r="D501" s="404" t="s">
        <v>4487</v>
      </c>
      <c r="E501" s="404" t="s">
        <v>4488</v>
      </c>
      <c r="F501" s="385" t="s">
        <v>229</v>
      </c>
      <c r="G501" s="404" t="s">
        <v>4489</v>
      </c>
      <c r="H501" s="404" t="s">
        <v>4490</v>
      </c>
      <c r="I501" s="404" t="s">
        <v>23</v>
      </c>
      <c r="J501" s="404" t="s">
        <v>4491</v>
      </c>
      <c r="K501" s="404" t="s">
        <v>4492</v>
      </c>
    </row>
    <row r="502" spans="1:11" ht="30">
      <c r="A502" s="387"/>
      <c r="B502" s="387"/>
      <c r="C502" s="387"/>
      <c r="D502" s="404" t="s">
        <v>4493</v>
      </c>
      <c r="E502" s="404" t="s">
        <v>4494</v>
      </c>
      <c r="F502" s="385" t="s">
        <v>229</v>
      </c>
      <c r="G502" s="404" t="s">
        <v>4495</v>
      </c>
      <c r="H502" s="404" t="s">
        <v>4496</v>
      </c>
      <c r="I502" s="404" t="s">
        <v>23</v>
      </c>
      <c r="J502" s="404" t="s">
        <v>4497</v>
      </c>
      <c r="K502" s="404" t="s">
        <v>4498</v>
      </c>
    </row>
    <row r="503" spans="1:11" ht="30">
      <c r="A503" s="387"/>
      <c r="B503" s="387"/>
      <c r="C503" s="387"/>
      <c r="D503" s="404" t="s">
        <v>4499</v>
      </c>
      <c r="E503" s="404" t="s">
        <v>4500</v>
      </c>
      <c r="F503" s="385" t="s">
        <v>229</v>
      </c>
      <c r="G503" s="404" t="s">
        <v>4501</v>
      </c>
      <c r="H503" s="404" t="s">
        <v>4502</v>
      </c>
      <c r="I503" s="404" t="s">
        <v>23</v>
      </c>
      <c r="J503" s="404" t="s">
        <v>4503</v>
      </c>
      <c r="K503" s="404" t="s">
        <v>4504</v>
      </c>
    </row>
    <row r="504" spans="1:11" ht="30">
      <c r="A504" s="387"/>
      <c r="B504" s="387"/>
      <c r="C504" s="387"/>
      <c r="D504" s="404" t="s">
        <v>4505</v>
      </c>
      <c r="E504" s="404" t="s">
        <v>4506</v>
      </c>
      <c r="F504" s="385" t="s">
        <v>229</v>
      </c>
      <c r="G504" s="404" t="s">
        <v>4507</v>
      </c>
      <c r="H504" s="404" t="s">
        <v>4508</v>
      </c>
      <c r="I504" s="404" t="s">
        <v>23</v>
      </c>
      <c r="J504" s="404" t="s">
        <v>4509</v>
      </c>
      <c r="K504" s="404" t="s">
        <v>4510</v>
      </c>
    </row>
    <row r="505" spans="1:11" ht="30">
      <c r="A505" s="387"/>
      <c r="B505" s="387"/>
      <c r="C505" s="387" t="s">
        <v>4511</v>
      </c>
      <c r="D505" s="404" t="s">
        <v>4512</v>
      </c>
      <c r="E505" s="404" t="s">
        <v>4513</v>
      </c>
      <c r="F505" s="385" t="s">
        <v>20</v>
      </c>
      <c r="G505" s="404" t="s">
        <v>4514</v>
      </c>
      <c r="H505" s="404" t="s">
        <v>4515</v>
      </c>
      <c r="I505" s="404" t="s">
        <v>23</v>
      </c>
      <c r="J505" s="404" t="s">
        <v>4516</v>
      </c>
      <c r="K505" s="404" t="s">
        <v>4517</v>
      </c>
    </row>
    <row r="506" spans="1:11" ht="30">
      <c r="A506" s="387"/>
      <c r="B506" s="387"/>
      <c r="C506" s="387"/>
      <c r="D506" s="404" t="s">
        <v>4518</v>
      </c>
      <c r="E506" s="404" t="s">
        <v>4519</v>
      </c>
      <c r="F506" s="385" t="s">
        <v>20</v>
      </c>
      <c r="G506" s="404" t="s">
        <v>4520</v>
      </c>
      <c r="H506" s="404" t="s">
        <v>4521</v>
      </c>
      <c r="I506" s="404" t="s">
        <v>23</v>
      </c>
      <c r="J506" s="404" t="s">
        <v>4522</v>
      </c>
      <c r="K506" s="404" t="s">
        <v>4523</v>
      </c>
    </row>
    <row r="507" spans="1:11" ht="30">
      <c r="A507" s="387"/>
      <c r="B507" s="387"/>
      <c r="C507" s="387"/>
      <c r="D507" s="404" t="s">
        <v>4524</v>
      </c>
      <c r="E507" s="404" t="s">
        <v>4525</v>
      </c>
      <c r="F507" s="385" t="s">
        <v>20</v>
      </c>
      <c r="G507" s="404" t="s">
        <v>4526</v>
      </c>
      <c r="H507" s="404" t="s">
        <v>4527</v>
      </c>
      <c r="I507" s="404" t="s">
        <v>23</v>
      </c>
      <c r="J507" s="404" t="s">
        <v>4528</v>
      </c>
      <c r="K507" s="404" t="s">
        <v>4529</v>
      </c>
    </row>
    <row r="508" spans="1:11" ht="30">
      <c r="A508" s="387"/>
      <c r="B508" s="387"/>
      <c r="C508" s="387"/>
      <c r="D508" s="404" t="s">
        <v>4530</v>
      </c>
      <c r="E508" s="404" t="s">
        <v>4531</v>
      </c>
      <c r="F508" s="385" t="s">
        <v>20</v>
      </c>
      <c r="G508" s="404" t="s">
        <v>4532</v>
      </c>
      <c r="H508" s="404" t="s">
        <v>4533</v>
      </c>
      <c r="I508" s="404" t="s">
        <v>23</v>
      </c>
      <c r="J508" s="404" t="s">
        <v>4534</v>
      </c>
      <c r="K508" s="404" t="s">
        <v>4535</v>
      </c>
    </row>
    <row r="509" spans="1:11" ht="30">
      <c r="A509" s="387"/>
      <c r="B509" s="387"/>
      <c r="C509" s="387"/>
      <c r="D509" s="404" t="s">
        <v>4536</v>
      </c>
      <c r="E509" s="404" t="s">
        <v>4537</v>
      </c>
      <c r="F509" s="385" t="s">
        <v>425</v>
      </c>
      <c r="G509" s="404" t="s">
        <v>4538</v>
      </c>
      <c r="H509" s="404" t="s">
        <v>4539</v>
      </c>
      <c r="I509" s="404" t="s">
        <v>23</v>
      </c>
      <c r="J509" s="404" t="s">
        <v>4540</v>
      </c>
      <c r="K509" s="404" t="s">
        <v>4541</v>
      </c>
    </row>
    <row r="510" spans="1:11" ht="30">
      <c r="A510" s="387"/>
      <c r="B510" s="387"/>
      <c r="C510" s="387" t="s">
        <v>4542</v>
      </c>
      <c r="D510" s="404" t="s">
        <v>4543</v>
      </c>
      <c r="E510" s="404" t="s">
        <v>4544</v>
      </c>
      <c r="F510" s="385" t="s">
        <v>425</v>
      </c>
      <c r="G510" s="404" t="s">
        <v>4545</v>
      </c>
      <c r="H510" s="404" t="s">
        <v>4546</v>
      </c>
      <c r="I510" s="404" t="s">
        <v>23</v>
      </c>
      <c r="J510" s="404" t="s">
        <v>4547</v>
      </c>
      <c r="K510" s="404" t="s">
        <v>4548</v>
      </c>
    </row>
    <row r="511" spans="1:11" ht="30">
      <c r="A511" s="387"/>
      <c r="B511" s="387"/>
      <c r="C511" s="387"/>
      <c r="D511" s="404" t="s">
        <v>4549</v>
      </c>
      <c r="E511" s="404" t="s">
        <v>4550</v>
      </c>
      <c r="F511" s="385" t="s">
        <v>20</v>
      </c>
      <c r="G511" s="404" t="s">
        <v>4551</v>
      </c>
      <c r="H511" s="404" t="s">
        <v>4552</v>
      </c>
      <c r="I511" s="404" t="s">
        <v>23</v>
      </c>
      <c r="J511" s="404" t="s">
        <v>4553</v>
      </c>
      <c r="K511" s="404" t="s">
        <v>4554</v>
      </c>
    </row>
    <row r="512" spans="1:11" ht="30">
      <c r="A512" s="387"/>
      <c r="B512" s="387"/>
      <c r="C512" s="387"/>
      <c r="D512" s="404" t="s">
        <v>4555</v>
      </c>
      <c r="E512" s="404" t="s">
        <v>4556</v>
      </c>
      <c r="F512" s="385" t="s">
        <v>425</v>
      </c>
      <c r="G512" s="404" t="s">
        <v>4557</v>
      </c>
      <c r="H512" s="404" t="s">
        <v>4558</v>
      </c>
      <c r="I512" s="404" t="s">
        <v>23</v>
      </c>
      <c r="J512" s="404" t="s">
        <v>4559</v>
      </c>
      <c r="K512" s="404" t="s">
        <v>4560</v>
      </c>
    </row>
    <row r="513" spans="1:11" ht="30">
      <c r="A513" s="387"/>
      <c r="B513" s="387"/>
      <c r="C513" s="387"/>
      <c r="D513" s="404" t="s">
        <v>4561</v>
      </c>
      <c r="E513" s="404" t="s">
        <v>4562</v>
      </c>
      <c r="F513" s="385" t="s">
        <v>20</v>
      </c>
      <c r="G513" s="404" t="s">
        <v>4563</v>
      </c>
      <c r="H513" s="404" t="s">
        <v>4564</v>
      </c>
      <c r="I513" s="404" t="s">
        <v>23</v>
      </c>
      <c r="J513" s="404" t="s">
        <v>4565</v>
      </c>
      <c r="K513" s="404" t="s">
        <v>4566</v>
      </c>
    </row>
    <row r="514" spans="1:11" ht="30">
      <c r="A514" s="387"/>
      <c r="B514" s="387"/>
      <c r="C514" s="387"/>
      <c r="D514" s="404" t="s">
        <v>4567</v>
      </c>
      <c r="E514" s="404" t="s">
        <v>4568</v>
      </c>
      <c r="F514" s="385" t="s">
        <v>425</v>
      </c>
      <c r="G514" s="404" t="s">
        <v>4569</v>
      </c>
      <c r="H514" s="404" t="s">
        <v>4570</v>
      </c>
      <c r="I514" s="404" t="s">
        <v>23</v>
      </c>
      <c r="J514" s="404" t="s">
        <v>4571</v>
      </c>
      <c r="K514" s="404" t="s">
        <v>4572</v>
      </c>
    </row>
    <row r="515" spans="1:11" ht="30">
      <c r="A515" s="387"/>
      <c r="B515" s="387"/>
      <c r="C515" s="387" t="s">
        <v>4573</v>
      </c>
      <c r="D515" s="404" t="s">
        <v>4574</v>
      </c>
      <c r="E515" s="404" t="s">
        <v>4575</v>
      </c>
      <c r="F515" s="385" t="s">
        <v>20</v>
      </c>
      <c r="G515" s="404" t="s">
        <v>4576</v>
      </c>
      <c r="H515" s="404" t="s">
        <v>4577</v>
      </c>
      <c r="I515" s="404" t="s">
        <v>23</v>
      </c>
      <c r="J515" s="404" t="s">
        <v>4578</v>
      </c>
      <c r="K515" s="404" t="s">
        <v>4579</v>
      </c>
    </row>
    <row r="516" spans="1:11" ht="30">
      <c r="A516" s="387"/>
      <c r="B516" s="387"/>
      <c r="C516" s="387"/>
      <c r="D516" s="404" t="s">
        <v>4580</v>
      </c>
      <c r="E516" s="404" t="s">
        <v>4581</v>
      </c>
      <c r="F516" s="385" t="s">
        <v>425</v>
      </c>
      <c r="G516" s="404" t="s">
        <v>4582</v>
      </c>
      <c r="H516" s="404" t="s">
        <v>4583</v>
      </c>
      <c r="I516" s="404" t="s">
        <v>23</v>
      </c>
      <c r="J516" s="404" t="s">
        <v>4584</v>
      </c>
      <c r="K516" s="404" t="s">
        <v>4585</v>
      </c>
    </row>
    <row r="517" spans="1:11" ht="30">
      <c r="A517" s="387"/>
      <c r="B517" s="387"/>
      <c r="C517" s="387"/>
      <c r="D517" s="404" t="s">
        <v>4586</v>
      </c>
      <c r="E517" s="404" t="s">
        <v>4587</v>
      </c>
      <c r="F517" s="385" t="s">
        <v>20</v>
      </c>
      <c r="G517" s="404" t="s">
        <v>4588</v>
      </c>
      <c r="H517" s="404" t="s">
        <v>4589</v>
      </c>
      <c r="I517" s="404" t="s">
        <v>23</v>
      </c>
      <c r="J517" s="404" t="s">
        <v>4590</v>
      </c>
      <c r="K517" s="404" t="s">
        <v>4591</v>
      </c>
    </row>
    <row r="518" spans="1:11" ht="30">
      <c r="A518" s="387"/>
      <c r="B518" s="387"/>
      <c r="C518" s="387"/>
      <c r="D518" s="404" t="s">
        <v>4592</v>
      </c>
      <c r="E518" s="404" t="s">
        <v>4593</v>
      </c>
      <c r="F518" s="385" t="s">
        <v>425</v>
      </c>
      <c r="G518" s="404" t="s">
        <v>4594</v>
      </c>
      <c r="H518" s="404" t="s">
        <v>4595</v>
      </c>
      <c r="I518" s="404" t="s">
        <v>23</v>
      </c>
      <c r="J518" s="404" t="s">
        <v>4596</v>
      </c>
      <c r="K518" s="404" t="s">
        <v>4597</v>
      </c>
    </row>
    <row r="519" spans="1:11" ht="30">
      <c r="A519" s="387"/>
      <c r="B519" s="387"/>
      <c r="C519" s="387"/>
      <c r="D519" s="404" t="s">
        <v>4598</v>
      </c>
      <c r="E519" s="404" t="s">
        <v>4599</v>
      </c>
      <c r="F519" s="385" t="s">
        <v>20</v>
      </c>
      <c r="G519" s="404" t="s">
        <v>4600</v>
      </c>
      <c r="H519" s="404" t="s">
        <v>4601</v>
      </c>
      <c r="I519" s="404" t="s">
        <v>23</v>
      </c>
      <c r="J519" s="404" t="s">
        <v>4602</v>
      </c>
      <c r="K519" s="404" t="s">
        <v>4603</v>
      </c>
    </row>
    <row r="520" spans="1:11" ht="30">
      <c r="A520" s="387"/>
      <c r="B520" s="387"/>
      <c r="C520" s="387" t="s">
        <v>4604</v>
      </c>
      <c r="D520" s="404" t="s">
        <v>4605</v>
      </c>
      <c r="E520" s="404" t="s">
        <v>4606</v>
      </c>
      <c r="F520" s="385" t="s">
        <v>425</v>
      </c>
      <c r="G520" s="404" t="s">
        <v>4607</v>
      </c>
      <c r="H520" s="404" t="s">
        <v>4608</v>
      </c>
      <c r="I520" s="404" t="s">
        <v>23</v>
      </c>
      <c r="J520" s="404" t="s">
        <v>4609</v>
      </c>
      <c r="K520" s="404" t="s">
        <v>4610</v>
      </c>
    </row>
    <row r="521" spans="1:11" ht="30">
      <c r="A521" s="387"/>
      <c r="B521" s="387"/>
      <c r="C521" s="387"/>
      <c r="D521" s="404" t="s">
        <v>4611</v>
      </c>
      <c r="E521" s="404" t="s">
        <v>4612</v>
      </c>
      <c r="F521" s="385" t="s">
        <v>229</v>
      </c>
      <c r="G521" s="404" t="s">
        <v>4613</v>
      </c>
      <c r="H521" s="404" t="s">
        <v>4614</v>
      </c>
      <c r="I521" s="404" t="s">
        <v>23</v>
      </c>
      <c r="J521" s="404" t="s">
        <v>4615</v>
      </c>
      <c r="K521" s="404" t="s">
        <v>4616</v>
      </c>
    </row>
    <row r="522" spans="1:11" ht="30">
      <c r="A522" s="387"/>
      <c r="B522" s="387"/>
      <c r="C522" s="387"/>
      <c r="D522" s="404" t="s">
        <v>4617</v>
      </c>
      <c r="E522" s="404" t="s">
        <v>4618</v>
      </c>
      <c r="F522" s="385" t="s">
        <v>229</v>
      </c>
      <c r="G522" s="404" t="s">
        <v>4619</v>
      </c>
      <c r="H522" s="404" t="s">
        <v>4620</v>
      </c>
      <c r="I522" s="404" t="s">
        <v>23</v>
      </c>
      <c r="J522" s="404" t="s">
        <v>4621</v>
      </c>
      <c r="K522" s="404" t="s">
        <v>4622</v>
      </c>
    </row>
    <row r="523" spans="1:11" ht="30">
      <c r="A523" s="387"/>
      <c r="B523" s="387"/>
      <c r="C523" s="387"/>
      <c r="D523" s="404" t="s">
        <v>4623</v>
      </c>
      <c r="E523" s="404" t="s">
        <v>4624</v>
      </c>
      <c r="F523" s="385" t="s">
        <v>229</v>
      </c>
      <c r="G523" s="404" t="s">
        <v>4625</v>
      </c>
      <c r="H523" s="404" t="s">
        <v>4626</v>
      </c>
      <c r="I523" s="404" t="s">
        <v>23</v>
      </c>
      <c r="J523" s="404" t="s">
        <v>4627</v>
      </c>
      <c r="K523" s="404" t="s">
        <v>4628</v>
      </c>
    </row>
    <row r="524" spans="1:11" ht="30">
      <c r="A524" s="387"/>
      <c r="B524" s="387"/>
      <c r="C524" s="387"/>
      <c r="D524" s="404" t="s">
        <v>4629</v>
      </c>
      <c r="E524" s="404" t="s">
        <v>4630</v>
      </c>
      <c r="F524" s="385" t="s">
        <v>229</v>
      </c>
      <c r="G524" s="404" t="s">
        <v>4631</v>
      </c>
      <c r="H524" s="404" t="s">
        <v>4632</v>
      </c>
      <c r="I524" s="404" t="s">
        <v>23</v>
      </c>
      <c r="J524" s="404" t="s">
        <v>4633</v>
      </c>
      <c r="K524" s="404" t="s">
        <v>4634</v>
      </c>
    </row>
    <row r="525" spans="1:11" ht="30">
      <c r="A525" s="387"/>
      <c r="B525" s="387"/>
      <c r="C525" s="387" t="s">
        <v>4635</v>
      </c>
      <c r="D525" s="404" t="s">
        <v>4613</v>
      </c>
      <c r="E525" s="404" t="s">
        <v>4636</v>
      </c>
      <c r="F525" s="385" t="s">
        <v>229</v>
      </c>
      <c r="G525" s="404" t="s">
        <v>4637</v>
      </c>
      <c r="H525" s="404" t="s">
        <v>4638</v>
      </c>
      <c r="I525" s="404" t="s">
        <v>23</v>
      </c>
      <c r="J525" s="404" t="s">
        <v>4639</v>
      </c>
      <c r="K525" s="404" t="s">
        <v>4640</v>
      </c>
    </row>
    <row r="526" spans="1:11" ht="30">
      <c r="A526" s="387"/>
      <c r="B526" s="387"/>
      <c r="C526" s="387"/>
      <c r="D526" s="404" t="s">
        <v>4641</v>
      </c>
      <c r="E526" s="404" t="s">
        <v>4642</v>
      </c>
      <c r="F526" s="385" t="s">
        <v>229</v>
      </c>
      <c r="G526" s="404" t="s">
        <v>4643</v>
      </c>
      <c r="H526" s="404" t="s">
        <v>4644</v>
      </c>
      <c r="I526" s="404" t="s">
        <v>23</v>
      </c>
      <c r="J526" s="404" t="s">
        <v>4645</v>
      </c>
      <c r="K526" s="404" t="s">
        <v>4646</v>
      </c>
    </row>
    <row r="527" spans="1:11" ht="30">
      <c r="A527" s="387"/>
      <c r="B527" s="387"/>
      <c r="C527" s="387"/>
      <c r="D527" s="404" t="s">
        <v>4647</v>
      </c>
      <c r="E527" s="404" t="s">
        <v>4648</v>
      </c>
      <c r="F527" s="385" t="s">
        <v>20</v>
      </c>
      <c r="G527" s="404" t="s">
        <v>4649</v>
      </c>
      <c r="H527" s="404" t="s">
        <v>4650</v>
      </c>
      <c r="I527" s="404" t="s">
        <v>94</v>
      </c>
      <c r="J527" s="404" t="s">
        <v>4651</v>
      </c>
      <c r="K527" s="404" t="s">
        <v>4652</v>
      </c>
    </row>
    <row r="528" spans="1:11" ht="30">
      <c r="A528" s="387"/>
      <c r="B528" s="387"/>
      <c r="C528" s="387"/>
      <c r="D528" s="404" t="s">
        <v>4653</v>
      </c>
      <c r="E528" s="404" t="s">
        <v>4654</v>
      </c>
      <c r="F528" s="385" t="s">
        <v>229</v>
      </c>
      <c r="G528" s="404" t="s">
        <v>4655</v>
      </c>
      <c r="H528" s="404" t="s">
        <v>4656</v>
      </c>
      <c r="I528" s="404" t="s">
        <v>23</v>
      </c>
      <c r="J528" s="404" t="s">
        <v>4657</v>
      </c>
      <c r="K528" s="404" t="s">
        <v>4658</v>
      </c>
    </row>
    <row r="529" spans="1:11" ht="30">
      <c r="A529" s="387"/>
      <c r="B529" s="387"/>
      <c r="C529" s="387"/>
      <c r="D529" s="404" t="s">
        <v>4659</v>
      </c>
      <c r="E529" s="404" t="s">
        <v>4660</v>
      </c>
      <c r="F529" s="385" t="s">
        <v>20</v>
      </c>
      <c r="G529" s="404" t="s">
        <v>4661</v>
      </c>
      <c r="H529" s="404" t="s">
        <v>4662</v>
      </c>
      <c r="I529" s="404" t="s">
        <v>23</v>
      </c>
      <c r="J529" s="404" t="s">
        <v>4663</v>
      </c>
      <c r="K529" s="404" t="s">
        <v>4664</v>
      </c>
    </row>
    <row r="530" spans="1:11" ht="30">
      <c r="A530" s="387"/>
      <c r="B530" s="387" t="s">
        <v>4665</v>
      </c>
      <c r="C530" s="387" t="s">
        <v>4666</v>
      </c>
      <c r="D530" s="404" t="s">
        <v>4667</v>
      </c>
      <c r="E530" s="404" t="s">
        <v>4668</v>
      </c>
      <c r="F530" s="385" t="s">
        <v>229</v>
      </c>
      <c r="G530" s="404" t="s">
        <v>4669</v>
      </c>
      <c r="H530" s="404" t="s">
        <v>4670</v>
      </c>
      <c r="I530" s="404" t="s">
        <v>23</v>
      </c>
      <c r="J530" s="404" t="s">
        <v>4671</v>
      </c>
      <c r="K530" s="404" t="s">
        <v>4672</v>
      </c>
    </row>
    <row r="531" spans="1:11" ht="30">
      <c r="A531" s="387"/>
      <c r="B531" s="387"/>
      <c r="C531" s="387"/>
      <c r="D531" s="404" t="s">
        <v>4673</v>
      </c>
      <c r="E531" s="404" t="s">
        <v>4674</v>
      </c>
      <c r="F531" s="385" t="s">
        <v>20</v>
      </c>
      <c r="G531" s="404" t="s">
        <v>4675</v>
      </c>
      <c r="H531" s="404" t="s">
        <v>4676</v>
      </c>
      <c r="I531" s="404" t="s">
        <v>23</v>
      </c>
      <c r="J531" s="404" t="s">
        <v>4677</v>
      </c>
      <c r="K531" s="404" t="s">
        <v>4678</v>
      </c>
    </row>
    <row r="532" spans="1:11" ht="30">
      <c r="A532" s="387"/>
      <c r="B532" s="387"/>
      <c r="C532" s="387"/>
      <c r="D532" s="404" t="s">
        <v>4679</v>
      </c>
      <c r="E532" s="404" t="s">
        <v>4680</v>
      </c>
      <c r="F532" s="385" t="s">
        <v>229</v>
      </c>
      <c r="G532" s="404" t="s">
        <v>4681</v>
      </c>
      <c r="H532" s="404" t="s">
        <v>4682</v>
      </c>
      <c r="I532" s="404" t="s">
        <v>23</v>
      </c>
      <c r="J532" s="404" t="s">
        <v>4683</v>
      </c>
      <c r="K532" s="404" t="s">
        <v>4684</v>
      </c>
    </row>
    <row r="533" spans="1:11" ht="30">
      <c r="A533" s="387"/>
      <c r="B533" s="387"/>
      <c r="C533" s="387"/>
      <c r="D533" s="404" t="s">
        <v>4685</v>
      </c>
      <c r="E533" s="404" t="s">
        <v>4686</v>
      </c>
      <c r="F533" s="385" t="s">
        <v>20</v>
      </c>
      <c r="G533" s="404" t="s">
        <v>4687</v>
      </c>
      <c r="H533" s="404" t="s">
        <v>4688</v>
      </c>
      <c r="I533" s="404" t="s">
        <v>23</v>
      </c>
      <c r="J533" s="404" t="s">
        <v>4689</v>
      </c>
      <c r="K533" s="404" t="s">
        <v>4690</v>
      </c>
    </row>
    <row r="534" spans="1:11" ht="30">
      <c r="A534" s="387"/>
      <c r="B534" s="387"/>
      <c r="C534" s="387"/>
      <c r="D534" s="404" t="s">
        <v>4691</v>
      </c>
      <c r="E534" s="404" t="s">
        <v>4692</v>
      </c>
      <c r="F534" s="385" t="s">
        <v>229</v>
      </c>
      <c r="G534" s="404" t="s">
        <v>4693</v>
      </c>
      <c r="H534" s="404" t="s">
        <v>4694</v>
      </c>
      <c r="I534" s="404" t="s">
        <v>23</v>
      </c>
      <c r="J534" s="404" t="s">
        <v>4695</v>
      </c>
      <c r="K534" s="404" t="s">
        <v>4696</v>
      </c>
    </row>
    <row r="535" spans="1:11" ht="30">
      <c r="A535" s="387"/>
      <c r="B535" s="387"/>
      <c r="C535" s="387" t="s">
        <v>4697</v>
      </c>
      <c r="D535" s="404" t="s">
        <v>4698</v>
      </c>
      <c r="E535" s="404" t="s">
        <v>4699</v>
      </c>
      <c r="F535" s="385" t="s">
        <v>20</v>
      </c>
      <c r="G535" s="404" t="s">
        <v>4700</v>
      </c>
      <c r="H535" s="404" t="s">
        <v>4701</v>
      </c>
      <c r="I535" s="404" t="s">
        <v>23</v>
      </c>
      <c r="J535" s="404" t="s">
        <v>4702</v>
      </c>
      <c r="K535" s="404" t="s">
        <v>4703</v>
      </c>
    </row>
    <row r="536" spans="1:11" ht="30">
      <c r="A536" s="387"/>
      <c r="B536" s="387"/>
      <c r="C536" s="387"/>
      <c r="D536" s="404" t="s">
        <v>4704</v>
      </c>
      <c r="E536" s="404" t="s">
        <v>4705</v>
      </c>
      <c r="F536" s="385" t="s">
        <v>229</v>
      </c>
      <c r="G536" s="404" t="s">
        <v>4706</v>
      </c>
      <c r="H536" s="404" t="s">
        <v>4707</v>
      </c>
      <c r="I536" s="404" t="s">
        <v>23</v>
      </c>
      <c r="J536" s="404" t="s">
        <v>4708</v>
      </c>
      <c r="K536" s="404" t="s">
        <v>4709</v>
      </c>
    </row>
    <row r="537" spans="1:11" ht="30">
      <c r="A537" s="387"/>
      <c r="B537" s="387"/>
      <c r="C537" s="387"/>
      <c r="D537" s="404" t="s">
        <v>4710</v>
      </c>
      <c r="E537" s="404" t="s">
        <v>4711</v>
      </c>
      <c r="F537" s="385" t="s">
        <v>20</v>
      </c>
      <c r="G537" s="404" t="s">
        <v>4712</v>
      </c>
      <c r="H537" s="404" t="s">
        <v>4713</v>
      </c>
      <c r="I537" s="404" t="s">
        <v>23</v>
      </c>
      <c r="J537" s="404" t="s">
        <v>4714</v>
      </c>
      <c r="K537" s="404" t="s">
        <v>4715</v>
      </c>
    </row>
    <row r="538" spans="1:11" ht="30">
      <c r="A538" s="387"/>
      <c r="B538" s="387"/>
      <c r="C538" s="387"/>
      <c r="D538" s="404" t="s">
        <v>4716</v>
      </c>
      <c r="E538" s="404" t="s">
        <v>4717</v>
      </c>
      <c r="F538" s="385" t="s">
        <v>20</v>
      </c>
      <c r="G538" s="404" t="s">
        <v>4718</v>
      </c>
      <c r="H538" s="404" t="s">
        <v>4719</v>
      </c>
      <c r="I538" s="404" t="s">
        <v>23</v>
      </c>
      <c r="J538" s="404" t="s">
        <v>4720</v>
      </c>
      <c r="K538" s="404" t="s">
        <v>4721</v>
      </c>
    </row>
    <row r="539" spans="1:11" ht="30">
      <c r="A539" s="387"/>
      <c r="B539" s="387"/>
      <c r="C539" s="387"/>
      <c r="D539" s="404" t="s">
        <v>4722</v>
      </c>
      <c r="E539" s="404" t="s">
        <v>4723</v>
      </c>
      <c r="F539" s="385" t="s">
        <v>20</v>
      </c>
      <c r="G539" s="404" t="s">
        <v>4724</v>
      </c>
      <c r="H539" s="404" t="s">
        <v>4725</v>
      </c>
      <c r="I539" s="404" t="s">
        <v>23</v>
      </c>
      <c r="J539" s="404" t="s">
        <v>4726</v>
      </c>
      <c r="K539" s="404" t="s">
        <v>4727</v>
      </c>
    </row>
    <row r="540" spans="1:11" ht="30">
      <c r="A540" s="387"/>
      <c r="B540" s="387"/>
      <c r="C540" s="387" t="s">
        <v>4728</v>
      </c>
      <c r="D540" s="404" t="s">
        <v>4729</v>
      </c>
      <c r="E540" s="404" t="s">
        <v>4730</v>
      </c>
      <c r="F540" s="385" t="s">
        <v>20</v>
      </c>
      <c r="G540" s="404" t="s">
        <v>4731</v>
      </c>
      <c r="H540" s="404" t="s">
        <v>4732</v>
      </c>
      <c r="I540" s="404" t="s">
        <v>23</v>
      </c>
      <c r="J540" s="404" t="s">
        <v>4733</v>
      </c>
      <c r="K540" s="404" t="s">
        <v>4734</v>
      </c>
    </row>
    <row r="541" spans="1:11" ht="30">
      <c r="A541" s="387"/>
      <c r="B541" s="387"/>
      <c r="C541" s="387"/>
      <c r="D541" s="404" t="s">
        <v>4706</v>
      </c>
      <c r="E541" s="404" t="s">
        <v>4735</v>
      </c>
      <c r="F541" s="385" t="s">
        <v>20</v>
      </c>
      <c r="G541" s="404" t="s">
        <v>4736</v>
      </c>
      <c r="H541" s="404" t="s">
        <v>4737</v>
      </c>
      <c r="I541" s="404" t="s">
        <v>23</v>
      </c>
      <c r="J541" s="404" t="s">
        <v>4738</v>
      </c>
      <c r="K541" s="404" t="s">
        <v>4739</v>
      </c>
    </row>
    <row r="542" spans="1:11" ht="30">
      <c r="A542" s="387"/>
      <c r="B542" s="387"/>
      <c r="C542" s="387"/>
      <c r="D542" s="404" t="s">
        <v>4740</v>
      </c>
      <c r="E542" s="404" t="s">
        <v>4741</v>
      </c>
      <c r="F542" s="385" t="s">
        <v>229</v>
      </c>
      <c r="G542" s="404" t="s">
        <v>4742</v>
      </c>
      <c r="H542" s="404" t="s">
        <v>4743</v>
      </c>
      <c r="I542" s="404" t="s">
        <v>23</v>
      </c>
      <c r="J542" s="404" t="s">
        <v>4744</v>
      </c>
      <c r="K542" s="404" t="s">
        <v>4745</v>
      </c>
    </row>
    <row r="543" spans="1:11" ht="30">
      <c r="A543" s="387"/>
      <c r="B543" s="387"/>
      <c r="C543" s="387"/>
      <c r="D543" s="404" t="s">
        <v>4746</v>
      </c>
      <c r="E543" s="404" t="s">
        <v>4747</v>
      </c>
      <c r="F543" s="385" t="s">
        <v>229</v>
      </c>
      <c r="G543" s="404" t="s">
        <v>4748</v>
      </c>
      <c r="H543" s="404" t="s">
        <v>4749</v>
      </c>
      <c r="I543" s="404" t="s">
        <v>23</v>
      </c>
      <c r="J543" s="404" t="s">
        <v>4750</v>
      </c>
      <c r="K543" s="404" t="s">
        <v>4751</v>
      </c>
    </row>
    <row r="544" spans="1:11" ht="30">
      <c r="A544" s="387"/>
      <c r="B544" s="387"/>
      <c r="C544" s="387"/>
      <c r="D544" s="404" t="s">
        <v>4752</v>
      </c>
      <c r="E544" s="404" t="s">
        <v>4753</v>
      </c>
      <c r="F544" s="385" t="s">
        <v>229</v>
      </c>
      <c r="G544" s="404" t="s">
        <v>4754</v>
      </c>
      <c r="H544" s="404" t="s">
        <v>4755</v>
      </c>
      <c r="I544" s="404" t="s">
        <v>23</v>
      </c>
      <c r="J544" s="404" t="s">
        <v>4756</v>
      </c>
      <c r="K544" s="404" t="s">
        <v>4757</v>
      </c>
    </row>
    <row r="545" spans="1:11" ht="30">
      <c r="A545" s="387"/>
      <c r="B545" s="387"/>
      <c r="C545" s="387" t="s">
        <v>4758</v>
      </c>
      <c r="D545" s="404" t="s">
        <v>4759</v>
      </c>
      <c r="E545" s="404" t="s">
        <v>4760</v>
      </c>
      <c r="F545" s="385" t="s">
        <v>229</v>
      </c>
      <c r="G545" s="404" t="s">
        <v>4761</v>
      </c>
      <c r="H545" s="404" t="s">
        <v>4762</v>
      </c>
      <c r="I545" s="404" t="s">
        <v>23</v>
      </c>
      <c r="J545" s="404" t="s">
        <v>4763</v>
      </c>
      <c r="K545" s="404" t="s">
        <v>4764</v>
      </c>
    </row>
    <row r="546" spans="1:11" ht="30">
      <c r="A546" s="387"/>
      <c r="B546" s="387"/>
      <c r="C546" s="387"/>
      <c r="D546" s="404" t="s">
        <v>4765</v>
      </c>
      <c r="E546" s="404" t="s">
        <v>4766</v>
      </c>
      <c r="F546" s="385" t="s">
        <v>20</v>
      </c>
      <c r="G546" s="404" t="s">
        <v>4767</v>
      </c>
      <c r="H546" s="404" t="s">
        <v>4768</v>
      </c>
      <c r="I546" s="404" t="s">
        <v>23</v>
      </c>
      <c r="J546" s="404" t="s">
        <v>4769</v>
      </c>
      <c r="K546" s="404" t="s">
        <v>4770</v>
      </c>
    </row>
    <row r="547" spans="1:11" ht="30">
      <c r="A547" s="387"/>
      <c r="B547" s="387"/>
      <c r="C547" s="387"/>
      <c r="D547" s="404" t="s">
        <v>4771</v>
      </c>
      <c r="E547" s="404" t="s">
        <v>4772</v>
      </c>
      <c r="F547" s="385" t="s">
        <v>20</v>
      </c>
      <c r="G547" s="404" t="s">
        <v>4773</v>
      </c>
      <c r="H547" s="404" t="s">
        <v>4774</v>
      </c>
      <c r="I547" s="404" t="s">
        <v>23</v>
      </c>
      <c r="J547" s="404" t="s">
        <v>4775</v>
      </c>
      <c r="K547" s="404" t="s">
        <v>4776</v>
      </c>
    </row>
    <row r="548" spans="1:11" ht="30">
      <c r="A548" s="387"/>
      <c r="B548" s="387"/>
      <c r="C548" s="387"/>
      <c r="D548" s="404" t="s">
        <v>4777</v>
      </c>
      <c r="E548" s="404" t="s">
        <v>4778</v>
      </c>
      <c r="F548" s="385" t="s">
        <v>20</v>
      </c>
      <c r="G548" s="404" t="s">
        <v>4779</v>
      </c>
      <c r="H548" s="404" t="s">
        <v>4780</v>
      </c>
      <c r="I548" s="404" t="s">
        <v>23</v>
      </c>
      <c r="J548" s="404" t="s">
        <v>4781</v>
      </c>
      <c r="K548" s="404" t="s">
        <v>4782</v>
      </c>
    </row>
    <row r="549" spans="1:11" ht="30">
      <c r="A549" s="387"/>
      <c r="B549" s="387"/>
      <c r="C549" s="387"/>
      <c r="D549" s="404" t="s">
        <v>4783</v>
      </c>
      <c r="E549" s="404" t="s">
        <v>4784</v>
      </c>
      <c r="F549" s="385" t="s">
        <v>20</v>
      </c>
      <c r="G549" s="404" t="s">
        <v>4785</v>
      </c>
      <c r="H549" s="404" t="s">
        <v>4786</v>
      </c>
      <c r="I549" s="404" t="s">
        <v>23</v>
      </c>
      <c r="J549" s="404" t="s">
        <v>4787</v>
      </c>
      <c r="K549" s="404" t="s">
        <v>4788</v>
      </c>
    </row>
    <row r="550" spans="1:11" ht="30">
      <c r="A550" s="387"/>
      <c r="B550" s="387"/>
      <c r="C550" s="387" t="s">
        <v>4789</v>
      </c>
      <c r="D550" s="404" t="s">
        <v>4790</v>
      </c>
      <c r="E550" s="404" t="s">
        <v>4791</v>
      </c>
      <c r="F550" s="385" t="s">
        <v>20</v>
      </c>
      <c r="G550" s="404" t="s">
        <v>4792</v>
      </c>
      <c r="H550" s="404" t="s">
        <v>4793</v>
      </c>
      <c r="I550" s="404" t="s">
        <v>23</v>
      </c>
      <c r="J550" s="404" t="s">
        <v>4794</v>
      </c>
      <c r="K550" s="404" t="s">
        <v>4795</v>
      </c>
    </row>
    <row r="551" spans="1:11" ht="30">
      <c r="A551" s="387"/>
      <c r="B551" s="387"/>
      <c r="C551" s="387"/>
      <c r="D551" s="404" t="s">
        <v>4796</v>
      </c>
      <c r="E551" s="404" t="s">
        <v>4797</v>
      </c>
      <c r="F551" s="385" t="s">
        <v>229</v>
      </c>
      <c r="G551" s="404" t="s">
        <v>4798</v>
      </c>
      <c r="H551" s="404" t="s">
        <v>4799</v>
      </c>
      <c r="I551" s="404" t="s">
        <v>23</v>
      </c>
      <c r="J551" s="404" t="s">
        <v>4800</v>
      </c>
      <c r="K551" s="404" t="s">
        <v>4801</v>
      </c>
    </row>
    <row r="552" spans="1:11" ht="30">
      <c r="A552" s="387"/>
      <c r="B552" s="387"/>
      <c r="C552" s="387"/>
      <c r="D552" s="404" t="s">
        <v>4802</v>
      </c>
      <c r="E552" s="404" t="s">
        <v>4803</v>
      </c>
      <c r="F552" s="385" t="s">
        <v>229</v>
      </c>
      <c r="G552" s="404" t="s">
        <v>4804</v>
      </c>
      <c r="H552" s="404" t="s">
        <v>4805</v>
      </c>
      <c r="I552" s="404" t="s">
        <v>23</v>
      </c>
      <c r="J552" s="404" t="s">
        <v>4806</v>
      </c>
      <c r="K552" s="404" t="s">
        <v>4807</v>
      </c>
    </row>
    <row r="553" spans="1:11" ht="30">
      <c r="A553" s="387"/>
      <c r="B553" s="387"/>
      <c r="C553" s="387"/>
      <c r="D553" s="404" t="s">
        <v>4808</v>
      </c>
      <c r="E553" s="404" t="s">
        <v>4809</v>
      </c>
      <c r="F553" s="385" t="s">
        <v>229</v>
      </c>
      <c r="G553" s="404" t="s">
        <v>4810</v>
      </c>
      <c r="H553" s="404" t="s">
        <v>4811</v>
      </c>
      <c r="I553" s="404" t="s">
        <v>23</v>
      </c>
      <c r="J553" s="404" t="s">
        <v>4812</v>
      </c>
      <c r="K553" s="404" t="s">
        <v>4813</v>
      </c>
    </row>
    <row r="554" spans="1:11" ht="30">
      <c r="A554" s="387"/>
      <c r="B554" s="387"/>
      <c r="C554" s="387"/>
      <c r="D554" s="404" t="s">
        <v>4814</v>
      </c>
      <c r="E554" s="404" t="s">
        <v>4815</v>
      </c>
      <c r="F554" s="385" t="s">
        <v>229</v>
      </c>
      <c r="G554" s="404" t="s">
        <v>4816</v>
      </c>
      <c r="H554" s="404" t="s">
        <v>4817</v>
      </c>
      <c r="I554" s="404" t="s">
        <v>23</v>
      </c>
      <c r="J554" s="404" t="s">
        <v>4818</v>
      </c>
      <c r="K554" s="404" t="s">
        <v>4819</v>
      </c>
    </row>
    <row r="555" spans="1:11" ht="30">
      <c r="A555" s="387"/>
      <c r="B555" s="387"/>
      <c r="C555" s="387" t="s">
        <v>4820</v>
      </c>
      <c r="D555" s="404" t="s">
        <v>4821</v>
      </c>
      <c r="E555" s="404" t="s">
        <v>4822</v>
      </c>
      <c r="F555" s="385" t="s">
        <v>229</v>
      </c>
      <c r="G555" s="404" t="s">
        <v>4823</v>
      </c>
      <c r="H555" s="404" t="s">
        <v>4824</v>
      </c>
      <c r="I555" s="404" t="s">
        <v>23</v>
      </c>
      <c r="J555" s="404" t="s">
        <v>4825</v>
      </c>
      <c r="K555" s="404" t="s">
        <v>4826</v>
      </c>
    </row>
    <row r="556" spans="1:11" ht="30">
      <c r="A556" s="387"/>
      <c r="B556" s="387"/>
      <c r="C556" s="387"/>
      <c r="D556" s="404" t="s">
        <v>4827</v>
      </c>
      <c r="E556" s="404" t="s">
        <v>4828</v>
      </c>
      <c r="F556" s="385" t="s">
        <v>229</v>
      </c>
      <c r="G556" s="404" t="s">
        <v>4829</v>
      </c>
      <c r="H556" s="404" t="s">
        <v>4830</v>
      </c>
      <c r="I556" s="404" t="s">
        <v>23</v>
      </c>
      <c r="J556" s="404" t="s">
        <v>4831</v>
      </c>
      <c r="K556" s="404" t="s">
        <v>4832</v>
      </c>
    </row>
    <row r="557" spans="1:11" ht="30">
      <c r="A557" s="387"/>
      <c r="B557" s="387"/>
      <c r="C557" s="387"/>
      <c r="D557" s="404" t="s">
        <v>4833</v>
      </c>
      <c r="E557" s="404" t="s">
        <v>4834</v>
      </c>
      <c r="F557" s="385" t="s">
        <v>20</v>
      </c>
      <c r="G557" s="404" t="s">
        <v>4835</v>
      </c>
      <c r="H557" s="404" t="s">
        <v>4836</v>
      </c>
      <c r="I557" s="404" t="s">
        <v>23</v>
      </c>
      <c r="J557" s="404" t="s">
        <v>4837</v>
      </c>
      <c r="K557" s="404" t="s">
        <v>4838</v>
      </c>
    </row>
    <row r="558" spans="1:11" ht="30">
      <c r="A558" s="387"/>
      <c r="B558" s="387"/>
      <c r="C558" s="387"/>
      <c r="D558" s="404" t="s">
        <v>4839</v>
      </c>
      <c r="E558" s="404" t="s">
        <v>4840</v>
      </c>
      <c r="F558" s="385" t="s">
        <v>20</v>
      </c>
      <c r="G558" s="404" t="s">
        <v>4841</v>
      </c>
      <c r="H558" s="404" t="s">
        <v>4842</v>
      </c>
      <c r="I558" s="404" t="s">
        <v>23</v>
      </c>
      <c r="J558" s="404" t="s">
        <v>4843</v>
      </c>
      <c r="K558" s="404" t="s">
        <v>4844</v>
      </c>
    </row>
    <row r="559" spans="1:11" ht="30">
      <c r="A559" s="387"/>
      <c r="B559" s="387"/>
      <c r="C559" s="387"/>
      <c r="D559" s="404" t="s">
        <v>4845</v>
      </c>
      <c r="E559" s="404" t="s">
        <v>4846</v>
      </c>
      <c r="F559" s="385" t="s">
        <v>20</v>
      </c>
      <c r="G559" s="404" t="s">
        <v>4847</v>
      </c>
      <c r="H559" s="404" t="s">
        <v>4848</v>
      </c>
      <c r="I559" s="404" t="s">
        <v>23</v>
      </c>
      <c r="J559" s="404" t="s">
        <v>4849</v>
      </c>
      <c r="K559" s="404" t="s">
        <v>4850</v>
      </c>
    </row>
    <row r="560" spans="1:11" ht="30">
      <c r="A560" s="387"/>
      <c r="B560" s="387"/>
      <c r="C560" s="387" t="s">
        <v>4851</v>
      </c>
      <c r="D560" s="404" t="s">
        <v>4852</v>
      </c>
      <c r="E560" s="404" t="s">
        <v>4853</v>
      </c>
      <c r="F560" s="385" t="s">
        <v>20</v>
      </c>
      <c r="G560" s="404" t="s">
        <v>4854</v>
      </c>
      <c r="H560" s="404" t="s">
        <v>4855</v>
      </c>
      <c r="I560" s="404" t="s">
        <v>23</v>
      </c>
      <c r="J560" s="404" t="s">
        <v>4856</v>
      </c>
      <c r="K560" s="404" t="s">
        <v>4857</v>
      </c>
    </row>
    <row r="561" spans="1:11" ht="30">
      <c r="A561" s="387"/>
      <c r="B561" s="387"/>
      <c r="C561" s="387"/>
      <c r="D561" s="404" t="s">
        <v>4858</v>
      </c>
      <c r="E561" s="404" t="s">
        <v>4859</v>
      </c>
      <c r="F561" s="385" t="s">
        <v>20</v>
      </c>
      <c r="G561" s="404" t="s">
        <v>4860</v>
      </c>
      <c r="H561" s="404" t="s">
        <v>4861</v>
      </c>
      <c r="I561" s="404" t="s">
        <v>94</v>
      </c>
      <c r="J561" s="404" t="s">
        <v>4862</v>
      </c>
      <c r="K561" s="404" t="s">
        <v>4863</v>
      </c>
    </row>
    <row r="562" spans="1:11" ht="30">
      <c r="A562" s="387"/>
      <c r="B562" s="387"/>
      <c r="C562" s="387"/>
      <c r="D562" s="404" t="s">
        <v>4864</v>
      </c>
      <c r="E562" s="404" t="s">
        <v>4865</v>
      </c>
      <c r="F562" s="385" t="s">
        <v>229</v>
      </c>
      <c r="G562" s="404" t="s">
        <v>4866</v>
      </c>
      <c r="H562" s="404" t="s">
        <v>4867</v>
      </c>
      <c r="I562" s="404" t="s">
        <v>23</v>
      </c>
      <c r="J562" s="404" t="s">
        <v>4868</v>
      </c>
      <c r="K562" s="404" t="s">
        <v>4869</v>
      </c>
    </row>
    <row r="563" spans="1:11" ht="30">
      <c r="A563" s="387"/>
      <c r="B563" s="387"/>
      <c r="C563" s="387"/>
      <c r="D563" s="404" t="s">
        <v>4870</v>
      </c>
      <c r="E563" s="404" t="s">
        <v>4871</v>
      </c>
      <c r="F563" s="385" t="s">
        <v>229</v>
      </c>
      <c r="G563" s="404" t="s">
        <v>4872</v>
      </c>
      <c r="H563" s="404" t="s">
        <v>4873</v>
      </c>
      <c r="I563" s="404" t="s">
        <v>23</v>
      </c>
      <c r="J563" s="404" t="s">
        <v>4874</v>
      </c>
      <c r="K563" s="404" t="s">
        <v>4875</v>
      </c>
    </row>
    <row r="564" spans="1:11" ht="30">
      <c r="A564" s="387"/>
      <c r="B564" s="387"/>
      <c r="C564" s="387"/>
      <c r="D564" s="404" t="s">
        <v>4876</v>
      </c>
      <c r="E564" s="404" t="s">
        <v>4877</v>
      </c>
      <c r="F564" s="385" t="s">
        <v>229</v>
      </c>
      <c r="G564" s="404" t="s">
        <v>4878</v>
      </c>
      <c r="H564" s="404" t="s">
        <v>4879</v>
      </c>
      <c r="I564" s="404" t="s">
        <v>23</v>
      </c>
      <c r="J564" s="404" t="s">
        <v>4880</v>
      </c>
      <c r="K564" s="404" t="s">
        <v>4881</v>
      </c>
    </row>
    <row r="565" spans="1:11" ht="30">
      <c r="A565" s="387"/>
      <c r="B565" s="387"/>
      <c r="C565" s="387" t="s">
        <v>4882</v>
      </c>
      <c r="D565" s="404" t="s">
        <v>4883</v>
      </c>
      <c r="E565" s="404" t="s">
        <v>4884</v>
      </c>
      <c r="F565" s="385" t="s">
        <v>229</v>
      </c>
      <c r="G565" s="404" t="s">
        <v>4885</v>
      </c>
      <c r="H565" s="404" t="s">
        <v>4886</v>
      </c>
      <c r="I565" s="404" t="s">
        <v>23</v>
      </c>
      <c r="J565" s="404" t="s">
        <v>4887</v>
      </c>
      <c r="K565" s="404" t="s">
        <v>4888</v>
      </c>
    </row>
    <row r="566" spans="1:11" ht="30">
      <c r="A566" s="387"/>
      <c r="B566" s="387"/>
      <c r="C566" s="387"/>
      <c r="D566" s="404" t="s">
        <v>4889</v>
      </c>
      <c r="E566" s="404" t="s">
        <v>4890</v>
      </c>
      <c r="F566" s="385" t="s">
        <v>425</v>
      </c>
      <c r="G566" s="404" t="s">
        <v>4891</v>
      </c>
      <c r="H566" s="404" t="s">
        <v>4892</v>
      </c>
      <c r="I566" s="404" t="s">
        <v>23</v>
      </c>
      <c r="J566" s="404" t="s">
        <v>4893</v>
      </c>
      <c r="K566" s="404" t="s">
        <v>4894</v>
      </c>
    </row>
    <row r="567" spans="1:11" ht="30">
      <c r="A567" s="387"/>
      <c r="B567" s="387"/>
      <c r="C567" s="387"/>
      <c r="D567" s="404" t="s">
        <v>4895</v>
      </c>
      <c r="E567" s="404" t="s">
        <v>4896</v>
      </c>
      <c r="F567" s="385" t="s">
        <v>425</v>
      </c>
      <c r="G567" s="404" t="s">
        <v>4897</v>
      </c>
      <c r="H567" s="404" t="s">
        <v>4898</v>
      </c>
      <c r="I567" s="404" t="s">
        <v>23</v>
      </c>
      <c r="J567" s="404" t="s">
        <v>4899</v>
      </c>
      <c r="K567" s="404" t="s">
        <v>4900</v>
      </c>
    </row>
    <row r="568" spans="1:11" ht="30">
      <c r="A568" s="387"/>
      <c r="B568" s="387"/>
      <c r="C568" s="387"/>
      <c r="D568" s="404" t="s">
        <v>4901</v>
      </c>
      <c r="E568" s="404" t="s">
        <v>4902</v>
      </c>
      <c r="F568" s="385" t="s">
        <v>425</v>
      </c>
      <c r="G568" s="404" t="s">
        <v>4903</v>
      </c>
      <c r="H568" s="404" t="s">
        <v>4904</v>
      </c>
      <c r="I568" s="404" t="s">
        <v>23</v>
      </c>
      <c r="J568" s="404" t="s">
        <v>4905</v>
      </c>
      <c r="K568" s="404" t="s">
        <v>4906</v>
      </c>
    </row>
    <row r="569" spans="1:11">
      <c r="A569" s="387"/>
      <c r="B569" s="387"/>
      <c r="C569" s="387"/>
      <c r="D569" s="404" t="s">
        <v>4907</v>
      </c>
      <c r="E569" s="404" t="s">
        <v>4908</v>
      </c>
      <c r="F569" s="385" t="s">
        <v>229</v>
      </c>
      <c r="G569" s="404" t="s">
        <v>4909</v>
      </c>
      <c r="H569" s="404" t="s">
        <v>4910</v>
      </c>
      <c r="I569" s="404" t="s">
        <v>23</v>
      </c>
      <c r="J569" s="404" t="s">
        <v>4911</v>
      </c>
      <c r="K569" s="404" t="s">
        <v>4912</v>
      </c>
    </row>
    <row r="570" spans="1:11" ht="30">
      <c r="A570" s="387"/>
      <c r="B570" s="387"/>
      <c r="C570" s="387" t="s">
        <v>4913</v>
      </c>
      <c r="D570" s="404" t="s">
        <v>4914</v>
      </c>
      <c r="E570" s="404" t="s">
        <v>4915</v>
      </c>
      <c r="F570" s="385" t="s">
        <v>229</v>
      </c>
      <c r="G570" s="404" t="s">
        <v>4916</v>
      </c>
      <c r="H570" s="404" t="s">
        <v>4917</v>
      </c>
      <c r="I570" s="404" t="s">
        <v>23</v>
      </c>
      <c r="J570" s="404" t="s">
        <v>4918</v>
      </c>
      <c r="K570" s="404" t="s">
        <v>4919</v>
      </c>
    </row>
    <row r="571" spans="1:11" ht="30">
      <c r="A571" s="387"/>
      <c r="B571" s="387"/>
      <c r="C571" s="387"/>
      <c r="D571" s="404" t="s">
        <v>4920</v>
      </c>
      <c r="E571" s="404" t="s">
        <v>4921</v>
      </c>
      <c r="F571" s="385" t="s">
        <v>229</v>
      </c>
      <c r="G571" s="404" t="s">
        <v>4922</v>
      </c>
      <c r="H571" s="404" t="s">
        <v>4923</v>
      </c>
      <c r="I571" s="404" t="s">
        <v>23</v>
      </c>
      <c r="J571" s="404" t="s">
        <v>4924</v>
      </c>
      <c r="K571" s="404" t="s">
        <v>4925</v>
      </c>
    </row>
    <row r="572" spans="1:11" ht="30">
      <c r="A572" s="387"/>
      <c r="B572" s="387"/>
      <c r="C572" s="387"/>
      <c r="D572" s="404" t="s">
        <v>4926</v>
      </c>
      <c r="E572" s="404" t="s">
        <v>4927</v>
      </c>
      <c r="F572" s="385" t="s">
        <v>229</v>
      </c>
      <c r="G572" s="404" t="s">
        <v>4928</v>
      </c>
      <c r="H572" s="404" t="s">
        <v>4929</v>
      </c>
      <c r="I572" s="404" t="s">
        <v>23</v>
      </c>
      <c r="J572" s="404" t="s">
        <v>4930</v>
      </c>
      <c r="K572" s="404" t="s">
        <v>4931</v>
      </c>
    </row>
    <row r="573" spans="1:11" ht="30">
      <c r="A573" s="387"/>
      <c r="B573" s="387"/>
      <c r="C573" s="387"/>
      <c r="D573" s="404" t="s">
        <v>4932</v>
      </c>
      <c r="E573" s="404" t="s">
        <v>4933</v>
      </c>
      <c r="F573" s="385" t="s">
        <v>229</v>
      </c>
      <c r="G573" s="404" t="s">
        <v>4934</v>
      </c>
      <c r="H573" s="404" t="s">
        <v>4935</v>
      </c>
      <c r="I573" s="404" t="s">
        <v>23</v>
      </c>
      <c r="J573" s="404" t="s">
        <v>4936</v>
      </c>
      <c r="K573" s="404" t="s">
        <v>4937</v>
      </c>
    </row>
    <row r="574" spans="1:11" ht="30">
      <c r="A574" s="387"/>
      <c r="B574" s="387"/>
      <c r="C574" s="387"/>
      <c r="D574" s="404" t="s">
        <v>4938</v>
      </c>
      <c r="E574" s="404" t="s">
        <v>4939</v>
      </c>
      <c r="F574" s="385" t="s">
        <v>20</v>
      </c>
      <c r="G574" s="404" t="s">
        <v>4940</v>
      </c>
      <c r="H574" s="404" t="s">
        <v>4941</v>
      </c>
      <c r="I574" s="404" t="s">
        <v>23</v>
      </c>
      <c r="J574" s="404" t="s">
        <v>4942</v>
      </c>
      <c r="K574" s="404" t="s">
        <v>4943</v>
      </c>
    </row>
    <row r="575" spans="1:11" ht="30">
      <c r="A575" s="387"/>
      <c r="B575" s="387"/>
      <c r="C575" s="387" t="s">
        <v>4944</v>
      </c>
      <c r="D575" s="404" t="s">
        <v>4945</v>
      </c>
      <c r="E575" s="404" t="s">
        <v>4946</v>
      </c>
      <c r="F575" s="385" t="s">
        <v>20</v>
      </c>
      <c r="G575" s="404" t="s">
        <v>4947</v>
      </c>
      <c r="H575" s="404" t="s">
        <v>4948</v>
      </c>
      <c r="I575" s="404" t="s">
        <v>23</v>
      </c>
      <c r="J575" s="404" t="s">
        <v>4949</v>
      </c>
      <c r="K575" s="404" t="s">
        <v>4950</v>
      </c>
    </row>
    <row r="576" spans="1:11" ht="30">
      <c r="A576" s="387"/>
      <c r="B576" s="387"/>
      <c r="C576" s="387"/>
      <c r="D576" s="404" t="s">
        <v>4951</v>
      </c>
      <c r="E576" s="404" t="s">
        <v>4952</v>
      </c>
      <c r="F576" s="385" t="s">
        <v>20</v>
      </c>
      <c r="G576" s="404" t="s">
        <v>4953</v>
      </c>
      <c r="H576" s="404" t="s">
        <v>4954</v>
      </c>
      <c r="I576" s="404" t="s">
        <v>23</v>
      </c>
      <c r="J576" s="404" t="s">
        <v>4955</v>
      </c>
      <c r="K576" s="404" t="s">
        <v>4956</v>
      </c>
    </row>
    <row r="577" spans="1:11" ht="30">
      <c r="A577" s="387"/>
      <c r="B577" s="387"/>
      <c r="C577" s="387"/>
      <c r="D577" s="404" t="s">
        <v>4957</v>
      </c>
      <c r="E577" s="404" t="s">
        <v>4958</v>
      </c>
      <c r="F577" s="385" t="s">
        <v>229</v>
      </c>
      <c r="G577" s="404" t="s">
        <v>4959</v>
      </c>
      <c r="H577" s="404" t="s">
        <v>4960</v>
      </c>
      <c r="I577" s="404" t="s">
        <v>23</v>
      </c>
      <c r="J577" s="404" t="s">
        <v>4961</v>
      </c>
      <c r="K577" s="404" t="s">
        <v>4962</v>
      </c>
    </row>
    <row r="578" spans="1:11" ht="30">
      <c r="A578" s="387"/>
      <c r="B578" s="387"/>
      <c r="C578" s="387"/>
      <c r="D578" s="404" t="s">
        <v>4963</v>
      </c>
      <c r="E578" s="404" t="s">
        <v>4964</v>
      </c>
      <c r="F578" s="385" t="s">
        <v>20</v>
      </c>
      <c r="G578" s="404" t="s">
        <v>4965</v>
      </c>
      <c r="H578" s="404" t="s">
        <v>4966</v>
      </c>
      <c r="I578" s="404" t="s">
        <v>23</v>
      </c>
      <c r="J578" s="404" t="s">
        <v>4967</v>
      </c>
      <c r="K578" s="404" t="s">
        <v>4968</v>
      </c>
    </row>
    <row r="579" spans="1:11" ht="30">
      <c r="A579" s="387"/>
      <c r="B579" s="387"/>
      <c r="C579" s="387"/>
      <c r="D579" s="404" t="s">
        <v>4969</v>
      </c>
      <c r="E579" s="404" t="s">
        <v>4970</v>
      </c>
      <c r="F579" s="385" t="s">
        <v>20</v>
      </c>
      <c r="G579" s="404" t="s">
        <v>4971</v>
      </c>
      <c r="H579" s="404" t="s">
        <v>4972</v>
      </c>
      <c r="I579" s="404" t="s">
        <v>23</v>
      </c>
      <c r="J579" s="404" t="s">
        <v>4973</v>
      </c>
      <c r="K579" s="404" t="s">
        <v>4974</v>
      </c>
    </row>
    <row r="580" spans="1:11">
      <c r="A580" s="387"/>
      <c r="B580" s="387" t="s">
        <v>4975</v>
      </c>
      <c r="C580" s="387" t="s">
        <v>4976</v>
      </c>
      <c r="D580" s="404" t="s">
        <v>4977</v>
      </c>
      <c r="E580" s="404" t="s">
        <v>4978</v>
      </c>
      <c r="F580" s="385" t="s">
        <v>20</v>
      </c>
      <c r="G580" s="404" t="s">
        <v>4979</v>
      </c>
      <c r="H580" s="404" t="s">
        <v>4980</v>
      </c>
      <c r="I580" s="404" t="s">
        <v>23</v>
      </c>
      <c r="J580" s="404" t="s">
        <v>4981</v>
      </c>
      <c r="K580" s="404" t="s">
        <v>4982</v>
      </c>
    </row>
    <row r="581" spans="1:11">
      <c r="A581" s="387"/>
      <c r="B581" s="387"/>
      <c r="C581" s="387"/>
      <c r="D581" s="404" t="s">
        <v>4983</v>
      </c>
      <c r="E581" s="404" t="s">
        <v>4984</v>
      </c>
      <c r="F581" s="385" t="s">
        <v>20</v>
      </c>
      <c r="G581" s="404" t="s">
        <v>4985</v>
      </c>
      <c r="H581" s="404" t="s">
        <v>4986</v>
      </c>
      <c r="I581" s="404" t="s">
        <v>23</v>
      </c>
      <c r="J581" s="404" t="s">
        <v>4987</v>
      </c>
      <c r="K581" s="404" t="s">
        <v>4988</v>
      </c>
    </row>
    <row r="582" spans="1:11">
      <c r="A582" s="387"/>
      <c r="B582" s="387"/>
      <c r="C582" s="387"/>
      <c r="D582" s="404" t="s">
        <v>4989</v>
      </c>
      <c r="E582" s="404" t="s">
        <v>4990</v>
      </c>
      <c r="F582" s="385" t="s">
        <v>20</v>
      </c>
      <c r="G582" s="404" t="s">
        <v>4991</v>
      </c>
      <c r="H582" s="404" t="s">
        <v>4992</v>
      </c>
      <c r="I582" s="404" t="s">
        <v>23</v>
      </c>
      <c r="J582" s="404" t="s">
        <v>4993</v>
      </c>
      <c r="K582" s="404" t="s">
        <v>4994</v>
      </c>
    </row>
    <row r="583" spans="1:11">
      <c r="A583" s="387"/>
      <c r="B583" s="387"/>
      <c r="C583" s="387"/>
      <c r="D583" s="404" t="s">
        <v>4995</v>
      </c>
      <c r="E583" s="404" t="s">
        <v>4996</v>
      </c>
      <c r="F583" s="385" t="s">
        <v>20</v>
      </c>
      <c r="G583" s="404" t="s">
        <v>4997</v>
      </c>
      <c r="H583" s="404" t="s">
        <v>4998</v>
      </c>
      <c r="I583" s="404" t="s">
        <v>23</v>
      </c>
      <c r="J583" s="404" t="s">
        <v>4999</v>
      </c>
      <c r="K583" s="404" t="s">
        <v>5000</v>
      </c>
    </row>
    <row r="584" spans="1:11" ht="30">
      <c r="A584" s="387"/>
      <c r="B584" s="387"/>
      <c r="C584" s="387"/>
      <c r="D584" s="404" t="s">
        <v>5001</v>
      </c>
      <c r="E584" s="404" t="s">
        <v>5002</v>
      </c>
      <c r="F584" s="385" t="s">
        <v>20</v>
      </c>
      <c r="G584" s="404" t="s">
        <v>5003</v>
      </c>
      <c r="H584" s="404" t="s">
        <v>5004</v>
      </c>
      <c r="I584" s="404" t="s">
        <v>23</v>
      </c>
      <c r="J584" s="404" t="s">
        <v>5005</v>
      </c>
      <c r="K584" s="404" t="s">
        <v>5006</v>
      </c>
    </row>
    <row r="585" spans="1:11" ht="30">
      <c r="A585" s="387"/>
      <c r="B585" s="387"/>
      <c r="C585" s="387" t="s">
        <v>5007</v>
      </c>
      <c r="D585" s="404" t="s">
        <v>5008</v>
      </c>
      <c r="E585" s="404" t="s">
        <v>5009</v>
      </c>
      <c r="F585" s="385" t="s">
        <v>20</v>
      </c>
      <c r="G585" s="404" t="s">
        <v>5010</v>
      </c>
      <c r="H585" s="404" t="s">
        <v>5011</v>
      </c>
      <c r="I585" s="404" t="s">
        <v>23</v>
      </c>
      <c r="J585" s="404" t="s">
        <v>5012</v>
      </c>
      <c r="K585" s="404" t="s">
        <v>5013</v>
      </c>
    </row>
    <row r="586" spans="1:11" ht="30">
      <c r="A586" s="387"/>
      <c r="B586" s="387"/>
      <c r="C586" s="387"/>
      <c r="D586" s="404" t="s">
        <v>5014</v>
      </c>
      <c r="E586" s="404" t="s">
        <v>5015</v>
      </c>
      <c r="F586" s="385" t="s">
        <v>20</v>
      </c>
      <c r="G586" s="404" t="s">
        <v>5016</v>
      </c>
      <c r="H586" s="404" t="s">
        <v>5017</v>
      </c>
      <c r="I586" s="404" t="s">
        <v>23</v>
      </c>
      <c r="J586" s="404" t="s">
        <v>5018</v>
      </c>
      <c r="K586" s="404" t="s">
        <v>5019</v>
      </c>
    </row>
    <row r="587" spans="1:11" ht="30">
      <c r="A587" s="387"/>
      <c r="B587" s="387"/>
      <c r="C587" s="387"/>
      <c r="D587" s="404" t="s">
        <v>5020</v>
      </c>
      <c r="E587" s="404" t="s">
        <v>5021</v>
      </c>
      <c r="F587" s="385" t="s">
        <v>229</v>
      </c>
      <c r="G587" s="404" t="s">
        <v>5022</v>
      </c>
      <c r="H587" s="404" t="s">
        <v>5023</v>
      </c>
      <c r="I587" s="404" t="s">
        <v>23</v>
      </c>
      <c r="J587" s="404" t="s">
        <v>5024</v>
      </c>
      <c r="K587" s="404" t="s">
        <v>5025</v>
      </c>
    </row>
    <row r="588" spans="1:11">
      <c r="A588" s="387"/>
      <c r="B588" s="387"/>
      <c r="C588" s="387"/>
      <c r="D588" s="404" t="s">
        <v>5026</v>
      </c>
      <c r="E588" s="404" t="s">
        <v>5027</v>
      </c>
      <c r="F588" s="385" t="s">
        <v>229</v>
      </c>
      <c r="G588" s="404" t="s">
        <v>5028</v>
      </c>
      <c r="H588" s="404" t="s">
        <v>5029</v>
      </c>
      <c r="I588" s="404" t="s">
        <v>23</v>
      </c>
      <c r="J588" s="404" t="s">
        <v>5030</v>
      </c>
      <c r="K588" s="404" t="s">
        <v>5031</v>
      </c>
    </row>
    <row r="589" spans="1:11" ht="30">
      <c r="A589" s="387"/>
      <c r="B589" s="387"/>
      <c r="C589" s="387"/>
      <c r="D589" s="404" t="s">
        <v>5032</v>
      </c>
      <c r="E589" s="404" t="s">
        <v>5033</v>
      </c>
      <c r="F589" s="385" t="s">
        <v>229</v>
      </c>
      <c r="G589" s="404" t="s">
        <v>5034</v>
      </c>
      <c r="H589" s="404" t="s">
        <v>5035</v>
      </c>
      <c r="I589" s="404" t="s">
        <v>23</v>
      </c>
      <c r="J589" s="404" t="s">
        <v>5036</v>
      </c>
      <c r="K589" s="404" t="s">
        <v>5037</v>
      </c>
    </row>
    <row r="590" spans="1:11" ht="30">
      <c r="A590" s="387"/>
      <c r="B590" s="387"/>
      <c r="C590" s="387" t="s">
        <v>5038</v>
      </c>
      <c r="D590" s="404" t="s">
        <v>5039</v>
      </c>
      <c r="E590" s="404" t="s">
        <v>5040</v>
      </c>
      <c r="F590" s="385" t="s">
        <v>229</v>
      </c>
      <c r="G590" s="404" t="s">
        <v>5041</v>
      </c>
      <c r="H590" s="404" t="s">
        <v>5042</v>
      </c>
      <c r="I590" s="404" t="s">
        <v>23</v>
      </c>
      <c r="J590" s="404" t="s">
        <v>5043</v>
      </c>
      <c r="K590" s="404" t="s">
        <v>5044</v>
      </c>
    </row>
    <row r="591" spans="1:11" ht="30">
      <c r="A591" s="387"/>
      <c r="B591" s="387"/>
      <c r="C591" s="387"/>
      <c r="D591" s="404" t="s">
        <v>5045</v>
      </c>
      <c r="E591" s="404" t="s">
        <v>5046</v>
      </c>
      <c r="F591" s="385" t="s">
        <v>229</v>
      </c>
      <c r="G591" s="404" t="s">
        <v>5047</v>
      </c>
      <c r="H591" s="404" t="s">
        <v>5048</v>
      </c>
      <c r="I591" s="404" t="s">
        <v>23</v>
      </c>
      <c r="J591" s="404" t="s">
        <v>5049</v>
      </c>
      <c r="K591" s="404" t="s">
        <v>5050</v>
      </c>
    </row>
    <row r="592" spans="1:11" ht="30">
      <c r="A592" s="387"/>
      <c r="B592" s="387"/>
      <c r="C592" s="387"/>
      <c r="D592" s="404" t="s">
        <v>5051</v>
      </c>
      <c r="E592" s="404" t="s">
        <v>5052</v>
      </c>
      <c r="F592" s="385" t="s">
        <v>229</v>
      </c>
      <c r="G592" s="404" t="s">
        <v>5053</v>
      </c>
      <c r="H592" s="404" t="s">
        <v>5054</v>
      </c>
      <c r="I592" s="404" t="s">
        <v>23</v>
      </c>
      <c r="J592" s="404" t="s">
        <v>5055</v>
      </c>
      <c r="K592" s="404" t="s">
        <v>5056</v>
      </c>
    </row>
    <row r="593" spans="1:11">
      <c r="A593" s="387"/>
      <c r="B593" s="387"/>
      <c r="C593" s="387"/>
      <c r="D593" s="404" t="s">
        <v>5057</v>
      </c>
      <c r="E593" s="404" t="s">
        <v>5058</v>
      </c>
      <c r="F593" s="385" t="s">
        <v>20</v>
      </c>
      <c r="G593" s="404" t="s">
        <v>5059</v>
      </c>
      <c r="H593" s="404" t="s">
        <v>5060</v>
      </c>
      <c r="I593" s="404" t="s">
        <v>23</v>
      </c>
      <c r="J593" s="404" t="s">
        <v>5061</v>
      </c>
      <c r="K593" s="404" t="s">
        <v>5062</v>
      </c>
    </row>
    <row r="594" spans="1:11" ht="30">
      <c r="A594" s="387"/>
      <c r="B594" s="387"/>
      <c r="C594" s="387"/>
      <c r="D594" s="404" t="s">
        <v>5063</v>
      </c>
      <c r="E594" s="404" t="s">
        <v>5064</v>
      </c>
      <c r="F594" s="385" t="s">
        <v>20</v>
      </c>
      <c r="G594" s="404" t="s">
        <v>5065</v>
      </c>
      <c r="H594" s="404" t="s">
        <v>5066</v>
      </c>
      <c r="I594" s="404" t="s">
        <v>94</v>
      </c>
      <c r="J594" s="404" t="s">
        <v>5067</v>
      </c>
      <c r="K594" s="404" t="s">
        <v>5068</v>
      </c>
    </row>
    <row r="595" spans="1:11" ht="30">
      <c r="A595" s="387"/>
      <c r="B595" s="387"/>
      <c r="C595" s="387" t="s">
        <v>5069</v>
      </c>
      <c r="D595" s="404" t="s">
        <v>5070</v>
      </c>
      <c r="E595" s="404" t="s">
        <v>5071</v>
      </c>
      <c r="F595" s="385" t="s">
        <v>20</v>
      </c>
      <c r="G595" s="404" t="s">
        <v>5072</v>
      </c>
      <c r="H595" s="404" t="s">
        <v>5073</v>
      </c>
      <c r="I595" s="404" t="s">
        <v>23</v>
      </c>
      <c r="J595" s="404" t="s">
        <v>5074</v>
      </c>
      <c r="K595" s="404" t="s">
        <v>5075</v>
      </c>
    </row>
    <row r="596" spans="1:11">
      <c r="A596" s="387"/>
      <c r="B596" s="387"/>
      <c r="C596" s="387"/>
      <c r="D596" s="404" t="s">
        <v>5076</v>
      </c>
      <c r="E596" s="404" t="s">
        <v>5077</v>
      </c>
      <c r="F596" s="385" t="s">
        <v>229</v>
      </c>
      <c r="G596" s="404" t="s">
        <v>5078</v>
      </c>
      <c r="H596" s="404" t="s">
        <v>5079</v>
      </c>
      <c r="I596" s="404" t="s">
        <v>23</v>
      </c>
      <c r="J596" s="404" t="s">
        <v>5080</v>
      </c>
      <c r="K596" s="404" t="s">
        <v>5081</v>
      </c>
    </row>
    <row r="597" spans="1:11" ht="30">
      <c r="A597" s="387"/>
      <c r="B597" s="387"/>
      <c r="C597" s="387"/>
      <c r="D597" s="404" t="s">
        <v>5082</v>
      </c>
      <c r="E597" s="404" t="s">
        <v>5083</v>
      </c>
      <c r="F597" s="385" t="s">
        <v>20</v>
      </c>
      <c r="G597" s="404" t="s">
        <v>5084</v>
      </c>
      <c r="H597" s="404" t="s">
        <v>5085</v>
      </c>
      <c r="I597" s="404" t="s">
        <v>23</v>
      </c>
      <c r="J597" s="404" t="s">
        <v>5086</v>
      </c>
      <c r="K597" s="404" t="s">
        <v>5087</v>
      </c>
    </row>
    <row r="598" spans="1:11" ht="30">
      <c r="A598" s="387"/>
      <c r="B598" s="387"/>
      <c r="C598" s="387"/>
      <c r="D598" s="404" t="s">
        <v>5088</v>
      </c>
      <c r="E598" s="404" t="s">
        <v>5089</v>
      </c>
      <c r="F598" s="385" t="s">
        <v>229</v>
      </c>
      <c r="G598" s="404" t="s">
        <v>5090</v>
      </c>
      <c r="H598" s="404" t="s">
        <v>5091</v>
      </c>
      <c r="I598" s="404" t="s">
        <v>23</v>
      </c>
      <c r="J598" s="404" t="s">
        <v>5092</v>
      </c>
      <c r="K598" s="404" t="s">
        <v>5093</v>
      </c>
    </row>
    <row r="599" spans="1:11" ht="30">
      <c r="A599" s="387"/>
      <c r="B599" s="387"/>
      <c r="C599" s="387"/>
      <c r="D599" s="404" t="s">
        <v>5090</v>
      </c>
      <c r="E599" s="404" t="s">
        <v>5094</v>
      </c>
      <c r="F599" s="385" t="s">
        <v>20</v>
      </c>
      <c r="G599" s="404" t="s">
        <v>5095</v>
      </c>
      <c r="H599" s="404" t="s">
        <v>5096</v>
      </c>
      <c r="I599" s="404" t="s">
        <v>23</v>
      </c>
      <c r="J599" s="404" t="s">
        <v>5097</v>
      </c>
      <c r="K599" s="404" t="s">
        <v>5098</v>
      </c>
    </row>
    <row r="600" spans="1:11" ht="30">
      <c r="A600" s="387"/>
      <c r="B600" s="387"/>
      <c r="C600" s="387" t="s">
        <v>5099</v>
      </c>
      <c r="D600" s="404" t="s">
        <v>5100</v>
      </c>
      <c r="E600" s="404" t="s">
        <v>5101</v>
      </c>
      <c r="F600" s="385" t="s">
        <v>229</v>
      </c>
      <c r="G600" s="404" t="s">
        <v>5102</v>
      </c>
      <c r="H600" s="404" t="s">
        <v>5103</v>
      </c>
      <c r="I600" s="404" t="s">
        <v>23</v>
      </c>
      <c r="J600" s="404" t="s">
        <v>5104</v>
      </c>
      <c r="K600" s="404" t="s">
        <v>5105</v>
      </c>
    </row>
    <row r="601" spans="1:11" ht="30">
      <c r="A601" s="387"/>
      <c r="B601" s="387"/>
      <c r="C601" s="387"/>
      <c r="D601" s="404" t="s">
        <v>5106</v>
      </c>
      <c r="E601" s="404" t="s">
        <v>5107</v>
      </c>
      <c r="F601" s="385" t="s">
        <v>229</v>
      </c>
      <c r="G601" s="404" t="s">
        <v>5108</v>
      </c>
      <c r="H601" s="404" t="s">
        <v>5109</v>
      </c>
      <c r="I601" s="404" t="s">
        <v>23</v>
      </c>
      <c r="J601" s="404" t="s">
        <v>5110</v>
      </c>
      <c r="K601" s="404" t="s">
        <v>5111</v>
      </c>
    </row>
    <row r="602" spans="1:11" ht="30">
      <c r="A602" s="387"/>
      <c r="B602" s="387"/>
      <c r="C602" s="387"/>
      <c r="D602" s="404" t="s">
        <v>5112</v>
      </c>
      <c r="E602" s="404" t="s">
        <v>5113</v>
      </c>
      <c r="F602" s="385" t="s">
        <v>425</v>
      </c>
      <c r="G602" s="404" t="s">
        <v>5114</v>
      </c>
      <c r="H602" s="404" t="s">
        <v>5115</v>
      </c>
      <c r="I602" s="404" t="s">
        <v>23</v>
      </c>
      <c r="J602" s="404" t="s">
        <v>5116</v>
      </c>
      <c r="K602" s="404" t="s">
        <v>5117</v>
      </c>
    </row>
    <row r="603" spans="1:11">
      <c r="A603" s="387"/>
      <c r="B603" s="387"/>
      <c r="C603" s="387"/>
      <c r="D603" s="404" t="s">
        <v>5118</v>
      </c>
      <c r="E603" s="404" t="s">
        <v>5119</v>
      </c>
      <c r="F603" s="385" t="s">
        <v>20</v>
      </c>
      <c r="G603" s="404" t="s">
        <v>5120</v>
      </c>
      <c r="H603" s="404" t="s">
        <v>5121</v>
      </c>
      <c r="I603" s="404" t="s">
        <v>23</v>
      </c>
      <c r="J603" s="404" t="s">
        <v>5122</v>
      </c>
      <c r="K603" s="404" t="s">
        <v>5123</v>
      </c>
    </row>
    <row r="604" spans="1:11" ht="30">
      <c r="A604" s="387"/>
      <c r="B604" s="387"/>
      <c r="C604" s="387"/>
      <c r="D604" s="404" t="s">
        <v>5124</v>
      </c>
      <c r="E604" s="404" t="s">
        <v>5125</v>
      </c>
      <c r="F604" s="385" t="s">
        <v>20</v>
      </c>
      <c r="G604" s="404" t="s">
        <v>5126</v>
      </c>
      <c r="H604" s="404" t="s">
        <v>5127</v>
      </c>
      <c r="I604" s="404" t="s">
        <v>23</v>
      </c>
      <c r="J604" s="404" t="s">
        <v>5128</v>
      </c>
      <c r="K604" s="404" t="s">
        <v>5129</v>
      </c>
    </row>
    <row r="605" spans="1:11" ht="30">
      <c r="A605" s="387"/>
      <c r="B605" s="387"/>
      <c r="C605" s="387" t="s">
        <v>5130</v>
      </c>
      <c r="D605" s="404" t="s">
        <v>5131</v>
      </c>
      <c r="E605" s="404" t="s">
        <v>5132</v>
      </c>
      <c r="F605" s="385" t="s">
        <v>425</v>
      </c>
      <c r="G605" s="404" t="s">
        <v>5133</v>
      </c>
      <c r="H605" s="404" t="s">
        <v>5134</v>
      </c>
      <c r="I605" s="404" t="s">
        <v>23</v>
      </c>
      <c r="J605" s="404" t="s">
        <v>5135</v>
      </c>
      <c r="K605" s="404" t="s">
        <v>5136</v>
      </c>
    </row>
    <row r="606" spans="1:11" ht="30">
      <c r="A606" s="387"/>
      <c r="B606" s="387"/>
      <c r="C606" s="387"/>
      <c r="D606" s="404" t="s">
        <v>5137</v>
      </c>
      <c r="E606" s="404" t="s">
        <v>5138</v>
      </c>
      <c r="F606" s="385" t="s">
        <v>425</v>
      </c>
      <c r="G606" s="404" t="s">
        <v>5139</v>
      </c>
      <c r="H606" s="404" t="s">
        <v>5140</v>
      </c>
      <c r="I606" s="404" t="s">
        <v>23</v>
      </c>
      <c r="J606" s="404" t="s">
        <v>5141</v>
      </c>
      <c r="K606" s="404" t="s">
        <v>5142</v>
      </c>
    </row>
    <row r="607" spans="1:11" ht="30">
      <c r="A607" s="387"/>
      <c r="B607" s="387"/>
      <c r="C607" s="387"/>
      <c r="D607" s="404" t="s">
        <v>5139</v>
      </c>
      <c r="E607" s="404" t="s">
        <v>5143</v>
      </c>
      <c r="F607" s="385" t="s">
        <v>229</v>
      </c>
      <c r="G607" s="404" t="s">
        <v>5144</v>
      </c>
      <c r="H607" s="404" t="s">
        <v>5145</v>
      </c>
      <c r="I607" s="404" t="s">
        <v>23</v>
      </c>
      <c r="J607" s="404" t="s">
        <v>5146</v>
      </c>
      <c r="K607" s="404" t="s">
        <v>5147</v>
      </c>
    </row>
    <row r="608" spans="1:11">
      <c r="A608" s="387"/>
      <c r="B608" s="387"/>
      <c r="C608" s="387"/>
      <c r="D608" s="404" t="s">
        <v>5148</v>
      </c>
      <c r="E608" s="404" t="s">
        <v>5149</v>
      </c>
      <c r="F608" s="385" t="s">
        <v>229</v>
      </c>
      <c r="G608" s="404" t="s">
        <v>5150</v>
      </c>
      <c r="H608" s="404" t="s">
        <v>5151</v>
      </c>
      <c r="I608" s="404" t="s">
        <v>23</v>
      </c>
      <c r="J608" s="404" t="s">
        <v>5152</v>
      </c>
      <c r="K608" s="404" t="s">
        <v>5153</v>
      </c>
    </row>
    <row r="609" spans="1:11" ht="30">
      <c r="A609" s="387"/>
      <c r="B609" s="387"/>
      <c r="C609" s="387"/>
      <c r="D609" s="404" t="s">
        <v>5154</v>
      </c>
      <c r="E609" s="404" t="s">
        <v>5155</v>
      </c>
      <c r="F609" s="385" t="s">
        <v>425</v>
      </c>
      <c r="G609" s="404" t="s">
        <v>5156</v>
      </c>
      <c r="H609" s="404" t="s">
        <v>5157</v>
      </c>
      <c r="I609" s="404" t="s">
        <v>23</v>
      </c>
      <c r="J609" s="404" t="s">
        <v>5158</v>
      </c>
      <c r="K609" s="404" t="s">
        <v>5159</v>
      </c>
    </row>
    <row r="610" spans="1:11">
      <c r="A610" s="387"/>
      <c r="B610" s="387"/>
      <c r="C610" s="387" t="s">
        <v>5160</v>
      </c>
      <c r="D610" s="404" t="s">
        <v>5161</v>
      </c>
      <c r="E610" s="404" t="s">
        <v>5162</v>
      </c>
      <c r="F610" s="385" t="s">
        <v>20</v>
      </c>
      <c r="G610" s="404" t="s">
        <v>5163</v>
      </c>
      <c r="H610" s="404" t="s">
        <v>5164</v>
      </c>
      <c r="I610" s="404" t="s">
        <v>23</v>
      </c>
      <c r="J610" s="404" t="s">
        <v>5165</v>
      </c>
      <c r="K610" s="404" t="s">
        <v>5166</v>
      </c>
    </row>
    <row r="611" spans="1:11" ht="30">
      <c r="A611" s="387"/>
      <c r="B611" s="387"/>
      <c r="C611" s="387"/>
      <c r="D611" s="404" t="s">
        <v>5167</v>
      </c>
      <c r="E611" s="404" t="s">
        <v>5168</v>
      </c>
      <c r="F611" s="385" t="s">
        <v>20</v>
      </c>
      <c r="G611" s="404" t="s">
        <v>5169</v>
      </c>
      <c r="H611" s="404" t="s">
        <v>5170</v>
      </c>
      <c r="I611" s="404" t="s">
        <v>23</v>
      </c>
      <c r="J611" s="404" t="s">
        <v>5171</v>
      </c>
      <c r="K611" s="404" t="s">
        <v>5172</v>
      </c>
    </row>
    <row r="612" spans="1:11" ht="30">
      <c r="A612" s="387"/>
      <c r="B612" s="387"/>
      <c r="C612" s="387"/>
      <c r="D612" s="404" t="s">
        <v>5173</v>
      </c>
      <c r="E612" s="404" t="s">
        <v>5174</v>
      </c>
      <c r="F612" s="385" t="s">
        <v>20</v>
      </c>
      <c r="G612" s="404" t="s">
        <v>5175</v>
      </c>
      <c r="H612" s="404" t="s">
        <v>5176</v>
      </c>
      <c r="I612" s="404" t="s">
        <v>23</v>
      </c>
      <c r="J612" s="404" t="s">
        <v>5177</v>
      </c>
      <c r="K612" s="404" t="s">
        <v>5178</v>
      </c>
    </row>
    <row r="613" spans="1:11" ht="30">
      <c r="A613" s="387"/>
      <c r="B613" s="387"/>
      <c r="C613" s="387"/>
      <c r="D613" s="404" t="s">
        <v>5179</v>
      </c>
      <c r="E613" s="404" t="s">
        <v>5180</v>
      </c>
      <c r="F613" s="385" t="s">
        <v>20</v>
      </c>
      <c r="G613" s="404" t="s">
        <v>5181</v>
      </c>
      <c r="H613" s="404" t="s">
        <v>5182</v>
      </c>
      <c r="I613" s="404" t="s">
        <v>23</v>
      </c>
      <c r="J613" s="404" t="s">
        <v>5183</v>
      </c>
      <c r="K613" s="404" t="s">
        <v>5184</v>
      </c>
    </row>
    <row r="614" spans="1:11" ht="30">
      <c r="A614" s="387"/>
      <c r="B614" s="387"/>
      <c r="C614" s="387"/>
      <c r="D614" s="404" t="s">
        <v>5185</v>
      </c>
      <c r="E614" s="404" t="s">
        <v>5186</v>
      </c>
      <c r="F614" s="385" t="s">
        <v>20</v>
      </c>
      <c r="G614" s="404" t="s">
        <v>5187</v>
      </c>
      <c r="H614" s="404" t="s">
        <v>5188</v>
      </c>
      <c r="I614" s="404" t="s">
        <v>23</v>
      </c>
      <c r="J614" s="404" t="s">
        <v>5189</v>
      </c>
      <c r="K614" s="404" t="s">
        <v>5190</v>
      </c>
    </row>
    <row r="615" spans="1:11" ht="30">
      <c r="A615" s="387"/>
      <c r="B615" s="387"/>
      <c r="C615" s="387" t="s">
        <v>5191</v>
      </c>
      <c r="D615" s="404" t="s">
        <v>5192</v>
      </c>
      <c r="E615" s="404" t="s">
        <v>5193</v>
      </c>
      <c r="F615" s="385" t="s">
        <v>20</v>
      </c>
      <c r="G615" s="404" t="s">
        <v>5194</v>
      </c>
      <c r="H615" s="404" t="s">
        <v>5195</v>
      </c>
      <c r="I615" s="404" t="s">
        <v>23</v>
      </c>
      <c r="J615" s="404" t="s">
        <v>5196</v>
      </c>
      <c r="K615" s="404" t="s">
        <v>5197</v>
      </c>
    </row>
    <row r="616" spans="1:11" ht="30">
      <c r="A616" s="387"/>
      <c r="B616" s="387"/>
      <c r="C616" s="387"/>
      <c r="D616" s="404" t="s">
        <v>5198</v>
      </c>
      <c r="E616" s="404" t="s">
        <v>5199</v>
      </c>
      <c r="F616" s="385" t="s">
        <v>229</v>
      </c>
      <c r="G616" s="404" t="s">
        <v>5200</v>
      </c>
      <c r="H616" s="404" t="s">
        <v>5201</v>
      </c>
      <c r="I616" s="404" t="s">
        <v>23</v>
      </c>
      <c r="J616" s="404" t="s">
        <v>5202</v>
      </c>
      <c r="K616" s="404" t="s">
        <v>5203</v>
      </c>
    </row>
    <row r="617" spans="1:11">
      <c r="A617" s="387"/>
      <c r="B617" s="387"/>
      <c r="C617" s="387"/>
      <c r="D617" s="404" t="s">
        <v>5204</v>
      </c>
      <c r="E617" s="404" t="s">
        <v>5205</v>
      </c>
      <c r="F617" s="385" t="s">
        <v>229</v>
      </c>
      <c r="G617" s="404" t="s">
        <v>5206</v>
      </c>
      <c r="H617" s="404" t="s">
        <v>5207</v>
      </c>
      <c r="I617" s="404" t="s">
        <v>23</v>
      </c>
      <c r="J617" s="404" t="s">
        <v>5208</v>
      </c>
      <c r="K617" s="404" t="s">
        <v>5209</v>
      </c>
    </row>
    <row r="618" spans="1:11" ht="30">
      <c r="A618" s="387"/>
      <c r="B618" s="387"/>
      <c r="C618" s="387"/>
      <c r="D618" s="404" t="s">
        <v>5210</v>
      </c>
      <c r="E618" s="404" t="s">
        <v>5211</v>
      </c>
      <c r="F618" s="385" t="s">
        <v>229</v>
      </c>
      <c r="G618" s="404" t="s">
        <v>5212</v>
      </c>
      <c r="H618" s="404" t="s">
        <v>5213</v>
      </c>
      <c r="I618" s="404" t="s">
        <v>23</v>
      </c>
      <c r="J618" s="404" t="s">
        <v>5214</v>
      </c>
      <c r="K618" s="404" t="s">
        <v>5215</v>
      </c>
    </row>
    <row r="619" spans="1:11" ht="30">
      <c r="A619" s="387"/>
      <c r="B619" s="387"/>
      <c r="C619" s="387"/>
      <c r="D619" s="404" t="s">
        <v>5216</v>
      </c>
      <c r="E619" s="404" t="s">
        <v>5217</v>
      </c>
      <c r="F619" s="385" t="s">
        <v>20</v>
      </c>
      <c r="G619" s="404" t="s">
        <v>5218</v>
      </c>
      <c r="H619" s="404" t="s">
        <v>5219</v>
      </c>
      <c r="I619" s="404" t="s">
        <v>23</v>
      </c>
      <c r="J619" s="404" t="s">
        <v>5220</v>
      </c>
      <c r="K619" s="404" t="s">
        <v>5221</v>
      </c>
    </row>
    <row r="620" spans="1:11" ht="30">
      <c r="A620" s="387"/>
      <c r="B620" s="387" t="s">
        <v>5222</v>
      </c>
      <c r="C620" s="387" t="s">
        <v>5223</v>
      </c>
      <c r="D620" s="404" t="s">
        <v>5212</v>
      </c>
      <c r="E620" s="404" t="s">
        <v>5224</v>
      </c>
      <c r="F620" s="385" t="s">
        <v>20</v>
      </c>
      <c r="G620" s="404" t="s">
        <v>5225</v>
      </c>
      <c r="H620" s="404" t="s">
        <v>5226</v>
      </c>
      <c r="I620" s="404" t="s">
        <v>23</v>
      </c>
      <c r="J620" s="404" t="s">
        <v>5227</v>
      </c>
      <c r="K620" s="404" t="s">
        <v>5228</v>
      </c>
    </row>
    <row r="621" spans="1:11" ht="30">
      <c r="A621" s="387"/>
      <c r="B621" s="387"/>
      <c r="C621" s="387"/>
      <c r="D621" s="404" t="s">
        <v>5229</v>
      </c>
      <c r="E621" s="404" t="s">
        <v>5230</v>
      </c>
      <c r="F621" s="385" t="s">
        <v>20</v>
      </c>
      <c r="G621" s="404" t="s">
        <v>5231</v>
      </c>
      <c r="H621" s="404" t="s">
        <v>5232</v>
      </c>
      <c r="I621" s="404" t="s">
        <v>23</v>
      </c>
      <c r="J621" s="404" t="s">
        <v>5233</v>
      </c>
      <c r="K621" s="404" t="s">
        <v>5234</v>
      </c>
    </row>
    <row r="622" spans="1:11">
      <c r="A622" s="387"/>
      <c r="B622" s="387"/>
      <c r="C622" s="387"/>
      <c r="D622" s="404" t="s">
        <v>5235</v>
      </c>
      <c r="E622" s="404" t="s">
        <v>5236</v>
      </c>
      <c r="F622" s="385" t="s">
        <v>20</v>
      </c>
      <c r="G622" s="404" t="s">
        <v>5237</v>
      </c>
      <c r="H622" s="404" t="s">
        <v>5238</v>
      </c>
      <c r="I622" s="404" t="s">
        <v>23</v>
      </c>
      <c r="J622" s="404" t="s">
        <v>5239</v>
      </c>
      <c r="K622" s="404" t="s">
        <v>5240</v>
      </c>
    </row>
    <row r="623" spans="1:11" ht="30">
      <c r="A623" s="387"/>
      <c r="B623" s="387"/>
      <c r="C623" s="387"/>
      <c r="D623" s="404" t="s">
        <v>5241</v>
      </c>
      <c r="E623" s="404" t="s">
        <v>5242</v>
      </c>
      <c r="F623" s="385" t="s">
        <v>20</v>
      </c>
      <c r="G623" s="404" t="s">
        <v>5243</v>
      </c>
      <c r="H623" s="404" t="s">
        <v>5244</v>
      </c>
      <c r="I623" s="404" t="s">
        <v>94</v>
      </c>
      <c r="J623" s="404" t="s">
        <v>5245</v>
      </c>
      <c r="K623" s="404" t="s">
        <v>5246</v>
      </c>
    </row>
    <row r="624" spans="1:11" ht="30">
      <c r="A624" s="387"/>
      <c r="B624" s="387"/>
      <c r="C624" s="387"/>
      <c r="D624" s="404" t="s">
        <v>5247</v>
      </c>
      <c r="E624" s="404" t="s">
        <v>5248</v>
      </c>
      <c r="F624" s="385" t="s">
        <v>229</v>
      </c>
      <c r="G624" s="404" t="s">
        <v>5249</v>
      </c>
      <c r="H624" s="404" t="s">
        <v>5250</v>
      </c>
      <c r="I624" s="404" t="s">
        <v>23</v>
      </c>
      <c r="J624" s="404" t="s">
        <v>5251</v>
      </c>
      <c r="K624" s="404" t="s">
        <v>5252</v>
      </c>
    </row>
    <row r="625" spans="1:11" ht="30">
      <c r="A625" s="387"/>
      <c r="B625" s="387"/>
      <c r="C625" s="387" t="s">
        <v>5253</v>
      </c>
      <c r="D625" s="404" t="s">
        <v>5243</v>
      </c>
      <c r="E625" s="404" t="s">
        <v>5254</v>
      </c>
      <c r="F625" s="385" t="s">
        <v>229</v>
      </c>
      <c r="G625" s="404" t="s">
        <v>5255</v>
      </c>
      <c r="H625" s="404" t="s">
        <v>5256</v>
      </c>
      <c r="I625" s="404" t="s">
        <v>23</v>
      </c>
      <c r="J625" s="404" t="s">
        <v>5257</v>
      </c>
      <c r="K625" s="404" t="s">
        <v>5258</v>
      </c>
    </row>
    <row r="626" spans="1:11">
      <c r="A626" s="387"/>
      <c r="B626" s="387"/>
      <c r="C626" s="387"/>
      <c r="D626" s="404" t="s">
        <v>5259</v>
      </c>
      <c r="E626" s="404" t="s">
        <v>5260</v>
      </c>
      <c r="F626" s="385" t="s">
        <v>229</v>
      </c>
      <c r="G626" s="404" t="s">
        <v>5261</v>
      </c>
      <c r="H626" s="404" t="s">
        <v>5262</v>
      </c>
      <c r="I626" s="404" t="s">
        <v>23</v>
      </c>
      <c r="J626" s="404" t="s">
        <v>5263</v>
      </c>
      <c r="K626" s="404" t="s">
        <v>5264</v>
      </c>
    </row>
    <row r="627" spans="1:11" ht="30">
      <c r="A627" s="387"/>
      <c r="B627" s="387"/>
      <c r="C627" s="387"/>
      <c r="D627" s="404" t="s">
        <v>5265</v>
      </c>
      <c r="E627" s="404" t="s">
        <v>5266</v>
      </c>
      <c r="F627" s="385" t="s">
        <v>229</v>
      </c>
      <c r="G627" s="404" t="s">
        <v>5267</v>
      </c>
      <c r="H627" s="404" t="s">
        <v>5268</v>
      </c>
      <c r="I627" s="404" t="s">
        <v>23</v>
      </c>
      <c r="J627" s="404" t="s">
        <v>5269</v>
      </c>
      <c r="K627" s="404" t="s">
        <v>5270</v>
      </c>
    </row>
    <row r="628" spans="1:11" ht="30">
      <c r="A628" s="387"/>
      <c r="B628" s="387"/>
      <c r="C628" s="387"/>
      <c r="D628" s="404" t="s">
        <v>5271</v>
      </c>
      <c r="E628" s="404" t="s">
        <v>5272</v>
      </c>
      <c r="F628" s="385" t="s">
        <v>229</v>
      </c>
      <c r="G628" s="404" t="s">
        <v>5273</v>
      </c>
      <c r="H628" s="404" t="s">
        <v>5274</v>
      </c>
      <c r="I628" s="404" t="s">
        <v>23</v>
      </c>
      <c r="J628" s="404" t="s">
        <v>5275</v>
      </c>
      <c r="K628" s="404" t="s">
        <v>5276</v>
      </c>
    </row>
    <row r="629" spans="1:11" ht="30">
      <c r="A629" s="387"/>
      <c r="B629" s="387"/>
      <c r="C629" s="387"/>
      <c r="D629" s="404" t="s">
        <v>5267</v>
      </c>
      <c r="E629" s="404" t="s">
        <v>5277</v>
      </c>
      <c r="F629" s="385" t="s">
        <v>229</v>
      </c>
      <c r="G629" s="404" t="s">
        <v>5278</v>
      </c>
      <c r="H629" s="404" t="s">
        <v>5279</v>
      </c>
      <c r="I629" s="404" t="s">
        <v>23</v>
      </c>
      <c r="J629" s="404" t="s">
        <v>5280</v>
      </c>
      <c r="K629" s="404" t="s">
        <v>5281</v>
      </c>
    </row>
    <row r="630" spans="1:11" ht="30">
      <c r="A630" s="387"/>
      <c r="B630" s="387"/>
      <c r="C630" s="387" t="s">
        <v>5282</v>
      </c>
      <c r="D630" s="404" t="s">
        <v>5273</v>
      </c>
      <c r="E630" s="404" t="s">
        <v>5283</v>
      </c>
      <c r="F630" s="385" t="s">
        <v>425</v>
      </c>
      <c r="G630" s="404" t="s">
        <v>5284</v>
      </c>
      <c r="H630" s="404" t="s">
        <v>5285</v>
      </c>
      <c r="I630" s="404" t="s">
        <v>23</v>
      </c>
      <c r="J630" s="404" t="s">
        <v>5286</v>
      </c>
      <c r="K630" s="404" t="s">
        <v>5287</v>
      </c>
    </row>
    <row r="631" spans="1:11" ht="30">
      <c r="A631" s="387"/>
      <c r="B631" s="387"/>
      <c r="C631" s="387"/>
      <c r="D631" s="404" t="s">
        <v>5288</v>
      </c>
      <c r="E631" s="404" t="s">
        <v>5289</v>
      </c>
      <c r="F631" s="385" t="s">
        <v>425</v>
      </c>
      <c r="G631" s="404" t="s">
        <v>5290</v>
      </c>
      <c r="H631" s="404" t="s">
        <v>5291</v>
      </c>
      <c r="I631" s="404" t="s">
        <v>23</v>
      </c>
      <c r="J631" s="404" t="s">
        <v>5292</v>
      </c>
      <c r="K631" s="404" t="s">
        <v>5293</v>
      </c>
    </row>
    <row r="632" spans="1:11" ht="30">
      <c r="A632" s="387"/>
      <c r="B632" s="387"/>
      <c r="C632" s="387"/>
      <c r="D632" s="404" t="s">
        <v>5294</v>
      </c>
      <c r="E632" s="404" t="s">
        <v>5295</v>
      </c>
      <c r="F632" s="385" t="s">
        <v>425</v>
      </c>
      <c r="G632" s="404" t="s">
        <v>5296</v>
      </c>
      <c r="H632" s="404" t="s">
        <v>5297</v>
      </c>
      <c r="I632" s="404" t="s">
        <v>23</v>
      </c>
      <c r="J632" s="404" t="s">
        <v>5298</v>
      </c>
      <c r="K632" s="404" t="s">
        <v>5299</v>
      </c>
    </row>
    <row r="633" spans="1:11" ht="30">
      <c r="A633" s="387"/>
      <c r="B633" s="387"/>
      <c r="C633" s="387"/>
      <c r="D633" s="404" t="s">
        <v>5300</v>
      </c>
      <c r="E633" s="404" t="s">
        <v>5301</v>
      </c>
      <c r="F633" s="385" t="s">
        <v>20</v>
      </c>
      <c r="G633" s="404" t="s">
        <v>5302</v>
      </c>
      <c r="H633" s="404" t="s">
        <v>5303</v>
      </c>
      <c r="I633" s="404" t="s">
        <v>23</v>
      </c>
      <c r="J633" s="404" t="s">
        <v>5304</v>
      </c>
      <c r="K633" s="404" t="s">
        <v>5305</v>
      </c>
    </row>
    <row r="634" spans="1:11" ht="30">
      <c r="A634" s="387"/>
      <c r="B634" s="387"/>
      <c r="C634" s="387"/>
      <c r="D634" s="404" t="s">
        <v>5306</v>
      </c>
      <c r="E634" s="404" t="s">
        <v>5307</v>
      </c>
      <c r="F634" s="385" t="s">
        <v>20</v>
      </c>
      <c r="G634" s="404" t="s">
        <v>5308</v>
      </c>
      <c r="H634" s="404" t="s">
        <v>5309</v>
      </c>
      <c r="I634" s="404" t="s">
        <v>23</v>
      </c>
      <c r="J634" s="404" t="s">
        <v>5310</v>
      </c>
      <c r="K634" s="404" t="s">
        <v>5311</v>
      </c>
    </row>
    <row r="635" spans="1:11" ht="30">
      <c r="A635" s="387"/>
      <c r="B635" s="387"/>
      <c r="C635" s="387" t="s">
        <v>5312</v>
      </c>
      <c r="D635" s="404" t="s">
        <v>5313</v>
      </c>
      <c r="E635" s="404" t="s">
        <v>5314</v>
      </c>
      <c r="F635" s="385" t="s">
        <v>425</v>
      </c>
      <c r="G635" s="404" t="s">
        <v>5315</v>
      </c>
      <c r="H635" s="404" t="s">
        <v>5316</v>
      </c>
      <c r="I635" s="404" t="s">
        <v>23</v>
      </c>
      <c r="J635" s="404" t="s">
        <v>5317</v>
      </c>
      <c r="K635" s="404" t="s">
        <v>5318</v>
      </c>
    </row>
    <row r="636" spans="1:11">
      <c r="A636" s="387"/>
      <c r="B636" s="387"/>
      <c r="C636" s="387"/>
      <c r="D636" s="404" t="s">
        <v>5319</v>
      </c>
      <c r="E636" s="404" t="s">
        <v>5320</v>
      </c>
      <c r="F636" s="385" t="s">
        <v>20</v>
      </c>
      <c r="G636" s="404" t="s">
        <v>5321</v>
      </c>
      <c r="H636" s="404" t="s">
        <v>5322</v>
      </c>
      <c r="I636" s="404" t="s">
        <v>23</v>
      </c>
      <c r="J636" s="404" t="s">
        <v>5323</v>
      </c>
      <c r="K636" s="404" t="s">
        <v>5324</v>
      </c>
    </row>
    <row r="637" spans="1:11" ht="30">
      <c r="A637" s="387"/>
      <c r="B637" s="387"/>
      <c r="C637" s="387"/>
      <c r="D637" s="404" t="s">
        <v>5325</v>
      </c>
      <c r="E637" s="404" t="s">
        <v>5326</v>
      </c>
      <c r="F637" s="385" t="s">
        <v>425</v>
      </c>
      <c r="G637" s="404" t="s">
        <v>5327</v>
      </c>
      <c r="H637" s="404" t="s">
        <v>5328</v>
      </c>
      <c r="I637" s="404" t="s">
        <v>23</v>
      </c>
      <c r="J637" s="404" t="s">
        <v>5329</v>
      </c>
      <c r="K637" s="404" t="s">
        <v>5330</v>
      </c>
    </row>
    <row r="638" spans="1:11">
      <c r="A638" s="387"/>
      <c r="B638" s="387"/>
      <c r="C638" s="387"/>
      <c r="D638" s="404" t="s">
        <v>5331</v>
      </c>
      <c r="E638" s="404" t="s">
        <v>5332</v>
      </c>
      <c r="F638" s="385" t="s">
        <v>20</v>
      </c>
      <c r="G638" s="404" t="s">
        <v>5333</v>
      </c>
      <c r="H638" s="404" t="s">
        <v>5334</v>
      </c>
      <c r="I638" s="404" t="s">
        <v>23</v>
      </c>
      <c r="J638" s="404" t="s">
        <v>5335</v>
      </c>
      <c r="K638" s="404" t="s">
        <v>5336</v>
      </c>
    </row>
    <row r="639" spans="1:11" ht="30">
      <c r="A639" s="387"/>
      <c r="B639" s="387"/>
      <c r="C639" s="387"/>
      <c r="D639" s="404" t="s">
        <v>5337</v>
      </c>
      <c r="E639" s="404" t="s">
        <v>5338</v>
      </c>
      <c r="F639" s="385" t="s">
        <v>229</v>
      </c>
      <c r="G639" s="404" t="s">
        <v>5339</v>
      </c>
      <c r="H639" s="404" t="s">
        <v>5340</v>
      </c>
      <c r="I639" s="404" t="s">
        <v>23</v>
      </c>
      <c r="J639" s="404" t="s">
        <v>5341</v>
      </c>
      <c r="K639" s="404" t="s">
        <v>5342</v>
      </c>
    </row>
    <row r="640" spans="1:11" ht="30">
      <c r="A640" s="387"/>
      <c r="B640" s="387"/>
      <c r="C640" s="387" t="s">
        <v>5343</v>
      </c>
      <c r="D640" s="404" t="s">
        <v>5344</v>
      </c>
      <c r="E640" s="404" t="s">
        <v>5345</v>
      </c>
      <c r="F640" s="385" t="s">
        <v>229</v>
      </c>
      <c r="G640" s="404" t="s">
        <v>5346</v>
      </c>
      <c r="H640" s="404" t="s">
        <v>5347</v>
      </c>
      <c r="I640" s="404" t="s">
        <v>23</v>
      </c>
      <c r="J640" s="404" t="s">
        <v>5348</v>
      </c>
      <c r="K640" s="404" t="s">
        <v>5349</v>
      </c>
    </row>
    <row r="641" spans="1:11">
      <c r="A641" s="387"/>
      <c r="B641" s="387"/>
      <c r="C641" s="387"/>
      <c r="D641" s="404" t="s">
        <v>5350</v>
      </c>
      <c r="E641" s="404" t="s">
        <v>5351</v>
      </c>
      <c r="F641" s="385" t="s">
        <v>20</v>
      </c>
      <c r="G641" s="404" t="s">
        <v>5352</v>
      </c>
      <c r="H641" s="404" t="s">
        <v>5353</v>
      </c>
      <c r="I641" s="404" t="s">
        <v>23</v>
      </c>
      <c r="J641" s="404" t="s">
        <v>5354</v>
      </c>
      <c r="K641" s="404" t="s">
        <v>5355</v>
      </c>
    </row>
    <row r="642" spans="1:11" ht="30">
      <c r="A642" s="387"/>
      <c r="B642" s="387"/>
      <c r="C642" s="387"/>
      <c r="D642" s="404" t="s">
        <v>5333</v>
      </c>
      <c r="E642" s="404" t="s">
        <v>5356</v>
      </c>
      <c r="F642" s="385" t="s">
        <v>20</v>
      </c>
      <c r="G642" s="404" t="s">
        <v>5357</v>
      </c>
      <c r="H642" s="404" t="s">
        <v>5358</v>
      </c>
      <c r="I642" s="404" t="s">
        <v>23</v>
      </c>
      <c r="J642" s="404" t="s">
        <v>5359</v>
      </c>
      <c r="K642" s="404" t="s">
        <v>5360</v>
      </c>
    </row>
    <row r="643" spans="1:11">
      <c r="A643" s="387"/>
      <c r="B643" s="387"/>
      <c r="C643" s="387"/>
      <c r="D643" s="404" t="s">
        <v>5361</v>
      </c>
      <c r="E643" s="404" t="s">
        <v>5362</v>
      </c>
      <c r="F643" s="385" t="s">
        <v>229</v>
      </c>
      <c r="G643" s="404" t="s">
        <v>5363</v>
      </c>
      <c r="H643" s="404" t="s">
        <v>5364</v>
      </c>
      <c r="I643" s="404" t="s">
        <v>23</v>
      </c>
      <c r="J643" s="404" t="s">
        <v>5365</v>
      </c>
      <c r="K643" s="404" t="s">
        <v>5366</v>
      </c>
    </row>
    <row r="644" spans="1:11">
      <c r="A644" s="387"/>
      <c r="B644" s="387"/>
      <c r="C644" s="387"/>
      <c r="D644" s="404" t="s">
        <v>5367</v>
      </c>
      <c r="E644" s="404" t="s">
        <v>5368</v>
      </c>
      <c r="F644" s="385" t="s">
        <v>425</v>
      </c>
      <c r="G644" s="404" t="s">
        <v>5369</v>
      </c>
      <c r="H644" s="404" t="s">
        <v>5370</v>
      </c>
      <c r="I644" s="404" t="s">
        <v>23</v>
      </c>
      <c r="J644" s="404" t="s">
        <v>5371</v>
      </c>
      <c r="K644" s="404" t="s">
        <v>5372</v>
      </c>
    </row>
    <row r="645" spans="1:11">
      <c r="A645" s="387"/>
      <c r="B645" s="387"/>
      <c r="C645" s="387" t="s">
        <v>5373</v>
      </c>
      <c r="D645" s="404" t="s">
        <v>5374</v>
      </c>
      <c r="E645" s="404" t="s">
        <v>5375</v>
      </c>
      <c r="F645" s="385" t="s">
        <v>20</v>
      </c>
      <c r="G645" s="404" t="s">
        <v>5376</v>
      </c>
      <c r="H645" s="404" t="s">
        <v>5377</v>
      </c>
      <c r="I645" s="404" t="s">
        <v>23</v>
      </c>
      <c r="J645" s="404" t="s">
        <v>5378</v>
      </c>
      <c r="K645" s="404" t="s">
        <v>5379</v>
      </c>
    </row>
    <row r="646" spans="1:11">
      <c r="A646" s="387"/>
      <c r="B646" s="387"/>
      <c r="C646" s="387"/>
      <c r="D646" s="404" t="s">
        <v>5380</v>
      </c>
      <c r="E646" s="404" t="s">
        <v>5381</v>
      </c>
      <c r="F646" s="385" t="s">
        <v>229</v>
      </c>
      <c r="G646" s="404" t="s">
        <v>5382</v>
      </c>
      <c r="H646" s="404" t="s">
        <v>5383</v>
      </c>
      <c r="I646" s="404" t="s">
        <v>23</v>
      </c>
      <c r="J646" s="404" t="s">
        <v>5384</v>
      </c>
      <c r="K646" s="404" t="s">
        <v>5385</v>
      </c>
    </row>
    <row r="647" spans="1:11" ht="30">
      <c r="A647" s="387"/>
      <c r="B647" s="387"/>
      <c r="C647" s="387"/>
      <c r="D647" s="404" t="s">
        <v>5386</v>
      </c>
      <c r="E647" s="404" t="s">
        <v>5387</v>
      </c>
      <c r="F647" s="385" t="s">
        <v>20</v>
      </c>
      <c r="G647" s="404" t="s">
        <v>5388</v>
      </c>
      <c r="H647" s="404" t="s">
        <v>5389</v>
      </c>
      <c r="I647" s="404" t="s">
        <v>23</v>
      </c>
      <c r="J647" s="404" t="s">
        <v>5390</v>
      </c>
      <c r="K647" s="404" t="s">
        <v>5391</v>
      </c>
    </row>
    <row r="648" spans="1:11" ht="30">
      <c r="A648" s="387"/>
      <c r="B648" s="387"/>
      <c r="C648" s="387"/>
      <c r="D648" s="404" t="s">
        <v>5392</v>
      </c>
      <c r="E648" s="404" t="s">
        <v>5393</v>
      </c>
      <c r="F648" s="385" t="s">
        <v>20</v>
      </c>
      <c r="G648" s="404" t="s">
        <v>5394</v>
      </c>
      <c r="H648" s="404" t="s">
        <v>5395</v>
      </c>
      <c r="I648" s="404" t="s">
        <v>23</v>
      </c>
      <c r="J648" s="404" t="s">
        <v>5396</v>
      </c>
      <c r="K648" s="404" t="s">
        <v>5397</v>
      </c>
    </row>
    <row r="649" spans="1:11" ht="30">
      <c r="A649" s="387"/>
      <c r="B649" s="387"/>
      <c r="C649" s="387"/>
      <c r="D649" s="404" t="s">
        <v>5398</v>
      </c>
      <c r="E649" s="404" t="s">
        <v>5399</v>
      </c>
      <c r="F649" s="385" t="s">
        <v>425</v>
      </c>
      <c r="G649" s="404" t="s">
        <v>5400</v>
      </c>
      <c r="H649" s="404" t="s">
        <v>5401</v>
      </c>
      <c r="I649" s="404" t="s">
        <v>23</v>
      </c>
      <c r="J649" s="404" t="s">
        <v>5402</v>
      </c>
      <c r="K649" s="404" t="s">
        <v>5403</v>
      </c>
    </row>
    <row r="650" spans="1:11" ht="30">
      <c r="A650" s="387"/>
      <c r="B650" s="387"/>
      <c r="C650" s="387" t="s">
        <v>5404</v>
      </c>
      <c r="D650" s="404" t="s">
        <v>5405</v>
      </c>
      <c r="E650" s="404" t="s">
        <v>5406</v>
      </c>
      <c r="F650" s="385" t="s">
        <v>229</v>
      </c>
      <c r="G650" s="404" t="s">
        <v>5407</v>
      </c>
      <c r="H650" s="404" t="s">
        <v>5408</v>
      </c>
      <c r="I650" s="404" t="s">
        <v>23</v>
      </c>
      <c r="J650" s="404" t="s">
        <v>5409</v>
      </c>
      <c r="K650" s="404" t="s">
        <v>5410</v>
      </c>
    </row>
    <row r="651" spans="1:11">
      <c r="A651" s="387"/>
      <c r="B651" s="387"/>
      <c r="C651" s="387"/>
      <c r="D651" s="404" t="s">
        <v>5411</v>
      </c>
      <c r="E651" s="404" t="s">
        <v>5412</v>
      </c>
      <c r="F651" s="385" t="s">
        <v>229</v>
      </c>
      <c r="G651" s="404" t="s">
        <v>5413</v>
      </c>
      <c r="H651" s="404" t="s">
        <v>5414</v>
      </c>
      <c r="I651" s="404" t="s">
        <v>23</v>
      </c>
      <c r="J651" s="404" t="s">
        <v>5415</v>
      </c>
      <c r="K651" s="404" t="s">
        <v>5416</v>
      </c>
    </row>
    <row r="652" spans="1:11" ht="30">
      <c r="A652" s="387"/>
      <c r="B652" s="387"/>
      <c r="C652" s="387"/>
      <c r="D652" s="404" t="s">
        <v>5417</v>
      </c>
      <c r="E652" s="404" t="s">
        <v>5418</v>
      </c>
      <c r="F652" s="385" t="s">
        <v>20</v>
      </c>
      <c r="G652" s="404" t="s">
        <v>5419</v>
      </c>
      <c r="H652" s="404" t="s">
        <v>5420</v>
      </c>
      <c r="I652" s="404" t="s">
        <v>23</v>
      </c>
      <c r="J652" s="404" t="s">
        <v>5421</v>
      </c>
      <c r="K652" s="404" t="s">
        <v>5422</v>
      </c>
    </row>
    <row r="653" spans="1:11" ht="30">
      <c r="A653" s="387"/>
      <c r="B653" s="387"/>
      <c r="C653" s="387"/>
      <c r="D653" s="404" t="s">
        <v>5423</v>
      </c>
      <c r="E653" s="404" t="s">
        <v>5424</v>
      </c>
      <c r="F653" s="385" t="s">
        <v>20</v>
      </c>
      <c r="G653" s="404" t="s">
        <v>5425</v>
      </c>
      <c r="H653" s="404" t="s">
        <v>5426</v>
      </c>
      <c r="I653" s="404" t="s">
        <v>23</v>
      </c>
      <c r="J653" s="404" t="s">
        <v>5427</v>
      </c>
      <c r="K653" s="404" t="s">
        <v>5428</v>
      </c>
    </row>
    <row r="654" spans="1:11" ht="30">
      <c r="A654" s="387"/>
      <c r="B654" s="387"/>
      <c r="C654" s="387"/>
      <c r="D654" s="404" t="s">
        <v>5429</v>
      </c>
      <c r="E654" s="404" t="s">
        <v>5430</v>
      </c>
      <c r="F654" s="385" t="s">
        <v>425</v>
      </c>
      <c r="G654" s="404" t="s">
        <v>5431</v>
      </c>
      <c r="H654" s="404" t="s">
        <v>5432</v>
      </c>
      <c r="I654" s="404" t="s">
        <v>23</v>
      </c>
      <c r="J654" s="404" t="s">
        <v>5433</v>
      </c>
      <c r="K654" s="404" t="s">
        <v>5434</v>
      </c>
    </row>
    <row r="655" spans="1:11" ht="30">
      <c r="A655" s="387"/>
      <c r="B655" s="387"/>
      <c r="C655" s="387" t="s">
        <v>5435</v>
      </c>
      <c r="D655" s="404" t="s">
        <v>5436</v>
      </c>
      <c r="E655" s="404" t="s">
        <v>5437</v>
      </c>
      <c r="F655" s="385" t="s">
        <v>425</v>
      </c>
      <c r="G655" s="404" t="s">
        <v>5438</v>
      </c>
      <c r="H655" s="404" t="s">
        <v>5439</v>
      </c>
      <c r="I655" s="404" t="s">
        <v>23</v>
      </c>
      <c r="J655" s="404" t="s">
        <v>5440</v>
      </c>
      <c r="K655" s="404" t="s">
        <v>5441</v>
      </c>
    </row>
    <row r="656" spans="1:11" ht="30">
      <c r="A656" s="387"/>
      <c r="B656" s="387"/>
      <c r="C656" s="387"/>
      <c r="D656" s="404" t="s">
        <v>5413</v>
      </c>
      <c r="E656" s="404" t="s">
        <v>5442</v>
      </c>
      <c r="F656" s="385" t="s">
        <v>229</v>
      </c>
      <c r="G656" s="404" t="s">
        <v>5443</v>
      </c>
      <c r="H656" s="404" t="s">
        <v>5444</v>
      </c>
      <c r="I656" s="404" t="s">
        <v>23</v>
      </c>
      <c r="J656" s="404" t="s">
        <v>5445</v>
      </c>
      <c r="K656" s="404" t="s">
        <v>5446</v>
      </c>
    </row>
    <row r="657" spans="1:11" ht="30">
      <c r="A657" s="387"/>
      <c r="B657" s="387"/>
      <c r="C657" s="387"/>
      <c r="D657" s="404" t="s">
        <v>5419</v>
      </c>
      <c r="E657" s="404" t="s">
        <v>5447</v>
      </c>
      <c r="F657" s="385" t="s">
        <v>229</v>
      </c>
      <c r="G657" s="404" t="s">
        <v>5448</v>
      </c>
      <c r="H657" s="404" t="s">
        <v>5449</v>
      </c>
      <c r="I657" s="404" t="s">
        <v>94</v>
      </c>
      <c r="J657" s="404" t="s">
        <v>5450</v>
      </c>
      <c r="K657" s="404" t="s">
        <v>5451</v>
      </c>
    </row>
    <row r="658" spans="1:11" ht="30">
      <c r="A658" s="387"/>
      <c r="B658" s="387"/>
      <c r="C658" s="387"/>
      <c r="D658" s="404" t="s">
        <v>5425</v>
      </c>
      <c r="E658" s="404" t="s">
        <v>5452</v>
      </c>
      <c r="F658" s="385" t="s">
        <v>229</v>
      </c>
      <c r="G658" s="404" t="s">
        <v>5453</v>
      </c>
      <c r="H658" s="404" t="s">
        <v>5454</v>
      </c>
      <c r="I658" s="404" t="s">
        <v>23</v>
      </c>
      <c r="J658" s="404" t="s">
        <v>5455</v>
      </c>
      <c r="K658" s="404" t="s">
        <v>5456</v>
      </c>
    </row>
    <row r="659" spans="1:11" ht="30">
      <c r="A659" s="387"/>
      <c r="B659" s="387"/>
      <c r="C659" s="387"/>
      <c r="D659" s="404" t="s">
        <v>5457</v>
      </c>
      <c r="E659" s="404" t="s">
        <v>5458</v>
      </c>
      <c r="F659" s="385" t="s">
        <v>229</v>
      </c>
      <c r="G659" s="404" t="s">
        <v>5459</v>
      </c>
      <c r="H659" s="404" t="s">
        <v>5460</v>
      </c>
      <c r="I659" s="404" t="s">
        <v>23</v>
      </c>
      <c r="J659" s="404" t="s">
        <v>5461</v>
      </c>
      <c r="K659" s="404" t="s">
        <v>5462</v>
      </c>
    </row>
    <row r="660" spans="1:11" ht="30">
      <c r="A660" s="387"/>
      <c r="B660" s="387" t="s">
        <v>5463</v>
      </c>
      <c r="C660" s="387" t="s">
        <v>5464</v>
      </c>
      <c r="D660" s="404" t="s">
        <v>5465</v>
      </c>
      <c r="E660" s="404" t="s">
        <v>5466</v>
      </c>
      <c r="F660" s="385" t="s">
        <v>20</v>
      </c>
      <c r="G660" s="404" t="s">
        <v>5467</v>
      </c>
      <c r="H660" s="404" t="s">
        <v>5468</v>
      </c>
      <c r="I660" s="404" t="s">
        <v>23</v>
      </c>
      <c r="J660" s="404" t="s">
        <v>5469</v>
      </c>
      <c r="K660" s="404" t="s">
        <v>5470</v>
      </c>
    </row>
    <row r="661" spans="1:11" ht="30">
      <c r="A661" s="387"/>
      <c r="B661" s="387"/>
      <c r="C661" s="387"/>
      <c r="D661" s="404" t="s">
        <v>5471</v>
      </c>
      <c r="E661" s="404" t="s">
        <v>5472</v>
      </c>
      <c r="F661" s="385" t="s">
        <v>20</v>
      </c>
      <c r="G661" s="404" t="s">
        <v>5473</v>
      </c>
      <c r="H661" s="404" t="s">
        <v>5474</v>
      </c>
      <c r="I661" s="404" t="s">
        <v>23</v>
      </c>
      <c r="J661" s="404" t="s">
        <v>5475</v>
      </c>
      <c r="K661" s="404" t="s">
        <v>5476</v>
      </c>
    </row>
    <row r="662" spans="1:11" ht="30">
      <c r="A662" s="387"/>
      <c r="B662" s="387"/>
      <c r="C662" s="387"/>
      <c r="D662" s="404" t="s">
        <v>5477</v>
      </c>
      <c r="E662" s="404" t="s">
        <v>5478</v>
      </c>
      <c r="F662" s="385" t="s">
        <v>425</v>
      </c>
      <c r="G662" s="404" t="s">
        <v>5479</v>
      </c>
      <c r="H662" s="404" t="s">
        <v>5480</v>
      </c>
      <c r="I662" s="404" t="s">
        <v>23</v>
      </c>
      <c r="J662" s="404" t="s">
        <v>5481</v>
      </c>
      <c r="K662" s="404" t="s">
        <v>5482</v>
      </c>
    </row>
    <row r="663" spans="1:11" ht="30">
      <c r="A663" s="387"/>
      <c r="B663" s="387"/>
      <c r="C663" s="387"/>
      <c r="D663" s="404" t="s">
        <v>5483</v>
      </c>
      <c r="E663" s="404" t="s">
        <v>5484</v>
      </c>
      <c r="F663" s="385" t="s">
        <v>425</v>
      </c>
      <c r="G663" s="404" t="s">
        <v>5485</v>
      </c>
      <c r="H663" s="404" t="s">
        <v>5486</v>
      </c>
      <c r="I663" s="404" t="s">
        <v>23</v>
      </c>
      <c r="J663" s="404" t="s">
        <v>5487</v>
      </c>
      <c r="K663" s="404" t="s">
        <v>5488</v>
      </c>
    </row>
    <row r="664" spans="1:11" ht="30">
      <c r="A664" s="387"/>
      <c r="B664" s="387"/>
      <c r="C664" s="387"/>
      <c r="D664" s="404" t="s">
        <v>5489</v>
      </c>
      <c r="E664" s="404" t="s">
        <v>5490</v>
      </c>
      <c r="F664" s="385" t="s">
        <v>229</v>
      </c>
      <c r="G664" s="404" t="s">
        <v>5491</v>
      </c>
      <c r="H664" s="404" t="s">
        <v>5492</v>
      </c>
      <c r="I664" s="404" t="s">
        <v>94</v>
      </c>
      <c r="J664" s="404" t="s">
        <v>5493</v>
      </c>
      <c r="K664" s="404" t="s">
        <v>5494</v>
      </c>
    </row>
    <row r="665" spans="1:11" ht="30">
      <c r="A665" s="387"/>
      <c r="B665" s="387"/>
      <c r="C665" s="387" t="s">
        <v>5495</v>
      </c>
      <c r="D665" s="404" t="s">
        <v>5496</v>
      </c>
      <c r="E665" s="404" t="s">
        <v>5497</v>
      </c>
      <c r="F665" s="385" t="s">
        <v>229</v>
      </c>
      <c r="G665" s="404" t="s">
        <v>5498</v>
      </c>
      <c r="H665" s="404" t="s">
        <v>5499</v>
      </c>
      <c r="I665" s="404" t="s">
        <v>23</v>
      </c>
      <c r="J665" s="404" t="s">
        <v>5500</v>
      </c>
      <c r="K665" s="404" t="s">
        <v>5501</v>
      </c>
    </row>
    <row r="666" spans="1:11" ht="30">
      <c r="A666" s="387"/>
      <c r="B666" s="387"/>
      <c r="C666" s="387"/>
      <c r="D666" s="404" t="s">
        <v>5502</v>
      </c>
      <c r="E666" s="404" t="s">
        <v>5503</v>
      </c>
      <c r="F666" s="385" t="s">
        <v>229</v>
      </c>
      <c r="G666" s="404" t="s">
        <v>5504</v>
      </c>
      <c r="H666" s="404" t="s">
        <v>5505</v>
      </c>
      <c r="I666" s="404" t="s">
        <v>23</v>
      </c>
      <c r="J666" s="404" t="s">
        <v>5506</v>
      </c>
      <c r="K666" s="404" t="s">
        <v>5507</v>
      </c>
    </row>
    <row r="667" spans="1:11" ht="30">
      <c r="A667" s="387"/>
      <c r="B667" s="387"/>
      <c r="C667" s="387"/>
      <c r="D667" s="404" t="s">
        <v>5479</v>
      </c>
      <c r="E667" s="404" t="s">
        <v>5508</v>
      </c>
      <c r="F667" s="385" t="s">
        <v>20</v>
      </c>
      <c r="G667" s="404" t="s">
        <v>5509</v>
      </c>
      <c r="H667" s="404" t="s">
        <v>5510</v>
      </c>
      <c r="I667" s="404" t="s">
        <v>23</v>
      </c>
      <c r="J667" s="404" t="s">
        <v>5511</v>
      </c>
      <c r="K667" s="404" t="s">
        <v>5512</v>
      </c>
    </row>
    <row r="668" spans="1:11" ht="30">
      <c r="A668" s="387"/>
      <c r="B668" s="387"/>
      <c r="C668" s="387"/>
      <c r="D668" s="404" t="s">
        <v>5485</v>
      </c>
      <c r="E668" s="404" t="s">
        <v>5513</v>
      </c>
      <c r="F668" s="385" t="s">
        <v>20</v>
      </c>
      <c r="G668" s="404" t="s">
        <v>5514</v>
      </c>
      <c r="H668" s="404" t="s">
        <v>5515</v>
      </c>
      <c r="I668" s="404" t="s">
        <v>23</v>
      </c>
      <c r="J668" s="404" t="s">
        <v>5516</v>
      </c>
      <c r="K668" s="404" t="s">
        <v>5517</v>
      </c>
    </row>
    <row r="669" spans="1:11" ht="30">
      <c r="A669" s="387"/>
      <c r="B669" s="387"/>
      <c r="C669" s="387"/>
      <c r="D669" s="404" t="s">
        <v>5518</v>
      </c>
      <c r="E669" s="404" t="s">
        <v>5519</v>
      </c>
      <c r="F669" s="385" t="s">
        <v>20</v>
      </c>
      <c r="G669" s="404" t="s">
        <v>5520</v>
      </c>
      <c r="H669" s="404" t="s">
        <v>5521</v>
      </c>
      <c r="I669" s="404" t="s">
        <v>23</v>
      </c>
      <c r="J669" s="404" t="s">
        <v>5522</v>
      </c>
      <c r="K669" s="404" t="s">
        <v>5523</v>
      </c>
    </row>
    <row r="670" spans="1:11" ht="30">
      <c r="A670" s="387"/>
      <c r="B670" s="387"/>
      <c r="C670" s="387" t="s">
        <v>5524</v>
      </c>
      <c r="D670" s="404" t="s">
        <v>5525</v>
      </c>
      <c r="E670" s="404" t="s">
        <v>5526</v>
      </c>
      <c r="F670" s="385" t="s">
        <v>425</v>
      </c>
      <c r="G670" s="404" t="s">
        <v>5527</v>
      </c>
      <c r="H670" s="404" t="s">
        <v>5528</v>
      </c>
      <c r="I670" s="404" t="s">
        <v>23</v>
      </c>
      <c r="J670" s="404" t="s">
        <v>5529</v>
      </c>
      <c r="K670" s="404" t="s">
        <v>5530</v>
      </c>
    </row>
    <row r="671" spans="1:11" ht="30">
      <c r="A671" s="387"/>
      <c r="B671" s="387"/>
      <c r="C671" s="387"/>
      <c r="D671" s="404" t="s">
        <v>5531</v>
      </c>
      <c r="E671" s="404" t="s">
        <v>5532</v>
      </c>
      <c r="F671" s="385" t="s">
        <v>425</v>
      </c>
      <c r="G671" s="404" t="s">
        <v>5533</v>
      </c>
      <c r="H671" s="404" t="s">
        <v>5534</v>
      </c>
      <c r="I671" s="404" t="s">
        <v>23</v>
      </c>
      <c r="J671" s="404" t="s">
        <v>5535</v>
      </c>
      <c r="K671" s="404" t="s">
        <v>5536</v>
      </c>
    </row>
    <row r="672" spans="1:11" ht="30">
      <c r="A672" s="387"/>
      <c r="B672" s="387"/>
      <c r="C672" s="387"/>
      <c r="D672" s="404" t="s">
        <v>5537</v>
      </c>
      <c r="E672" s="404" t="s">
        <v>5538</v>
      </c>
      <c r="F672" s="385" t="s">
        <v>20</v>
      </c>
      <c r="G672" s="404" t="s">
        <v>5539</v>
      </c>
      <c r="H672" s="404" t="s">
        <v>5540</v>
      </c>
      <c r="I672" s="404" t="s">
        <v>23</v>
      </c>
      <c r="J672" s="404" t="s">
        <v>5541</v>
      </c>
      <c r="K672" s="404" t="s">
        <v>5542</v>
      </c>
    </row>
    <row r="673" spans="1:11" ht="30">
      <c r="A673" s="387"/>
      <c r="B673" s="387"/>
      <c r="C673" s="387"/>
      <c r="D673" s="404" t="s">
        <v>5543</v>
      </c>
      <c r="E673" s="404" t="s">
        <v>5544</v>
      </c>
      <c r="F673" s="385" t="s">
        <v>20</v>
      </c>
      <c r="G673" s="404" t="s">
        <v>5545</v>
      </c>
      <c r="H673" s="404" t="s">
        <v>5546</v>
      </c>
      <c r="I673" s="404" t="s">
        <v>23</v>
      </c>
      <c r="J673" s="404" t="s">
        <v>5547</v>
      </c>
      <c r="K673" s="404" t="s">
        <v>5548</v>
      </c>
    </row>
    <row r="674" spans="1:11" ht="30">
      <c r="A674" s="387"/>
      <c r="B674" s="387"/>
      <c r="C674" s="387"/>
      <c r="D674" s="404" t="s">
        <v>5549</v>
      </c>
      <c r="E674" s="404" t="s">
        <v>5550</v>
      </c>
      <c r="F674" s="385" t="s">
        <v>229</v>
      </c>
      <c r="G674" s="404" t="s">
        <v>5551</v>
      </c>
      <c r="H674" s="404" t="s">
        <v>5552</v>
      </c>
      <c r="I674" s="404" t="s">
        <v>23</v>
      </c>
      <c r="J674" s="404" t="s">
        <v>5553</v>
      </c>
      <c r="K674" s="404" t="s">
        <v>5554</v>
      </c>
    </row>
    <row r="675" spans="1:11" ht="30">
      <c r="A675" s="387"/>
      <c r="B675" s="387"/>
      <c r="C675" s="387" t="s">
        <v>5555</v>
      </c>
      <c r="D675" s="404" t="s">
        <v>5556</v>
      </c>
      <c r="E675" s="404" t="s">
        <v>5557</v>
      </c>
      <c r="F675" s="385" t="s">
        <v>229</v>
      </c>
      <c r="G675" s="404" t="s">
        <v>5558</v>
      </c>
      <c r="H675" s="404" t="s">
        <v>5559</v>
      </c>
      <c r="I675" s="404" t="s">
        <v>23</v>
      </c>
      <c r="J675" s="404" t="s">
        <v>5560</v>
      </c>
      <c r="K675" s="404" t="s">
        <v>5561</v>
      </c>
    </row>
    <row r="676" spans="1:11" ht="30">
      <c r="A676" s="387"/>
      <c r="B676" s="387"/>
      <c r="C676" s="387"/>
      <c r="D676" s="404" t="s">
        <v>5533</v>
      </c>
      <c r="E676" s="404" t="s">
        <v>5562</v>
      </c>
      <c r="F676" s="385" t="s">
        <v>229</v>
      </c>
      <c r="G676" s="404" t="s">
        <v>5563</v>
      </c>
      <c r="H676" s="404" t="s">
        <v>5564</v>
      </c>
      <c r="I676" s="404" t="s">
        <v>23</v>
      </c>
      <c r="J676" s="404" t="s">
        <v>5565</v>
      </c>
      <c r="K676" s="404" t="s">
        <v>5566</v>
      </c>
    </row>
    <row r="677" spans="1:11">
      <c r="A677" s="387"/>
      <c r="B677" s="387"/>
      <c r="C677" s="387"/>
      <c r="D677" s="404" t="s">
        <v>5567</v>
      </c>
      <c r="E677" s="404" t="s">
        <v>5568</v>
      </c>
      <c r="F677" s="385" t="s">
        <v>229</v>
      </c>
      <c r="G677" s="404" t="s">
        <v>5569</v>
      </c>
      <c r="H677" s="404" t="s">
        <v>5570</v>
      </c>
      <c r="I677" s="404" t="s">
        <v>23</v>
      </c>
      <c r="J677" s="404" t="s">
        <v>5571</v>
      </c>
      <c r="K677" s="404" t="s">
        <v>5572</v>
      </c>
    </row>
    <row r="678" spans="1:11">
      <c r="A678" s="387"/>
      <c r="B678" s="387"/>
      <c r="C678" s="387"/>
      <c r="D678" s="404" t="s">
        <v>5545</v>
      </c>
      <c r="E678" s="404" t="s">
        <v>5573</v>
      </c>
      <c r="F678" s="385" t="s">
        <v>229</v>
      </c>
      <c r="G678" s="404" t="s">
        <v>5574</v>
      </c>
      <c r="H678" s="404" t="s">
        <v>5575</v>
      </c>
      <c r="I678" s="404" t="s">
        <v>23</v>
      </c>
      <c r="J678" s="404" t="s">
        <v>5576</v>
      </c>
      <c r="K678" s="404" t="s">
        <v>5577</v>
      </c>
    </row>
    <row r="679" spans="1:11" ht="30">
      <c r="A679" s="387"/>
      <c r="B679" s="387"/>
      <c r="C679" s="387"/>
      <c r="D679" s="404" t="s">
        <v>5578</v>
      </c>
      <c r="E679" s="404" t="s">
        <v>5579</v>
      </c>
      <c r="F679" s="385" t="s">
        <v>229</v>
      </c>
      <c r="G679" s="404" t="s">
        <v>5580</v>
      </c>
      <c r="H679" s="404" t="s">
        <v>5581</v>
      </c>
      <c r="I679" s="404" t="s">
        <v>23</v>
      </c>
      <c r="J679" s="404" t="s">
        <v>5582</v>
      </c>
      <c r="K679" s="404" t="s">
        <v>5583</v>
      </c>
    </row>
    <row r="680" spans="1:11" ht="30">
      <c r="A680" s="387"/>
      <c r="B680" s="387"/>
      <c r="C680" s="387" t="s">
        <v>5584</v>
      </c>
      <c r="D680" s="404" t="s">
        <v>5585</v>
      </c>
      <c r="E680" s="404" t="s">
        <v>5586</v>
      </c>
      <c r="F680" s="385" t="s">
        <v>20</v>
      </c>
      <c r="G680" s="404" t="s">
        <v>5587</v>
      </c>
      <c r="H680" s="404" t="s">
        <v>5588</v>
      </c>
      <c r="I680" s="404" t="s">
        <v>23</v>
      </c>
      <c r="J680" s="404" t="s">
        <v>5589</v>
      </c>
      <c r="K680" s="404" t="s">
        <v>5590</v>
      </c>
    </row>
    <row r="681" spans="1:11">
      <c r="A681" s="387"/>
      <c r="B681" s="387"/>
      <c r="C681" s="387"/>
      <c r="D681" s="404" t="s">
        <v>5591</v>
      </c>
      <c r="E681" s="404" t="s">
        <v>5592</v>
      </c>
      <c r="F681" s="385" t="s">
        <v>20</v>
      </c>
      <c r="G681" s="404" t="s">
        <v>5593</v>
      </c>
      <c r="H681" s="404" t="s">
        <v>5594</v>
      </c>
      <c r="I681" s="404" t="s">
        <v>23</v>
      </c>
      <c r="J681" s="404" t="s">
        <v>5595</v>
      </c>
      <c r="K681" s="404" t="s">
        <v>5596</v>
      </c>
    </row>
    <row r="682" spans="1:11" ht="30">
      <c r="A682" s="387"/>
      <c r="B682" s="387"/>
      <c r="C682" s="387"/>
      <c r="D682" s="404" t="s">
        <v>5597</v>
      </c>
      <c r="E682" s="404" t="s">
        <v>5598</v>
      </c>
      <c r="F682" s="385" t="s">
        <v>20</v>
      </c>
      <c r="G682" s="404" t="s">
        <v>5599</v>
      </c>
      <c r="H682" s="404" t="s">
        <v>5600</v>
      </c>
      <c r="I682" s="404" t="s">
        <v>23</v>
      </c>
      <c r="J682" s="404" t="s">
        <v>5601</v>
      </c>
      <c r="K682" s="404" t="s">
        <v>5602</v>
      </c>
    </row>
    <row r="683" spans="1:11" ht="30">
      <c r="A683" s="387"/>
      <c r="B683" s="387"/>
      <c r="C683" s="387"/>
      <c r="D683" s="404" t="s">
        <v>5603</v>
      </c>
      <c r="E683" s="404" t="s">
        <v>5604</v>
      </c>
      <c r="F683" s="385" t="s">
        <v>229</v>
      </c>
      <c r="G683" s="404" t="s">
        <v>5605</v>
      </c>
      <c r="H683" s="404" t="s">
        <v>5606</v>
      </c>
      <c r="I683" s="404" t="s">
        <v>23</v>
      </c>
      <c r="J683" s="404" t="s">
        <v>5607</v>
      </c>
      <c r="K683" s="404" t="s">
        <v>5608</v>
      </c>
    </row>
    <row r="684" spans="1:11" ht="30">
      <c r="A684" s="387"/>
      <c r="B684" s="387"/>
      <c r="C684" s="387"/>
      <c r="D684" s="404" t="s">
        <v>5609</v>
      </c>
      <c r="E684" s="404" t="s">
        <v>5610</v>
      </c>
      <c r="F684" s="385" t="s">
        <v>229</v>
      </c>
      <c r="G684" s="404" t="s">
        <v>5611</v>
      </c>
      <c r="H684" s="404" t="s">
        <v>5612</v>
      </c>
      <c r="I684" s="404" t="s">
        <v>23</v>
      </c>
      <c r="J684" s="404" t="s">
        <v>5613</v>
      </c>
      <c r="K684" s="404" t="s">
        <v>5614</v>
      </c>
    </row>
    <row r="685" spans="1:11" ht="30">
      <c r="A685" s="387"/>
      <c r="B685" s="387"/>
      <c r="C685" s="387" t="s">
        <v>5615</v>
      </c>
      <c r="D685" s="404" t="s">
        <v>5616</v>
      </c>
      <c r="E685" s="404" t="s">
        <v>5617</v>
      </c>
      <c r="F685" s="385" t="s">
        <v>229</v>
      </c>
      <c r="G685" s="404" t="s">
        <v>5618</v>
      </c>
      <c r="H685" s="404" t="s">
        <v>5619</v>
      </c>
      <c r="I685" s="404" t="s">
        <v>23</v>
      </c>
      <c r="J685" s="404" t="s">
        <v>5620</v>
      </c>
      <c r="K685" s="404" t="s">
        <v>5621</v>
      </c>
    </row>
    <row r="686" spans="1:11">
      <c r="A686" s="387"/>
      <c r="B686" s="387"/>
      <c r="C686" s="387"/>
      <c r="D686" s="404" t="s">
        <v>5622</v>
      </c>
      <c r="E686" s="404" t="s">
        <v>5623</v>
      </c>
      <c r="F686" s="385" t="s">
        <v>20</v>
      </c>
      <c r="G686" s="404" t="s">
        <v>5624</v>
      </c>
      <c r="H686" s="404" t="s">
        <v>5625</v>
      </c>
      <c r="I686" s="404" t="s">
        <v>23</v>
      </c>
      <c r="J686" s="404" t="s">
        <v>5626</v>
      </c>
      <c r="K686" s="404" t="s">
        <v>5627</v>
      </c>
    </row>
    <row r="687" spans="1:11" ht="30">
      <c r="A687" s="387"/>
      <c r="B687" s="387"/>
      <c r="C687" s="387"/>
      <c r="D687" s="404" t="s">
        <v>5628</v>
      </c>
      <c r="E687" s="404" t="s">
        <v>5629</v>
      </c>
      <c r="F687" s="385" t="s">
        <v>20</v>
      </c>
      <c r="G687" s="404" t="s">
        <v>5630</v>
      </c>
      <c r="H687" s="404" t="s">
        <v>5631</v>
      </c>
      <c r="I687" s="404" t="s">
        <v>23</v>
      </c>
      <c r="J687" s="404" t="s">
        <v>5632</v>
      </c>
      <c r="K687" s="404" t="s">
        <v>5633</v>
      </c>
    </row>
    <row r="688" spans="1:11" ht="30">
      <c r="A688" s="387"/>
      <c r="B688" s="387"/>
      <c r="C688" s="387"/>
      <c r="D688" s="404" t="s">
        <v>5634</v>
      </c>
      <c r="E688" s="404" t="s">
        <v>5635</v>
      </c>
      <c r="F688" s="385" t="s">
        <v>20</v>
      </c>
      <c r="G688" s="404" t="s">
        <v>5636</v>
      </c>
      <c r="H688" s="404" t="s">
        <v>5637</v>
      </c>
      <c r="I688" s="404" t="s">
        <v>23</v>
      </c>
      <c r="J688" s="404" t="s">
        <v>5638</v>
      </c>
      <c r="K688" s="404" t="s">
        <v>5639</v>
      </c>
    </row>
    <row r="689" spans="1:11">
      <c r="A689" s="387"/>
      <c r="B689" s="387"/>
      <c r="C689" s="387"/>
      <c r="D689" s="404" t="s">
        <v>5640</v>
      </c>
      <c r="E689" s="404" t="s">
        <v>5641</v>
      </c>
      <c r="F689" s="385" t="s">
        <v>229</v>
      </c>
      <c r="G689" s="404" t="s">
        <v>5642</v>
      </c>
      <c r="H689" s="404" t="s">
        <v>5643</v>
      </c>
      <c r="I689" s="404" t="s">
        <v>23</v>
      </c>
      <c r="J689" s="404" t="s">
        <v>5644</v>
      </c>
      <c r="K689" s="404" t="s">
        <v>5645</v>
      </c>
    </row>
    <row r="690" spans="1:11">
      <c r="A690" s="387"/>
      <c r="B690" s="387"/>
      <c r="C690" s="387" t="s">
        <v>5646</v>
      </c>
      <c r="D690" s="404" t="s">
        <v>5647</v>
      </c>
      <c r="E690" s="404" t="s">
        <v>5648</v>
      </c>
      <c r="F690" s="385" t="s">
        <v>229</v>
      </c>
      <c r="G690" s="404" t="s">
        <v>5649</v>
      </c>
      <c r="H690" s="404" t="s">
        <v>5650</v>
      </c>
      <c r="I690" s="404" t="s">
        <v>23</v>
      </c>
      <c r="J690" s="404" t="s">
        <v>5651</v>
      </c>
      <c r="K690" s="404" t="s">
        <v>5652</v>
      </c>
    </row>
    <row r="691" spans="1:11">
      <c r="A691" s="387"/>
      <c r="B691" s="387"/>
      <c r="C691" s="387"/>
      <c r="D691" s="404" t="s">
        <v>5653</v>
      </c>
      <c r="E691" s="404" t="s">
        <v>5654</v>
      </c>
      <c r="F691" s="385" t="s">
        <v>229</v>
      </c>
      <c r="G691" s="404" t="s">
        <v>5655</v>
      </c>
      <c r="H691" s="404" t="s">
        <v>5656</v>
      </c>
      <c r="I691" s="404" t="s">
        <v>23</v>
      </c>
      <c r="J691" s="404" t="s">
        <v>5657</v>
      </c>
      <c r="K691" s="404" t="s">
        <v>5658</v>
      </c>
    </row>
    <row r="692" spans="1:11" ht="30">
      <c r="A692" s="387"/>
      <c r="B692" s="387"/>
      <c r="C692" s="387"/>
      <c r="D692" s="404" t="s">
        <v>5659</v>
      </c>
      <c r="E692" s="404" t="s">
        <v>5660</v>
      </c>
      <c r="F692" s="385" t="s">
        <v>229</v>
      </c>
      <c r="G692" s="404" t="s">
        <v>5661</v>
      </c>
      <c r="H692" s="404" t="s">
        <v>5662</v>
      </c>
      <c r="I692" s="404" t="s">
        <v>23</v>
      </c>
      <c r="J692" s="404" t="s">
        <v>5663</v>
      </c>
      <c r="K692" s="404" t="s">
        <v>5664</v>
      </c>
    </row>
    <row r="693" spans="1:11" ht="30">
      <c r="A693" s="387"/>
      <c r="B693" s="387"/>
      <c r="C693" s="387"/>
      <c r="D693" s="404" t="s">
        <v>5665</v>
      </c>
      <c r="E693" s="404" t="s">
        <v>5666</v>
      </c>
      <c r="F693" s="385" t="s">
        <v>425</v>
      </c>
      <c r="G693" s="404" t="s">
        <v>5667</v>
      </c>
      <c r="H693" s="404" t="s">
        <v>5668</v>
      </c>
      <c r="I693" s="404" t="s">
        <v>23</v>
      </c>
      <c r="J693" s="404" t="s">
        <v>5669</v>
      </c>
      <c r="K693" s="404" t="s">
        <v>5670</v>
      </c>
    </row>
    <row r="694" spans="1:11" ht="30">
      <c r="A694" s="387"/>
      <c r="B694" s="387"/>
      <c r="C694" s="387"/>
      <c r="D694" s="404" t="s">
        <v>5671</v>
      </c>
      <c r="E694" s="404" t="s">
        <v>5672</v>
      </c>
      <c r="F694" s="385" t="s">
        <v>425</v>
      </c>
      <c r="G694" s="404" t="s">
        <v>5673</v>
      </c>
      <c r="H694" s="404" t="s">
        <v>5674</v>
      </c>
      <c r="I694" s="404" t="s">
        <v>23</v>
      </c>
      <c r="J694" s="404" t="s">
        <v>5675</v>
      </c>
      <c r="K694" s="404" t="s">
        <v>5676</v>
      </c>
    </row>
    <row r="695" spans="1:11" ht="30">
      <c r="A695" s="387"/>
      <c r="B695" s="387"/>
      <c r="C695" s="387" t="s">
        <v>5677</v>
      </c>
      <c r="D695" s="404" t="s">
        <v>5649</v>
      </c>
      <c r="E695" s="404" t="s">
        <v>5678</v>
      </c>
      <c r="F695" s="385" t="s">
        <v>425</v>
      </c>
      <c r="G695" s="404" t="s">
        <v>5679</v>
      </c>
      <c r="H695" s="404" t="s">
        <v>5680</v>
      </c>
      <c r="I695" s="404" t="s">
        <v>23</v>
      </c>
      <c r="J695" s="404" t="s">
        <v>5681</v>
      </c>
      <c r="K695" s="404" t="s">
        <v>5682</v>
      </c>
    </row>
    <row r="696" spans="1:11" ht="30">
      <c r="A696" s="387"/>
      <c r="B696" s="387"/>
      <c r="C696" s="387"/>
      <c r="D696" s="404" t="s">
        <v>5683</v>
      </c>
      <c r="E696" s="404" t="s">
        <v>5684</v>
      </c>
      <c r="F696" s="385" t="s">
        <v>229</v>
      </c>
      <c r="G696" s="404" t="s">
        <v>5685</v>
      </c>
      <c r="H696" s="404" t="s">
        <v>5686</v>
      </c>
      <c r="I696" s="404" t="s">
        <v>23</v>
      </c>
      <c r="J696" s="404" t="s">
        <v>5687</v>
      </c>
      <c r="K696" s="404" t="s">
        <v>5688</v>
      </c>
    </row>
    <row r="697" spans="1:11" ht="30">
      <c r="A697" s="387"/>
      <c r="B697" s="387"/>
      <c r="C697" s="387"/>
      <c r="D697" s="404" t="s">
        <v>5689</v>
      </c>
      <c r="E697" s="404" t="s">
        <v>5690</v>
      </c>
      <c r="F697" s="385" t="s">
        <v>229</v>
      </c>
      <c r="G697" s="404" t="s">
        <v>5691</v>
      </c>
      <c r="H697" s="404" t="s">
        <v>5692</v>
      </c>
      <c r="I697" s="404" t="s">
        <v>23</v>
      </c>
      <c r="J697" s="404" t="s">
        <v>5693</v>
      </c>
      <c r="K697" s="404" t="s">
        <v>5694</v>
      </c>
    </row>
    <row r="698" spans="1:11" ht="30">
      <c r="A698" s="387"/>
      <c r="B698" s="387"/>
      <c r="C698" s="387"/>
      <c r="D698" s="404" t="s">
        <v>5695</v>
      </c>
      <c r="E698" s="404" t="s">
        <v>5696</v>
      </c>
      <c r="F698" s="385" t="s">
        <v>425</v>
      </c>
      <c r="G698" s="404" t="s">
        <v>5697</v>
      </c>
      <c r="H698" s="404" t="s">
        <v>5698</v>
      </c>
      <c r="I698" s="404" t="s">
        <v>23</v>
      </c>
      <c r="J698" s="404" t="s">
        <v>5699</v>
      </c>
      <c r="K698" s="404" t="s">
        <v>5700</v>
      </c>
    </row>
    <row r="699" spans="1:11" ht="30">
      <c r="A699" s="387"/>
      <c r="B699" s="387"/>
      <c r="C699" s="387"/>
      <c r="D699" s="404" t="s">
        <v>5701</v>
      </c>
      <c r="E699" s="404" t="s">
        <v>5702</v>
      </c>
      <c r="F699" s="385" t="s">
        <v>229</v>
      </c>
      <c r="G699" s="404" t="s">
        <v>5703</v>
      </c>
      <c r="H699" s="404" t="s">
        <v>5704</v>
      </c>
      <c r="I699" s="404" t="s">
        <v>23</v>
      </c>
      <c r="J699" s="404" t="s">
        <v>5705</v>
      </c>
      <c r="K699" s="404" t="s">
        <v>5706</v>
      </c>
    </row>
    <row r="700" spans="1:11" ht="30">
      <c r="A700" s="387"/>
      <c r="B700" s="387" t="s">
        <v>5707</v>
      </c>
      <c r="C700" s="387" t="s">
        <v>5708</v>
      </c>
      <c r="D700" s="404" t="s">
        <v>5709</v>
      </c>
      <c r="E700" s="404" t="s">
        <v>5710</v>
      </c>
      <c r="F700" s="385" t="s">
        <v>229</v>
      </c>
      <c r="G700" s="404" t="s">
        <v>5711</v>
      </c>
      <c r="H700" s="404" t="s">
        <v>5712</v>
      </c>
      <c r="I700" s="404" t="s">
        <v>23</v>
      </c>
      <c r="J700" s="404" t="s">
        <v>5713</v>
      </c>
      <c r="K700" s="404" t="s">
        <v>5714</v>
      </c>
    </row>
    <row r="701" spans="1:11" ht="30">
      <c r="A701" s="387"/>
      <c r="B701" s="387"/>
      <c r="C701" s="387"/>
      <c r="D701" s="404" t="s">
        <v>5715</v>
      </c>
      <c r="E701" s="404" t="s">
        <v>5716</v>
      </c>
      <c r="F701" s="385" t="s">
        <v>425</v>
      </c>
      <c r="G701" s="404" t="s">
        <v>5717</v>
      </c>
      <c r="H701" s="404" t="s">
        <v>5718</v>
      </c>
      <c r="I701" s="404" t="s">
        <v>23</v>
      </c>
      <c r="J701" s="404" t="s">
        <v>5719</v>
      </c>
      <c r="K701" s="404" t="s">
        <v>5720</v>
      </c>
    </row>
    <row r="702" spans="1:11">
      <c r="A702" s="387"/>
      <c r="B702" s="387"/>
      <c r="C702" s="387"/>
      <c r="D702" s="404" t="s">
        <v>5721</v>
      </c>
      <c r="E702" s="404" t="s">
        <v>5722</v>
      </c>
      <c r="F702" s="385" t="s">
        <v>229</v>
      </c>
      <c r="G702" s="404" t="s">
        <v>5723</v>
      </c>
      <c r="H702" s="404" t="s">
        <v>5724</v>
      </c>
      <c r="I702" s="404" t="s">
        <v>23</v>
      </c>
      <c r="J702" s="404" t="s">
        <v>5725</v>
      </c>
      <c r="K702" s="404" t="s">
        <v>5726</v>
      </c>
    </row>
    <row r="703" spans="1:11" ht="30">
      <c r="A703" s="387"/>
      <c r="B703" s="387"/>
      <c r="C703" s="387"/>
      <c r="D703" s="404" t="s">
        <v>5727</v>
      </c>
      <c r="E703" s="404" t="s">
        <v>5728</v>
      </c>
      <c r="F703" s="385" t="s">
        <v>229</v>
      </c>
      <c r="G703" s="404" t="s">
        <v>5729</v>
      </c>
      <c r="H703" s="404" t="s">
        <v>5730</v>
      </c>
      <c r="I703" s="404" t="s">
        <v>23</v>
      </c>
      <c r="J703" s="404" t="s">
        <v>5731</v>
      </c>
      <c r="K703" s="404" t="s">
        <v>5732</v>
      </c>
    </row>
    <row r="704" spans="1:11" ht="30">
      <c r="A704" s="387"/>
      <c r="B704" s="387"/>
      <c r="C704" s="387"/>
      <c r="D704" s="404" t="s">
        <v>5733</v>
      </c>
      <c r="E704" s="404" t="s">
        <v>5734</v>
      </c>
      <c r="F704" s="385" t="s">
        <v>425</v>
      </c>
      <c r="G704" s="404" t="s">
        <v>5735</v>
      </c>
      <c r="H704" s="404" t="s">
        <v>5736</v>
      </c>
      <c r="I704" s="404" t="s">
        <v>23</v>
      </c>
      <c r="J704" s="404" t="s">
        <v>5737</v>
      </c>
      <c r="K704" s="404" t="s">
        <v>5738</v>
      </c>
    </row>
    <row r="705" spans="1:11" ht="30">
      <c r="A705" s="387"/>
      <c r="B705" s="387"/>
      <c r="C705" s="387" t="s">
        <v>5739</v>
      </c>
      <c r="D705" s="404" t="s">
        <v>5740</v>
      </c>
      <c r="E705" s="404" t="s">
        <v>5741</v>
      </c>
      <c r="F705" s="385" t="s">
        <v>425</v>
      </c>
      <c r="G705" s="404" t="s">
        <v>5742</v>
      </c>
      <c r="H705" s="404" t="s">
        <v>5743</v>
      </c>
      <c r="I705" s="404" t="s">
        <v>23</v>
      </c>
      <c r="J705" s="404" t="s">
        <v>5744</v>
      </c>
      <c r="K705" s="404" t="s">
        <v>5745</v>
      </c>
    </row>
    <row r="706" spans="1:11" ht="30">
      <c r="A706" s="387"/>
      <c r="B706" s="387"/>
      <c r="C706" s="387"/>
      <c r="D706" s="404" t="s">
        <v>5746</v>
      </c>
      <c r="E706" s="404" t="s">
        <v>5747</v>
      </c>
      <c r="F706" s="385" t="s">
        <v>229</v>
      </c>
      <c r="G706" s="404" t="s">
        <v>5748</v>
      </c>
      <c r="H706" s="404" t="s">
        <v>5749</v>
      </c>
      <c r="I706" s="404" t="s">
        <v>23</v>
      </c>
      <c r="J706" s="404" t="s">
        <v>5750</v>
      </c>
      <c r="K706" s="404" t="s">
        <v>5751</v>
      </c>
    </row>
    <row r="707" spans="1:11" ht="30">
      <c r="A707" s="387"/>
      <c r="B707" s="387"/>
      <c r="C707" s="387"/>
      <c r="D707" s="404" t="s">
        <v>5752</v>
      </c>
      <c r="E707" s="404" t="s">
        <v>5753</v>
      </c>
      <c r="F707" s="385" t="s">
        <v>229</v>
      </c>
      <c r="G707" s="404" t="s">
        <v>5754</v>
      </c>
      <c r="H707" s="404" t="s">
        <v>5755</v>
      </c>
      <c r="I707" s="404" t="s">
        <v>23</v>
      </c>
      <c r="J707" s="404" t="s">
        <v>5756</v>
      </c>
      <c r="K707" s="404" t="s">
        <v>5757</v>
      </c>
    </row>
    <row r="708" spans="1:11" ht="30">
      <c r="A708" s="387"/>
      <c r="B708" s="387"/>
      <c r="C708" s="387"/>
      <c r="D708" s="404" t="s">
        <v>5758</v>
      </c>
      <c r="E708" s="404" t="s">
        <v>5759</v>
      </c>
      <c r="F708" s="385" t="s">
        <v>20</v>
      </c>
      <c r="G708" s="404" t="s">
        <v>5760</v>
      </c>
      <c r="H708" s="404" t="s">
        <v>5761</v>
      </c>
      <c r="I708" s="404" t="s">
        <v>23</v>
      </c>
      <c r="J708" s="404" t="s">
        <v>5762</v>
      </c>
      <c r="K708" s="404" t="s">
        <v>5763</v>
      </c>
    </row>
    <row r="709" spans="1:11" ht="30">
      <c r="A709" s="387"/>
      <c r="B709" s="387"/>
      <c r="C709" s="387"/>
      <c r="D709" s="404" t="s">
        <v>5764</v>
      </c>
      <c r="E709" s="404" t="s">
        <v>5765</v>
      </c>
      <c r="F709" s="385" t="s">
        <v>20</v>
      </c>
      <c r="G709" s="404" t="s">
        <v>5766</v>
      </c>
      <c r="H709" s="404" t="s">
        <v>5767</v>
      </c>
      <c r="I709" s="404" t="s">
        <v>23</v>
      </c>
      <c r="J709" s="404" t="s">
        <v>5768</v>
      </c>
      <c r="K709" s="404" t="s">
        <v>5769</v>
      </c>
    </row>
    <row r="710" spans="1:11" ht="30">
      <c r="A710" s="387"/>
      <c r="B710" s="387"/>
      <c r="C710" s="387" t="s">
        <v>5770</v>
      </c>
      <c r="D710" s="404" t="s">
        <v>5771</v>
      </c>
      <c r="E710" s="404" t="s">
        <v>5772</v>
      </c>
      <c r="F710" s="385" t="s">
        <v>20</v>
      </c>
      <c r="G710" s="404" t="s">
        <v>5773</v>
      </c>
      <c r="H710" s="404" t="s">
        <v>5774</v>
      </c>
      <c r="I710" s="404" t="s">
        <v>23</v>
      </c>
      <c r="J710" s="404" t="s">
        <v>5775</v>
      </c>
      <c r="K710" s="404" t="s">
        <v>5776</v>
      </c>
    </row>
    <row r="711" spans="1:11" ht="30">
      <c r="A711" s="387"/>
      <c r="B711" s="387"/>
      <c r="C711" s="387"/>
      <c r="D711" s="404" t="s">
        <v>5777</v>
      </c>
      <c r="E711" s="404" t="s">
        <v>5778</v>
      </c>
      <c r="F711" s="385" t="s">
        <v>20</v>
      </c>
      <c r="G711" s="404" t="s">
        <v>5779</v>
      </c>
      <c r="H711" s="404" t="s">
        <v>5780</v>
      </c>
      <c r="I711" s="404" t="s">
        <v>23</v>
      </c>
      <c r="J711" s="404" t="s">
        <v>5781</v>
      </c>
      <c r="K711" s="404" t="s">
        <v>5782</v>
      </c>
    </row>
    <row r="712" spans="1:11" ht="30">
      <c r="A712" s="387"/>
      <c r="B712" s="387"/>
      <c r="C712" s="387"/>
      <c r="D712" s="404" t="s">
        <v>5783</v>
      </c>
      <c r="E712" s="404" t="s">
        <v>5784</v>
      </c>
      <c r="F712" s="385" t="s">
        <v>20</v>
      </c>
      <c r="G712" s="404" t="s">
        <v>5785</v>
      </c>
      <c r="H712" s="404" t="s">
        <v>5786</v>
      </c>
      <c r="I712" s="404" t="s">
        <v>23</v>
      </c>
      <c r="J712" s="404" t="s">
        <v>5787</v>
      </c>
      <c r="K712" s="404" t="s">
        <v>5788</v>
      </c>
    </row>
    <row r="713" spans="1:11">
      <c r="A713" s="387"/>
      <c r="B713" s="387"/>
      <c r="C713" s="387"/>
      <c r="D713" s="404" t="s">
        <v>5789</v>
      </c>
      <c r="E713" s="404" t="s">
        <v>5790</v>
      </c>
      <c r="F713" s="385" t="s">
        <v>20</v>
      </c>
      <c r="G713" s="404" t="s">
        <v>5791</v>
      </c>
      <c r="H713" s="404" t="s">
        <v>5792</v>
      </c>
      <c r="I713" s="404" t="s">
        <v>23</v>
      </c>
      <c r="J713" s="404" t="s">
        <v>5793</v>
      </c>
      <c r="K713" s="404" t="s">
        <v>5794</v>
      </c>
    </row>
    <row r="714" spans="1:11" ht="30">
      <c r="A714" s="387"/>
      <c r="B714" s="387"/>
      <c r="C714" s="387"/>
      <c r="D714" s="404" t="s">
        <v>5795</v>
      </c>
      <c r="E714" s="404" t="s">
        <v>5796</v>
      </c>
      <c r="F714" s="385" t="s">
        <v>20</v>
      </c>
      <c r="G714" s="404" t="s">
        <v>5797</v>
      </c>
      <c r="H714" s="404" t="s">
        <v>5798</v>
      </c>
      <c r="I714" s="404" t="s">
        <v>23</v>
      </c>
      <c r="J714" s="404" t="s">
        <v>5799</v>
      </c>
      <c r="K714" s="404" t="s">
        <v>5800</v>
      </c>
    </row>
    <row r="715" spans="1:11" ht="30">
      <c r="A715" s="387"/>
      <c r="B715" s="387"/>
      <c r="C715" s="387" t="s">
        <v>5801</v>
      </c>
      <c r="D715" s="404" t="s">
        <v>5766</v>
      </c>
      <c r="E715" s="404" t="s">
        <v>5802</v>
      </c>
      <c r="F715" s="385" t="s">
        <v>229</v>
      </c>
      <c r="G715" s="404" t="s">
        <v>5803</v>
      </c>
      <c r="H715" s="404" t="s">
        <v>5804</v>
      </c>
      <c r="I715" s="404" t="s">
        <v>23</v>
      </c>
      <c r="J715" s="404" t="s">
        <v>5805</v>
      </c>
      <c r="K715" s="404" t="s">
        <v>5806</v>
      </c>
    </row>
    <row r="716" spans="1:11" ht="30">
      <c r="A716" s="387"/>
      <c r="B716" s="387"/>
      <c r="C716" s="387"/>
      <c r="D716" s="404" t="s">
        <v>5807</v>
      </c>
      <c r="E716" s="404" t="s">
        <v>5808</v>
      </c>
      <c r="F716" s="385" t="s">
        <v>229</v>
      </c>
      <c r="G716" s="404" t="s">
        <v>5809</v>
      </c>
      <c r="H716" s="404" t="s">
        <v>5810</v>
      </c>
      <c r="I716" s="404" t="s">
        <v>23</v>
      </c>
      <c r="J716" s="404" t="s">
        <v>5811</v>
      </c>
      <c r="K716" s="404" t="s">
        <v>5812</v>
      </c>
    </row>
    <row r="717" spans="1:11">
      <c r="A717" s="387"/>
      <c r="B717" s="387"/>
      <c r="C717" s="387"/>
      <c r="D717" s="404" t="s">
        <v>5813</v>
      </c>
      <c r="E717" s="404" t="s">
        <v>5814</v>
      </c>
      <c r="F717" s="385" t="s">
        <v>229</v>
      </c>
      <c r="G717" s="404" t="s">
        <v>5815</v>
      </c>
      <c r="H717" s="404" t="s">
        <v>5816</v>
      </c>
      <c r="I717" s="404" t="s">
        <v>23</v>
      </c>
      <c r="J717" s="404" t="s">
        <v>5817</v>
      </c>
      <c r="K717" s="404" t="s">
        <v>5818</v>
      </c>
    </row>
    <row r="718" spans="1:11">
      <c r="A718" s="387"/>
      <c r="B718" s="387"/>
      <c r="C718" s="387"/>
      <c r="D718" s="404" t="s">
        <v>5785</v>
      </c>
      <c r="E718" s="404" t="s">
        <v>5819</v>
      </c>
      <c r="F718" s="385" t="s">
        <v>229</v>
      </c>
      <c r="G718" s="404" t="s">
        <v>5820</v>
      </c>
      <c r="H718" s="404" t="s">
        <v>5821</v>
      </c>
      <c r="I718" s="404" t="s">
        <v>23</v>
      </c>
      <c r="J718" s="404" t="s">
        <v>5822</v>
      </c>
      <c r="K718" s="404" t="s">
        <v>5823</v>
      </c>
    </row>
    <row r="719" spans="1:11">
      <c r="A719" s="387"/>
      <c r="B719" s="387"/>
      <c r="C719" s="387"/>
      <c r="D719" s="404" t="s">
        <v>5824</v>
      </c>
      <c r="E719" s="404" t="s">
        <v>5825</v>
      </c>
      <c r="F719" s="385" t="s">
        <v>229</v>
      </c>
      <c r="G719" s="404" t="s">
        <v>5826</v>
      </c>
      <c r="H719" s="404" t="s">
        <v>5827</v>
      </c>
      <c r="I719" s="404" t="s">
        <v>23</v>
      </c>
      <c r="J719" s="404" t="s">
        <v>5828</v>
      </c>
      <c r="K719" s="404" t="s">
        <v>5829</v>
      </c>
    </row>
    <row r="720" spans="1:11" ht="30">
      <c r="A720" s="387"/>
      <c r="B720" s="387"/>
      <c r="C720" s="387" t="s">
        <v>5830</v>
      </c>
      <c r="D720" s="404" t="s">
        <v>5831</v>
      </c>
      <c r="E720" s="404" t="s">
        <v>5832</v>
      </c>
      <c r="F720" s="385" t="s">
        <v>229</v>
      </c>
      <c r="G720" s="404" t="s">
        <v>5833</v>
      </c>
      <c r="H720" s="404" t="s">
        <v>5834</v>
      </c>
      <c r="I720" s="404" t="s">
        <v>23</v>
      </c>
      <c r="J720" s="404" t="s">
        <v>5835</v>
      </c>
      <c r="K720" s="404" t="s">
        <v>5836</v>
      </c>
    </row>
    <row r="721" spans="1:11">
      <c r="A721" s="387"/>
      <c r="B721" s="387"/>
      <c r="C721" s="387"/>
      <c r="D721" s="404" t="s">
        <v>5837</v>
      </c>
      <c r="E721" s="404" t="s">
        <v>5838</v>
      </c>
      <c r="F721" s="385" t="s">
        <v>425</v>
      </c>
      <c r="G721" s="404" t="s">
        <v>5839</v>
      </c>
      <c r="H721" s="404" t="s">
        <v>5840</v>
      </c>
      <c r="I721" s="404" t="s">
        <v>23</v>
      </c>
      <c r="J721" s="404" t="s">
        <v>5841</v>
      </c>
      <c r="K721" s="404" t="s">
        <v>5842</v>
      </c>
    </row>
    <row r="722" spans="1:11" ht="30">
      <c r="A722" s="387"/>
      <c r="B722" s="387"/>
      <c r="C722" s="387"/>
      <c r="D722" s="404" t="s">
        <v>5843</v>
      </c>
      <c r="E722" s="404" t="s">
        <v>5844</v>
      </c>
      <c r="F722" s="385" t="s">
        <v>425</v>
      </c>
      <c r="G722" s="404" t="s">
        <v>5845</v>
      </c>
      <c r="H722" s="404" t="s">
        <v>5846</v>
      </c>
      <c r="I722" s="404" t="s">
        <v>23</v>
      </c>
      <c r="J722" s="404" t="s">
        <v>5847</v>
      </c>
      <c r="K722" s="404" t="s">
        <v>5848</v>
      </c>
    </row>
    <row r="723" spans="1:11">
      <c r="A723" s="387"/>
      <c r="B723" s="387"/>
      <c r="C723" s="387"/>
      <c r="D723" s="404" t="s">
        <v>5815</v>
      </c>
      <c r="E723" s="404" t="s">
        <v>5849</v>
      </c>
      <c r="F723" s="385" t="s">
        <v>425</v>
      </c>
      <c r="G723" s="404" t="s">
        <v>5850</v>
      </c>
      <c r="H723" s="404" t="s">
        <v>5851</v>
      </c>
      <c r="I723" s="404" t="s">
        <v>23</v>
      </c>
      <c r="J723" s="404" t="s">
        <v>5852</v>
      </c>
      <c r="K723" s="404" t="s">
        <v>5853</v>
      </c>
    </row>
    <row r="724" spans="1:11">
      <c r="A724" s="387"/>
      <c r="B724" s="387"/>
      <c r="C724" s="387"/>
      <c r="D724" s="404" t="s">
        <v>5854</v>
      </c>
      <c r="E724" s="404" t="s">
        <v>5855</v>
      </c>
      <c r="F724" s="385" t="s">
        <v>20</v>
      </c>
      <c r="G724" s="404" t="s">
        <v>5856</v>
      </c>
      <c r="H724" s="404" t="s">
        <v>5857</v>
      </c>
      <c r="I724" s="404" t="s">
        <v>23</v>
      </c>
      <c r="J724" s="404" t="s">
        <v>5858</v>
      </c>
      <c r="K724" s="404" t="s">
        <v>5859</v>
      </c>
    </row>
    <row r="725" spans="1:11">
      <c r="A725" s="387"/>
      <c r="B725" s="387"/>
      <c r="C725" s="387" t="s">
        <v>5860</v>
      </c>
      <c r="D725" s="404" t="s">
        <v>5861</v>
      </c>
      <c r="E725" s="404" t="s">
        <v>5862</v>
      </c>
      <c r="F725" s="385" t="s">
        <v>20</v>
      </c>
      <c r="G725" s="404" t="s">
        <v>5863</v>
      </c>
      <c r="H725" s="404" t="s">
        <v>5864</v>
      </c>
      <c r="I725" s="404" t="s">
        <v>23</v>
      </c>
      <c r="J725" s="404" t="s">
        <v>5865</v>
      </c>
      <c r="K725" s="404" t="s">
        <v>5866</v>
      </c>
    </row>
    <row r="726" spans="1:11" ht="30">
      <c r="A726" s="387"/>
      <c r="B726" s="387"/>
      <c r="C726" s="387"/>
      <c r="D726" s="404" t="s">
        <v>5867</v>
      </c>
      <c r="E726" s="404" t="s">
        <v>5868</v>
      </c>
      <c r="F726" s="385" t="s">
        <v>20</v>
      </c>
      <c r="G726" s="404" t="s">
        <v>5869</v>
      </c>
      <c r="H726" s="404" t="s">
        <v>5870</v>
      </c>
      <c r="I726" s="404" t="s">
        <v>23</v>
      </c>
      <c r="J726" s="404" t="s">
        <v>5871</v>
      </c>
      <c r="K726" s="404" t="s">
        <v>5872</v>
      </c>
    </row>
    <row r="727" spans="1:11">
      <c r="A727" s="387"/>
      <c r="B727" s="387"/>
      <c r="C727" s="387"/>
      <c r="D727" s="404" t="s">
        <v>5873</v>
      </c>
      <c r="E727" s="404" t="s">
        <v>5874</v>
      </c>
      <c r="F727" s="385" t="s">
        <v>229</v>
      </c>
      <c r="G727" s="404" t="s">
        <v>5875</v>
      </c>
      <c r="H727" s="404" t="s">
        <v>5876</v>
      </c>
      <c r="I727" s="404" t="s">
        <v>23</v>
      </c>
      <c r="J727" s="404" t="s">
        <v>5877</v>
      </c>
      <c r="K727" s="404" t="s">
        <v>5878</v>
      </c>
    </row>
    <row r="728" spans="1:11">
      <c r="A728" s="387"/>
      <c r="B728" s="387"/>
      <c r="C728" s="387"/>
      <c r="D728" s="404" t="s">
        <v>5879</v>
      </c>
      <c r="E728" s="404" t="s">
        <v>5880</v>
      </c>
      <c r="F728" s="385" t="s">
        <v>229</v>
      </c>
      <c r="G728" s="404" t="s">
        <v>5881</v>
      </c>
      <c r="H728" s="404" t="s">
        <v>5882</v>
      </c>
      <c r="I728" s="404" t="s">
        <v>23</v>
      </c>
      <c r="J728" s="404" t="s">
        <v>5883</v>
      </c>
      <c r="K728" s="404" t="s">
        <v>5884</v>
      </c>
    </row>
    <row r="729" spans="1:11" ht="30">
      <c r="A729" s="387"/>
      <c r="B729" s="387"/>
      <c r="C729" s="387"/>
      <c r="D729" s="404" t="s">
        <v>5885</v>
      </c>
      <c r="E729" s="404" t="s">
        <v>5886</v>
      </c>
      <c r="F729" s="385" t="s">
        <v>229</v>
      </c>
      <c r="G729" s="404" t="s">
        <v>5887</v>
      </c>
      <c r="H729" s="404" t="s">
        <v>5888</v>
      </c>
      <c r="I729" s="404" t="s">
        <v>23</v>
      </c>
      <c r="J729" s="404" t="s">
        <v>5889</v>
      </c>
      <c r="K729" s="404" t="s">
        <v>5890</v>
      </c>
    </row>
    <row r="730" spans="1:11" ht="30">
      <c r="A730" s="387"/>
      <c r="B730" s="387"/>
      <c r="C730" s="387" t="s">
        <v>5891</v>
      </c>
      <c r="D730" s="404" t="s">
        <v>5856</v>
      </c>
      <c r="E730" s="404" t="s">
        <v>5892</v>
      </c>
      <c r="F730" s="385" t="s">
        <v>229</v>
      </c>
      <c r="G730" s="404" t="s">
        <v>5893</v>
      </c>
      <c r="H730" s="404" t="s">
        <v>5894</v>
      </c>
      <c r="I730" s="404" t="s">
        <v>23</v>
      </c>
      <c r="J730" s="404" t="s">
        <v>5895</v>
      </c>
      <c r="K730" s="404" t="s">
        <v>5896</v>
      </c>
    </row>
    <row r="731" spans="1:11" ht="30">
      <c r="A731" s="387"/>
      <c r="B731" s="387"/>
      <c r="C731" s="387"/>
      <c r="D731" s="404" t="s">
        <v>5897</v>
      </c>
      <c r="E731" s="404" t="s">
        <v>5898</v>
      </c>
      <c r="F731" s="385" t="s">
        <v>229</v>
      </c>
      <c r="G731" s="404" t="s">
        <v>5899</v>
      </c>
      <c r="H731" s="404" t="s">
        <v>5900</v>
      </c>
      <c r="I731" s="404" t="s">
        <v>23</v>
      </c>
      <c r="J731" s="404" t="s">
        <v>5901</v>
      </c>
      <c r="K731" s="404" t="s">
        <v>5902</v>
      </c>
    </row>
    <row r="732" spans="1:11" ht="30">
      <c r="A732" s="387"/>
      <c r="B732" s="387"/>
      <c r="C732" s="387"/>
      <c r="D732" s="404" t="s">
        <v>5903</v>
      </c>
      <c r="E732" s="404" t="s">
        <v>5904</v>
      </c>
      <c r="F732" s="385" t="s">
        <v>229</v>
      </c>
      <c r="G732" s="404" t="s">
        <v>5905</v>
      </c>
      <c r="H732" s="404" t="s">
        <v>5906</v>
      </c>
      <c r="I732" s="404" t="s">
        <v>23</v>
      </c>
      <c r="J732" s="404" t="s">
        <v>5907</v>
      </c>
      <c r="K732" s="404" t="s">
        <v>5908</v>
      </c>
    </row>
    <row r="733" spans="1:11" ht="30">
      <c r="A733" s="387"/>
      <c r="B733" s="387"/>
      <c r="C733" s="387"/>
      <c r="D733" s="404" t="s">
        <v>5909</v>
      </c>
      <c r="E733" s="404" t="s">
        <v>5910</v>
      </c>
      <c r="F733" s="385" t="s">
        <v>229</v>
      </c>
      <c r="G733" s="404" t="s">
        <v>5911</v>
      </c>
      <c r="H733" s="404" t="s">
        <v>5912</v>
      </c>
      <c r="I733" s="404" t="s">
        <v>23</v>
      </c>
      <c r="J733" s="404" t="s">
        <v>5913</v>
      </c>
      <c r="K733" s="404" t="s">
        <v>5914</v>
      </c>
    </row>
    <row r="734" spans="1:11" ht="30">
      <c r="A734" s="387"/>
      <c r="B734" s="387"/>
      <c r="C734" s="387"/>
      <c r="D734" s="404" t="s">
        <v>5881</v>
      </c>
      <c r="E734" s="404" t="s">
        <v>5915</v>
      </c>
      <c r="F734" s="385" t="s">
        <v>229</v>
      </c>
      <c r="G734" s="404" t="s">
        <v>5916</v>
      </c>
      <c r="H734" s="404" t="s">
        <v>5917</v>
      </c>
      <c r="I734" s="404" t="s">
        <v>23</v>
      </c>
      <c r="J734" s="404" t="s">
        <v>5918</v>
      </c>
      <c r="K734" s="404" t="s">
        <v>5919</v>
      </c>
    </row>
    <row r="735" spans="1:11" ht="30">
      <c r="A735" s="387"/>
      <c r="B735" s="387"/>
      <c r="C735" s="387" t="s">
        <v>5920</v>
      </c>
      <c r="D735" s="404" t="s">
        <v>5921</v>
      </c>
      <c r="E735" s="404" t="s">
        <v>5922</v>
      </c>
      <c r="F735" s="385" t="s">
        <v>229</v>
      </c>
      <c r="G735" s="404" t="s">
        <v>5923</v>
      </c>
      <c r="H735" s="404" t="s">
        <v>5924</v>
      </c>
      <c r="I735" s="404" t="s">
        <v>23</v>
      </c>
      <c r="J735" s="404" t="s">
        <v>5925</v>
      </c>
      <c r="K735" s="404" t="s">
        <v>5926</v>
      </c>
    </row>
    <row r="736" spans="1:11" ht="30">
      <c r="A736" s="387"/>
      <c r="B736" s="387"/>
      <c r="C736" s="387"/>
      <c r="D736" s="404" t="s">
        <v>5927</v>
      </c>
      <c r="E736" s="404" t="s">
        <v>5928</v>
      </c>
      <c r="F736" s="385" t="s">
        <v>229</v>
      </c>
      <c r="G736" s="404" t="s">
        <v>5929</v>
      </c>
      <c r="H736" s="404" t="s">
        <v>5930</v>
      </c>
      <c r="I736" s="404" t="s">
        <v>23</v>
      </c>
      <c r="J736" s="404" t="s">
        <v>5931</v>
      </c>
      <c r="K736" s="404" t="s">
        <v>5932</v>
      </c>
    </row>
    <row r="737" spans="1:11" ht="30">
      <c r="A737" s="387"/>
      <c r="B737" s="387"/>
      <c r="C737" s="387"/>
      <c r="D737" s="404" t="s">
        <v>5933</v>
      </c>
      <c r="E737" s="404" t="s">
        <v>5934</v>
      </c>
      <c r="F737" s="385" t="s">
        <v>229</v>
      </c>
      <c r="G737" s="404" t="s">
        <v>5935</v>
      </c>
      <c r="H737" s="404" t="s">
        <v>5936</v>
      </c>
      <c r="I737" s="404" t="s">
        <v>23</v>
      </c>
      <c r="J737" s="404" t="s">
        <v>5937</v>
      </c>
      <c r="K737" s="404" t="s">
        <v>5938</v>
      </c>
    </row>
    <row r="738" spans="1:11" ht="30">
      <c r="A738" s="387"/>
      <c r="B738" s="387"/>
      <c r="C738" s="387"/>
      <c r="D738" s="404" t="s">
        <v>5939</v>
      </c>
      <c r="E738" s="404" t="s">
        <v>5940</v>
      </c>
      <c r="F738" s="385" t="s">
        <v>229</v>
      </c>
      <c r="G738" s="404" t="s">
        <v>5941</v>
      </c>
      <c r="H738" s="404" t="s">
        <v>5942</v>
      </c>
      <c r="I738" s="404" t="s">
        <v>23</v>
      </c>
      <c r="J738" s="404" t="s">
        <v>5943</v>
      </c>
      <c r="K738" s="404" t="s">
        <v>5944</v>
      </c>
    </row>
    <row r="739" spans="1:11" ht="30">
      <c r="A739" s="387"/>
      <c r="B739" s="387"/>
      <c r="C739" s="387"/>
      <c r="D739" s="404" t="s">
        <v>5945</v>
      </c>
      <c r="E739" s="404" t="s">
        <v>5946</v>
      </c>
      <c r="F739" s="385" t="s">
        <v>229</v>
      </c>
      <c r="G739" s="404" t="s">
        <v>5947</v>
      </c>
      <c r="H739" s="404" t="s">
        <v>5948</v>
      </c>
      <c r="I739" s="404" t="s">
        <v>23</v>
      </c>
      <c r="J739" s="404" t="s">
        <v>5949</v>
      </c>
      <c r="K739" s="404" t="s">
        <v>5950</v>
      </c>
    </row>
    <row r="740" spans="1:11" ht="30">
      <c r="A740" s="387"/>
      <c r="B740" s="387" t="s">
        <v>5951</v>
      </c>
      <c r="C740" s="387" t="s">
        <v>5952</v>
      </c>
      <c r="D740" s="404" t="s">
        <v>5953</v>
      </c>
      <c r="E740" s="404" t="s">
        <v>5954</v>
      </c>
      <c r="F740" s="385" t="s">
        <v>20</v>
      </c>
      <c r="G740" s="404" t="s">
        <v>5955</v>
      </c>
      <c r="H740" s="404" t="s">
        <v>5956</v>
      </c>
      <c r="I740" s="404" t="s">
        <v>23</v>
      </c>
      <c r="J740" s="404" t="s">
        <v>5957</v>
      </c>
      <c r="K740" s="404" t="s">
        <v>5958</v>
      </c>
    </row>
    <row r="741" spans="1:11" ht="30">
      <c r="A741" s="387"/>
      <c r="B741" s="387"/>
      <c r="C741" s="387"/>
      <c r="D741" s="404" t="s">
        <v>5959</v>
      </c>
      <c r="E741" s="404" t="s">
        <v>5960</v>
      </c>
      <c r="F741" s="385" t="s">
        <v>20</v>
      </c>
      <c r="G741" s="404" t="s">
        <v>5961</v>
      </c>
      <c r="H741" s="404" t="s">
        <v>5962</v>
      </c>
      <c r="I741" s="404" t="s">
        <v>23</v>
      </c>
      <c r="J741" s="404" t="s">
        <v>5963</v>
      </c>
      <c r="K741" s="404" t="s">
        <v>5964</v>
      </c>
    </row>
    <row r="742" spans="1:11" ht="30">
      <c r="A742" s="387"/>
      <c r="B742" s="387"/>
      <c r="C742" s="387"/>
      <c r="D742" s="404" t="s">
        <v>5965</v>
      </c>
      <c r="E742" s="404" t="s">
        <v>5966</v>
      </c>
      <c r="F742" s="385" t="s">
        <v>20</v>
      </c>
      <c r="G742" s="404" t="s">
        <v>5967</v>
      </c>
      <c r="H742" s="404" t="s">
        <v>5968</v>
      </c>
      <c r="I742" s="404" t="s">
        <v>23</v>
      </c>
      <c r="J742" s="404" t="s">
        <v>5969</v>
      </c>
      <c r="K742" s="404" t="s">
        <v>5970</v>
      </c>
    </row>
    <row r="743" spans="1:11" ht="30">
      <c r="A743" s="387"/>
      <c r="B743" s="387"/>
      <c r="C743" s="387"/>
      <c r="D743" s="404" t="s">
        <v>5971</v>
      </c>
      <c r="E743" s="404" t="s">
        <v>5972</v>
      </c>
      <c r="F743" s="385" t="s">
        <v>20</v>
      </c>
      <c r="G743" s="404" t="s">
        <v>5973</v>
      </c>
      <c r="H743" s="404" t="s">
        <v>5974</v>
      </c>
      <c r="I743" s="404" t="s">
        <v>23</v>
      </c>
      <c r="J743" s="404" t="s">
        <v>5975</v>
      </c>
      <c r="K743" s="404" t="s">
        <v>5976</v>
      </c>
    </row>
    <row r="744" spans="1:11" ht="30">
      <c r="A744" s="387"/>
      <c r="B744" s="387"/>
      <c r="C744" s="387"/>
      <c r="D744" s="404" t="s">
        <v>5977</v>
      </c>
      <c r="E744" s="404" t="s">
        <v>5978</v>
      </c>
      <c r="F744" s="385" t="s">
        <v>20</v>
      </c>
      <c r="G744" s="404" t="s">
        <v>5979</v>
      </c>
      <c r="H744" s="404" t="s">
        <v>5980</v>
      </c>
      <c r="I744" s="404" t="s">
        <v>23</v>
      </c>
      <c r="J744" s="404" t="s">
        <v>5981</v>
      </c>
      <c r="K744" s="404" t="s">
        <v>5982</v>
      </c>
    </row>
    <row r="745" spans="1:11" ht="30">
      <c r="A745" s="387"/>
      <c r="B745" s="387"/>
      <c r="C745" s="387" t="s">
        <v>5739</v>
      </c>
      <c r="D745" s="404" t="s">
        <v>5929</v>
      </c>
      <c r="E745" s="404" t="s">
        <v>5983</v>
      </c>
      <c r="F745" s="385" t="s">
        <v>20</v>
      </c>
      <c r="G745" s="404" t="s">
        <v>5984</v>
      </c>
      <c r="H745" s="404" t="s">
        <v>5985</v>
      </c>
      <c r="I745" s="404" t="s">
        <v>23</v>
      </c>
      <c r="J745" s="404" t="s">
        <v>5986</v>
      </c>
      <c r="K745" s="404" t="s">
        <v>5987</v>
      </c>
    </row>
    <row r="746" spans="1:11" ht="30">
      <c r="A746" s="387"/>
      <c r="B746" s="387"/>
      <c r="C746" s="387"/>
      <c r="D746" s="404" t="s">
        <v>5988</v>
      </c>
      <c r="E746" s="404" t="s">
        <v>5989</v>
      </c>
      <c r="F746" s="385" t="s">
        <v>20</v>
      </c>
      <c r="G746" s="404" t="s">
        <v>5990</v>
      </c>
      <c r="H746" s="404" t="s">
        <v>5991</v>
      </c>
      <c r="I746" s="404" t="s">
        <v>23</v>
      </c>
      <c r="J746" s="404" t="s">
        <v>5992</v>
      </c>
      <c r="K746" s="404" t="s">
        <v>5993</v>
      </c>
    </row>
    <row r="747" spans="1:11" ht="30">
      <c r="A747" s="387"/>
      <c r="B747" s="387"/>
      <c r="C747" s="387"/>
      <c r="D747" s="404" t="s">
        <v>5994</v>
      </c>
      <c r="E747" s="404" t="s">
        <v>5995</v>
      </c>
      <c r="F747" s="385" t="s">
        <v>20</v>
      </c>
      <c r="G747" s="404" t="s">
        <v>5996</v>
      </c>
      <c r="H747" s="404" t="s">
        <v>5997</v>
      </c>
      <c r="I747" s="404" t="s">
        <v>23</v>
      </c>
      <c r="J747" s="404" t="s">
        <v>5998</v>
      </c>
      <c r="K747" s="404" t="s">
        <v>5999</v>
      </c>
    </row>
    <row r="748" spans="1:11" ht="30">
      <c r="A748" s="387"/>
      <c r="B748" s="387"/>
      <c r="C748" s="387"/>
      <c r="D748" s="404" t="s">
        <v>6000</v>
      </c>
      <c r="E748" s="404" t="s">
        <v>6001</v>
      </c>
      <c r="F748" s="385" t="s">
        <v>20</v>
      </c>
      <c r="G748" s="404" t="s">
        <v>6002</v>
      </c>
      <c r="H748" s="404" t="s">
        <v>6003</v>
      </c>
      <c r="I748" s="404" t="s">
        <v>23</v>
      </c>
      <c r="J748" s="404" t="s">
        <v>6004</v>
      </c>
      <c r="K748" s="404" t="s">
        <v>6005</v>
      </c>
    </row>
    <row r="749" spans="1:11" ht="30">
      <c r="A749" s="387"/>
      <c r="B749" s="387"/>
      <c r="C749" s="387"/>
      <c r="D749" s="404" t="s">
        <v>6006</v>
      </c>
      <c r="E749" s="404" t="s">
        <v>6007</v>
      </c>
      <c r="F749" s="385" t="s">
        <v>20</v>
      </c>
      <c r="G749" s="404" t="s">
        <v>6008</v>
      </c>
      <c r="H749" s="404" t="s">
        <v>6009</v>
      </c>
      <c r="I749" s="404" t="s">
        <v>23</v>
      </c>
      <c r="J749" s="404" t="s">
        <v>6010</v>
      </c>
      <c r="K749" s="404" t="s">
        <v>6011</v>
      </c>
    </row>
    <row r="750" spans="1:11" ht="30">
      <c r="A750" s="387"/>
      <c r="B750" s="387"/>
      <c r="C750" s="387" t="s">
        <v>6012</v>
      </c>
      <c r="D750" s="404" t="s">
        <v>6013</v>
      </c>
      <c r="E750" s="404" t="s">
        <v>6014</v>
      </c>
      <c r="F750" s="385" t="s">
        <v>425</v>
      </c>
      <c r="G750" s="404" t="s">
        <v>6015</v>
      </c>
      <c r="H750" s="404" t="s">
        <v>6016</v>
      </c>
      <c r="I750" s="404" t="s">
        <v>23</v>
      </c>
      <c r="J750" s="404" t="s">
        <v>6017</v>
      </c>
      <c r="K750" s="404" t="s">
        <v>6018</v>
      </c>
    </row>
    <row r="751" spans="1:11" ht="30">
      <c r="A751" s="387"/>
      <c r="B751" s="387"/>
      <c r="C751" s="387"/>
      <c r="D751" s="404" t="s">
        <v>6019</v>
      </c>
      <c r="E751" s="404" t="s">
        <v>6020</v>
      </c>
      <c r="F751" s="385" t="s">
        <v>425</v>
      </c>
      <c r="G751" s="404" t="s">
        <v>6021</v>
      </c>
      <c r="H751" s="404" t="s">
        <v>6022</v>
      </c>
      <c r="I751" s="404" t="s">
        <v>23</v>
      </c>
      <c r="J751" s="404" t="s">
        <v>6023</v>
      </c>
      <c r="K751" s="404" t="s">
        <v>6024</v>
      </c>
    </row>
    <row r="752" spans="1:11" ht="30">
      <c r="A752" s="387"/>
      <c r="B752" s="387"/>
      <c r="C752" s="387"/>
      <c r="D752" s="404" t="s">
        <v>6025</v>
      </c>
      <c r="E752" s="404" t="s">
        <v>6026</v>
      </c>
      <c r="F752" s="385" t="s">
        <v>20</v>
      </c>
      <c r="G752" s="404" t="s">
        <v>6027</v>
      </c>
      <c r="H752" s="404" t="s">
        <v>6028</v>
      </c>
      <c r="I752" s="404" t="s">
        <v>23</v>
      </c>
      <c r="J752" s="404" t="s">
        <v>6029</v>
      </c>
      <c r="K752" s="404" t="s">
        <v>6030</v>
      </c>
    </row>
    <row r="753" spans="1:11" ht="30">
      <c r="A753" s="387"/>
      <c r="B753" s="387"/>
      <c r="C753" s="387"/>
      <c r="D753" s="404" t="s">
        <v>6031</v>
      </c>
      <c r="E753" s="404" t="s">
        <v>6032</v>
      </c>
      <c r="F753" s="385" t="s">
        <v>20</v>
      </c>
      <c r="G753" s="404" t="s">
        <v>6033</v>
      </c>
      <c r="H753" s="404" t="s">
        <v>6034</v>
      </c>
      <c r="I753" s="404" t="s">
        <v>23</v>
      </c>
      <c r="J753" s="404" t="s">
        <v>6035</v>
      </c>
      <c r="K753" s="404" t="s">
        <v>6036</v>
      </c>
    </row>
    <row r="754" spans="1:11" ht="30">
      <c r="A754" s="387"/>
      <c r="B754" s="387"/>
      <c r="C754" s="387"/>
      <c r="D754" s="404" t="s">
        <v>6037</v>
      </c>
      <c r="E754" s="404" t="s">
        <v>6038</v>
      </c>
      <c r="F754" s="385" t="s">
        <v>20</v>
      </c>
      <c r="G754" s="404" t="s">
        <v>6039</v>
      </c>
      <c r="H754" s="404" t="s">
        <v>6040</v>
      </c>
      <c r="I754" s="404" t="s">
        <v>23</v>
      </c>
      <c r="J754" s="404" t="s">
        <v>6041</v>
      </c>
      <c r="K754" s="404" t="s">
        <v>6042</v>
      </c>
    </row>
    <row r="755" spans="1:11" ht="30">
      <c r="A755" s="387"/>
      <c r="B755" s="387"/>
      <c r="C755" s="387" t="s">
        <v>6043</v>
      </c>
      <c r="D755" s="404" t="s">
        <v>6044</v>
      </c>
      <c r="E755" s="404" t="s">
        <v>6045</v>
      </c>
      <c r="F755" s="385" t="s">
        <v>425</v>
      </c>
      <c r="G755" s="404" t="s">
        <v>6046</v>
      </c>
      <c r="H755" s="404" t="s">
        <v>6047</v>
      </c>
      <c r="I755" s="404" t="s">
        <v>23</v>
      </c>
      <c r="J755" s="404" t="s">
        <v>6048</v>
      </c>
      <c r="K755" s="404" t="s">
        <v>6049</v>
      </c>
    </row>
    <row r="756" spans="1:11" ht="30">
      <c r="A756" s="387"/>
      <c r="B756" s="387"/>
      <c r="C756" s="387"/>
      <c r="D756" s="404" t="s">
        <v>6050</v>
      </c>
      <c r="E756" s="404" t="s">
        <v>6051</v>
      </c>
      <c r="F756" s="385" t="s">
        <v>425</v>
      </c>
      <c r="G756" s="404" t="s">
        <v>6052</v>
      </c>
      <c r="H756" s="404" t="s">
        <v>6053</v>
      </c>
      <c r="I756" s="404" t="s">
        <v>23</v>
      </c>
      <c r="J756" s="404" t="s">
        <v>6054</v>
      </c>
      <c r="K756" s="404" t="s">
        <v>6055</v>
      </c>
    </row>
    <row r="757" spans="1:11" ht="30">
      <c r="A757" s="387"/>
      <c r="B757" s="387"/>
      <c r="C757" s="387"/>
      <c r="D757" s="404" t="s">
        <v>6056</v>
      </c>
      <c r="E757" s="404" t="s">
        <v>6057</v>
      </c>
      <c r="F757" s="385" t="s">
        <v>425</v>
      </c>
      <c r="G757" s="404" t="s">
        <v>6058</v>
      </c>
      <c r="H757" s="404" t="s">
        <v>6059</v>
      </c>
      <c r="I757" s="404" t="s">
        <v>23</v>
      </c>
      <c r="J757" s="404" t="s">
        <v>6060</v>
      </c>
      <c r="K757" s="404" t="s">
        <v>6061</v>
      </c>
    </row>
    <row r="758" spans="1:11" ht="30">
      <c r="A758" s="387"/>
      <c r="B758" s="387"/>
      <c r="C758" s="387"/>
      <c r="D758" s="404" t="s">
        <v>6062</v>
      </c>
      <c r="E758" s="404" t="s">
        <v>6063</v>
      </c>
      <c r="F758" s="385" t="s">
        <v>20</v>
      </c>
      <c r="G758" s="404" t="s">
        <v>6064</v>
      </c>
      <c r="H758" s="404" t="s">
        <v>6065</v>
      </c>
      <c r="I758" s="404" t="s">
        <v>23</v>
      </c>
      <c r="J758" s="404" t="s">
        <v>6066</v>
      </c>
      <c r="K758" s="404" t="s">
        <v>6067</v>
      </c>
    </row>
    <row r="759" spans="1:11" ht="30">
      <c r="A759" s="387"/>
      <c r="B759" s="387"/>
      <c r="C759" s="387"/>
      <c r="D759" s="404" t="s">
        <v>6068</v>
      </c>
      <c r="E759" s="404" t="s">
        <v>6069</v>
      </c>
      <c r="F759" s="385" t="s">
        <v>20</v>
      </c>
      <c r="G759" s="404" t="s">
        <v>6070</v>
      </c>
      <c r="H759" s="404" t="s">
        <v>6071</v>
      </c>
      <c r="I759" s="404" t="s">
        <v>23</v>
      </c>
      <c r="J759" s="404" t="s">
        <v>6072</v>
      </c>
      <c r="K759" s="404" t="s">
        <v>6073</v>
      </c>
    </row>
    <row r="760" spans="1:11" ht="30">
      <c r="A760" s="387"/>
      <c r="B760" s="387"/>
      <c r="C760" s="387" t="s">
        <v>6074</v>
      </c>
      <c r="D760" s="404" t="s">
        <v>6075</v>
      </c>
      <c r="E760" s="404" t="s">
        <v>6076</v>
      </c>
      <c r="F760" s="385" t="s">
        <v>20</v>
      </c>
      <c r="G760" s="404" t="s">
        <v>6077</v>
      </c>
      <c r="H760" s="404" t="s">
        <v>6078</v>
      </c>
      <c r="I760" s="404" t="s">
        <v>23</v>
      </c>
      <c r="J760" s="404" t="s">
        <v>6079</v>
      </c>
      <c r="K760" s="404" t="s">
        <v>6080</v>
      </c>
    </row>
    <row r="761" spans="1:11" ht="30">
      <c r="A761" s="387"/>
      <c r="B761" s="387"/>
      <c r="C761" s="387"/>
      <c r="D761" s="404" t="s">
        <v>6081</v>
      </c>
      <c r="E761" s="404" t="s">
        <v>6082</v>
      </c>
      <c r="F761" s="385" t="s">
        <v>229</v>
      </c>
      <c r="G761" s="404" t="s">
        <v>6083</v>
      </c>
      <c r="H761" s="404" t="s">
        <v>6084</v>
      </c>
      <c r="I761" s="404" t="s">
        <v>23</v>
      </c>
      <c r="J761" s="404" t="s">
        <v>6085</v>
      </c>
      <c r="K761" s="404" t="s">
        <v>6086</v>
      </c>
    </row>
    <row r="762" spans="1:11" ht="30">
      <c r="A762" s="387"/>
      <c r="B762" s="387"/>
      <c r="C762" s="387"/>
      <c r="D762" s="404" t="s">
        <v>6087</v>
      </c>
      <c r="E762" s="404" t="s">
        <v>6088</v>
      </c>
      <c r="F762" s="385" t="s">
        <v>229</v>
      </c>
      <c r="G762" s="404" t="s">
        <v>6089</v>
      </c>
      <c r="H762" s="404" t="s">
        <v>6090</v>
      </c>
      <c r="I762" s="404" t="s">
        <v>23</v>
      </c>
      <c r="J762" s="404" t="s">
        <v>6091</v>
      </c>
      <c r="K762" s="404" t="s">
        <v>6092</v>
      </c>
    </row>
    <row r="763" spans="1:11" ht="30">
      <c r="A763" s="387"/>
      <c r="B763" s="387"/>
      <c r="C763" s="387"/>
      <c r="D763" s="404" t="s">
        <v>6093</v>
      </c>
      <c r="E763" s="404" t="s">
        <v>6094</v>
      </c>
      <c r="F763" s="385" t="s">
        <v>229</v>
      </c>
      <c r="G763" s="404" t="s">
        <v>6095</v>
      </c>
      <c r="H763" s="404" t="s">
        <v>6096</v>
      </c>
      <c r="I763" s="404" t="s">
        <v>23</v>
      </c>
      <c r="J763" s="404" t="s">
        <v>6097</v>
      </c>
      <c r="K763" s="404" t="s">
        <v>6098</v>
      </c>
    </row>
    <row r="764" spans="1:11" ht="30">
      <c r="A764" s="387"/>
      <c r="B764" s="387"/>
      <c r="C764" s="387"/>
      <c r="D764" s="404" t="s">
        <v>6099</v>
      </c>
      <c r="E764" s="404" t="s">
        <v>6100</v>
      </c>
      <c r="F764" s="385" t="s">
        <v>229</v>
      </c>
      <c r="G764" s="404" t="s">
        <v>6101</v>
      </c>
      <c r="H764" s="404" t="s">
        <v>6102</v>
      </c>
      <c r="I764" s="404" t="s">
        <v>23</v>
      </c>
      <c r="J764" s="404" t="s">
        <v>6103</v>
      </c>
      <c r="K764" s="404" t="s">
        <v>6104</v>
      </c>
    </row>
    <row r="765" spans="1:11" ht="30">
      <c r="A765" s="387"/>
      <c r="B765" s="387"/>
      <c r="C765" s="387" t="s">
        <v>6105</v>
      </c>
      <c r="D765" s="404" t="s">
        <v>6106</v>
      </c>
      <c r="E765" s="404" t="s">
        <v>6107</v>
      </c>
      <c r="F765" s="385" t="s">
        <v>229</v>
      </c>
      <c r="G765" s="404" t="s">
        <v>6108</v>
      </c>
      <c r="H765" s="404" t="s">
        <v>6109</v>
      </c>
      <c r="I765" s="404" t="s">
        <v>23</v>
      </c>
      <c r="J765" s="404" t="s">
        <v>6110</v>
      </c>
      <c r="K765" s="404" t="s">
        <v>6111</v>
      </c>
    </row>
    <row r="766" spans="1:11" ht="30">
      <c r="A766" s="387"/>
      <c r="B766" s="387"/>
      <c r="C766" s="387"/>
      <c r="D766" s="404" t="s">
        <v>6112</v>
      </c>
      <c r="E766" s="404" t="s">
        <v>6113</v>
      </c>
      <c r="F766" s="385" t="s">
        <v>425</v>
      </c>
      <c r="G766" s="404" t="s">
        <v>6114</v>
      </c>
      <c r="H766" s="404" t="s">
        <v>6115</v>
      </c>
      <c r="I766" s="404" t="s">
        <v>23</v>
      </c>
      <c r="J766" s="404" t="s">
        <v>6116</v>
      </c>
      <c r="K766" s="404" t="s">
        <v>6117</v>
      </c>
    </row>
    <row r="767" spans="1:11" ht="30">
      <c r="A767" s="387"/>
      <c r="B767" s="387"/>
      <c r="C767" s="387"/>
      <c r="D767" s="404" t="s">
        <v>6118</v>
      </c>
      <c r="E767" s="404" t="s">
        <v>6119</v>
      </c>
      <c r="F767" s="385" t="s">
        <v>425</v>
      </c>
      <c r="G767" s="404" t="s">
        <v>6120</v>
      </c>
      <c r="H767" s="404" t="s">
        <v>6121</v>
      </c>
      <c r="I767" s="404" t="s">
        <v>23</v>
      </c>
      <c r="J767" s="404" t="s">
        <v>6122</v>
      </c>
      <c r="K767" s="404" t="s">
        <v>6123</v>
      </c>
    </row>
    <row r="768" spans="1:11" ht="30">
      <c r="A768" s="387"/>
      <c r="B768" s="387"/>
      <c r="C768" s="387"/>
      <c r="D768" s="404" t="s">
        <v>6124</v>
      </c>
      <c r="E768" s="404" t="s">
        <v>6125</v>
      </c>
      <c r="F768" s="385" t="s">
        <v>425</v>
      </c>
      <c r="G768" s="404" t="s">
        <v>6126</v>
      </c>
      <c r="H768" s="404" t="s">
        <v>6127</v>
      </c>
      <c r="I768" s="404" t="s">
        <v>23</v>
      </c>
      <c r="J768" s="404" t="s">
        <v>6128</v>
      </c>
      <c r="K768" s="404" t="s">
        <v>6129</v>
      </c>
    </row>
    <row r="769" spans="1:11" ht="30">
      <c r="A769" s="387"/>
      <c r="B769" s="387"/>
      <c r="C769" s="387"/>
      <c r="D769" s="404" t="s">
        <v>6130</v>
      </c>
      <c r="E769" s="404" t="s">
        <v>6131</v>
      </c>
      <c r="F769" s="385" t="s">
        <v>425</v>
      </c>
      <c r="G769" s="404" t="s">
        <v>6132</v>
      </c>
      <c r="H769" s="404" t="s">
        <v>6133</v>
      </c>
      <c r="I769" s="404" t="s">
        <v>23</v>
      </c>
      <c r="J769" s="404" t="s">
        <v>6134</v>
      </c>
      <c r="K769" s="404" t="s">
        <v>6135</v>
      </c>
    </row>
    <row r="770" spans="1:11" ht="30">
      <c r="A770" s="387"/>
      <c r="B770" s="387"/>
      <c r="C770" s="387" t="s">
        <v>6136</v>
      </c>
      <c r="D770" s="404" t="s">
        <v>6137</v>
      </c>
      <c r="E770" s="404" t="s">
        <v>6138</v>
      </c>
      <c r="F770" s="385" t="s">
        <v>425</v>
      </c>
      <c r="G770" s="404" t="s">
        <v>6139</v>
      </c>
      <c r="H770" s="404" t="s">
        <v>6140</v>
      </c>
      <c r="I770" s="404" t="s">
        <v>23</v>
      </c>
      <c r="J770" s="404" t="s">
        <v>6141</v>
      </c>
      <c r="K770" s="404" t="s">
        <v>6142</v>
      </c>
    </row>
    <row r="771" spans="1:11" ht="30">
      <c r="A771" s="387"/>
      <c r="B771" s="387"/>
      <c r="C771" s="387"/>
      <c r="D771" s="404" t="s">
        <v>6089</v>
      </c>
      <c r="E771" s="404" t="s">
        <v>6143</v>
      </c>
      <c r="F771" s="385" t="s">
        <v>425</v>
      </c>
      <c r="G771" s="404" t="s">
        <v>6144</v>
      </c>
      <c r="H771" s="404" t="s">
        <v>6145</v>
      </c>
      <c r="I771" s="404" t="s">
        <v>23</v>
      </c>
      <c r="J771" s="404" t="s">
        <v>6146</v>
      </c>
      <c r="K771" s="404" t="s">
        <v>6147</v>
      </c>
    </row>
    <row r="772" spans="1:11" ht="30">
      <c r="A772" s="387"/>
      <c r="B772" s="387"/>
      <c r="C772" s="387"/>
      <c r="D772" s="404" t="s">
        <v>6148</v>
      </c>
      <c r="E772" s="404" t="s">
        <v>6149</v>
      </c>
      <c r="F772" s="385" t="s">
        <v>229</v>
      </c>
      <c r="G772" s="404" t="s">
        <v>6150</v>
      </c>
      <c r="H772" s="404" t="s">
        <v>6151</v>
      </c>
      <c r="I772" s="404" t="s">
        <v>23</v>
      </c>
      <c r="J772" s="404" t="s">
        <v>6152</v>
      </c>
      <c r="K772" s="404" t="s">
        <v>6153</v>
      </c>
    </row>
    <row r="773" spans="1:11" ht="30">
      <c r="A773" s="387"/>
      <c r="B773" s="387"/>
      <c r="C773" s="387"/>
      <c r="D773" s="404" t="s">
        <v>6154</v>
      </c>
      <c r="E773" s="404" t="s">
        <v>6155</v>
      </c>
      <c r="F773" s="385" t="s">
        <v>229</v>
      </c>
      <c r="G773" s="404" t="s">
        <v>6156</v>
      </c>
      <c r="H773" s="404" t="s">
        <v>6157</v>
      </c>
      <c r="I773" s="404" t="s">
        <v>23</v>
      </c>
      <c r="J773" s="404" t="s">
        <v>6158</v>
      </c>
      <c r="K773" s="404" t="s">
        <v>6159</v>
      </c>
    </row>
    <row r="774" spans="1:11" ht="30">
      <c r="A774" s="387"/>
      <c r="B774" s="387"/>
      <c r="C774" s="387"/>
      <c r="D774" s="404" t="s">
        <v>6160</v>
      </c>
      <c r="E774" s="404" t="s">
        <v>6161</v>
      </c>
      <c r="F774" s="385" t="s">
        <v>229</v>
      </c>
      <c r="G774" s="404" t="s">
        <v>6162</v>
      </c>
      <c r="H774" s="404" t="s">
        <v>6163</v>
      </c>
      <c r="I774" s="404" t="s">
        <v>23</v>
      </c>
      <c r="J774" s="404" t="s">
        <v>6164</v>
      </c>
      <c r="K774" s="404" t="s">
        <v>6165</v>
      </c>
    </row>
    <row r="775" spans="1:11" ht="30">
      <c r="A775" s="387"/>
      <c r="B775" s="387"/>
      <c r="C775" s="387" t="s">
        <v>6166</v>
      </c>
      <c r="D775" s="404" t="s">
        <v>6167</v>
      </c>
      <c r="E775" s="404" t="s">
        <v>6168</v>
      </c>
      <c r="F775" s="385" t="s">
        <v>229</v>
      </c>
      <c r="G775" s="404" t="s">
        <v>6169</v>
      </c>
      <c r="H775" s="404" t="s">
        <v>6170</v>
      </c>
      <c r="I775" s="404" t="s">
        <v>23</v>
      </c>
      <c r="J775" s="404" t="s">
        <v>6171</v>
      </c>
      <c r="K775" s="404" t="s">
        <v>6172</v>
      </c>
    </row>
    <row r="776" spans="1:11" ht="30">
      <c r="A776" s="387"/>
      <c r="B776" s="387"/>
      <c r="C776" s="387"/>
      <c r="D776" s="404" t="s">
        <v>6173</v>
      </c>
      <c r="E776" s="404" t="s">
        <v>6174</v>
      </c>
      <c r="F776" s="385" t="s">
        <v>20</v>
      </c>
      <c r="G776" s="404" t="s">
        <v>6175</v>
      </c>
      <c r="H776" s="404" t="s">
        <v>6176</v>
      </c>
      <c r="I776" s="404" t="s">
        <v>23</v>
      </c>
      <c r="J776" s="404" t="s">
        <v>6177</v>
      </c>
      <c r="K776" s="404" t="s">
        <v>6178</v>
      </c>
    </row>
    <row r="777" spans="1:11" ht="30">
      <c r="A777" s="387"/>
      <c r="B777" s="387"/>
      <c r="C777" s="387"/>
      <c r="D777" s="404" t="s">
        <v>6126</v>
      </c>
      <c r="E777" s="404" t="s">
        <v>6179</v>
      </c>
      <c r="F777" s="385" t="s">
        <v>20</v>
      </c>
      <c r="G777" s="404" t="s">
        <v>6180</v>
      </c>
      <c r="H777" s="404" t="s">
        <v>6181</v>
      </c>
      <c r="I777" s="404" t="s">
        <v>23</v>
      </c>
      <c r="J777" s="404" t="s">
        <v>6182</v>
      </c>
      <c r="K777" s="404" t="s">
        <v>6183</v>
      </c>
    </row>
    <row r="778" spans="1:11" ht="30">
      <c r="A778" s="387"/>
      <c r="B778" s="387"/>
      <c r="C778" s="387"/>
      <c r="D778" s="404" t="s">
        <v>6184</v>
      </c>
      <c r="E778" s="404" t="s">
        <v>6185</v>
      </c>
      <c r="F778" s="385" t="s">
        <v>20</v>
      </c>
      <c r="G778" s="404" t="s">
        <v>6186</v>
      </c>
      <c r="H778" s="404" t="s">
        <v>6187</v>
      </c>
      <c r="I778" s="404" t="s">
        <v>23</v>
      </c>
      <c r="J778" s="404" t="s">
        <v>6188</v>
      </c>
      <c r="K778" s="404" t="s">
        <v>6189</v>
      </c>
    </row>
    <row r="779" spans="1:11" ht="30">
      <c r="A779" s="387"/>
      <c r="B779" s="387"/>
      <c r="C779" s="387"/>
      <c r="D779" s="404" t="s">
        <v>6190</v>
      </c>
      <c r="E779" s="404" t="s">
        <v>6191</v>
      </c>
      <c r="F779" s="385" t="s">
        <v>20</v>
      </c>
      <c r="G779" s="404" t="s">
        <v>6192</v>
      </c>
      <c r="H779" s="404" t="s">
        <v>6193</v>
      </c>
      <c r="I779" s="404" t="s">
        <v>23</v>
      </c>
      <c r="J779" s="404" t="s">
        <v>6194</v>
      </c>
      <c r="K779" s="404" t="s">
        <v>6195</v>
      </c>
    </row>
    <row r="780" spans="1:11" ht="30">
      <c r="A780" s="387"/>
      <c r="B780" s="387"/>
      <c r="C780" s="387" t="s">
        <v>6196</v>
      </c>
      <c r="D780" s="404" t="s">
        <v>6197</v>
      </c>
      <c r="E780" s="404" t="s">
        <v>6198</v>
      </c>
      <c r="F780" s="385" t="s">
        <v>20</v>
      </c>
      <c r="G780" s="404" t="s">
        <v>6199</v>
      </c>
      <c r="H780" s="404" t="s">
        <v>6200</v>
      </c>
      <c r="I780" s="404" t="s">
        <v>23</v>
      </c>
      <c r="J780" s="404" t="s">
        <v>6201</v>
      </c>
      <c r="K780" s="404" t="s">
        <v>6202</v>
      </c>
    </row>
    <row r="781" spans="1:11" ht="30">
      <c r="A781" s="387"/>
      <c r="B781" s="387"/>
      <c r="C781" s="387"/>
      <c r="D781" s="404" t="s">
        <v>6203</v>
      </c>
      <c r="E781" s="404" t="s">
        <v>6204</v>
      </c>
      <c r="F781" s="385" t="s">
        <v>20</v>
      </c>
      <c r="G781" s="404" t="s">
        <v>6205</v>
      </c>
      <c r="H781" s="404" t="s">
        <v>6206</v>
      </c>
      <c r="I781" s="404" t="s">
        <v>23</v>
      </c>
      <c r="J781" s="404" t="s">
        <v>6207</v>
      </c>
      <c r="K781" s="404" t="s">
        <v>6208</v>
      </c>
    </row>
    <row r="782" spans="1:11" ht="30">
      <c r="A782" s="387"/>
      <c r="B782" s="387"/>
      <c r="C782" s="387"/>
      <c r="D782" s="404" t="s">
        <v>6209</v>
      </c>
      <c r="E782" s="404" t="s">
        <v>6210</v>
      </c>
      <c r="F782" s="385" t="s">
        <v>425</v>
      </c>
      <c r="G782" s="404" t="s">
        <v>6211</v>
      </c>
      <c r="H782" s="404" t="s">
        <v>6212</v>
      </c>
      <c r="I782" s="404" t="s">
        <v>23</v>
      </c>
      <c r="J782" s="404" t="s">
        <v>6213</v>
      </c>
      <c r="K782" s="404" t="s">
        <v>6214</v>
      </c>
    </row>
    <row r="783" spans="1:11" ht="30">
      <c r="A783" s="387"/>
      <c r="B783" s="387"/>
      <c r="C783" s="387"/>
      <c r="D783" s="404" t="s">
        <v>6215</v>
      </c>
      <c r="E783" s="404" t="s">
        <v>6216</v>
      </c>
      <c r="F783" s="385" t="s">
        <v>425</v>
      </c>
      <c r="G783" s="404" t="s">
        <v>6217</v>
      </c>
      <c r="H783" s="404" t="s">
        <v>6218</v>
      </c>
      <c r="I783" s="404" t="s">
        <v>23</v>
      </c>
      <c r="J783" s="404" t="s">
        <v>6219</v>
      </c>
      <c r="K783" s="404" t="s">
        <v>6220</v>
      </c>
    </row>
    <row r="784" spans="1:11" ht="30">
      <c r="A784" s="387"/>
      <c r="B784" s="387"/>
      <c r="C784" s="387"/>
      <c r="D784" s="404" t="s">
        <v>6221</v>
      </c>
      <c r="E784" s="404" t="s">
        <v>6222</v>
      </c>
      <c r="F784" s="385" t="s">
        <v>20</v>
      </c>
      <c r="G784" s="404" t="s">
        <v>6223</v>
      </c>
      <c r="H784" s="404" t="s">
        <v>6224</v>
      </c>
      <c r="I784" s="404" t="s">
        <v>23</v>
      </c>
      <c r="J784" s="404" t="s">
        <v>6225</v>
      </c>
      <c r="K784" s="404" t="s">
        <v>6226</v>
      </c>
    </row>
    <row r="785" spans="1:11" ht="30">
      <c r="A785" s="387"/>
      <c r="B785" s="387"/>
      <c r="C785" s="387" t="s">
        <v>6227</v>
      </c>
      <c r="D785" s="404" t="s">
        <v>6228</v>
      </c>
      <c r="E785" s="404" t="s">
        <v>6229</v>
      </c>
      <c r="F785" s="385" t="s">
        <v>20</v>
      </c>
      <c r="G785" s="404" t="s">
        <v>6230</v>
      </c>
      <c r="H785" s="404" t="s">
        <v>6231</v>
      </c>
      <c r="I785" s="404" t="s">
        <v>23</v>
      </c>
      <c r="J785" s="404" t="s">
        <v>6232</v>
      </c>
      <c r="K785" s="404" t="s">
        <v>6233</v>
      </c>
    </row>
    <row r="786" spans="1:11" ht="30">
      <c r="A786" s="387"/>
      <c r="B786" s="387"/>
      <c r="C786" s="387"/>
      <c r="D786" s="404" t="s">
        <v>6234</v>
      </c>
      <c r="E786" s="404" t="s">
        <v>6235</v>
      </c>
      <c r="F786" s="385" t="s">
        <v>20</v>
      </c>
      <c r="G786" s="404" t="s">
        <v>6236</v>
      </c>
      <c r="H786" s="404" t="s">
        <v>6237</v>
      </c>
      <c r="I786" s="404" t="s">
        <v>23</v>
      </c>
      <c r="J786" s="404" t="s">
        <v>6238</v>
      </c>
      <c r="K786" s="404" t="s">
        <v>6239</v>
      </c>
    </row>
    <row r="787" spans="1:11" ht="30">
      <c r="A787" s="387"/>
      <c r="B787" s="387"/>
      <c r="C787" s="387"/>
      <c r="D787" s="404" t="s">
        <v>6240</v>
      </c>
      <c r="E787" s="404" t="s">
        <v>6241</v>
      </c>
      <c r="F787" s="385" t="s">
        <v>229</v>
      </c>
      <c r="G787" s="404" t="s">
        <v>6242</v>
      </c>
      <c r="H787" s="404" t="s">
        <v>6243</v>
      </c>
      <c r="I787" s="404" t="s">
        <v>23</v>
      </c>
      <c r="J787" s="404" t="s">
        <v>6244</v>
      </c>
      <c r="K787" s="404" t="s">
        <v>6245</v>
      </c>
    </row>
    <row r="788" spans="1:11" ht="30">
      <c r="A788" s="387"/>
      <c r="B788" s="387"/>
      <c r="C788" s="387"/>
      <c r="D788" s="404" t="s">
        <v>6246</v>
      </c>
      <c r="E788" s="404" t="s">
        <v>6247</v>
      </c>
      <c r="F788" s="385" t="s">
        <v>229</v>
      </c>
      <c r="G788" s="404" t="s">
        <v>6248</v>
      </c>
      <c r="H788" s="404" t="s">
        <v>6249</v>
      </c>
      <c r="I788" s="404" t="s">
        <v>23</v>
      </c>
      <c r="J788" s="404" t="s">
        <v>6250</v>
      </c>
      <c r="K788" s="404" t="s">
        <v>6251</v>
      </c>
    </row>
    <row r="789" spans="1:11" ht="30">
      <c r="A789" s="387"/>
      <c r="B789" s="387"/>
      <c r="C789" s="387"/>
      <c r="D789" s="404" t="s">
        <v>6252</v>
      </c>
      <c r="E789" s="404" t="s">
        <v>6253</v>
      </c>
      <c r="F789" s="385" t="s">
        <v>229</v>
      </c>
      <c r="G789" s="404" t="s">
        <v>6254</v>
      </c>
      <c r="H789" s="404" t="s">
        <v>6255</v>
      </c>
      <c r="I789" s="404" t="s">
        <v>23</v>
      </c>
      <c r="J789" s="404" t="s">
        <v>6256</v>
      </c>
      <c r="K789" s="404" t="s">
        <v>6257</v>
      </c>
    </row>
    <row r="790" spans="1:11" ht="30">
      <c r="A790" s="387"/>
      <c r="B790" s="387" t="s">
        <v>6258</v>
      </c>
      <c r="C790" s="387" t="s">
        <v>6259</v>
      </c>
      <c r="D790" s="404" t="s">
        <v>6205</v>
      </c>
      <c r="E790" s="404" t="s">
        <v>6260</v>
      </c>
      <c r="F790" s="385" t="s">
        <v>229</v>
      </c>
      <c r="G790" s="404" t="s">
        <v>6261</v>
      </c>
      <c r="H790" s="404" t="s">
        <v>6262</v>
      </c>
      <c r="I790" s="404" t="s">
        <v>23</v>
      </c>
      <c r="J790" s="404" t="s">
        <v>6263</v>
      </c>
      <c r="K790" s="404" t="s">
        <v>6264</v>
      </c>
    </row>
    <row r="791" spans="1:11" ht="30">
      <c r="A791" s="387"/>
      <c r="B791" s="387"/>
      <c r="C791" s="387"/>
      <c r="D791" s="404" t="s">
        <v>6265</v>
      </c>
      <c r="E791" s="404" t="s">
        <v>6266</v>
      </c>
      <c r="F791" s="385" t="s">
        <v>229</v>
      </c>
      <c r="G791" s="404" t="s">
        <v>6267</v>
      </c>
      <c r="H791" s="404" t="s">
        <v>6268</v>
      </c>
      <c r="I791" s="404" t="s">
        <v>23</v>
      </c>
      <c r="J791" s="404" t="s">
        <v>6269</v>
      </c>
      <c r="K791" s="404" t="s">
        <v>6270</v>
      </c>
    </row>
    <row r="792" spans="1:11" ht="30">
      <c r="A792" s="387"/>
      <c r="B792" s="387"/>
      <c r="C792" s="387"/>
      <c r="D792" s="404" t="s">
        <v>6271</v>
      </c>
      <c r="E792" s="404" t="s">
        <v>6272</v>
      </c>
      <c r="F792" s="385" t="s">
        <v>20</v>
      </c>
      <c r="G792" s="404" t="s">
        <v>6273</v>
      </c>
      <c r="H792" s="404" t="s">
        <v>6274</v>
      </c>
      <c r="I792" s="404" t="s">
        <v>23</v>
      </c>
      <c r="J792" s="404" t="s">
        <v>6275</v>
      </c>
      <c r="K792" s="404" t="s">
        <v>6276</v>
      </c>
    </row>
    <row r="793" spans="1:11" ht="30">
      <c r="A793" s="387"/>
      <c r="B793" s="387"/>
      <c r="C793" s="387"/>
      <c r="D793" s="404" t="s">
        <v>6277</v>
      </c>
      <c r="E793" s="404" t="s">
        <v>6278</v>
      </c>
      <c r="F793" s="385" t="s">
        <v>20</v>
      </c>
      <c r="G793" s="404" t="s">
        <v>6279</v>
      </c>
      <c r="H793" s="404" t="s">
        <v>6280</v>
      </c>
      <c r="I793" s="404" t="s">
        <v>23</v>
      </c>
      <c r="J793" s="404" t="s">
        <v>6281</v>
      </c>
      <c r="K793" s="404" t="s">
        <v>6282</v>
      </c>
    </row>
    <row r="794" spans="1:11" ht="30">
      <c r="A794" s="387"/>
      <c r="B794" s="387"/>
      <c r="C794" s="387"/>
      <c r="D794" s="404" t="s">
        <v>6283</v>
      </c>
      <c r="E794" s="404" t="s">
        <v>6284</v>
      </c>
      <c r="F794" s="385" t="s">
        <v>20</v>
      </c>
      <c r="G794" s="404" t="s">
        <v>6285</v>
      </c>
      <c r="H794" s="404" t="s">
        <v>6286</v>
      </c>
      <c r="I794" s="404" t="s">
        <v>23</v>
      </c>
      <c r="J794" s="404" t="s">
        <v>6287</v>
      </c>
      <c r="K794" s="404" t="s">
        <v>6288</v>
      </c>
    </row>
    <row r="795" spans="1:11" ht="30">
      <c r="A795" s="387"/>
      <c r="B795" s="387"/>
      <c r="C795" s="387" t="s">
        <v>6289</v>
      </c>
      <c r="D795" s="404" t="s">
        <v>6290</v>
      </c>
      <c r="E795" s="404" t="s">
        <v>6291</v>
      </c>
      <c r="F795" s="385" t="s">
        <v>425</v>
      </c>
      <c r="G795" s="404" t="s">
        <v>6292</v>
      </c>
      <c r="H795" s="404" t="s">
        <v>6293</v>
      </c>
      <c r="I795" s="404" t="s">
        <v>23</v>
      </c>
      <c r="J795" s="404" t="s">
        <v>6294</v>
      </c>
      <c r="K795" s="404" t="s">
        <v>6295</v>
      </c>
    </row>
    <row r="796" spans="1:11" ht="30">
      <c r="A796" s="387"/>
      <c r="B796" s="387"/>
      <c r="C796" s="387"/>
      <c r="D796" s="404" t="s">
        <v>6296</v>
      </c>
      <c r="E796" s="404" t="s">
        <v>6297</v>
      </c>
      <c r="F796" s="385" t="s">
        <v>425</v>
      </c>
      <c r="G796" s="404" t="s">
        <v>6298</v>
      </c>
      <c r="H796" s="404" t="s">
        <v>6299</v>
      </c>
      <c r="I796" s="404" t="s">
        <v>23</v>
      </c>
      <c r="J796" s="404" t="s">
        <v>6300</v>
      </c>
      <c r="K796" s="404" t="s">
        <v>6301</v>
      </c>
    </row>
    <row r="797" spans="1:11" ht="30">
      <c r="A797" s="387"/>
      <c r="B797" s="387"/>
      <c r="C797" s="387"/>
      <c r="D797" s="404" t="s">
        <v>6302</v>
      </c>
      <c r="E797" s="404" t="s">
        <v>6303</v>
      </c>
      <c r="F797" s="385" t="s">
        <v>425</v>
      </c>
      <c r="G797" s="404" t="s">
        <v>6304</v>
      </c>
      <c r="H797" s="404" t="s">
        <v>6305</v>
      </c>
      <c r="I797" s="404" t="s">
        <v>23</v>
      </c>
      <c r="J797" s="404" t="s">
        <v>6306</v>
      </c>
      <c r="K797" s="404" t="s">
        <v>6307</v>
      </c>
    </row>
    <row r="798" spans="1:11" ht="30">
      <c r="A798" s="387"/>
      <c r="B798" s="387"/>
      <c r="C798" s="387"/>
      <c r="D798" s="404" t="s">
        <v>6308</v>
      </c>
      <c r="E798" s="404" t="s">
        <v>6309</v>
      </c>
      <c r="F798" s="385" t="s">
        <v>425</v>
      </c>
      <c r="G798" s="404" t="s">
        <v>6310</v>
      </c>
      <c r="H798" s="404" t="s">
        <v>6311</v>
      </c>
      <c r="I798" s="404" t="s">
        <v>23</v>
      </c>
      <c r="J798" s="404" t="s">
        <v>6312</v>
      </c>
      <c r="K798" s="404" t="s">
        <v>6313</v>
      </c>
    </row>
    <row r="799" spans="1:11" ht="30">
      <c r="A799" s="387"/>
      <c r="B799" s="387"/>
      <c r="C799" s="387"/>
      <c r="D799" s="404" t="s">
        <v>6314</v>
      </c>
      <c r="E799" s="404" t="s">
        <v>6315</v>
      </c>
      <c r="F799" s="385" t="s">
        <v>425</v>
      </c>
      <c r="G799" s="404" t="s">
        <v>6316</v>
      </c>
      <c r="H799" s="404" t="s">
        <v>6317</v>
      </c>
      <c r="I799" s="404" t="s">
        <v>23</v>
      </c>
      <c r="J799" s="404" t="s">
        <v>6318</v>
      </c>
      <c r="K799" s="404" t="s">
        <v>6319</v>
      </c>
    </row>
    <row r="800" spans="1:11" ht="30">
      <c r="A800" s="387"/>
      <c r="B800" s="387"/>
      <c r="C800" s="387" t="s">
        <v>6320</v>
      </c>
      <c r="D800" s="404" t="s">
        <v>6321</v>
      </c>
      <c r="E800" s="404" t="s">
        <v>6322</v>
      </c>
      <c r="F800" s="385" t="s">
        <v>229</v>
      </c>
      <c r="G800" s="404" t="s">
        <v>6323</v>
      </c>
      <c r="H800" s="404" t="s">
        <v>6324</v>
      </c>
      <c r="I800" s="404" t="s">
        <v>23</v>
      </c>
      <c r="J800" s="404" t="s">
        <v>6325</v>
      </c>
      <c r="K800" s="404" t="s">
        <v>6326</v>
      </c>
    </row>
    <row r="801" spans="1:11" ht="30">
      <c r="A801" s="387"/>
      <c r="B801" s="387"/>
      <c r="C801" s="387"/>
      <c r="D801" s="404" t="s">
        <v>6327</v>
      </c>
      <c r="E801" s="404" t="s">
        <v>6328</v>
      </c>
      <c r="F801" s="385" t="s">
        <v>229</v>
      </c>
      <c r="G801" s="404" t="s">
        <v>6329</v>
      </c>
      <c r="H801" s="404" t="s">
        <v>6330</v>
      </c>
      <c r="I801" s="404" t="s">
        <v>23</v>
      </c>
      <c r="J801" s="404" t="s">
        <v>6331</v>
      </c>
      <c r="K801" s="404" t="s">
        <v>6332</v>
      </c>
    </row>
    <row r="802" spans="1:11" ht="30">
      <c r="A802" s="387"/>
      <c r="B802" s="387"/>
      <c r="C802" s="387"/>
      <c r="D802" s="404" t="s">
        <v>6333</v>
      </c>
      <c r="E802" s="404" t="s">
        <v>6334</v>
      </c>
      <c r="F802" s="385" t="s">
        <v>229</v>
      </c>
      <c r="G802" s="404" t="s">
        <v>6335</v>
      </c>
      <c r="H802" s="404" t="s">
        <v>6336</v>
      </c>
      <c r="I802" s="404" t="s">
        <v>23</v>
      </c>
      <c r="J802" s="404" t="s">
        <v>6337</v>
      </c>
      <c r="K802" s="404" t="s">
        <v>6338</v>
      </c>
    </row>
    <row r="803" spans="1:11" ht="30">
      <c r="A803" s="387"/>
      <c r="B803" s="387"/>
      <c r="C803" s="387"/>
      <c r="D803" s="404" t="s">
        <v>6339</v>
      </c>
      <c r="E803" s="404" t="s">
        <v>6340</v>
      </c>
      <c r="F803" s="385" t="s">
        <v>229</v>
      </c>
      <c r="G803" s="404" t="s">
        <v>6341</v>
      </c>
      <c r="H803" s="404" t="s">
        <v>6342</v>
      </c>
      <c r="I803" s="404" t="s">
        <v>23</v>
      </c>
      <c r="J803" s="404" t="s">
        <v>6343</v>
      </c>
      <c r="K803" s="404" t="s">
        <v>6344</v>
      </c>
    </row>
    <row r="804" spans="1:11" ht="30">
      <c r="A804" s="387"/>
      <c r="B804" s="387"/>
      <c r="C804" s="387"/>
      <c r="D804" s="404" t="s">
        <v>6345</v>
      </c>
      <c r="E804" s="404" t="s">
        <v>6346</v>
      </c>
      <c r="F804" s="385" t="s">
        <v>229</v>
      </c>
      <c r="G804" s="404" t="s">
        <v>6347</v>
      </c>
      <c r="H804" s="404" t="s">
        <v>6348</v>
      </c>
      <c r="I804" s="404" t="s">
        <v>23</v>
      </c>
      <c r="J804" s="404" t="s">
        <v>6349</v>
      </c>
      <c r="K804" s="404" t="s">
        <v>6350</v>
      </c>
    </row>
    <row r="805" spans="1:11" ht="30">
      <c r="A805" s="387"/>
      <c r="B805" s="387"/>
      <c r="C805" s="387" t="s">
        <v>6351</v>
      </c>
      <c r="D805" s="404" t="s">
        <v>6352</v>
      </c>
      <c r="E805" s="404" t="s">
        <v>6353</v>
      </c>
      <c r="F805" s="385" t="s">
        <v>20</v>
      </c>
      <c r="G805" s="404" t="s">
        <v>6354</v>
      </c>
      <c r="H805" s="404" t="s">
        <v>6355</v>
      </c>
      <c r="I805" s="404" t="s">
        <v>23</v>
      </c>
      <c r="J805" s="404" t="s">
        <v>6356</v>
      </c>
      <c r="K805" s="404" t="s">
        <v>6357</v>
      </c>
    </row>
    <row r="806" spans="1:11" ht="30">
      <c r="A806" s="387"/>
      <c r="B806" s="387"/>
      <c r="C806" s="387"/>
      <c r="D806" s="404" t="s">
        <v>6304</v>
      </c>
      <c r="E806" s="404" t="s">
        <v>6358</v>
      </c>
      <c r="F806" s="385" t="s">
        <v>20</v>
      </c>
      <c r="G806" s="404" t="s">
        <v>6359</v>
      </c>
      <c r="H806" s="404" t="s">
        <v>6360</v>
      </c>
      <c r="I806" s="404" t="s">
        <v>23</v>
      </c>
      <c r="J806" s="404" t="s">
        <v>6361</v>
      </c>
      <c r="K806" s="404" t="s">
        <v>6362</v>
      </c>
    </row>
    <row r="807" spans="1:11" ht="30">
      <c r="A807" s="387"/>
      <c r="B807" s="387"/>
      <c r="C807" s="387"/>
      <c r="D807" s="404" t="s">
        <v>6310</v>
      </c>
      <c r="E807" s="404" t="s">
        <v>6363</v>
      </c>
      <c r="F807" s="385" t="s">
        <v>20</v>
      </c>
      <c r="G807" s="404" t="s">
        <v>6364</v>
      </c>
      <c r="H807" s="404" t="s">
        <v>6365</v>
      </c>
      <c r="I807" s="404" t="s">
        <v>23</v>
      </c>
      <c r="J807" s="404" t="s">
        <v>6366</v>
      </c>
      <c r="K807" s="404" t="s">
        <v>6367</v>
      </c>
    </row>
    <row r="808" spans="1:11" ht="30">
      <c r="A808" s="387"/>
      <c r="B808" s="387"/>
      <c r="C808" s="387"/>
      <c r="D808" s="404" t="s">
        <v>6368</v>
      </c>
      <c r="E808" s="404" t="s">
        <v>6369</v>
      </c>
      <c r="F808" s="385" t="s">
        <v>425</v>
      </c>
      <c r="G808" s="404" t="s">
        <v>6370</v>
      </c>
      <c r="H808" s="404" t="s">
        <v>6371</v>
      </c>
      <c r="I808" s="404" t="s">
        <v>23</v>
      </c>
      <c r="J808" s="404" t="s">
        <v>6372</v>
      </c>
      <c r="K808" s="404" t="s">
        <v>6373</v>
      </c>
    </row>
    <row r="809" spans="1:11" ht="30">
      <c r="A809" s="387"/>
      <c r="B809" s="387"/>
      <c r="C809" s="387"/>
      <c r="D809" s="404" t="s">
        <v>6374</v>
      </c>
      <c r="E809" s="404" t="s">
        <v>6375</v>
      </c>
      <c r="F809" s="385" t="s">
        <v>229</v>
      </c>
      <c r="G809" s="404" t="s">
        <v>6376</v>
      </c>
      <c r="H809" s="404" t="s">
        <v>6377</v>
      </c>
      <c r="I809" s="404" t="s">
        <v>23</v>
      </c>
      <c r="J809" s="404" t="s">
        <v>6378</v>
      </c>
      <c r="K809" s="404" t="s">
        <v>6379</v>
      </c>
    </row>
    <row r="810" spans="1:11" ht="30">
      <c r="A810" s="387"/>
      <c r="B810" s="387"/>
      <c r="C810" s="387" t="s">
        <v>6380</v>
      </c>
      <c r="D810" s="404" t="s">
        <v>6329</v>
      </c>
      <c r="E810" s="404" t="s">
        <v>6381</v>
      </c>
      <c r="F810" s="385" t="s">
        <v>229</v>
      </c>
      <c r="G810" s="404" t="s">
        <v>6382</v>
      </c>
      <c r="H810" s="404" t="s">
        <v>6383</v>
      </c>
      <c r="I810" s="404" t="s">
        <v>23</v>
      </c>
      <c r="J810" s="404" t="s">
        <v>6384</v>
      </c>
      <c r="K810" s="404" t="s">
        <v>6385</v>
      </c>
    </row>
    <row r="811" spans="1:11" ht="30">
      <c r="A811" s="387"/>
      <c r="B811" s="387"/>
      <c r="C811" s="387"/>
      <c r="D811" s="404" t="s">
        <v>6386</v>
      </c>
      <c r="E811" s="404" t="s">
        <v>6387</v>
      </c>
      <c r="F811" s="385" t="s">
        <v>229</v>
      </c>
      <c r="G811" s="404" t="s">
        <v>6388</v>
      </c>
      <c r="H811" s="404" t="s">
        <v>6389</v>
      </c>
      <c r="I811" s="404" t="s">
        <v>23</v>
      </c>
      <c r="J811" s="404" t="s">
        <v>6390</v>
      </c>
      <c r="K811" s="404" t="s">
        <v>6391</v>
      </c>
    </row>
    <row r="812" spans="1:11" ht="30">
      <c r="A812" s="387"/>
      <c r="B812" s="387"/>
      <c r="C812" s="387"/>
      <c r="D812" s="404" t="s">
        <v>6392</v>
      </c>
      <c r="E812" s="404" t="s">
        <v>6393</v>
      </c>
      <c r="F812" s="385" t="s">
        <v>229</v>
      </c>
      <c r="G812" s="404" t="s">
        <v>6394</v>
      </c>
      <c r="H812" s="404" t="s">
        <v>6395</v>
      </c>
      <c r="I812" s="404" t="s">
        <v>23</v>
      </c>
      <c r="J812" s="404" t="s">
        <v>6396</v>
      </c>
      <c r="K812" s="404" t="s">
        <v>6397</v>
      </c>
    </row>
    <row r="813" spans="1:11" ht="30">
      <c r="A813" s="387"/>
      <c r="B813" s="387"/>
      <c r="C813" s="387"/>
      <c r="D813" s="404" t="s">
        <v>6398</v>
      </c>
      <c r="E813" s="404" t="s">
        <v>6399</v>
      </c>
      <c r="F813" s="385" t="s">
        <v>20</v>
      </c>
      <c r="G813" s="404" t="s">
        <v>6400</v>
      </c>
      <c r="H813" s="404" t="s">
        <v>6401</v>
      </c>
      <c r="I813" s="404" t="s">
        <v>23</v>
      </c>
      <c r="J813" s="404" t="s">
        <v>6402</v>
      </c>
      <c r="K813" s="404" t="s">
        <v>6403</v>
      </c>
    </row>
    <row r="814" spans="1:11" ht="30">
      <c r="A814" s="387"/>
      <c r="B814" s="387"/>
      <c r="C814" s="387"/>
      <c r="D814" s="404" t="s">
        <v>6404</v>
      </c>
      <c r="E814" s="404" t="s">
        <v>6405</v>
      </c>
      <c r="F814" s="385" t="s">
        <v>20</v>
      </c>
      <c r="G814" s="404" t="s">
        <v>6406</v>
      </c>
      <c r="H814" s="404" t="s">
        <v>6407</v>
      </c>
      <c r="I814" s="404" t="s">
        <v>23</v>
      </c>
      <c r="J814" s="404" t="s">
        <v>6408</v>
      </c>
      <c r="K814" s="404" t="s">
        <v>6409</v>
      </c>
    </row>
    <row r="815" spans="1:11" ht="30">
      <c r="A815" s="387"/>
      <c r="B815" s="387"/>
      <c r="C815" s="387" t="s">
        <v>6410</v>
      </c>
      <c r="D815" s="404" t="s">
        <v>6411</v>
      </c>
      <c r="E815" s="404" t="s">
        <v>6412</v>
      </c>
      <c r="F815" s="385" t="s">
        <v>20</v>
      </c>
      <c r="G815" s="404" t="s">
        <v>6413</v>
      </c>
      <c r="H815" s="404" t="s">
        <v>6414</v>
      </c>
      <c r="I815" s="404" t="s">
        <v>23</v>
      </c>
      <c r="J815" s="404" t="s">
        <v>6415</v>
      </c>
      <c r="K815" s="404" t="s">
        <v>6416</v>
      </c>
    </row>
    <row r="816" spans="1:11" ht="30">
      <c r="A816" s="387"/>
      <c r="B816" s="387"/>
      <c r="C816" s="387"/>
      <c r="D816" s="404" t="s">
        <v>6417</v>
      </c>
      <c r="E816" s="404" t="s">
        <v>6418</v>
      </c>
      <c r="F816" s="385" t="s">
        <v>20</v>
      </c>
      <c r="G816" s="404" t="s">
        <v>6419</v>
      </c>
      <c r="H816" s="404" t="s">
        <v>6420</v>
      </c>
      <c r="I816" s="404" t="s">
        <v>23</v>
      </c>
      <c r="J816" s="404" t="s">
        <v>6421</v>
      </c>
      <c r="K816" s="404" t="s">
        <v>6422</v>
      </c>
    </row>
    <row r="817" spans="1:11" ht="30">
      <c r="A817" s="387"/>
      <c r="B817" s="387"/>
      <c r="C817" s="387"/>
      <c r="D817" s="404" t="s">
        <v>6423</v>
      </c>
      <c r="E817" s="404" t="s">
        <v>6424</v>
      </c>
      <c r="F817" s="385" t="s">
        <v>20</v>
      </c>
      <c r="G817" s="404" t="s">
        <v>6425</v>
      </c>
      <c r="H817" s="404" t="s">
        <v>6426</v>
      </c>
      <c r="I817" s="404" t="s">
        <v>23</v>
      </c>
      <c r="J817" s="404" t="s">
        <v>6427</v>
      </c>
      <c r="K817" s="404" t="s">
        <v>6428</v>
      </c>
    </row>
    <row r="818" spans="1:11" ht="30">
      <c r="A818" s="387"/>
      <c r="B818" s="387"/>
      <c r="C818" s="387"/>
      <c r="D818" s="404" t="s">
        <v>6429</v>
      </c>
      <c r="E818" s="404" t="s">
        <v>6430</v>
      </c>
      <c r="F818" s="385" t="s">
        <v>20</v>
      </c>
      <c r="G818" s="404" t="s">
        <v>6431</v>
      </c>
      <c r="H818" s="404" t="s">
        <v>6432</v>
      </c>
      <c r="I818" s="404" t="s">
        <v>23</v>
      </c>
      <c r="J818" s="404" t="s">
        <v>6433</v>
      </c>
      <c r="K818" s="404" t="s">
        <v>6434</v>
      </c>
    </row>
    <row r="819" spans="1:11" ht="30">
      <c r="A819" s="387"/>
      <c r="B819" s="387"/>
      <c r="C819" s="387"/>
      <c r="D819" s="404" t="s">
        <v>6435</v>
      </c>
      <c r="E819" s="404" t="s">
        <v>6436</v>
      </c>
      <c r="F819" s="385" t="s">
        <v>20</v>
      </c>
      <c r="G819" s="404" t="s">
        <v>6437</v>
      </c>
      <c r="H819" s="404" t="s">
        <v>6438</v>
      </c>
      <c r="I819" s="404" t="s">
        <v>23</v>
      </c>
      <c r="J819" s="404" t="s">
        <v>6439</v>
      </c>
      <c r="K819" s="404" t="s">
        <v>6440</v>
      </c>
    </row>
    <row r="820" spans="1:11" ht="30">
      <c r="A820" s="387"/>
      <c r="B820" s="387"/>
      <c r="C820" s="387" t="s">
        <v>6441</v>
      </c>
      <c r="D820" s="404" t="s">
        <v>6442</v>
      </c>
      <c r="E820" s="404" t="s">
        <v>6443</v>
      </c>
      <c r="F820" s="385" t="s">
        <v>425</v>
      </c>
      <c r="G820" s="404" t="s">
        <v>6444</v>
      </c>
      <c r="H820" s="404" t="s">
        <v>6445</v>
      </c>
      <c r="I820" s="404" t="s">
        <v>23</v>
      </c>
      <c r="J820" s="404" t="s">
        <v>6446</v>
      </c>
      <c r="K820" s="404" t="s">
        <v>6447</v>
      </c>
    </row>
    <row r="821" spans="1:11" ht="30">
      <c r="A821" s="387"/>
      <c r="B821" s="387"/>
      <c r="C821" s="387"/>
      <c r="D821" s="404" t="s">
        <v>6448</v>
      </c>
      <c r="E821" s="404" t="s">
        <v>6449</v>
      </c>
      <c r="F821" s="385" t="s">
        <v>425</v>
      </c>
      <c r="G821" s="404" t="s">
        <v>6450</v>
      </c>
      <c r="H821" s="404" t="s">
        <v>6451</v>
      </c>
      <c r="I821" s="404" t="s">
        <v>23</v>
      </c>
      <c r="J821" s="404" t="s">
        <v>6452</v>
      </c>
      <c r="K821" s="404" t="s">
        <v>6453</v>
      </c>
    </row>
    <row r="822" spans="1:11" ht="30">
      <c r="A822" s="387"/>
      <c r="B822" s="387"/>
      <c r="C822" s="387"/>
      <c r="D822" s="404" t="s">
        <v>6454</v>
      </c>
      <c r="E822" s="404" t="s">
        <v>6455</v>
      </c>
      <c r="F822" s="385" t="s">
        <v>425</v>
      </c>
      <c r="G822" s="404" t="s">
        <v>6456</v>
      </c>
      <c r="H822" s="404" t="s">
        <v>6457</v>
      </c>
      <c r="I822" s="404" t="s">
        <v>23</v>
      </c>
      <c r="J822" s="404" t="s">
        <v>6458</v>
      </c>
      <c r="K822" s="404" t="s">
        <v>6459</v>
      </c>
    </row>
    <row r="823" spans="1:11" ht="30">
      <c r="A823" s="387"/>
      <c r="B823" s="387"/>
      <c r="C823" s="387"/>
      <c r="D823" s="404" t="s">
        <v>6460</v>
      </c>
      <c r="E823" s="404" t="s">
        <v>6461</v>
      </c>
      <c r="F823" s="385" t="s">
        <v>425</v>
      </c>
      <c r="G823" s="404" t="s">
        <v>6462</v>
      </c>
      <c r="H823" s="404" t="s">
        <v>6463</v>
      </c>
      <c r="I823" s="404" t="s">
        <v>23</v>
      </c>
      <c r="J823" s="404" t="s">
        <v>6464</v>
      </c>
      <c r="K823" s="404" t="s">
        <v>6465</v>
      </c>
    </row>
    <row r="824" spans="1:11" ht="30">
      <c r="A824" s="387"/>
      <c r="B824" s="387"/>
      <c r="C824" s="387"/>
      <c r="D824" s="404" t="s">
        <v>6413</v>
      </c>
      <c r="E824" s="404" t="s">
        <v>6466</v>
      </c>
      <c r="F824" s="385" t="s">
        <v>425</v>
      </c>
      <c r="G824" s="404" t="s">
        <v>6467</v>
      </c>
      <c r="H824" s="404" t="s">
        <v>6468</v>
      </c>
      <c r="I824" s="404" t="s">
        <v>23</v>
      </c>
      <c r="J824" s="404" t="s">
        <v>6469</v>
      </c>
      <c r="K824" s="404" t="s">
        <v>6470</v>
      </c>
    </row>
    <row r="825" spans="1:11" ht="30">
      <c r="A825" s="387"/>
      <c r="B825" s="387"/>
      <c r="C825" s="387" t="s">
        <v>6471</v>
      </c>
      <c r="D825" s="404" t="s">
        <v>6472</v>
      </c>
      <c r="E825" s="404" t="s">
        <v>6473</v>
      </c>
      <c r="F825" s="385" t="s">
        <v>425</v>
      </c>
      <c r="G825" s="404" t="s">
        <v>6474</v>
      </c>
      <c r="H825" s="404" t="s">
        <v>6475</v>
      </c>
      <c r="I825" s="404" t="s">
        <v>23</v>
      </c>
      <c r="J825" s="404" t="s">
        <v>6476</v>
      </c>
      <c r="K825" s="404" t="s">
        <v>6477</v>
      </c>
    </row>
    <row r="826" spans="1:11" ht="30">
      <c r="A826" s="387"/>
      <c r="B826" s="387"/>
      <c r="C826" s="387"/>
      <c r="D826" s="404" t="s">
        <v>6478</v>
      </c>
      <c r="E826" s="404" t="s">
        <v>6479</v>
      </c>
      <c r="F826" s="385" t="s">
        <v>20</v>
      </c>
      <c r="G826" s="404" t="s">
        <v>6480</v>
      </c>
      <c r="H826" s="404" t="s">
        <v>6481</v>
      </c>
      <c r="I826" s="404" t="s">
        <v>23</v>
      </c>
      <c r="J826" s="404" t="s">
        <v>6482</v>
      </c>
      <c r="K826" s="404" t="s">
        <v>6483</v>
      </c>
    </row>
    <row r="827" spans="1:11" ht="30">
      <c r="A827" s="387"/>
      <c r="B827" s="387"/>
      <c r="C827" s="387"/>
      <c r="D827" s="404" t="s">
        <v>6484</v>
      </c>
      <c r="E827" s="404" t="s">
        <v>6485</v>
      </c>
      <c r="F827" s="385" t="s">
        <v>20</v>
      </c>
      <c r="G827" s="404" t="s">
        <v>6486</v>
      </c>
      <c r="H827" s="404" t="s">
        <v>6487</v>
      </c>
      <c r="I827" s="404" t="s">
        <v>23</v>
      </c>
      <c r="J827" s="404" t="s">
        <v>6488</v>
      </c>
      <c r="K827" s="404" t="s">
        <v>6489</v>
      </c>
    </row>
    <row r="828" spans="1:11" ht="30">
      <c r="A828" s="387"/>
      <c r="B828" s="387"/>
      <c r="C828" s="387"/>
      <c r="D828" s="404" t="s">
        <v>6490</v>
      </c>
      <c r="E828" s="404" t="s">
        <v>6491</v>
      </c>
      <c r="F828" s="385" t="s">
        <v>20</v>
      </c>
      <c r="G828" s="404" t="s">
        <v>6492</v>
      </c>
      <c r="H828" s="404" t="s">
        <v>6493</v>
      </c>
      <c r="I828" s="404" t="s">
        <v>23</v>
      </c>
      <c r="J828" s="404" t="s">
        <v>6494</v>
      </c>
      <c r="K828" s="404" t="s">
        <v>6495</v>
      </c>
    </row>
    <row r="829" spans="1:11" ht="30">
      <c r="A829" s="387"/>
      <c r="B829" s="387"/>
      <c r="C829" s="387"/>
      <c r="D829" s="404" t="s">
        <v>6496</v>
      </c>
      <c r="E829" s="404" t="s">
        <v>6497</v>
      </c>
      <c r="F829" s="385" t="s">
        <v>20</v>
      </c>
      <c r="G829" s="404" t="s">
        <v>6498</v>
      </c>
      <c r="H829" s="404" t="s">
        <v>6499</v>
      </c>
      <c r="I829" s="404" t="s">
        <v>23</v>
      </c>
      <c r="J829" s="404" t="s">
        <v>6500</v>
      </c>
      <c r="K829" s="404" t="s">
        <v>6501</v>
      </c>
    </row>
    <row r="830" spans="1:11" ht="30">
      <c r="A830" s="387"/>
      <c r="B830" s="387"/>
      <c r="C830" s="387" t="s">
        <v>6502</v>
      </c>
      <c r="D830" s="404" t="s">
        <v>6503</v>
      </c>
      <c r="E830" s="404" t="s">
        <v>6504</v>
      </c>
      <c r="F830" s="385" t="s">
        <v>20</v>
      </c>
      <c r="G830" s="404" t="s">
        <v>6505</v>
      </c>
      <c r="H830" s="404" t="s">
        <v>6506</v>
      </c>
      <c r="I830" s="404" t="s">
        <v>23</v>
      </c>
      <c r="J830" s="404" t="s">
        <v>6507</v>
      </c>
      <c r="K830" s="404" t="s">
        <v>6508</v>
      </c>
    </row>
    <row r="831" spans="1:11" ht="30">
      <c r="A831" s="387"/>
      <c r="B831" s="387"/>
      <c r="C831" s="387"/>
      <c r="D831" s="404" t="s">
        <v>6509</v>
      </c>
      <c r="E831" s="404" t="s">
        <v>6510</v>
      </c>
      <c r="F831" s="385" t="s">
        <v>20</v>
      </c>
      <c r="G831" s="404" t="s">
        <v>6511</v>
      </c>
      <c r="H831" s="404" t="s">
        <v>6512</v>
      </c>
      <c r="I831" s="404" t="s">
        <v>23</v>
      </c>
      <c r="J831" s="404" t="s">
        <v>6513</v>
      </c>
      <c r="K831" s="404" t="s">
        <v>6514</v>
      </c>
    </row>
    <row r="832" spans="1:11" ht="30">
      <c r="A832" s="387"/>
      <c r="B832" s="387"/>
      <c r="C832" s="387"/>
      <c r="D832" s="404" t="s">
        <v>6515</v>
      </c>
      <c r="E832" s="404" t="s">
        <v>6516</v>
      </c>
      <c r="F832" s="385" t="s">
        <v>20</v>
      </c>
      <c r="G832" s="404" t="s">
        <v>6517</v>
      </c>
      <c r="H832" s="404" t="s">
        <v>6518</v>
      </c>
      <c r="I832" s="404" t="s">
        <v>23</v>
      </c>
      <c r="J832" s="404" t="s">
        <v>6519</v>
      </c>
      <c r="K832" s="404" t="s">
        <v>6520</v>
      </c>
    </row>
    <row r="833" spans="1:11" ht="30">
      <c r="A833" s="387"/>
      <c r="B833" s="387"/>
      <c r="C833" s="387"/>
      <c r="D833" s="404" t="s">
        <v>6304</v>
      </c>
      <c r="E833" s="404" t="s">
        <v>6521</v>
      </c>
      <c r="F833" s="385" t="s">
        <v>20</v>
      </c>
      <c r="G833" s="404" t="s">
        <v>6522</v>
      </c>
      <c r="H833" s="404" t="s">
        <v>6523</v>
      </c>
      <c r="I833" s="404" t="s">
        <v>23</v>
      </c>
      <c r="J833" s="404" t="s">
        <v>6524</v>
      </c>
      <c r="K833" s="404" t="s">
        <v>6525</v>
      </c>
    </row>
    <row r="834" spans="1:11" ht="30">
      <c r="A834" s="387"/>
      <c r="B834" s="387"/>
      <c r="C834" s="387"/>
      <c r="D834" s="404" t="s">
        <v>6526</v>
      </c>
      <c r="E834" s="404" t="s">
        <v>6527</v>
      </c>
      <c r="F834" s="385" t="s">
        <v>20</v>
      </c>
      <c r="G834" s="404" t="s">
        <v>6526</v>
      </c>
      <c r="H834" s="404" t="s">
        <v>6528</v>
      </c>
      <c r="I834" s="404" t="s">
        <v>23</v>
      </c>
      <c r="J834" s="404" t="s">
        <v>6529</v>
      </c>
      <c r="K834" s="404" t="s">
        <v>6530</v>
      </c>
    </row>
    <row r="835" spans="1:11" ht="30">
      <c r="A835" s="387"/>
      <c r="B835" s="387"/>
      <c r="C835" s="387" t="s">
        <v>6531</v>
      </c>
      <c r="D835" s="404" t="s">
        <v>6532</v>
      </c>
      <c r="E835" s="404" t="s">
        <v>6533</v>
      </c>
      <c r="F835" s="385" t="s">
        <v>20</v>
      </c>
      <c r="G835" s="404" t="s">
        <v>6534</v>
      </c>
      <c r="H835" s="404" t="s">
        <v>6535</v>
      </c>
      <c r="I835" s="404" t="s">
        <v>23</v>
      </c>
      <c r="J835" s="404" t="s">
        <v>6536</v>
      </c>
      <c r="K835" s="404" t="s">
        <v>6537</v>
      </c>
    </row>
    <row r="836" spans="1:11" ht="30">
      <c r="A836" s="387"/>
      <c r="B836" s="387"/>
      <c r="C836" s="387"/>
      <c r="D836" s="404" t="s">
        <v>6538</v>
      </c>
      <c r="E836" s="404" t="s">
        <v>6539</v>
      </c>
      <c r="F836" s="385" t="s">
        <v>20</v>
      </c>
      <c r="G836" s="404" t="s">
        <v>6540</v>
      </c>
      <c r="H836" s="404" t="s">
        <v>6541</v>
      </c>
      <c r="I836" s="404" t="s">
        <v>23</v>
      </c>
      <c r="J836" s="404" t="s">
        <v>6542</v>
      </c>
      <c r="K836" s="404" t="s">
        <v>6543</v>
      </c>
    </row>
    <row r="837" spans="1:11" ht="30">
      <c r="A837" s="387"/>
      <c r="B837" s="387"/>
      <c r="C837" s="387"/>
      <c r="D837" s="404" t="s">
        <v>6544</v>
      </c>
      <c r="E837" s="404" t="s">
        <v>6545</v>
      </c>
      <c r="F837" s="385" t="s">
        <v>20</v>
      </c>
      <c r="G837" s="404" t="s">
        <v>6546</v>
      </c>
      <c r="H837" s="404" t="s">
        <v>6547</v>
      </c>
      <c r="I837" s="404" t="s">
        <v>23</v>
      </c>
      <c r="J837" s="404" t="s">
        <v>6548</v>
      </c>
      <c r="K837" s="404" t="s">
        <v>6549</v>
      </c>
    </row>
    <row r="838" spans="1:11" ht="30">
      <c r="A838" s="387"/>
      <c r="B838" s="387"/>
      <c r="C838" s="387"/>
      <c r="D838" s="404" t="s">
        <v>6550</v>
      </c>
      <c r="E838" s="404" t="s">
        <v>6551</v>
      </c>
      <c r="F838" s="385" t="s">
        <v>20</v>
      </c>
      <c r="G838" s="404" t="s">
        <v>6552</v>
      </c>
      <c r="H838" s="404" t="s">
        <v>6553</v>
      </c>
      <c r="I838" s="404" t="s">
        <v>23</v>
      </c>
      <c r="J838" s="404" t="s">
        <v>6554</v>
      </c>
      <c r="K838" s="404" t="s">
        <v>6555</v>
      </c>
    </row>
    <row r="839" spans="1:11" ht="30">
      <c r="A839" s="387"/>
      <c r="B839" s="387"/>
      <c r="C839" s="387"/>
      <c r="D839" s="404" t="s">
        <v>6556</v>
      </c>
      <c r="E839" s="404" t="s">
        <v>6557</v>
      </c>
      <c r="F839" s="385" t="s">
        <v>20</v>
      </c>
      <c r="G839" s="404" t="s">
        <v>6556</v>
      </c>
      <c r="H839" s="404" t="s">
        <v>6558</v>
      </c>
      <c r="I839" s="404" t="s">
        <v>23</v>
      </c>
      <c r="J839" s="404" t="s">
        <v>6559</v>
      </c>
      <c r="K839" s="404" t="s">
        <v>6560</v>
      </c>
    </row>
    <row r="840" spans="1:11" ht="30">
      <c r="A840" s="387"/>
      <c r="B840" s="387"/>
      <c r="C840" s="387" t="s">
        <v>6561</v>
      </c>
      <c r="D840" s="404" t="s">
        <v>6562</v>
      </c>
      <c r="E840" s="404" t="s">
        <v>6563</v>
      </c>
      <c r="F840" s="385" t="s">
        <v>20</v>
      </c>
      <c r="G840" s="404" t="s">
        <v>6564</v>
      </c>
      <c r="H840" s="404" t="s">
        <v>6565</v>
      </c>
      <c r="I840" s="404" t="s">
        <v>23</v>
      </c>
      <c r="J840" s="404" t="s">
        <v>6566</v>
      </c>
      <c r="K840" s="404" t="s">
        <v>6567</v>
      </c>
    </row>
    <row r="841" spans="1:11" ht="30">
      <c r="A841" s="387"/>
      <c r="B841" s="387"/>
      <c r="C841" s="387"/>
      <c r="D841" s="404" t="s">
        <v>6568</v>
      </c>
      <c r="E841" s="404" t="s">
        <v>6569</v>
      </c>
      <c r="F841" s="385" t="s">
        <v>20</v>
      </c>
      <c r="G841" s="404" t="s">
        <v>6570</v>
      </c>
      <c r="H841" s="404" t="s">
        <v>6571</v>
      </c>
      <c r="I841" s="404" t="s">
        <v>23</v>
      </c>
      <c r="J841" s="404" t="s">
        <v>6572</v>
      </c>
      <c r="K841" s="404" t="s">
        <v>6573</v>
      </c>
    </row>
    <row r="842" spans="1:11" ht="30">
      <c r="A842" s="387"/>
      <c r="B842" s="387"/>
      <c r="C842" s="387"/>
      <c r="D842" s="404" t="s">
        <v>6574</v>
      </c>
      <c r="E842" s="404" t="s">
        <v>6575</v>
      </c>
      <c r="F842" s="385" t="s">
        <v>20</v>
      </c>
      <c r="G842" s="404" t="s">
        <v>6576</v>
      </c>
      <c r="H842" s="404" t="s">
        <v>6577</v>
      </c>
      <c r="I842" s="404" t="s">
        <v>23</v>
      </c>
      <c r="J842" s="404" t="s">
        <v>6578</v>
      </c>
      <c r="K842" s="404" t="s">
        <v>6579</v>
      </c>
    </row>
    <row r="843" spans="1:11" ht="30">
      <c r="A843" s="387"/>
      <c r="B843" s="387"/>
      <c r="C843" s="387"/>
      <c r="D843" s="404" t="s">
        <v>6580</v>
      </c>
      <c r="E843" s="404" t="s">
        <v>6581</v>
      </c>
      <c r="F843" s="385" t="s">
        <v>20</v>
      </c>
      <c r="G843" s="404" t="s">
        <v>6582</v>
      </c>
      <c r="H843" s="404" t="s">
        <v>6583</v>
      </c>
      <c r="I843" s="404" t="s">
        <v>23</v>
      </c>
      <c r="J843" s="404" t="s">
        <v>6584</v>
      </c>
      <c r="K843" s="404" t="s">
        <v>6585</v>
      </c>
    </row>
    <row r="844" spans="1:11" ht="30">
      <c r="A844" s="387"/>
      <c r="B844" s="387"/>
      <c r="C844" s="387"/>
      <c r="D844" s="404" t="s">
        <v>6586</v>
      </c>
      <c r="E844" s="404" t="s">
        <v>6587</v>
      </c>
      <c r="F844" s="385" t="s">
        <v>229</v>
      </c>
      <c r="G844" s="404" t="s">
        <v>6588</v>
      </c>
      <c r="H844" s="404" t="s">
        <v>6589</v>
      </c>
      <c r="I844" s="404" t="s">
        <v>23</v>
      </c>
      <c r="J844" s="404" t="s">
        <v>6590</v>
      </c>
      <c r="K844" s="404" t="s">
        <v>6591</v>
      </c>
    </row>
    <row r="845" spans="1:11" ht="30">
      <c r="A845" s="387"/>
      <c r="B845" s="387"/>
      <c r="C845" s="387" t="s">
        <v>6592</v>
      </c>
      <c r="D845" s="404" t="s">
        <v>6593</v>
      </c>
      <c r="E845" s="404" t="s">
        <v>6594</v>
      </c>
      <c r="F845" s="385" t="s">
        <v>229</v>
      </c>
      <c r="G845" s="404" t="s">
        <v>6595</v>
      </c>
      <c r="H845" s="404" t="s">
        <v>6596</v>
      </c>
      <c r="I845" s="404" t="s">
        <v>23</v>
      </c>
      <c r="J845" s="404" t="s">
        <v>6597</v>
      </c>
      <c r="K845" s="404" t="s">
        <v>6598</v>
      </c>
    </row>
    <row r="846" spans="1:11" ht="30">
      <c r="A846" s="387"/>
      <c r="B846" s="387"/>
      <c r="C846" s="387"/>
      <c r="D846" s="404" t="s">
        <v>6599</v>
      </c>
      <c r="E846" s="404" t="s">
        <v>6600</v>
      </c>
      <c r="F846" s="385" t="s">
        <v>229</v>
      </c>
      <c r="G846" s="404" t="s">
        <v>6601</v>
      </c>
      <c r="H846" s="404" t="s">
        <v>6602</v>
      </c>
      <c r="I846" s="404" t="s">
        <v>23</v>
      </c>
      <c r="J846" s="404" t="s">
        <v>6603</v>
      </c>
      <c r="K846" s="404" t="s">
        <v>6604</v>
      </c>
    </row>
    <row r="847" spans="1:11" ht="30">
      <c r="A847" s="387"/>
      <c r="B847" s="387"/>
      <c r="C847" s="387"/>
      <c r="D847" s="404" t="s">
        <v>6605</v>
      </c>
      <c r="E847" s="404" t="s">
        <v>6606</v>
      </c>
      <c r="F847" s="385" t="s">
        <v>20</v>
      </c>
      <c r="G847" s="404" t="s">
        <v>6607</v>
      </c>
      <c r="H847" s="404" t="s">
        <v>6608</v>
      </c>
      <c r="I847" s="404" t="s">
        <v>23</v>
      </c>
      <c r="J847" s="404" t="s">
        <v>6609</v>
      </c>
      <c r="K847" s="404" t="s">
        <v>6610</v>
      </c>
    </row>
    <row r="848" spans="1:11" ht="30">
      <c r="A848" s="387"/>
      <c r="B848" s="387"/>
      <c r="C848" s="387"/>
      <c r="D848" s="404" t="s">
        <v>6611</v>
      </c>
      <c r="E848" s="404" t="s">
        <v>6612</v>
      </c>
      <c r="F848" s="385" t="s">
        <v>20</v>
      </c>
      <c r="G848" s="404" t="s">
        <v>6613</v>
      </c>
      <c r="H848" s="404" t="s">
        <v>6614</v>
      </c>
      <c r="I848" s="404" t="s">
        <v>23</v>
      </c>
      <c r="J848" s="404" t="s">
        <v>6615</v>
      </c>
      <c r="K848" s="404" t="s">
        <v>6616</v>
      </c>
    </row>
    <row r="849" spans="1:11" ht="30">
      <c r="A849" s="387"/>
      <c r="B849" s="387"/>
      <c r="C849" s="387"/>
      <c r="D849" s="404" t="s">
        <v>6617</v>
      </c>
      <c r="E849" s="404" t="s">
        <v>6618</v>
      </c>
      <c r="F849" s="385" t="s">
        <v>20</v>
      </c>
      <c r="G849" s="404" t="s">
        <v>6619</v>
      </c>
      <c r="H849" s="404" t="s">
        <v>6620</v>
      </c>
      <c r="I849" s="404" t="s">
        <v>23</v>
      </c>
      <c r="J849" s="404" t="s">
        <v>6621</v>
      </c>
      <c r="K849" s="404" t="s">
        <v>6622</v>
      </c>
    </row>
    <row r="850" spans="1:11" ht="30">
      <c r="A850" s="387"/>
      <c r="B850" s="387" t="s">
        <v>6623</v>
      </c>
      <c r="C850" s="387" t="s">
        <v>6624</v>
      </c>
      <c r="D850" s="404" t="s">
        <v>6625</v>
      </c>
      <c r="E850" s="404" t="s">
        <v>6626</v>
      </c>
      <c r="F850" s="385" t="s">
        <v>20</v>
      </c>
      <c r="G850" s="404" t="s">
        <v>6625</v>
      </c>
      <c r="H850" s="404" t="s">
        <v>6627</v>
      </c>
      <c r="I850" s="404" t="s">
        <v>23</v>
      </c>
      <c r="J850" s="404" t="s">
        <v>6628</v>
      </c>
      <c r="K850" s="404" t="s">
        <v>6629</v>
      </c>
    </row>
    <row r="851" spans="1:11" ht="30">
      <c r="A851" s="387"/>
      <c r="B851" s="387"/>
      <c r="C851" s="387"/>
      <c r="D851" s="404" t="s">
        <v>6630</v>
      </c>
      <c r="E851" s="404" t="s">
        <v>6631</v>
      </c>
      <c r="F851" s="385" t="s">
        <v>229</v>
      </c>
      <c r="G851" s="404" t="s">
        <v>6632</v>
      </c>
      <c r="H851" s="404" t="s">
        <v>6633</v>
      </c>
      <c r="I851" s="404" t="s">
        <v>23</v>
      </c>
      <c r="J851" s="404" t="s">
        <v>6634</v>
      </c>
      <c r="K851" s="404" t="s">
        <v>6635</v>
      </c>
    </row>
    <row r="852" spans="1:11" ht="30">
      <c r="A852" s="387"/>
      <c r="B852" s="387"/>
      <c r="C852" s="387"/>
      <c r="D852" s="404" t="s">
        <v>6636</v>
      </c>
      <c r="E852" s="404" t="s">
        <v>6637</v>
      </c>
      <c r="F852" s="385" t="s">
        <v>229</v>
      </c>
      <c r="G852" s="404" t="s">
        <v>6638</v>
      </c>
      <c r="H852" s="404" t="s">
        <v>6639</v>
      </c>
      <c r="I852" s="404" t="s">
        <v>23</v>
      </c>
      <c r="J852" s="404" t="s">
        <v>6640</v>
      </c>
      <c r="K852" s="404" t="s">
        <v>6641</v>
      </c>
    </row>
    <row r="853" spans="1:11" ht="30">
      <c r="A853" s="387"/>
      <c r="B853" s="387"/>
      <c r="C853" s="387"/>
      <c r="D853" s="404" t="s">
        <v>6642</v>
      </c>
      <c r="E853" s="404" t="s">
        <v>6643</v>
      </c>
      <c r="F853" s="385" t="s">
        <v>229</v>
      </c>
      <c r="G853" s="404" t="s">
        <v>6644</v>
      </c>
      <c r="H853" s="404" t="s">
        <v>6645</v>
      </c>
      <c r="I853" s="404" t="s">
        <v>23</v>
      </c>
      <c r="J853" s="404" t="s">
        <v>6646</v>
      </c>
      <c r="K853" s="404" t="s">
        <v>6647</v>
      </c>
    </row>
    <row r="854" spans="1:11" ht="30">
      <c r="A854" s="387"/>
      <c r="B854" s="387"/>
      <c r="C854" s="387"/>
      <c r="D854" s="404" t="s">
        <v>6648</v>
      </c>
      <c r="E854" s="404" t="s">
        <v>6649</v>
      </c>
      <c r="F854" s="385" t="s">
        <v>229</v>
      </c>
      <c r="G854" s="404" t="s">
        <v>6648</v>
      </c>
      <c r="H854" s="404" t="s">
        <v>6650</v>
      </c>
      <c r="I854" s="404" t="s">
        <v>23</v>
      </c>
      <c r="J854" s="404" t="s">
        <v>6651</v>
      </c>
      <c r="K854" s="404" t="s">
        <v>6652</v>
      </c>
    </row>
    <row r="855" spans="1:11" ht="30">
      <c r="A855" s="387"/>
      <c r="B855" s="387"/>
      <c r="C855" s="387" t="s">
        <v>6653</v>
      </c>
      <c r="D855" s="404" t="s">
        <v>6654</v>
      </c>
      <c r="E855" s="404" t="s">
        <v>6655</v>
      </c>
      <c r="F855" s="385" t="s">
        <v>229</v>
      </c>
      <c r="G855" s="404" t="s">
        <v>6656</v>
      </c>
      <c r="H855" s="404" t="s">
        <v>6657</v>
      </c>
      <c r="I855" s="404" t="s">
        <v>23</v>
      </c>
      <c r="J855" s="404" t="s">
        <v>6658</v>
      </c>
      <c r="K855" s="404" t="s">
        <v>6659</v>
      </c>
    </row>
    <row r="856" spans="1:11" ht="30">
      <c r="A856" s="387"/>
      <c r="B856" s="387"/>
      <c r="C856" s="387"/>
      <c r="D856" s="404" t="s">
        <v>6660</v>
      </c>
      <c r="E856" s="404" t="s">
        <v>6661</v>
      </c>
      <c r="F856" s="385" t="s">
        <v>229</v>
      </c>
      <c r="G856" s="404" t="s">
        <v>6662</v>
      </c>
      <c r="H856" s="404" t="s">
        <v>6663</v>
      </c>
      <c r="I856" s="404" t="s">
        <v>23</v>
      </c>
      <c r="J856" s="404" t="s">
        <v>6664</v>
      </c>
      <c r="K856" s="404" t="s">
        <v>6665</v>
      </c>
    </row>
    <row r="857" spans="1:11" ht="30">
      <c r="A857" s="387"/>
      <c r="B857" s="387"/>
      <c r="C857" s="387"/>
      <c r="D857" s="404" t="s">
        <v>6666</v>
      </c>
      <c r="E857" s="404" t="s">
        <v>6667</v>
      </c>
      <c r="F857" s="385" t="s">
        <v>20</v>
      </c>
      <c r="G857" s="404" t="s">
        <v>6668</v>
      </c>
      <c r="H857" s="404" t="s">
        <v>6669</v>
      </c>
      <c r="I857" s="404" t="s">
        <v>94</v>
      </c>
      <c r="J857" s="404" t="s">
        <v>6670</v>
      </c>
      <c r="K857" s="404" t="s">
        <v>6671</v>
      </c>
    </row>
    <row r="858" spans="1:11" ht="30">
      <c r="A858" s="387"/>
      <c r="B858" s="387"/>
      <c r="C858" s="387"/>
      <c r="D858" s="404" t="s">
        <v>6672</v>
      </c>
      <c r="E858" s="404" t="s">
        <v>6673</v>
      </c>
      <c r="F858" s="385" t="s">
        <v>20</v>
      </c>
      <c r="G858" s="404" t="s">
        <v>6674</v>
      </c>
      <c r="H858" s="404" t="s">
        <v>6675</v>
      </c>
      <c r="I858" s="404" t="s">
        <v>94</v>
      </c>
      <c r="J858" s="404" t="s">
        <v>6676</v>
      </c>
      <c r="K858" s="404" t="s">
        <v>6677</v>
      </c>
    </row>
    <row r="859" spans="1:11" ht="30">
      <c r="A859" s="387"/>
      <c r="B859" s="387"/>
      <c r="C859" s="387"/>
      <c r="D859" s="404" t="s">
        <v>6678</v>
      </c>
      <c r="E859" s="404" t="s">
        <v>6679</v>
      </c>
      <c r="F859" s="385" t="s">
        <v>20</v>
      </c>
      <c r="G859" s="404" t="s">
        <v>6680</v>
      </c>
      <c r="H859" s="404" t="s">
        <v>6681</v>
      </c>
      <c r="I859" s="404" t="s">
        <v>94</v>
      </c>
      <c r="J859" s="404" t="s">
        <v>6682</v>
      </c>
      <c r="K859" s="404" t="s">
        <v>6683</v>
      </c>
    </row>
    <row r="860" spans="1:11" ht="30">
      <c r="A860" s="387"/>
      <c r="B860" s="387"/>
      <c r="C860" s="387" t="s">
        <v>6684</v>
      </c>
      <c r="D860" s="404" t="s">
        <v>6685</v>
      </c>
      <c r="E860" s="404" t="s">
        <v>6686</v>
      </c>
      <c r="F860" s="385" t="s">
        <v>20</v>
      </c>
      <c r="G860" s="404" t="s">
        <v>6687</v>
      </c>
      <c r="H860" s="404" t="s">
        <v>6688</v>
      </c>
      <c r="I860" s="404" t="s">
        <v>94</v>
      </c>
      <c r="J860" s="404" t="s">
        <v>6689</v>
      </c>
      <c r="K860" s="404" t="s">
        <v>6690</v>
      </c>
    </row>
    <row r="861" spans="1:11" ht="30">
      <c r="A861" s="387"/>
      <c r="B861" s="387"/>
      <c r="C861" s="387"/>
      <c r="D861" s="404" t="s">
        <v>6691</v>
      </c>
      <c r="E861" s="404" t="s">
        <v>6692</v>
      </c>
      <c r="F861" s="385" t="s">
        <v>425</v>
      </c>
      <c r="G861" s="404" t="s">
        <v>6693</v>
      </c>
      <c r="H861" s="404" t="s">
        <v>6694</v>
      </c>
      <c r="I861" s="404" t="s">
        <v>94</v>
      </c>
      <c r="J861" s="404" t="s">
        <v>6695</v>
      </c>
      <c r="K861" s="404" t="s">
        <v>6696</v>
      </c>
    </row>
    <row r="862" spans="1:11" ht="30">
      <c r="A862" s="387"/>
      <c r="B862" s="387"/>
      <c r="C862" s="387"/>
      <c r="D862" s="404" t="s">
        <v>6697</v>
      </c>
      <c r="E862" s="404" t="s">
        <v>6698</v>
      </c>
      <c r="F862" s="385" t="s">
        <v>425</v>
      </c>
      <c r="G862" s="404" t="s">
        <v>6699</v>
      </c>
      <c r="H862" s="404" t="s">
        <v>6700</v>
      </c>
      <c r="I862" s="404" t="s">
        <v>94</v>
      </c>
      <c r="J862" s="404" t="s">
        <v>6701</v>
      </c>
      <c r="K862" s="404" t="s">
        <v>6702</v>
      </c>
    </row>
    <row r="863" spans="1:11" ht="30">
      <c r="A863" s="387"/>
      <c r="B863" s="387"/>
      <c r="C863" s="387"/>
      <c r="D863" s="404" t="s">
        <v>6703</v>
      </c>
      <c r="E863" s="404" t="s">
        <v>6704</v>
      </c>
      <c r="F863" s="385" t="s">
        <v>20</v>
      </c>
      <c r="G863" s="404" t="s">
        <v>6703</v>
      </c>
      <c r="H863" s="404" t="s">
        <v>6705</v>
      </c>
      <c r="I863" s="404" t="s">
        <v>94</v>
      </c>
      <c r="J863" s="404" t="s">
        <v>6706</v>
      </c>
      <c r="K863" s="404" t="s">
        <v>6707</v>
      </c>
    </row>
    <row r="864" spans="1:11" ht="30">
      <c r="A864" s="387"/>
      <c r="B864" s="387"/>
      <c r="C864" s="387"/>
      <c r="D864" s="404" t="s">
        <v>6708</v>
      </c>
      <c r="E864" s="404" t="s">
        <v>6709</v>
      </c>
      <c r="F864" s="385" t="s">
        <v>20</v>
      </c>
      <c r="G864" s="404" t="s">
        <v>6710</v>
      </c>
      <c r="H864" s="404" t="s">
        <v>6711</v>
      </c>
      <c r="I864" s="404" t="s">
        <v>94</v>
      </c>
      <c r="J864" s="404" t="s">
        <v>6712</v>
      </c>
      <c r="K864" s="404" t="s">
        <v>6713</v>
      </c>
    </row>
    <row r="865" spans="1:11" ht="30">
      <c r="A865" s="387"/>
      <c r="B865" s="387"/>
      <c r="C865" s="387" t="s">
        <v>6714</v>
      </c>
      <c r="D865" s="404" t="s">
        <v>6715</v>
      </c>
      <c r="E865" s="404" t="s">
        <v>6716</v>
      </c>
      <c r="F865" s="385" t="s">
        <v>20</v>
      </c>
      <c r="G865" s="404" t="s">
        <v>6717</v>
      </c>
      <c r="H865" s="404" t="s">
        <v>6718</v>
      </c>
      <c r="I865" s="404" t="s">
        <v>23</v>
      </c>
      <c r="J865" s="404" t="s">
        <v>6719</v>
      </c>
      <c r="K865" s="404" t="s">
        <v>6720</v>
      </c>
    </row>
    <row r="866" spans="1:11" ht="30">
      <c r="A866" s="387"/>
      <c r="B866" s="387"/>
      <c r="C866" s="387"/>
      <c r="D866" s="404" t="s">
        <v>6721</v>
      </c>
      <c r="E866" s="404" t="s">
        <v>6722</v>
      </c>
      <c r="F866" s="385" t="s">
        <v>20</v>
      </c>
      <c r="G866" s="404" t="s">
        <v>6723</v>
      </c>
      <c r="H866" s="404" t="s">
        <v>6724</v>
      </c>
      <c r="I866" s="404" t="s">
        <v>23</v>
      </c>
      <c r="J866" s="404" t="s">
        <v>6725</v>
      </c>
      <c r="K866" s="404" t="s">
        <v>6726</v>
      </c>
    </row>
    <row r="867" spans="1:11" ht="30">
      <c r="A867" s="387"/>
      <c r="B867" s="387"/>
      <c r="C867" s="387"/>
      <c r="D867" s="404" t="s">
        <v>6727</v>
      </c>
      <c r="E867" s="404" t="s">
        <v>6728</v>
      </c>
      <c r="F867" s="385" t="s">
        <v>229</v>
      </c>
      <c r="G867" s="404" t="s">
        <v>6729</v>
      </c>
      <c r="H867" s="404" t="s">
        <v>6730</v>
      </c>
      <c r="I867" s="404" t="s">
        <v>23</v>
      </c>
      <c r="J867" s="404" t="s">
        <v>6731</v>
      </c>
      <c r="K867" s="404" t="s">
        <v>6732</v>
      </c>
    </row>
    <row r="868" spans="1:11" ht="30">
      <c r="A868" s="387"/>
      <c r="B868" s="387"/>
      <c r="C868" s="387"/>
      <c r="D868" s="404" t="s">
        <v>6733</v>
      </c>
      <c r="E868" s="404" t="s">
        <v>6734</v>
      </c>
      <c r="F868" s="385" t="s">
        <v>229</v>
      </c>
      <c r="G868" s="404" t="s">
        <v>6735</v>
      </c>
      <c r="H868" s="404" t="s">
        <v>6736</v>
      </c>
      <c r="I868" s="404" t="s">
        <v>23</v>
      </c>
      <c r="J868" s="404" t="s">
        <v>6737</v>
      </c>
      <c r="K868" s="404" t="s">
        <v>6738</v>
      </c>
    </row>
    <row r="869" spans="1:11" ht="30">
      <c r="A869" s="387"/>
      <c r="B869" s="387"/>
      <c r="C869" s="387"/>
      <c r="D869" s="404" t="s">
        <v>6739</v>
      </c>
      <c r="E869" s="404" t="s">
        <v>6740</v>
      </c>
      <c r="F869" s="385" t="s">
        <v>229</v>
      </c>
      <c r="G869" s="404" t="s">
        <v>6741</v>
      </c>
      <c r="H869" s="404" t="s">
        <v>6742</v>
      </c>
      <c r="I869" s="404" t="s">
        <v>23</v>
      </c>
      <c r="J869" s="404" t="s">
        <v>6743</v>
      </c>
      <c r="K869" s="404" t="s">
        <v>6744</v>
      </c>
    </row>
    <row r="870" spans="1:11" ht="30">
      <c r="A870" s="387"/>
      <c r="B870" s="387"/>
      <c r="C870" s="387" t="s">
        <v>6745</v>
      </c>
      <c r="D870" s="404" t="s">
        <v>6746</v>
      </c>
      <c r="E870" s="404" t="s">
        <v>6747</v>
      </c>
      <c r="F870" s="385" t="s">
        <v>229</v>
      </c>
      <c r="G870" s="404" t="s">
        <v>6748</v>
      </c>
      <c r="H870" s="404" t="s">
        <v>6749</v>
      </c>
      <c r="I870" s="404" t="s">
        <v>23</v>
      </c>
      <c r="J870" s="404" t="s">
        <v>6750</v>
      </c>
      <c r="K870" s="404" t="s">
        <v>6751</v>
      </c>
    </row>
    <row r="871" spans="1:11" ht="30">
      <c r="A871" s="387"/>
      <c r="B871" s="387"/>
      <c r="C871" s="387"/>
      <c r="D871" s="404" t="s">
        <v>6752</v>
      </c>
      <c r="E871" s="404" t="s">
        <v>6753</v>
      </c>
      <c r="F871" s="385" t="s">
        <v>229</v>
      </c>
      <c r="G871" s="404" t="s">
        <v>6754</v>
      </c>
      <c r="H871" s="404" t="s">
        <v>6755</v>
      </c>
      <c r="I871" s="404" t="s">
        <v>23</v>
      </c>
      <c r="J871" s="404" t="s">
        <v>6756</v>
      </c>
      <c r="K871" s="404" t="s">
        <v>6757</v>
      </c>
    </row>
    <row r="872" spans="1:11" ht="30">
      <c r="A872" s="387"/>
      <c r="B872" s="387"/>
      <c r="C872" s="387"/>
      <c r="D872" s="404" t="s">
        <v>6758</v>
      </c>
      <c r="E872" s="404" t="s">
        <v>6759</v>
      </c>
      <c r="F872" s="385" t="s">
        <v>229</v>
      </c>
      <c r="G872" s="404" t="s">
        <v>6760</v>
      </c>
      <c r="H872" s="404" t="s">
        <v>6761</v>
      </c>
      <c r="I872" s="404" t="s">
        <v>23</v>
      </c>
      <c r="J872" s="404" t="s">
        <v>6762</v>
      </c>
      <c r="K872" s="404" t="s">
        <v>6763</v>
      </c>
    </row>
    <row r="873" spans="1:11" ht="30">
      <c r="A873" s="387"/>
      <c r="B873" s="387"/>
      <c r="C873" s="387"/>
      <c r="D873" s="404" t="s">
        <v>6764</v>
      </c>
      <c r="E873" s="404" t="s">
        <v>6765</v>
      </c>
      <c r="F873" s="385" t="s">
        <v>229</v>
      </c>
      <c r="G873" s="404" t="s">
        <v>6766</v>
      </c>
      <c r="H873" s="404" t="s">
        <v>6767</v>
      </c>
      <c r="I873" s="404" t="s">
        <v>23</v>
      </c>
      <c r="J873" s="404" t="s">
        <v>6768</v>
      </c>
      <c r="K873" s="404" t="s">
        <v>6769</v>
      </c>
    </row>
    <row r="874" spans="1:11" ht="30">
      <c r="A874" s="387"/>
      <c r="B874" s="387"/>
      <c r="C874" s="387"/>
      <c r="D874" s="404" t="s">
        <v>6754</v>
      </c>
      <c r="E874" s="404" t="s">
        <v>6770</v>
      </c>
      <c r="F874" s="385" t="s">
        <v>229</v>
      </c>
      <c r="G874" s="404" t="s">
        <v>6771</v>
      </c>
      <c r="H874" s="404" t="s">
        <v>6772</v>
      </c>
      <c r="I874" s="404" t="s">
        <v>23</v>
      </c>
      <c r="J874" s="404" t="s">
        <v>6773</v>
      </c>
      <c r="K874" s="404" t="s">
        <v>6774</v>
      </c>
    </row>
    <row r="875" spans="1:11" ht="30">
      <c r="A875" s="387"/>
      <c r="B875" s="387"/>
      <c r="C875" s="387" t="s">
        <v>6775</v>
      </c>
      <c r="D875" s="404" t="s">
        <v>6776</v>
      </c>
      <c r="E875" s="404" t="s">
        <v>6777</v>
      </c>
      <c r="F875" s="385" t="s">
        <v>20</v>
      </c>
      <c r="G875" s="404" t="s">
        <v>6778</v>
      </c>
      <c r="H875" s="404" t="s">
        <v>6779</v>
      </c>
      <c r="I875" s="404" t="s">
        <v>23</v>
      </c>
      <c r="J875" s="404" t="s">
        <v>6780</v>
      </c>
      <c r="K875" s="404" t="s">
        <v>6781</v>
      </c>
    </row>
    <row r="876" spans="1:11" ht="30">
      <c r="A876" s="387"/>
      <c r="B876" s="387"/>
      <c r="C876" s="387"/>
      <c r="D876" s="404" t="s">
        <v>6782</v>
      </c>
      <c r="E876" s="404" t="s">
        <v>6783</v>
      </c>
      <c r="F876" s="385" t="s">
        <v>20</v>
      </c>
      <c r="G876" s="404" t="s">
        <v>6784</v>
      </c>
      <c r="H876" s="404" t="s">
        <v>6785</v>
      </c>
      <c r="I876" s="404" t="s">
        <v>23</v>
      </c>
      <c r="J876" s="404" t="s">
        <v>6786</v>
      </c>
      <c r="K876" s="404" t="s">
        <v>6787</v>
      </c>
    </row>
    <row r="877" spans="1:11" ht="30">
      <c r="A877" s="387"/>
      <c r="B877" s="387"/>
      <c r="C877" s="387"/>
      <c r="D877" s="404" t="s">
        <v>6788</v>
      </c>
      <c r="E877" s="404" t="s">
        <v>6789</v>
      </c>
      <c r="F877" s="385" t="s">
        <v>20</v>
      </c>
      <c r="G877" s="404" t="s">
        <v>6790</v>
      </c>
      <c r="H877" s="404" t="s">
        <v>6791</v>
      </c>
      <c r="I877" s="404" t="s">
        <v>23</v>
      </c>
      <c r="J877" s="404" t="s">
        <v>6792</v>
      </c>
      <c r="K877" s="404" t="s">
        <v>6793</v>
      </c>
    </row>
    <row r="878" spans="1:11" ht="30">
      <c r="A878" s="387"/>
      <c r="B878" s="387"/>
      <c r="C878" s="387"/>
      <c r="D878" s="404" t="s">
        <v>6766</v>
      </c>
      <c r="E878" s="404" t="s">
        <v>6794</v>
      </c>
      <c r="F878" s="385" t="s">
        <v>20</v>
      </c>
      <c r="G878" s="404" t="s">
        <v>6795</v>
      </c>
      <c r="H878" s="404" t="s">
        <v>6796</v>
      </c>
      <c r="I878" s="404" t="s">
        <v>23</v>
      </c>
      <c r="J878" s="404" t="s">
        <v>6797</v>
      </c>
      <c r="K878" s="404" t="s">
        <v>6798</v>
      </c>
    </row>
    <row r="879" spans="1:11" ht="30">
      <c r="A879" s="387"/>
      <c r="B879" s="387"/>
      <c r="C879" s="387"/>
      <c r="D879" s="404" t="s">
        <v>6799</v>
      </c>
      <c r="E879" s="404" t="s">
        <v>6800</v>
      </c>
      <c r="F879" s="385" t="s">
        <v>20</v>
      </c>
      <c r="G879" s="404" t="s">
        <v>6801</v>
      </c>
      <c r="H879" s="404" t="s">
        <v>6802</v>
      </c>
      <c r="I879" s="404" t="s">
        <v>23</v>
      </c>
      <c r="J879" s="404" t="s">
        <v>6803</v>
      </c>
      <c r="K879" s="404" t="s">
        <v>6804</v>
      </c>
    </row>
    <row r="880" spans="1:11" ht="30">
      <c r="A880" s="387"/>
      <c r="B880" s="387"/>
      <c r="C880" s="387" t="s">
        <v>6805</v>
      </c>
      <c r="D880" s="404" t="s">
        <v>6806</v>
      </c>
      <c r="E880" s="404" t="s">
        <v>6807</v>
      </c>
      <c r="F880" s="385" t="s">
        <v>229</v>
      </c>
      <c r="G880" s="404" t="s">
        <v>6808</v>
      </c>
      <c r="H880" s="404" t="s">
        <v>6809</v>
      </c>
      <c r="I880" s="404" t="s">
        <v>23</v>
      </c>
      <c r="J880" s="404" t="s">
        <v>6810</v>
      </c>
      <c r="K880" s="404" t="s">
        <v>6811</v>
      </c>
    </row>
    <row r="881" spans="1:11" ht="30">
      <c r="A881" s="387"/>
      <c r="B881" s="387"/>
      <c r="C881" s="387"/>
      <c r="D881" s="404" t="s">
        <v>6812</v>
      </c>
      <c r="E881" s="404" t="s">
        <v>6813</v>
      </c>
      <c r="F881" s="385" t="s">
        <v>229</v>
      </c>
      <c r="G881" s="404" t="s">
        <v>6814</v>
      </c>
      <c r="H881" s="404" t="s">
        <v>6815</v>
      </c>
      <c r="I881" s="404" t="s">
        <v>23</v>
      </c>
      <c r="J881" s="404" t="s">
        <v>6816</v>
      </c>
      <c r="K881" s="404" t="s">
        <v>6817</v>
      </c>
    </row>
    <row r="882" spans="1:11" ht="30">
      <c r="A882" s="387"/>
      <c r="B882" s="387"/>
      <c r="C882" s="387"/>
      <c r="D882" s="404" t="s">
        <v>6818</v>
      </c>
      <c r="E882" s="404" t="s">
        <v>6819</v>
      </c>
      <c r="F882" s="385" t="s">
        <v>229</v>
      </c>
      <c r="G882" s="404" t="s">
        <v>6820</v>
      </c>
      <c r="H882" s="404" t="s">
        <v>6821</v>
      </c>
      <c r="I882" s="404" t="s">
        <v>23</v>
      </c>
      <c r="J882" s="404" t="s">
        <v>6822</v>
      </c>
      <c r="K882" s="404" t="s">
        <v>6823</v>
      </c>
    </row>
    <row r="883" spans="1:11" ht="30">
      <c r="A883" s="387"/>
      <c r="B883" s="387"/>
      <c r="C883" s="387"/>
      <c r="D883" s="404" t="s">
        <v>6824</v>
      </c>
      <c r="E883" s="404" t="s">
        <v>6825</v>
      </c>
      <c r="F883" s="385" t="s">
        <v>229</v>
      </c>
      <c r="G883" s="404" t="s">
        <v>6826</v>
      </c>
      <c r="H883" s="404" t="s">
        <v>6827</v>
      </c>
      <c r="I883" s="404" t="s">
        <v>23</v>
      </c>
      <c r="J883" s="404" t="s">
        <v>6828</v>
      </c>
      <c r="K883" s="404" t="s">
        <v>6829</v>
      </c>
    </row>
    <row r="884" spans="1:11" ht="30">
      <c r="A884" s="387"/>
      <c r="B884" s="387"/>
      <c r="C884" s="387"/>
      <c r="D884" s="404" t="s">
        <v>6830</v>
      </c>
      <c r="E884" s="404" t="s">
        <v>6831</v>
      </c>
      <c r="F884" s="385" t="s">
        <v>229</v>
      </c>
      <c r="G884" s="404" t="s">
        <v>6832</v>
      </c>
      <c r="H884" s="404" t="s">
        <v>6833</v>
      </c>
      <c r="I884" s="404" t="s">
        <v>23</v>
      </c>
      <c r="J884" s="404" t="s">
        <v>6834</v>
      </c>
      <c r="K884" s="404" t="s">
        <v>6835</v>
      </c>
    </row>
    <row r="885" spans="1:11" ht="30">
      <c r="A885" s="387"/>
      <c r="B885" s="387"/>
      <c r="C885" s="387" t="s">
        <v>6836</v>
      </c>
      <c r="D885" s="404" t="s">
        <v>6837</v>
      </c>
      <c r="E885" s="404" t="s">
        <v>6838</v>
      </c>
      <c r="F885" s="385" t="s">
        <v>229</v>
      </c>
      <c r="G885" s="404" t="s">
        <v>6839</v>
      </c>
      <c r="H885" s="404" t="s">
        <v>6840</v>
      </c>
      <c r="I885" s="404" t="s">
        <v>23</v>
      </c>
      <c r="J885" s="404" t="s">
        <v>6841</v>
      </c>
      <c r="K885" s="404" t="s">
        <v>6842</v>
      </c>
    </row>
    <row r="886" spans="1:11">
      <c r="A886" s="387"/>
      <c r="B886" s="387"/>
      <c r="C886" s="387"/>
      <c r="D886" s="404" t="s">
        <v>6843</v>
      </c>
      <c r="E886" s="404" t="s">
        <v>6844</v>
      </c>
      <c r="F886" s="385" t="s">
        <v>229</v>
      </c>
      <c r="G886" s="404" t="s">
        <v>6845</v>
      </c>
      <c r="H886" s="404" t="s">
        <v>6846</v>
      </c>
      <c r="I886" s="404" t="s">
        <v>23</v>
      </c>
      <c r="J886" s="404" t="s">
        <v>6847</v>
      </c>
      <c r="K886" s="404" t="s">
        <v>6848</v>
      </c>
    </row>
    <row r="887" spans="1:11" ht="30">
      <c r="A887" s="387"/>
      <c r="B887" s="387"/>
      <c r="C887" s="387"/>
      <c r="D887" s="404" t="s">
        <v>6849</v>
      </c>
      <c r="E887" s="404" t="s">
        <v>6850</v>
      </c>
      <c r="F887" s="385" t="s">
        <v>20</v>
      </c>
      <c r="G887" s="404" t="s">
        <v>6851</v>
      </c>
      <c r="H887" s="404" t="s">
        <v>6852</v>
      </c>
      <c r="I887" s="404" t="s">
        <v>23</v>
      </c>
      <c r="J887" s="404" t="s">
        <v>6853</v>
      </c>
      <c r="K887" s="404" t="s">
        <v>6854</v>
      </c>
    </row>
    <row r="888" spans="1:11" ht="30">
      <c r="A888" s="387"/>
      <c r="B888" s="387"/>
      <c r="C888" s="387"/>
      <c r="D888" s="404" t="s">
        <v>6826</v>
      </c>
      <c r="E888" s="404" t="s">
        <v>6855</v>
      </c>
      <c r="F888" s="385" t="s">
        <v>20</v>
      </c>
      <c r="G888" s="404" t="s">
        <v>6856</v>
      </c>
      <c r="H888" s="404" t="s">
        <v>6857</v>
      </c>
      <c r="I888" s="404" t="s">
        <v>23</v>
      </c>
      <c r="J888" s="404" t="s">
        <v>6858</v>
      </c>
      <c r="K888" s="404" t="s">
        <v>6859</v>
      </c>
    </row>
    <row r="889" spans="1:11" ht="30">
      <c r="A889" s="387"/>
      <c r="B889" s="387"/>
      <c r="C889" s="387"/>
      <c r="D889" s="404" t="s">
        <v>6860</v>
      </c>
      <c r="E889" s="404" t="s">
        <v>6861</v>
      </c>
      <c r="F889" s="385" t="s">
        <v>20</v>
      </c>
      <c r="G889" s="404" t="s">
        <v>6862</v>
      </c>
      <c r="H889" s="404" t="s">
        <v>6863</v>
      </c>
      <c r="I889" s="404" t="s">
        <v>23</v>
      </c>
      <c r="J889" s="404" t="s">
        <v>6864</v>
      </c>
      <c r="K889" s="404" t="s">
        <v>6865</v>
      </c>
    </row>
    <row r="890" spans="1:11" ht="30">
      <c r="A890" s="387"/>
      <c r="B890" s="387"/>
      <c r="C890" s="387" t="s">
        <v>6866</v>
      </c>
      <c r="D890" s="404" t="s">
        <v>6867</v>
      </c>
      <c r="E890" s="404" t="s">
        <v>6868</v>
      </c>
      <c r="F890" s="385" t="s">
        <v>20</v>
      </c>
      <c r="G890" s="404" t="s">
        <v>6869</v>
      </c>
      <c r="H890" s="404" t="s">
        <v>6870</v>
      </c>
      <c r="I890" s="404" t="s">
        <v>23</v>
      </c>
      <c r="J890" s="404" t="s">
        <v>6871</v>
      </c>
      <c r="K890" s="404" t="s">
        <v>6872</v>
      </c>
    </row>
    <row r="891" spans="1:11" ht="30">
      <c r="A891" s="387"/>
      <c r="B891" s="387"/>
      <c r="C891" s="387"/>
      <c r="D891" s="404" t="s">
        <v>6845</v>
      </c>
      <c r="E891" s="404" t="s">
        <v>6873</v>
      </c>
      <c r="F891" s="385" t="s">
        <v>425</v>
      </c>
      <c r="G891" s="404" t="s">
        <v>6874</v>
      </c>
      <c r="H891" s="404" t="s">
        <v>6875</v>
      </c>
      <c r="I891" s="404" t="s">
        <v>23</v>
      </c>
      <c r="J891" s="404" t="s">
        <v>6876</v>
      </c>
      <c r="K891" s="404" t="s">
        <v>6877</v>
      </c>
    </row>
    <row r="892" spans="1:11" ht="30">
      <c r="A892" s="387"/>
      <c r="B892" s="387"/>
      <c r="C892" s="387"/>
      <c r="D892" s="404" t="s">
        <v>6851</v>
      </c>
      <c r="E892" s="404" t="s">
        <v>6878</v>
      </c>
      <c r="F892" s="385" t="s">
        <v>425</v>
      </c>
      <c r="G892" s="404" t="s">
        <v>6879</v>
      </c>
      <c r="H892" s="404" t="s">
        <v>6880</v>
      </c>
      <c r="I892" s="404" t="s">
        <v>23</v>
      </c>
      <c r="J892" s="404" t="s">
        <v>6881</v>
      </c>
      <c r="K892" s="404" t="s">
        <v>6882</v>
      </c>
    </row>
    <row r="893" spans="1:11" ht="30">
      <c r="A893" s="387"/>
      <c r="B893" s="387"/>
      <c r="C893" s="387"/>
      <c r="D893" s="404" t="s">
        <v>6883</v>
      </c>
      <c r="E893" s="404" t="s">
        <v>6884</v>
      </c>
      <c r="F893" s="385" t="s">
        <v>425</v>
      </c>
      <c r="G893" s="404" t="s">
        <v>6885</v>
      </c>
      <c r="H893" s="404" t="s">
        <v>6886</v>
      </c>
      <c r="I893" s="404" t="s">
        <v>23</v>
      </c>
      <c r="J893" s="404" t="s">
        <v>6887</v>
      </c>
      <c r="K893" s="404" t="s">
        <v>6888</v>
      </c>
    </row>
    <row r="894" spans="1:11" ht="30">
      <c r="A894" s="387"/>
      <c r="B894" s="387"/>
      <c r="C894" s="387"/>
      <c r="D894" s="404" t="s">
        <v>6889</v>
      </c>
      <c r="E894" s="404" t="s">
        <v>6890</v>
      </c>
      <c r="F894" s="385" t="s">
        <v>425</v>
      </c>
      <c r="G894" s="404" t="s">
        <v>6891</v>
      </c>
      <c r="H894" s="404" t="s">
        <v>6892</v>
      </c>
      <c r="I894" s="404" t="s">
        <v>23</v>
      </c>
      <c r="J894" s="404" t="s">
        <v>6893</v>
      </c>
      <c r="K894" s="404" t="s">
        <v>6894</v>
      </c>
    </row>
    <row r="895" spans="1:11" ht="30">
      <c r="A895" s="387"/>
      <c r="B895" s="387"/>
      <c r="C895" s="387" t="s">
        <v>6895</v>
      </c>
      <c r="D895" s="404" t="s">
        <v>6896</v>
      </c>
      <c r="E895" s="404" t="s">
        <v>6897</v>
      </c>
      <c r="F895" s="385" t="s">
        <v>20</v>
      </c>
      <c r="G895" s="404" t="s">
        <v>6898</v>
      </c>
      <c r="H895" s="404" t="s">
        <v>6899</v>
      </c>
      <c r="I895" s="404" t="s">
        <v>23</v>
      </c>
      <c r="J895" s="404" t="s">
        <v>6900</v>
      </c>
      <c r="K895" s="404" t="s">
        <v>6901</v>
      </c>
    </row>
    <row r="896" spans="1:11" ht="30">
      <c r="A896" s="387"/>
      <c r="B896" s="387"/>
      <c r="C896" s="387"/>
      <c r="D896" s="404" t="s">
        <v>6874</v>
      </c>
      <c r="E896" s="404" t="s">
        <v>6902</v>
      </c>
      <c r="F896" s="385" t="s">
        <v>20</v>
      </c>
      <c r="G896" s="404" t="s">
        <v>6903</v>
      </c>
      <c r="H896" s="404" t="s">
        <v>6904</v>
      </c>
      <c r="I896" s="404" t="s">
        <v>23</v>
      </c>
      <c r="J896" s="404" t="s">
        <v>6905</v>
      </c>
      <c r="K896" s="404" t="s">
        <v>6906</v>
      </c>
    </row>
    <row r="897" spans="1:11" ht="30">
      <c r="A897" s="387"/>
      <c r="B897" s="387"/>
      <c r="C897" s="387"/>
      <c r="D897" s="404" t="s">
        <v>6907</v>
      </c>
      <c r="E897" s="404" t="s">
        <v>6908</v>
      </c>
      <c r="F897" s="385" t="s">
        <v>20</v>
      </c>
      <c r="G897" s="404" t="s">
        <v>6909</v>
      </c>
      <c r="H897" s="404" t="s">
        <v>6910</v>
      </c>
      <c r="I897" s="404" t="s">
        <v>23</v>
      </c>
      <c r="J897" s="404" t="s">
        <v>6911</v>
      </c>
      <c r="K897" s="404" t="s">
        <v>6912</v>
      </c>
    </row>
    <row r="898" spans="1:11" ht="30">
      <c r="A898" s="387"/>
      <c r="B898" s="387"/>
      <c r="C898" s="387"/>
      <c r="D898" s="404" t="s">
        <v>6913</v>
      </c>
      <c r="E898" s="404" t="s">
        <v>6914</v>
      </c>
      <c r="F898" s="385" t="s">
        <v>20</v>
      </c>
      <c r="G898" s="404" t="s">
        <v>6915</v>
      </c>
      <c r="H898" s="404" t="s">
        <v>6916</v>
      </c>
      <c r="I898" s="404" t="s">
        <v>23</v>
      </c>
      <c r="J898" s="404" t="s">
        <v>6917</v>
      </c>
      <c r="K898" s="404" t="s">
        <v>6918</v>
      </c>
    </row>
    <row r="899" spans="1:11" ht="30">
      <c r="A899" s="387"/>
      <c r="B899" s="387"/>
      <c r="C899" s="387"/>
      <c r="D899" s="404" t="s">
        <v>6919</v>
      </c>
      <c r="E899" s="404" t="s">
        <v>6920</v>
      </c>
      <c r="F899" s="385" t="s">
        <v>20</v>
      </c>
      <c r="G899" s="404" t="s">
        <v>6921</v>
      </c>
      <c r="H899" s="404" t="s">
        <v>6922</v>
      </c>
      <c r="I899" s="404" t="s">
        <v>23</v>
      </c>
      <c r="J899" s="404" t="s">
        <v>6923</v>
      </c>
      <c r="K899" s="404" t="s">
        <v>6924</v>
      </c>
    </row>
    <row r="900" spans="1:11" ht="30">
      <c r="A900" s="387"/>
      <c r="B900" s="387"/>
      <c r="C900" s="387" t="s">
        <v>6925</v>
      </c>
      <c r="D900" s="404" t="s">
        <v>6898</v>
      </c>
      <c r="E900" s="404" t="s">
        <v>6926</v>
      </c>
      <c r="F900" s="385" t="s">
        <v>20</v>
      </c>
      <c r="G900" s="404" t="s">
        <v>6927</v>
      </c>
      <c r="H900" s="404" t="s">
        <v>6928</v>
      </c>
      <c r="I900" s="404" t="s">
        <v>23</v>
      </c>
      <c r="J900" s="404" t="s">
        <v>6929</v>
      </c>
      <c r="K900" s="404" t="s">
        <v>6930</v>
      </c>
    </row>
    <row r="901" spans="1:11" ht="30">
      <c r="A901" s="387"/>
      <c r="B901" s="387"/>
      <c r="C901" s="387"/>
      <c r="D901" s="404" t="s">
        <v>6903</v>
      </c>
      <c r="E901" s="404" t="s">
        <v>6931</v>
      </c>
      <c r="F901" s="385" t="s">
        <v>20</v>
      </c>
      <c r="G901" s="404" t="s">
        <v>6932</v>
      </c>
      <c r="H901" s="404" t="s">
        <v>6933</v>
      </c>
      <c r="I901" s="404" t="s">
        <v>23</v>
      </c>
      <c r="J901" s="404" t="s">
        <v>6934</v>
      </c>
      <c r="K901" s="404" t="s">
        <v>6935</v>
      </c>
    </row>
    <row r="902" spans="1:11" ht="30">
      <c r="A902" s="387"/>
      <c r="B902" s="387"/>
      <c r="C902" s="387"/>
      <c r="D902" s="404" t="s">
        <v>6909</v>
      </c>
      <c r="E902" s="404" t="s">
        <v>6936</v>
      </c>
      <c r="F902" s="385" t="s">
        <v>229</v>
      </c>
      <c r="G902" s="404" t="s">
        <v>6937</v>
      </c>
      <c r="H902" s="404" t="s">
        <v>6938</v>
      </c>
      <c r="I902" s="404" t="s">
        <v>94</v>
      </c>
      <c r="J902" s="404" t="s">
        <v>6939</v>
      </c>
      <c r="K902" s="404" t="s">
        <v>6940</v>
      </c>
    </row>
    <row r="903" spans="1:11" ht="30">
      <c r="A903" s="387"/>
      <c r="B903" s="387"/>
      <c r="C903" s="387"/>
      <c r="D903" s="404" t="s">
        <v>6941</v>
      </c>
      <c r="E903" s="404" t="s">
        <v>6942</v>
      </c>
      <c r="F903" s="385" t="s">
        <v>229</v>
      </c>
      <c r="G903" s="404" t="s">
        <v>6943</v>
      </c>
      <c r="H903" s="404" t="s">
        <v>6944</v>
      </c>
      <c r="I903" s="404" t="s">
        <v>94</v>
      </c>
      <c r="J903" s="404" t="s">
        <v>6945</v>
      </c>
      <c r="K903" s="404" t="s">
        <v>6946</v>
      </c>
    </row>
    <row r="904" spans="1:11" ht="30">
      <c r="A904" s="387"/>
      <c r="B904" s="387"/>
      <c r="C904" s="387"/>
      <c r="D904" s="404" t="s">
        <v>6921</v>
      </c>
      <c r="E904" s="404" t="s">
        <v>6947</v>
      </c>
      <c r="F904" s="385" t="s">
        <v>229</v>
      </c>
      <c r="G904" s="404" t="s">
        <v>6948</v>
      </c>
      <c r="H904" s="404" t="s">
        <v>6949</v>
      </c>
      <c r="I904" s="404" t="s">
        <v>23</v>
      </c>
      <c r="J904" s="404" t="s">
        <v>6950</v>
      </c>
      <c r="K904" s="404" t="s">
        <v>6951</v>
      </c>
    </row>
    <row r="905" spans="1:11" ht="30">
      <c r="A905" s="387"/>
      <c r="B905" s="387"/>
      <c r="C905" s="387" t="s">
        <v>6952</v>
      </c>
      <c r="D905" s="404" t="s">
        <v>6953</v>
      </c>
      <c r="E905" s="404" t="s">
        <v>6954</v>
      </c>
      <c r="F905" s="385" t="s">
        <v>229</v>
      </c>
      <c r="G905" s="404" t="s">
        <v>6955</v>
      </c>
      <c r="H905" s="404" t="s">
        <v>6956</v>
      </c>
      <c r="I905" s="404" t="s">
        <v>94</v>
      </c>
      <c r="J905" s="404" t="s">
        <v>6957</v>
      </c>
      <c r="K905" s="404" t="s">
        <v>6958</v>
      </c>
    </row>
    <row r="906" spans="1:11" ht="30">
      <c r="A906" s="387"/>
      <c r="B906" s="387"/>
      <c r="C906" s="387"/>
      <c r="D906" s="404" t="s">
        <v>6932</v>
      </c>
      <c r="E906" s="404" t="s">
        <v>6959</v>
      </c>
      <c r="F906" s="385" t="s">
        <v>229</v>
      </c>
      <c r="G906" s="404" t="s">
        <v>6960</v>
      </c>
      <c r="H906" s="404" t="s">
        <v>6961</v>
      </c>
      <c r="I906" s="404" t="s">
        <v>23</v>
      </c>
      <c r="J906" s="404" t="s">
        <v>6962</v>
      </c>
      <c r="K906" s="404" t="s">
        <v>6963</v>
      </c>
    </row>
    <row r="907" spans="1:11" ht="30">
      <c r="A907" s="387"/>
      <c r="B907" s="387"/>
      <c r="C907" s="387"/>
      <c r="D907" s="404" t="s">
        <v>6937</v>
      </c>
      <c r="E907" s="404" t="s">
        <v>6964</v>
      </c>
      <c r="F907" s="385" t="s">
        <v>229</v>
      </c>
      <c r="G907" s="404" t="s">
        <v>6965</v>
      </c>
      <c r="H907" s="404" t="s">
        <v>6966</v>
      </c>
      <c r="I907" s="404" t="s">
        <v>94</v>
      </c>
      <c r="J907" s="404" t="s">
        <v>6967</v>
      </c>
      <c r="K907" s="404" t="s">
        <v>6968</v>
      </c>
    </row>
    <row r="908" spans="1:11" ht="30">
      <c r="A908" s="387"/>
      <c r="B908" s="387"/>
      <c r="C908" s="387"/>
      <c r="D908" s="404" t="s">
        <v>6969</v>
      </c>
      <c r="E908" s="404" t="s">
        <v>6970</v>
      </c>
      <c r="F908" s="385" t="s">
        <v>229</v>
      </c>
      <c r="G908" s="404" t="s">
        <v>6971</v>
      </c>
      <c r="H908" s="404" t="s">
        <v>6972</v>
      </c>
      <c r="I908" s="404" t="s">
        <v>94</v>
      </c>
      <c r="J908" s="404" t="s">
        <v>6973</v>
      </c>
      <c r="K908" s="404" t="s">
        <v>6974</v>
      </c>
    </row>
    <row r="909" spans="1:11" ht="30">
      <c r="A909" s="387"/>
      <c r="B909" s="387"/>
      <c r="C909" s="387"/>
      <c r="D909" s="404" t="s">
        <v>6948</v>
      </c>
      <c r="E909" s="404" t="s">
        <v>6975</v>
      </c>
      <c r="F909" s="385" t="s">
        <v>229</v>
      </c>
      <c r="G909" s="404" t="s">
        <v>6976</v>
      </c>
      <c r="H909" s="404" t="s">
        <v>6977</v>
      </c>
      <c r="I909" s="404" t="s">
        <v>23</v>
      </c>
      <c r="J909" s="404" t="s">
        <v>6978</v>
      </c>
      <c r="K909" s="404" t="s">
        <v>6979</v>
      </c>
    </row>
    <row r="910" spans="1:11" ht="30">
      <c r="A910" s="387"/>
      <c r="B910" s="387"/>
      <c r="C910" s="387" t="s">
        <v>6980</v>
      </c>
      <c r="D910" s="404" t="s">
        <v>6981</v>
      </c>
      <c r="E910" s="404" t="s">
        <v>6982</v>
      </c>
      <c r="F910" s="385" t="s">
        <v>20</v>
      </c>
      <c r="G910" s="404" t="s">
        <v>6983</v>
      </c>
      <c r="H910" s="404" t="s">
        <v>6984</v>
      </c>
      <c r="I910" s="404" t="s">
        <v>94</v>
      </c>
      <c r="J910" s="404" t="s">
        <v>6985</v>
      </c>
      <c r="K910" s="404" t="s">
        <v>6986</v>
      </c>
    </row>
    <row r="911" spans="1:11" ht="30">
      <c r="A911" s="387"/>
      <c r="B911" s="387"/>
      <c r="C911" s="387"/>
      <c r="D911" s="404" t="s">
        <v>6987</v>
      </c>
      <c r="E911" s="404" t="s">
        <v>6988</v>
      </c>
      <c r="F911" s="385" t="s">
        <v>20</v>
      </c>
      <c r="G911" s="404" t="s">
        <v>6989</v>
      </c>
      <c r="H911" s="404" t="s">
        <v>6990</v>
      </c>
      <c r="I911" s="404" t="s">
        <v>94</v>
      </c>
      <c r="J911" s="404" t="s">
        <v>6991</v>
      </c>
      <c r="K911" s="404" t="s">
        <v>6992</v>
      </c>
    </row>
    <row r="912" spans="1:11" ht="30">
      <c r="A912" s="387"/>
      <c r="B912" s="387"/>
      <c r="C912" s="387"/>
      <c r="D912" s="404" t="s">
        <v>6993</v>
      </c>
      <c r="E912" s="404" t="s">
        <v>6994</v>
      </c>
      <c r="F912" s="385" t="s">
        <v>20</v>
      </c>
      <c r="G912" s="404" t="s">
        <v>6995</v>
      </c>
      <c r="H912" s="404" t="s">
        <v>6996</v>
      </c>
      <c r="I912" s="404" t="s">
        <v>94</v>
      </c>
      <c r="J912" s="404" t="s">
        <v>6997</v>
      </c>
      <c r="K912" s="404" t="s">
        <v>6998</v>
      </c>
    </row>
    <row r="913" spans="1:11" ht="30">
      <c r="A913" s="387"/>
      <c r="B913" s="387"/>
      <c r="C913" s="387"/>
      <c r="D913" s="404" t="s">
        <v>6999</v>
      </c>
      <c r="E913" s="404" t="s">
        <v>7000</v>
      </c>
      <c r="F913" s="385" t="s">
        <v>20</v>
      </c>
      <c r="G913" s="404" t="s">
        <v>7001</v>
      </c>
      <c r="H913" s="404" t="s">
        <v>7002</v>
      </c>
      <c r="I913" s="404" t="s">
        <v>94</v>
      </c>
      <c r="J913" s="404" t="s">
        <v>7003</v>
      </c>
      <c r="K913" s="404" t="s">
        <v>7004</v>
      </c>
    </row>
    <row r="914" spans="1:11" ht="30">
      <c r="A914" s="387"/>
      <c r="B914" s="387"/>
      <c r="C914" s="387"/>
      <c r="D914" s="404" t="s">
        <v>7005</v>
      </c>
      <c r="E914" s="404" t="s">
        <v>7006</v>
      </c>
      <c r="F914" s="385" t="s">
        <v>20</v>
      </c>
      <c r="G914" s="404" t="s">
        <v>7007</v>
      </c>
      <c r="H914" s="404" t="s">
        <v>7008</v>
      </c>
      <c r="I914" s="404" t="s">
        <v>94</v>
      </c>
      <c r="J914" s="404" t="s">
        <v>7009</v>
      </c>
      <c r="K914" s="404" t="s">
        <v>7010</v>
      </c>
    </row>
    <row r="915" spans="1:11">
      <c r="A915" s="387"/>
      <c r="B915" s="387" t="s">
        <v>7011</v>
      </c>
      <c r="C915" s="387" t="s">
        <v>7012</v>
      </c>
      <c r="D915" s="404" t="s">
        <v>7013</v>
      </c>
      <c r="E915" s="404" t="s">
        <v>7014</v>
      </c>
      <c r="F915" s="385" t="s">
        <v>229</v>
      </c>
      <c r="G915" s="404" t="s">
        <v>7015</v>
      </c>
      <c r="H915" s="404" t="s">
        <v>7016</v>
      </c>
      <c r="I915" s="404" t="s">
        <v>23</v>
      </c>
      <c r="J915" s="404" t="s">
        <v>7017</v>
      </c>
      <c r="K915" s="404" t="s">
        <v>7018</v>
      </c>
    </row>
    <row r="916" spans="1:11" ht="30">
      <c r="A916" s="387"/>
      <c r="B916" s="387"/>
      <c r="C916" s="387"/>
      <c r="D916" s="404" t="s">
        <v>7019</v>
      </c>
      <c r="E916" s="404" t="s">
        <v>7020</v>
      </c>
      <c r="F916" s="385" t="s">
        <v>425</v>
      </c>
      <c r="G916" s="404" t="s">
        <v>7021</v>
      </c>
      <c r="H916" s="404" t="s">
        <v>7022</v>
      </c>
      <c r="I916" s="404" t="s">
        <v>94</v>
      </c>
      <c r="J916" s="404" t="s">
        <v>7023</v>
      </c>
      <c r="K916" s="404" t="s">
        <v>7024</v>
      </c>
    </row>
    <row r="917" spans="1:11" ht="30">
      <c r="A917" s="387"/>
      <c r="B917" s="387"/>
      <c r="C917" s="387"/>
      <c r="D917" s="404" t="s">
        <v>7025</v>
      </c>
      <c r="E917" s="404" t="s">
        <v>7026</v>
      </c>
      <c r="F917" s="385" t="s">
        <v>20</v>
      </c>
      <c r="G917" s="404" t="s">
        <v>7027</v>
      </c>
      <c r="H917" s="404" t="s">
        <v>7028</v>
      </c>
      <c r="I917" s="404" t="s">
        <v>94</v>
      </c>
      <c r="J917" s="404" t="s">
        <v>7029</v>
      </c>
      <c r="K917" s="404" t="s">
        <v>7030</v>
      </c>
    </row>
    <row r="918" spans="1:11" ht="30">
      <c r="A918" s="387"/>
      <c r="B918" s="387"/>
      <c r="C918" s="387"/>
      <c r="D918" s="404" t="s">
        <v>7031</v>
      </c>
      <c r="E918" s="404" t="s">
        <v>7032</v>
      </c>
      <c r="F918" s="385" t="s">
        <v>20</v>
      </c>
      <c r="G918" s="404" t="s">
        <v>7033</v>
      </c>
      <c r="H918" s="404" t="s">
        <v>7034</v>
      </c>
      <c r="I918" s="404" t="s">
        <v>23</v>
      </c>
      <c r="J918" s="404" t="s">
        <v>7035</v>
      </c>
      <c r="K918" s="404" t="s">
        <v>7036</v>
      </c>
    </row>
    <row r="919" spans="1:11" ht="30">
      <c r="A919" s="387"/>
      <c r="B919" s="387"/>
      <c r="C919" s="387"/>
      <c r="D919" s="404" t="s">
        <v>7037</v>
      </c>
      <c r="E919" s="404" t="s">
        <v>7038</v>
      </c>
      <c r="F919" s="385" t="s">
        <v>20</v>
      </c>
      <c r="G919" s="404" t="s">
        <v>7039</v>
      </c>
      <c r="H919" s="404" t="s">
        <v>7040</v>
      </c>
      <c r="I919" s="404" t="s">
        <v>94</v>
      </c>
      <c r="J919" s="404" t="s">
        <v>7041</v>
      </c>
      <c r="K919" s="404" t="s">
        <v>7042</v>
      </c>
    </row>
    <row r="920" spans="1:11" ht="30">
      <c r="A920" s="387"/>
      <c r="B920" s="387"/>
      <c r="C920" s="387" t="s">
        <v>7043</v>
      </c>
      <c r="D920" s="404" t="s">
        <v>7044</v>
      </c>
      <c r="E920" s="404" t="s">
        <v>7045</v>
      </c>
      <c r="F920" s="385" t="s">
        <v>20</v>
      </c>
      <c r="G920" s="404" t="s">
        <v>7046</v>
      </c>
      <c r="H920" s="404" t="s">
        <v>7047</v>
      </c>
      <c r="I920" s="404" t="s">
        <v>94</v>
      </c>
      <c r="J920" s="404" t="s">
        <v>7048</v>
      </c>
      <c r="K920" s="404" t="s">
        <v>7049</v>
      </c>
    </row>
    <row r="921" spans="1:11" ht="30">
      <c r="A921" s="387"/>
      <c r="B921" s="387"/>
      <c r="C921" s="387"/>
      <c r="D921" s="404" t="s">
        <v>7050</v>
      </c>
      <c r="E921" s="404" t="s">
        <v>7051</v>
      </c>
      <c r="F921" s="385" t="s">
        <v>20</v>
      </c>
      <c r="G921" s="404" t="s">
        <v>7052</v>
      </c>
      <c r="H921" s="404" t="s">
        <v>7053</v>
      </c>
      <c r="I921" s="404" t="s">
        <v>23</v>
      </c>
      <c r="J921" s="404" t="s">
        <v>7054</v>
      </c>
      <c r="K921" s="404" t="s">
        <v>7055</v>
      </c>
    </row>
    <row r="922" spans="1:11" ht="30">
      <c r="A922" s="387"/>
      <c r="B922" s="387"/>
      <c r="C922" s="387"/>
      <c r="D922" s="404" t="s">
        <v>7056</v>
      </c>
      <c r="E922" s="404" t="s">
        <v>7057</v>
      </c>
      <c r="F922" s="385" t="s">
        <v>229</v>
      </c>
      <c r="G922" s="404" t="s">
        <v>7058</v>
      </c>
      <c r="H922" s="404" t="s">
        <v>7059</v>
      </c>
      <c r="I922" s="404" t="s">
        <v>23</v>
      </c>
      <c r="J922" s="404" t="s">
        <v>7060</v>
      </c>
      <c r="K922" s="404" t="s">
        <v>7061</v>
      </c>
    </row>
    <row r="923" spans="1:11" ht="30">
      <c r="A923" s="387"/>
      <c r="B923" s="387"/>
      <c r="C923" s="387"/>
      <c r="D923" s="404" t="s">
        <v>7062</v>
      </c>
      <c r="E923" s="404" t="s">
        <v>7063</v>
      </c>
      <c r="F923" s="385" t="s">
        <v>229</v>
      </c>
      <c r="G923" s="404" t="s">
        <v>7064</v>
      </c>
      <c r="H923" s="404" t="s">
        <v>7065</v>
      </c>
      <c r="I923" s="404" t="s">
        <v>23</v>
      </c>
      <c r="J923" s="404" t="s">
        <v>7066</v>
      </c>
      <c r="K923" s="404" t="s">
        <v>7067</v>
      </c>
    </row>
    <row r="924" spans="1:11">
      <c r="A924" s="387"/>
      <c r="B924" s="387"/>
      <c r="C924" s="387"/>
      <c r="D924" s="404" t="s">
        <v>7068</v>
      </c>
      <c r="E924" s="404" t="s">
        <v>7069</v>
      </c>
      <c r="F924" s="385" t="s">
        <v>229</v>
      </c>
      <c r="G924" s="404" t="s">
        <v>7070</v>
      </c>
      <c r="H924" s="404" t="s">
        <v>7071</v>
      </c>
      <c r="I924" s="404" t="s">
        <v>23</v>
      </c>
      <c r="J924" s="404" t="s">
        <v>7072</v>
      </c>
      <c r="K924" s="404" t="s">
        <v>7073</v>
      </c>
    </row>
    <row r="925" spans="1:11" ht="30">
      <c r="A925" s="387"/>
      <c r="B925" s="387"/>
      <c r="C925" s="387" t="s">
        <v>7074</v>
      </c>
      <c r="D925" s="404" t="s">
        <v>7075</v>
      </c>
      <c r="E925" s="404" t="s">
        <v>7076</v>
      </c>
      <c r="F925" s="385" t="s">
        <v>229</v>
      </c>
      <c r="G925" s="404" t="s">
        <v>7077</v>
      </c>
      <c r="H925" s="404" t="s">
        <v>7078</v>
      </c>
      <c r="I925" s="404" t="s">
        <v>23</v>
      </c>
      <c r="J925" s="404" t="s">
        <v>7079</v>
      </c>
      <c r="K925" s="404" t="s">
        <v>7080</v>
      </c>
    </row>
    <row r="926" spans="1:11" ht="30">
      <c r="A926" s="387"/>
      <c r="B926" s="387"/>
      <c r="C926" s="387"/>
      <c r="D926" s="404" t="s">
        <v>7081</v>
      </c>
      <c r="E926" s="404" t="s">
        <v>7082</v>
      </c>
      <c r="F926" s="385" t="s">
        <v>20</v>
      </c>
      <c r="G926" s="404" t="s">
        <v>7083</v>
      </c>
      <c r="H926" s="404" t="s">
        <v>7084</v>
      </c>
      <c r="I926" s="404" t="s">
        <v>23</v>
      </c>
      <c r="J926" s="404" t="s">
        <v>7085</v>
      </c>
      <c r="K926" s="404" t="s">
        <v>7086</v>
      </c>
    </row>
    <row r="927" spans="1:11" ht="30">
      <c r="A927" s="387"/>
      <c r="B927" s="387"/>
      <c r="C927" s="387"/>
      <c r="D927" s="404" t="s">
        <v>7087</v>
      </c>
      <c r="E927" s="404" t="s">
        <v>7088</v>
      </c>
      <c r="F927" s="385" t="s">
        <v>20</v>
      </c>
      <c r="G927" s="404" t="s">
        <v>7089</v>
      </c>
      <c r="H927" s="404" t="s">
        <v>7090</v>
      </c>
      <c r="I927" s="404" t="s">
        <v>23</v>
      </c>
      <c r="J927" s="404" t="s">
        <v>7091</v>
      </c>
      <c r="K927" s="404" t="s">
        <v>7092</v>
      </c>
    </row>
    <row r="928" spans="1:11" ht="30">
      <c r="A928" s="387"/>
      <c r="B928" s="387"/>
      <c r="C928" s="387"/>
      <c r="D928" s="404" t="s">
        <v>7093</v>
      </c>
      <c r="E928" s="404" t="s">
        <v>7094</v>
      </c>
      <c r="F928" s="385" t="s">
        <v>20</v>
      </c>
      <c r="G928" s="404" t="s">
        <v>7095</v>
      </c>
      <c r="H928" s="404" t="s">
        <v>7096</v>
      </c>
      <c r="I928" s="404" t="s">
        <v>23</v>
      </c>
      <c r="J928" s="404" t="s">
        <v>7097</v>
      </c>
      <c r="K928" s="404" t="s">
        <v>7098</v>
      </c>
    </row>
    <row r="929" spans="1:11" ht="30">
      <c r="A929" s="387"/>
      <c r="B929" s="387"/>
      <c r="C929" s="387"/>
      <c r="D929" s="404" t="s">
        <v>7099</v>
      </c>
      <c r="E929" s="404" t="s">
        <v>7100</v>
      </c>
      <c r="F929" s="385" t="s">
        <v>20</v>
      </c>
      <c r="G929" s="404" t="s">
        <v>7083</v>
      </c>
      <c r="H929" s="404" t="s">
        <v>7101</v>
      </c>
      <c r="I929" s="404" t="s">
        <v>23</v>
      </c>
      <c r="J929" s="404" t="s">
        <v>7102</v>
      </c>
      <c r="K929" s="404" t="s">
        <v>7103</v>
      </c>
    </row>
    <row r="930" spans="1:11" ht="30">
      <c r="A930" s="387"/>
      <c r="B930" s="387"/>
      <c r="C930" s="387" t="s">
        <v>7104</v>
      </c>
      <c r="D930" s="404" t="s">
        <v>7105</v>
      </c>
      <c r="E930" s="404" t="s">
        <v>7106</v>
      </c>
      <c r="F930" s="385" t="s">
        <v>20</v>
      </c>
      <c r="G930" s="404" t="s">
        <v>7089</v>
      </c>
      <c r="H930" s="404" t="s">
        <v>7107</v>
      </c>
      <c r="I930" s="404" t="s">
        <v>23</v>
      </c>
      <c r="J930" s="404" t="s">
        <v>7108</v>
      </c>
      <c r="K930" s="404" t="s">
        <v>7109</v>
      </c>
    </row>
    <row r="931" spans="1:11" ht="30">
      <c r="A931" s="387"/>
      <c r="B931" s="387"/>
      <c r="C931" s="387"/>
      <c r="D931" s="404" t="s">
        <v>7110</v>
      </c>
      <c r="E931" s="404" t="s">
        <v>7111</v>
      </c>
      <c r="F931" s="385" t="s">
        <v>425</v>
      </c>
      <c r="G931" s="404" t="s">
        <v>7112</v>
      </c>
      <c r="H931" s="404" t="s">
        <v>7113</v>
      </c>
      <c r="I931" s="404" t="s">
        <v>23</v>
      </c>
      <c r="J931" s="404" t="s">
        <v>7114</v>
      </c>
      <c r="K931" s="404" t="s">
        <v>7115</v>
      </c>
    </row>
    <row r="932" spans="1:11" ht="30">
      <c r="A932" s="387"/>
      <c r="B932" s="387"/>
      <c r="C932" s="387"/>
      <c r="D932" s="404" t="s">
        <v>7116</v>
      </c>
      <c r="E932" s="404" t="s">
        <v>7117</v>
      </c>
      <c r="F932" s="385" t="s">
        <v>20</v>
      </c>
      <c r="G932" s="404" t="s">
        <v>7118</v>
      </c>
      <c r="H932" s="404" t="s">
        <v>7119</v>
      </c>
      <c r="I932" s="404" t="s">
        <v>23</v>
      </c>
      <c r="J932" s="404" t="s">
        <v>7120</v>
      </c>
      <c r="K932" s="404" t="s">
        <v>7121</v>
      </c>
    </row>
    <row r="933" spans="1:11" ht="30">
      <c r="A933" s="387"/>
      <c r="B933" s="387"/>
      <c r="C933" s="387"/>
      <c r="D933" s="404" t="s">
        <v>7122</v>
      </c>
      <c r="E933" s="404" t="s">
        <v>7123</v>
      </c>
      <c r="F933" s="385" t="s">
        <v>20</v>
      </c>
      <c r="G933" s="404" t="s">
        <v>7124</v>
      </c>
      <c r="H933" s="404" t="s">
        <v>7125</v>
      </c>
      <c r="I933" s="404" t="s">
        <v>23</v>
      </c>
      <c r="J933" s="404" t="s">
        <v>7126</v>
      </c>
      <c r="K933" s="404" t="s">
        <v>7127</v>
      </c>
    </row>
    <row r="934" spans="1:11" ht="30">
      <c r="A934" s="387"/>
      <c r="B934" s="387"/>
      <c r="C934" s="387"/>
      <c r="D934" s="404" t="s">
        <v>7128</v>
      </c>
      <c r="E934" s="404" t="s">
        <v>7129</v>
      </c>
      <c r="F934" s="385" t="s">
        <v>20</v>
      </c>
      <c r="G934" s="404" t="s">
        <v>7130</v>
      </c>
      <c r="H934" s="404" t="s">
        <v>7131</v>
      </c>
      <c r="I934" s="404" t="s">
        <v>23</v>
      </c>
      <c r="J934" s="404" t="s">
        <v>7132</v>
      </c>
      <c r="K934" s="404" t="s">
        <v>7133</v>
      </c>
    </row>
    <row r="935" spans="1:11" ht="30">
      <c r="A935" s="387"/>
      <c r="B935" s="387"/>
      <c r="C935" s="387" t="s">
        <v>7134</v>
      </c>
      <c r="D935" s="404" t="s">
        <v>7135</v>
      </c>
      <c r="E935" s="404" t="s">
        <v>7136</v>
      </c>
      <c r="F935" s="385" t="s">
        <v>20</v>
      </c>
      <c r="G935" s="404" t="s">
        <v>7137</v>
      </c>
      <c r="H935" s="404" t="s">
        <v>7138</v>
      </c>
      <c r="I935" s="404" t="s">
        <v>23</v>
      </c>
      <c r="J935" s="404" t="s">
        <v>7139</v>
      </c>
      <c r="K935" s="404" t="s">
        <v>7140</v>
      </c>
    </row>
    <row r="936" spans="1:11" ht="30">
      <c r="A936" s="387"/>
      <c r="B936" s="387"/>
      <c r="C936" s="387"/>
      <c r="D936" s="404" t="s">
        <v>7141</v>
      </c>
      <c r="E936" s="404" t="s">
        <v>7142</v>
      </c>
      <c r="F936" s="385" t="s">
        <v>20</v>
      </c>
      <c r="G936" s="404" t="s">
        <v>7141</v>
      </c>
      <c r="H936" s="404" t="s">
        <v>7143</v>
      </c>
      <c r="I936" s="404" t="s">
        <v>94</v>
      </c>
      <c r="J936" s="404" t="s">
        <v>7144</v>
      </c>
      <c r="K936" s="404" t="s">
        <v>7145</v>
      </c>
    </row>
    <row r="937" spans="1:11" ht="30">
      <c r="A937" s="387"/>
      <c r="B937" s="387"/>
      <c r="C937" s="387"/>
      <c r="D937" s="404" t="s">
        <v>7146</v>
      </c>
      <c r="E937" s="404" t="s">
        <v>7147</v>
      </c>
      <c r="F937" s="385" t="s">
        <v>425</v>
      </c>
      <c r="G937" s="404" t="s">
        <v>7146</v>
      </c>
      <c r="H937" s="404" t="s">
        <v>7148</v>
      </c>
      <c r="I937" s="404" t="s">
        <v>23</v>
      </c>
      <c r="J937" s="404" t="s">
        <v>7149</v>
      </c>
      <c r="K937" s="404" t="s">
        <v>7150</v>
      </c>
    </row>
    <row r="938" spans="1:11" ht="30">
      <c r="A938" s="387"/>
      <c r="B938" s="387"/>
      <c r="C938" s="387"/>
      <c r="D938" s="404" t="s">
        <v>7151</v>
      </c>
      <c r="E938" s="404" t="s">
        <v>7152</v>
      </c>
      <c r="F938" s="385" t="s">
        <v>425</v>
      </c>
      <c r="G938" s="404" t="s">
        <v>7153</v>
      </c>
      <c r="H938" s="404" t="s">
        <v>7154</v>
      </c>
      <c r="I938" s="404" t="s">
        <v>94</v>
      </c>
      <c r="J938" s="404" t="s">
        <v>7155</v>
      </c>
      <c r="K938" s="404" t="s">
        <v>7156</v>
      </c>
    </row>
    <row r="939" spans="1:11" ht="30">
      <c r="A939" s="387"/>
      <c r="B939" s="387"/>
      <c r="C939" s="387"/>
      <c r="D939" s="404" t="s">
        <v>7157</v>
      </c>
      <c r="E939" s="404" t="s">
        <v>7158</v>
      </c>
      <c r="F939" s="385" t="s">
        <v>229</v>
      </c>
      <c r="G939" s="404" t="s">
        <v>7159</v>
      </c>
      <c r="H939" s="404" t="s">
        <v>7160</v>
      </c>
      <c r="I939" s="404" t="s">
        <v>94</v>
      </c>
      <c r="J939" s="404" t="s">
        <v>7161</v>
      </c>
      <c r="K939" s="404" t="s">
        <v>7162</v>
      </c>
    </row>
    <row r="940" spans="1:11" ht="30">
      <c r="A940" s="387"/>
      <c r="B940" s="387"/>
      <c r="C940" s="387" t="s">
        <v>7163</v>
      </c>
      <c r="D940" s="404" t="s">
        <v>7164</v>
      </c>
      <c r="E940" s="404" t="s">
        <v>7165</v>
      </c>
      <c r="F940" s="385" t="s">
        <v>229</v>
      </c>
      <c r="G940" s="404" t="s">
        <v>7164</v>
      </c>
      <c r="H940" s="404" t="s">
        <v>7166</v>
      </c>
      <c r="I940" s="404" t="s">
        <v>23</v>
      </c>
      <c r="J940" s="404" t="s">
        <v>7167</v>
      </c>
      <c r="K940" s="404" t="s">
        <v>7168</v>
      </c>
    </row>
    <row r="941" spans="1:11" ht="30">
      <c r="A941" s="387"/>
      <c r="B941" s="387"/>
      <c r="C941" s="387"/>
      <c r="D941" s="404" t="s">
        <v>7169</v>
      </c>
      <c r="E941" s="404" t="s">
        <v>7170</v>
      </c>
      <c r="F941" s="385" t="s">
        <v>229</v>
      </c>
      <c r="G941" s="404" t="s">
        <v>7171</v>
      </c>
      <c r="H941" s="404" t="s">
        <v>7172</v>
      </c>
      <c r="I941" s="404" t="s">
        <v>23</v>
      </c>
      <c r="J941" s="404" t="s">
        <v>7173</v>
      </c>
      <c r="K941" s="404" t="s">
        <v>7174</v>
      </c>
    </row>
    <row r="942" spans="1:11">
      <c r="A942" s="387"/>
      <c r="B942" s="387"/>
      <c r="C942" s="387"/>
      <c r="D942" s="404" t="s">
        <v>7175</v>
      </c>
      <c r="E942" s="404" t="s">
        <v>7176</v>
      </c>
      <c r="F942" s="385" t="s">
        <v>229</v>
      </c>
      <c r="G942" s="404" t="s">
        <v>7177</v>
      </c>
      <c r="H942" s="404" t="s">
        <v>7178</v>
      </c>
      <c r="I942" s="404" t="s">
        <v>23</v>
      </c>
      <c r="J942" s="404" t="s">
        <v>7179</v>
      </c>
      <c r="K942" s="404" t="s">
        <v>7180</v>
      </c>
    </row>
    <row r="943" spans="1:11" ht="30">
      <c r="A943" s="387"/>
      <c r="B943" s="387"/>
      <c r="C943" s="387"/>
      <c r="D943" s="404" t="s">
        <v>7181</v>
      </c>
      <c r="E943" s="404" t="s">
        <v>7182</v>
      </c>
      <c r="F943" s="385" t="s">
        <v>229</v>
      </c>
      <c r="G943" s="404" t="s">
        <v>7183</v>
      </c>
      <c r="H943" s="404" t="s">
        <v>7184</v>
      </c>
      <c r="I943" s="404" t="s">
        <v>23</v>
      </c>
      <c r="J943" s="404" t="s">
        <v>7185</v>
      </c>
      <c r="K943" s="404" t="s">
        <v>7186</v>
      </c>
    </row>
    <row r="944" spans="1:11" ht="30">
      <c r="A944" s="387"/>
      <c r="B944" s="387"/>
      <c r="C944" s="387"/>
      <c r="D944" s="404" t="s">
        <v>7187</v>
      </c>
      <c r="E944" s="404" t="s">
        <v>7188</v>
      </c>
      <c r="F944" s="385" t="s">
        <v>20</v>
      </c>
      <c r="G944" s="404" t="s">
        <v>7189</v>
      </c>
      <c r="H944" s="404" t="s">
        <v>7190</v>
      </c>
      <c r="I944" s="404" t="s">
        <v>23</v>
      </c>
      <c r="J944" s="404" t="s">
        <v>7191</v>
      </c>
      <c r="K944" s="404" t="s">
        <v>7192</v>
      </c>
    </row>
    <row r="945" spans="1:11" ht="30">
      <c r="A945" s="387"/>
      <c r="B945" s="387"/>
      <c r="C945" s="387" t="s">
        <v>7193</v>
      </c>
      <c r="D945" s="404" t="s">
        <v>7194</v>
      </c>
      <c r="E945" s="404" t="s">
        <v>7195</v>
      </c>
      <c r="F945" s="385" t="s">
        <v>20</v>
      </c>
      <c r="G945" s="404" t="s">
        <v>7196</v>
      </c>
      <c r="H945" s="404" t="s">
        <v>7197</v>
      </c>
      <c r="I945" s="404" t="s">
        <v>23</v>
      </c>
      <c r="J945" s="404" t="s">
        <v>7198</v>
      </c>
      <c r="K945" s="404" t="s">
        <v>7199</v>
      </c>
    </row>
    <row r="946" spans="1:11" ht="30">
      <c r="A946" s="387"/>
      <c r="B946" s="387"/>
      <c r="C946" s="387"/>
      <c r="D946" s="404" t="s">
        <v>7200</v>
      </c>
      <c r="E946" s="404" t="s">
        <v>7201</v>
      </c>
      <c r="F946" s="385" t="s">
        <v>20</v>
      </c>
      <c r="G946" s="404" t="s">
        <v>7202</v>
      </c>
      <c r="H946" s="404" t="s">
        <v>7203</v>
      </c>
      <c r="I946" s="404" t="s">
        <v>23</v>
      </c>
      <c r="J946" s="404" t="s">
        <v>7204</v>
      </c>
      <c r="K946" s="404" t="s">
        <v>7205</v>
      </c>
    </row>
    <row r="947" spans="1:11" ht="30">
      <c r="A947" s="387"/>
      <c r="B947" s="387"/>
      <c r="C947" s="387"/>
      <c r="D947" s="404" t="s">
        <v>7206</v>
      </c>
      <c r="E947" s="404" t="s">
        <v>7207</v>
      </c>
      <c r="F947" s="385" t="s">
        <v>20</v>
      </c>
      <c r="G947" s="404" t="s">
        <v>7208</v>
      </c>
      <c r="H947" s="404" t="s">
        <v>7209</v>
      </c>
      <c r="I947" s="404" t="s">
        <v>23</v>
      </c>
      <c r="J947" s="404" t="s">
        <v>7210</v>
      </c>
      <c r="K947" s="404" t="s">
        <v>7211</v>
      </c>
    </row>
    <row r="948" spans="1:11" ht="30">
      <c r="A948" s="387"/>
      <c r="B948" s="387"/>
      <c r="C948" s="387"/>
      <c r="D948" s="404" t="s">
        <v>7212</v>
      </c>
      <c r="E948" s="404" t="s">
        <v>7213</v>
      </c>
      <c r="F948" s="385" t="s">
        <v>20</v>
      </c>
      <c r="G948" s="404" t="s">
        <v>7214</v>
      </c>
      <c r="H948" s="404" t="s">
        <v>7215</v>
      </c>
      <c r="I948" s="404" t="s">
        <v>23</v>
      </c>
      <c r="J948" s="404" t="s">
        <v>7216</v>
      </c>
      <c r="K948" s="404" t="s">
        <v>7217</v>
      </c>
    </row>
    <row r="949" spans="1:11" ht="30">
      <c r="A949" s="387"/>
      <c r="B949" s="387"/>
      <c r="C949" s="387"/>
      <c r="D949" s="404" t="s">
        <v>7218</v>
      </c>
      <c r="E949" s="404" t="s">
        <v>7219</v>
      </c>
      <c r="F949" s="385" t="s">
        <v>425</v>
      </c>
      <c r="G949" s="404" t="s">
        <v>7220</v>
      </c>
      <c r="H949" s="404" t="s">
        <v>7221</v>
      </c>
      <c r="I949" s="404" t="s">
        <v>23</v>
      </c>
      <c r="J949" s="404" t="s">
        <v>7222</v>
      </c>
      <c r="K949" s="404" t="s">
        <v>7223</v>
      </c>
    </row>
    <row r="950" spans="1:11">
      <c r="A950" s="387"/>
      <c r="B950" s="387"/>
      <c r="C950" s="387" t="s">
        <v>7224</v>
      </c>
      <c r="D950" s="404" t="s">
        <v>7225</v>
      </c>
      <c r="E950" s="404" t="s">
        <v>7226</v>
      </c>
      <c r="F950" s="385" t="s">
        <v>20</v>
      </c>
      <c r="G950" s="404" t="s">
        <v>7227</v>
      </c>
      <c r="H950" s="404" t="s">
        <v>7228</v>
      </c>
      <c r="I950" s="404" t="s">
        <v>23</v>
      </c>
      <c r="J950" s="404" t="s">
        <v>7229</v>
      </c>
      <c r="K950" s="404" t="s">
        <v>7230</v>
      </c>
    </row>
    <row r="951" spans="1:11" ht="30">
      <c r="A951" s="387"/>
      <c r="B951" s="387"/>
      <c r="C951" s="387"/>
      <c r="D951" s="404" t="s">
        <v>7231</v>
      </c>
      <c r="E951" s="404" t="s">
        <v>7232</v>
      </c>
      <c r="F951" s="385" t="s">
        <v>20</v>
      </c>
      <c r="G951" s="404" t="s">
        <v>7233</v>
      </c>
      <c r="H951" s="404" t="s">
        <v>7234</v>
      </c>
      <c r="I951" s="404" t="s">
        <v>23</v>
      </c>
      <c r="J951" s="404" t="s">
        <v>7235</v>
      </c>
      <c r="K951" s="404" t="s">
        <v>7236</v>
      </c>
    </row>
    <row r="952" spans="1:11" ht="30">
      <c r="A952" s="387"/>
      <c r="B952" s="387"/>
      <c r="C952" s="387"/>
      <c r="D952" s="404" t="s">
        <v>7237</v>
      </c>
      <c r="E952" s="404" t="s">
        <v>7238</v>
      </c>
      <c r="F952" s="385" t="s">
        <v>20</v>
      </c>
      <c r="G952" s="404" t="s">
        <v>7239</v>
      </c>
      <c r="H952" s="404" t="s">
        <v>7240</v>
      </c>
      <c r="I952" s="404" t="s">
        <v>94</v>
      </c>
      <c r="J952" s="404" t="s">
        <v>7241</v>
      </c>
      <c r="K952" s="404" t="s">
        <v>7242</v>
      </c>
    </row>
    <row r="953" spans="1:11" ht="30">
      <c r="A953" s="387"/>
      <c r="B953" s="387"/>
      <c r="C953" s="387"/>
      <c r="D953" s="404" t="s">
        <v>7243</v>
      </c>
      <c r="E953" s="404" t="s">
        <v>7244</v>
      </c>
      <c r="F953" s="385" t="s">
        <v>229</v>
      </c>
      <c r="G953" s="404" t="s">
        <v>7243</v>
      </c>
      <c r="H953" s="404" t="s">
        <v>7245</v>
      </c>
      <c r="I953" s="404" t="s">
        <v>94</v>
      </c>
      <c r="J953" s="404" t="s">
        <v>7246</v>
      </c>
      <c r="K953" s="404" t="s">
        <v>7247</v>
      </c>
    </row>
    <row r="954" spans="1:11" ht="30">
      <c r="A954" s="387"/>
      <c r="B954" s="387"/>
      <c r="C954" s="387"/>
      <c r="D954" s="404" t="s">
        <v>7248</v>
      </c>
      <c r="E954" s="404" t="s">
        <v>7249</v>
      </c>
      <c r="F954" s="385" t="s">
        <v>229</v>
      </c>
      <c r="G954" s="404" t="s">
        <v>7250</v>
      </c>
      <c r="H954" s="404" t="s">
        <v>7251</v>
      </c>
      <c r="I954" s="404" t="s">
        <v>94</v>
      </c>
      <c r="J954" s="404" t="s">
        <v>7252</v>
      </c>
      <c r="K954" s="404" t="s">
        <v>7253</v>
      </c>
    </row>
    <row r="955" spans="1:11" ht="30">
      <c r="A955" s="387"/>
      <c r="B955" s="387"/>
      <c r="C955" s="387" t="s">
        <v>7254</v>
      </c>
      <c r="D955" s="404" t="s">
        <v>7255</v>
      </c>
      <c r="E955" s="404" t="s">
        <v>7256</v>
      </c>
      <c r="F955" s="385" t="s">
        <v>229</v>
      </c>
      <c r="G955" s="404" t="s">
        <v>7257</v>
      </c>
      <c r="H955" s="404" t="s">
        <v>7258</v>
      </c>
      <c r="I955" s="404" t="s">
        <v>94</v>
      </c>
      <c r="J955" s="404" t="s">
        <v>7259</v>
      </c>
      <c r="K955" s="404" t="s">
        <v>7260</v>
      </c>
    </row>
    <row r="956" spans="1:11" ht="30">
      <c r="A956" s="387"/>
      <c r="B956" s="387"/>
      <c r="C956" s="387"/>
      <c r="D956" s="404" t="s">
        <v>7261</v>
      </c>
      <c r="E956" s="404" t="s">
        <v>7262</v>
      </c>
      <c r="F956" s="385" t="s">
        <v>229</v>
      </c>
      <c r="G956" s="404" t="s">
        <v>7263</v>
      </c>
      <c r="H956" s="404" t="s">
        <v>7264</v>
      </c>
      <c r="I956" s="404" t="s">
        <v>23</v>
      </c>
      <c r="J956" s="404" t="s">
        <v>7265</v>
      </c>
      <c r="K956" s="404" t="s">
        <v>7266</v>
      </c>
    </row>
    <row r="957" spans="1:11" ht="30">
      <c r="A957" s="387"/>
      <c r="B957" s="387"/>
      <c r="C957" s="387"/>
      <c r="D957" s="404" t="s">
        <v>7267</v>
      </c>
      <c r="E957" s="404" t="s">
        <v>7268</v>
      </c>
      <c r="F957" s="385" t="s">
        <v>229</v>
      </c>
      <c r="G957" s="404" t="s">
        <v>7269</v>
      </c>
      <c r="H957" s="404" t="s">
        <v>7270</v>
      </c>
      <c r="I957" s="404" t="s">
        <v>94</v>
      </c>
      <c r="J957" s="404" t="s">
        <v>7271</v>
      </c>
      <c r="K957" s="404" t="s">
        <v>7272</v>
      </c>
    </row>
    <row r="958" spans="1:11" ht="30">
      <c r="A958" s="387"/>
      <c r="B958" s="387"/>
      <c r="C958" s="387"/>
      <c r="D958" s="404" t="s">
        <v>7273</v>
      </c>
      <c r="E958" s="404" t="s">
        <v>7274</v>
      </c>
      <c r="F958" s="385" t="s">
        <v>229</v>
      </c>
      <c r="G958" s="404" t="s">
        <v>7275</v>
      </c>
      <c r="H958" s="404" t="s">
        <v>6438</v>
      </c>
      <c r="I958" s="404" t="s">
        <v>94</v>
      </c>
      <c r="J958" s="404" t="s">
        <v>7276</v>
      </c>
      <c r="K958" s="404" t="s">
        <v>7277</v>
      </c>
    </row>
    <row r="959" spans="1:11" ht="30">
      <c r="A959" s="387"/>
      <c r="B959" s="387"/>
      <c r="C959" s="387"/>
      <c r="D959" s="404" t="s">
        <v>7278</v>
      </c>
      <c r="E959" s="404" t="s">
        <v>7279</v>
      </c>
      <c r="F959" s="385" t="s">
        <v>229</v>
      </c>
      <c r="G959" s="404" t="s">
        <v>7280</v>
      </c>
      <c r="H959" s="404" t="s">
        <v>7281</v>
      </c>
      <c r="I959" s="404" t="s">
        <v>94</v>
      </c>
      <c r="J959" s="404" t="s">
        <v>7282</v>
      </c>
      <c r="K959" s="404" t="s">
        <v>7283</v>
      </c>
    </row>
    <row r="960" spans="1:11" ht="30">
      <c r="A960" s="387"/>
      <c r="B960" s="387"/>
      <c r="C960" s="387" t="s">
        <v>7284</v>
      </c>
      <c r="D960" s="404" t="s">
        <v>7285</v>
      </c>
      <c r="E960" s="404" t="s">
        <v>7286</v>
      </c>
      <c r="F960" s="385" t="s">
        <v>229</v>
      </c>
      <c r="G960" s="404" t="s">
        <v>7287</v>
      </c>
      <c r="H960" s="404" t="s">
        <v>7288</v>
      </c>
      <c r="I960" s="404" t="s">
        <v>2560</v>
      </c>
      <c r="J960" s="404" t="s">
        <v>7289</v>
      </c>
      <c r="K960" s="404" t="s">
        <v>7290</v>
      </c>
    </row>
    <row r="961" spans="1:11" ht="30">
      <c r="A961" s="387"/>
      <c r="B961" s="387"/>
      <c r="C961" s="387"/>
      <c r="D961" s="404" t="s">
        <v>7291</v>
      </c>
      <c r="E961" s="404" t="s">
        <v>7292</v>
      </c>
      <c r="F961" s="385" t="s">
        <v>425</v>
      </c>
      <c r="G961" s="404" t="s">
        <v>7293</v>
      </c>
      <c r="H961" s="404" t="s">
        <v>7294</v>
      </c>
      <c r="I961" s="404" t="s">
        <v>94</v>
      </c>
      <c r="J961" s="404" t="s">
        <v>7295</v>
      </c>
      <c r="K961" s="404" t="s">
        <v>7296</v>
      </c>
    </row>
    <row r="962" spans="1:11" ht="30">
      <c r="A962" s="387"/>
      <c r="B962" s="387"/>
      <c r="C962" s="387"/>
      <c r="D962" s="404" t="s">
        <v>7297</v>
      </c>
      <c r="E962" s="404" t="s">
        <v>7298</v>
      </c>
      <c r="F962" s="385" t="s">
        <v>425</v>
      </c>
      <c r="G962" s="404" t="s">
        <v>7299</v>
      </c>
      <c r="H962" s="404" t="s">
        <v>7300</v>
      </c>
      <c r="I962" s="404" t="s">
        <v>94</v>
      </c>
      <c r="J962" s="404" t="s">
        <v>7301</v>
      </c>
      <c r="K962" s="404" t="s">
        <v>7302</v>
      </c>
    </row>
    <row r="963" spans="1:11" ht="30">
      <c r="A963" s="387"/>
      <c r="B963" s="387"/>
      <c r="C963" s="387"/>
      <c r="D963" s="404" t="s">
        <v>7303</v>
      </c>
      <c r="E963" s="404" t="s">
        <v>7304</v>
      </c>
      <c r="F963" s="385" t="s">
        <v>229</v>
      </c>
      <c r="G963" s="404" t="s">
        <v>7305</v>
      </c>
      <c r="H963" s="404" t="s">
        <v>7306</v>
      </c>
      <c r="I963" s="404" t="s">
        <v>94</v>
      </c>
      <c r="J963" s="404" t="s">
        <v>7307</v>
      </c>
      <c r="K963" s="404" t="s">
        <v>7308</v>
      </c>
    </row>
    <row r="964" spans="1:11" ht="30">
      <c r="A964" s="387"/>
      <c r="B964" s="387"/>
      <c r="C964" s="387"/>
      <c r="D964" s="404" t="s">
        <v>7309</v>
      </c>
      <c r="E964" s="404" t="s">
        <v>7310</v>
      </c>
      <c r="F964" s="385" t="s">
        <v>229</v>
      </c>
      <c r="G964" s="404" t="s">
        <v>7311</v>
      </c>
      <c r="H964" s="404" t="s">
        <v>7312</v>
      </c>
      <c r="I964" s="404" t="s">
        <v>23</v>
      </c>
      <c r="J964" s="404" t="s">
        <v>7313</v>
      </c>
      <c r="K964" s="404" t="s">
        <v>7314</v>
      </c>
    </row>
    <row r="965" spans="1:11" ht="30">
      <c r="A965" s="387"/>
      <c r="B965" s="387"/>
      <c r="C965" s="387" t="s">
        <v>7315</v>
      </c>
      <c r="D965" s="404" t="s">
        <v>7316</v>
      </c>
      <c r="E965" s="404" t="s">
        <v>7317</v>
      </c>
      <c r="F965" s="385" t="s">
        <v>229</v>
      </c>
      <c r="G965" s="404" t="s">
        <v>7318</v>
      </c>
      <c r="H965" s="404" t="s">
        <v>7319</v>
      </c>
      <c r="I965" s="404" t="s">
        <v>23</v>
      </c>
      <c r="J965" s="404" t="s">
        <v>7320</v>
      </c>
      <c r="K965" s="404" t="s">
        <v>7321</v>
      </c>
    </row>
    <row r="966" spans="1:11" ht="30">
      <c r="A966" s="387"/>
      <c r="B966" s="387"/>
      <c r="C966" s="387"/>
      <c r="D966" s="404" t="s">
        <v>7322</v>
      </c>
      <c r="E966" s="404" t="s">
        <v>7323</v>
      </c>
      <c r="F966" s="385" t="s">
        <v>229</v>
      </c>
      <c r="G966" s="404" t="s">
        <v>7324</v>
      </c>
      <c r="H966" s="404" t="s">
        <v>7325</v>
      </c>
      <c r="I966" s="404" t="s">
        <v>23</v>
      </c>
      <c r="J966" s="404" t="s">
        <v>7326</v>
      </c>
      <c r="K966" s="404" t="s">
        <v>7327</v>
      </c>
    </row>
    <row r="967" spans="1:11" ht="30">
      <c r="A967" s="387"/>
      <c r="B967" s="387"/>
      <c r="C967" s="387"/>
      <c r="D967" s="404" t="s">
        <v>7328</v>
      </c>
      <c r="E967" s="404" t="s">
        <v>7329</v>
      </c>
      <c r="F967" s="385" t="s">
        <v>20</v>
      </c>
      <c r="G967" s="404" t="s">
        <v>7330</v>
      </c>
      <c r="H967" s="404" t="s">
        <v>7331</v>
      </c>
      <c r="I967" s="404" t="s">
        <v>23</v>
      </c>
      <c r="J967" s="404" t="s">
        <v>7332</v>
      </c>
      <c r="K967" s="404" t="s">
        <v>7333</v>
      </c>
    </row>
    <row r="968" spans="1:11" ht="30">
      <c r="A968" s="387"/>
      <c r="B968" s="387"/>
      <c r="C968" s="387"/>
      <c r="D968" s="404" t="s">
        <v>7334</v>
      </c>
      <c r="E968" s="404" t="s">
        <v>7335</v>
      </c>
      <c r="F968" s="385" t="s">
        <v>20</v>
      </c>
      <c r="G968" s="404" t="s">
        <v>7336</v>
      </c>
      <c r="H968" s="404" t="s">
        <v>7337</v>
      </c>
      <c r="I968" s="404" t="s">
        <v>23</v>
      </c>
      <c r="J968" s="404" t="s">
        <v>7338</v>
      </c>
      <c r="K968" s="404" t="s">
        <v>7339</v>
      </c>
    </row>
    <row r="969" spans="1:11" ht="30">
      <c r="A969" s="387"/>
      <c r="B969" s="387"/>
      <c r="C969" s="387"/>
      <c r="D969" s="404" t="s">
        <v>7336</v>
      </c>
      <c r="E969" s="404" t="s">
        <v>7340</v>
      </c>
      <c r="F969" s="385" t="s">
        <v>20</v>
      </c>
      <c r="G969" s="404" t="s">
        <v>7341</v>
      </c>
      <c r="H969" s="404" t="s">
        <v>7342</v>
      </c>
      <c r="I969" s="404" t="s">
        <v>23</v>
      </c>
      <c r="J969" s="404" t="s">
        <v>7343</v>
      </c>
      <c r="K969" s="404" t="s">
        <v>7344</v>
      </c>
    </row>
    <row r="970" spans="1:11" ht="30">
      <c r="A970" s="387"/>
      <c r="B970" s="387"/>
      <c r="C970" s="387" t="s">
        <v>7345</v>
      </c>
      <c r="D970" s="404" t="s">
        <v>7346</v>
      </c>
      <c r="E970" s="404" t="s">
        <v>7347</v>
      </c>
      <c r="F970" s="385" t="s">
        <v>20</v>
      </c>
      <c r="G970" s="404" t="s">
        <v>7348</v>
      </c>
      <c r="H970" s="404" t="s">
        <v>7349</v>
      </c>
      <c r="I970" s="404" t="s">
        <v>23</v>
      </c>
      <c r="J970" s="404" t="s">
        <v>7350</v>
      </c>
      <c r="K970" s="404" t="s">
        <v>7351</v>
      </c>
    </row>
    <row r="971" spans="1:11" ht="30">
      <c r="A971" s="387"/>
      <c r="B971" s="387"/>
      <c r="C971" s="387"/>
      <c r="D971" s="404" t="s">
        <v>7352</v>
      </c>
      <c r="E971" s="404" t="s">
        <v>7353</v>
      </c>
      <c r="F971" s="385" t="s">
        <v>20</v>
      </c>
      <c r="G971" s="404" t="s">
        <v>7354</v>
      </c>
      <c r="H971" s="404" t="s">
        <v>7355</v>
      </c>
      <c r="I971" s="404" t="s">
        <v>23</v>
      </c>
      <c r="J971" s="404" t="s">
        <v>7356</v>
      </c>
      <c r="K971" s="404" t="s">
        <v>7357</v>
      </c>
    </row>
    <row r="972" spans="1:11" ht="30">
      <c r="A972" s="387"/>
      <c r="B972" s="387"/>
      <c r="C972" s="387"/>
      <c r="D972" s="404" t="s">
        <v>7354</v>
      </c>
      <c r="E972" s="404" t="s">
        <v>7358</v>
      </c>
      <c r="F972" s="385" t="s">
        <v>20</v>
      </c>
      <c r="G972" s="404" t="s">
        <v>7359</v>
      </c>
      <c r="H972" s="404" t="s">
        <v>7360</v>
      </c>
      <c r="I972" s="404" t="s">
        <v>23</v>
      </c>
      <c r="J972" s="404" t="s">
        <v>7361</v>
      </c>
      <c r="K972" s="404" t="s">
        <v>7362</v>
      </c>
    </row>
    <row r="973" spans="1:11" ht="30">
      <c r="A973" s="387"/>
      <c r="B973" s="387"/>
      <c r="C973" s="387"/>
      <c r="D973" s="404" t="s">
        <v>7363</v>
      </c>
      <c r="E973" s="404" t="s">
        <v>7364</v>
      </c>
      <c r="F973" s="385" t="s">
        <v>20</v>
      </c>
      <c r="G973" s="404" t="s">
        <v>7365</v>
      </c>
      <c r="H973" s="404" t="s">
        <v>7366</v>
      </c>
      <c r="I973" s="404" t="s">
        <v>23</v>
      </c>
      <c r="J973" s="404" t="s">
        <v>7367</v>
      </c>
      <c r="K973" s="404" t="s">
        <v>7368</v>
      </c>
    </row>
    <row r="974" spans="1:11" ht="30">
      <c r="A974" s="387"/>
      <c r="B974" s="387"/>
      <c r="C974" s="387"/>
      <c r="D974" s="404" t="s">
        <v>7365</v>
      </c>
      <c r="E974" s="404" t="s">
        <v>7369</v>
      </c>
      <c r="F974" s="385" t="s">
        <v>20</v>
      </c>
      <c r="G974" s="404" t="s">
        <v>7370</v>
      </c>
      <c r="H974" s="404" t="s">
        <v>7371</v>
      </c>
      <c r="I974" s="404" t="s">
        <v>23</v>
      </c>
      <c r="J974" s="404" t="s">
        <v>7372</v>
      </c>
      <c r="K974" s="404" t="s">
        <v>7373</v>
      </c>
    </row>
    <row r="975" spans="1:11" ht="30">
      <c r="A975" s="387"/>
      <c r="B975" s="387" t="s">
        <v>7374</v>
      </c>
      <c r="C975" s="387" t="s">
        <v>7375</v>
      </c>
      <c r="D975" s="404" t="s">
        <v>7376</v>
      </c>
      <c r="E975" s="404" t="s">
        <v>7377</v>
      </c>
      <c r="F975" s="385" t="s">
        <v>20</v>
      </c>
      <c r="G975" s="404" t="s">
        <v>7378</v>
      </c>
      <c r="H975" s="404" t="s">
        <v>7379</v>
      </c>
      <c r="I975" s="404" t="s">
        <v>23</v>
      </c>
      <c r="J975" s="404" t="s">
        <v>7380</v>
      </c>
      <c r="K975" s="404" t="s">
        <v>7381</v>
      </c>
    </row>
    <row r="976" spans="1:11">
      <c r="A976" s="387"/>
      <c r="B976" s="387"/>
      <c r="C976" s="387"/>
      <c r="D976" s="404" t="s">
        <v>7382</v>
      </c>
      <c r="E976" s="404" t="s">
        <v>7383</v>
      </c>
      <c r="F976" s="385" t="s">
        <v>425</v>
      </c>
      <c r="G976" s="404" t="s">
        <v>7384</v>
      </c>
      <c r="H976" s="404" t="s">
        <v>7385</v>
      </c>
      <c r="I976" s="404" t="s">
        <v>23</v>
      </c>
      <c r="J976" s="404" t="s">
        <v>7386</v>
      </c>
      <c r="K976" s="404" t="s">
        <v>7387</v>
      </c>
    </row>
    <row r="977" spans="1:11" ht="30">
      <c r="A977" s="387"/>
      <c r="B977" s="387"/>
      <c r="C977" s="387"/>
      <c r="D977" s="404" t="s">
        <v>7388</v>
      </c>
      <c r="E977" s="404" t="s">
        <v>7389</v>
      </c>
      <c r="F977" s="385" t="s">
        <v>20</v>
      </c>
      <c r="G977" s="404" t="s">
        <v>7390</v>
      </c>
      <c r="H977" s="404" t="s">
        <v>7391</v>
      </c>
      <c r="I977" s="404" t="s">
        <v>23</v>
      </c>
      <c r="J977" s="404" t="s">
        <v>7392</v>
      </c>
      <c r="K977" s="404" t="s">
        <v>7393</v>
      </c>
    </row>
    <row r="978" spans="1:11" ht="30">
      <c r="A978" s="387"/>
      <c r="B978" s="387"/>
      <c r="C978" s="387"/>
      <c r="D978" s="404" t="s">
        <v>7390</v>
      </c>
      <c r="E978" s="404" t="s">
        <v>7394</v>
      </c>
      <c r="F978" s="385" t="s">
        <v>20</v>
      </c>
      <c r="G978" s="404" t="s">
        <v>7395</v>
      </c>
      <c r="H978" s="404" t="s">
        <v>7396</v>
      </c>
      <c r="I978" s="404" t="s">
        <v>94</v>
      </c>
      <c r="J978" s="404" t="s">
        <v>7397</v>
      </c>
      <c r="K978" s="404" t="s">
        <v>7398</v>
      </c>
    </row>
    <row r="979" spans="1:11" ht="30">
      <c r="A979" s="387"/>
      <c r="B979" s="387"/>
      <c r="C979" s="387"/>
      <c r="D979" s="404" t="s">
        <v>7399</v>
      </c>
      <c r="E979" s="404" t="s">
        <v>7400</v>
      </c>
      <c r="F979" s="385" t="s">
        <v>20</v>
      </c>
      <c r="G979" s="404" t="s">
        <v>7401</v>
      </c>
      <c r="H979" s="404" t="s">
        <v>7402</v>
      </c>
      <c r="I979" s="404" t="s">
        <v>23</v>
      </c>
      <c r="J979" s="404" t="s">
        <v>7403</v>
      </c>
      <c r="K979" s="404" t="s">
        <v>7404</v>
      </c>
    </row>
    <row r="980" spans="1:11" ht="30">
      <c r="A980" s="387"/>
      <c r="B980" s="387"/>
      <c r="C980" s="387" t="s">
        <v>7405</v>
      </c>
      <c r="D980" s="404" t="s">
        <v>7406</v>
      </c>
      <c r="E980" s="404" t="s">
        <v>7407</v>
      </c>
      <c r="F980" s="385" t="s">
        <v>20</v>
      </c>
      <c r="G980" s="404" t="s">
        <v>7408</v>
      </c>
      <c r="H980" s="404" t="s">
        <v>7409</v>
      </c>
      <c r="I980" s="404" t="s">
        <v>23</v>
      </c>
      <c r="J980" s="404" t="s">
        <v>7410</v>
      </c>
      <c r="K980" s="404" t="s">
        <v>7411</v>
      </c>
    </row>
    <row r="981" spans="1:11" ht="30">
      <c r="A981" s="387"/>
      <c r="B981" s="387"/>
      <c r="C981" s="387"/>
      <c r="D981" s="404" t="s">
        <v>7412</v>
      </c>
      <c r="E981" s="404" t="s">
        <v>7413</v>
      </c>
      <c r="F981" s="385" t="s">
        <v>20</v>
      </c>
      <c r="G981" s="404" t="s">
        <v>7414</v>
      </c>
      <c r="H981" s="404" t="s">
        <v>7415</v>
      </c>
      <c r="I981" s="404" t="s">
        <v>23</v>
      </c>
      <c r="J981" s="404" t="s">
        <v>7416</v>
      </c>
      <c r="K981" s="404" t="s">
        <v>7417</v>
      </c>
    </row>
    <row r="982" spans="1:11" ht="30">
      <c r="A982" s="387"/>
      <c r="B982" s="387"/>
      <c r="C982" s="387"/>
      <c r="D982" s="404" t="s">
        <v>7418</v>
      </c>
      <c r="E982" s="404" t="s">
        <v>7419</v>
      </c>
      <c r="F982" s="385" t="s">
        <v>20</v>
      </c>
      <c r="G982" s="404" t="s">
        <v>7420</v>
      </c>
      <c r="H982" s="404" t="s">
        <v>7421</v>
      </c>
      <c r="I982" s="404" t="s">
        <v>23</v>
      </c>
      <c r="J982" s="404" t="s">
        <v>7422</v>
      </c>
      <c r="K982" s="404" t="s">
        <v>7423</v>
      </c>
    </row>
    <row r="983" spans="1:11" ht="30">
      <c r="A983" s="387"/>
      <c r="B983" s="387"/>
      <c r="C983" s="387"/>
      <c r="D983" s="404" t="s">
        <v>7424</v>
      </c>
      <c r="E983" s="404" t="s">
        <v>7425</v>
      </c>
      <c r="F983" s="385" t="s">
        <v>20</v>
      </c>
      <c r="G983" s="404" t="s">
        <v>7426</v>
      </c>
      <c r="H983" s="404" t="s">
        <v>7427</v>
      </c>
      <c r="I983" s="404" t="s">
        <v>23</v>
      </c>
      <c r="J983" s="404" t="s">
        <v>7428</v>
      </c>
      <c r="K983" s="404" t="s">
        <v>7429</v>
      </c>
    </row>
    <row r="984" spans="1:11" ht="30">
      <c r="A984" s="387"/>
      <c r="B984" s="387"/>
      <c r="C984" s="387"/>
      <c r="D984" s="404" t="s">
        <v>7426</v>
      </c>
      <c r="E984" s="404" t="s">
        <v>7430</v>
      </c>
      <c r="F984" s="385" t="s">
        <v>20</v>
      </c>
      <c r="G984" s="404" t="s">
        <v>7431</v>
      </c>
      <c r="H984" s="404" t="s">
        <v>7432</v>
      </c>
      <c r="I984" s="404" t="s">
        <v>23</v>
      </c>
      <c r="J984" s="404" t="s">
        <v>7433</v>
      </c>
      <c r="K984" s="404" t="s">
        <v>7434</v>
      </c>
    </row>
    <row r="985" spans="1:11" ht="30">
      <c r="A985" s="387"/>
      <c r="B985" s="387"/>
      <c r="C985" s="387" t="s">
        <v>7435</v>
      </c>
      <c r="D985" s="404" t="s">
        <v>7436</v>
      </c>
      <c r="E985" s="404" t="s">
        <v>7437</v>
      </c>
      <c r="F985" s="385" t="s">
        <v>20</v>
      </c>
      <c r="G985" s="404" t="s">
        <v>7438</v>
      </c>
      <c r="H985" s="404" t="s">
        <v>7439</v>
      </c>
      <c r="I985" s="404" t="s">
        <v>23</v>
      </c>
      <c r="J985" s="404" t="s">
        <v>7440</v>
      </c>
      <c r="K985" s="404" t="s">
        <v>7441</v>
      </c>
    </row>
    <row r="986" spans="1:11" ht="30">
      <c r="A986" s="387"/>
      <c r="B986" s="387"/>
      <c r="C986" s="387"/>
      <c r="D986" s="404" t="s">
        <v>7438</v>
      </c>
      <c r="E986" s="404" t="s">
        <v>7442</v>
      </c>
      <c r="F986" s="385" t="s">
        <v>20</v>
      </c>
      <c r="G986" s="404" t="s">
        <v>7443</v>
      </c>
      <c r="H986" s="404" t="s">
        <v>7444</v>
      </c>
      <c r="I986" s="404" t="s">
        <v>23</v>
      </c>
      <c r="J986" s="404" t="s">
        <v>7445</v>
      </c>
      <c r="K986" s="404" t="s">
        <v>7446</v>
      </c>
    </row>
    <row r="987" spans="1:11" ht="30">
      <c r="A987" s="387"/>
      <c r="B987" s="387"/>
      <c r="C987" s="387"/>
      <c r="D987" s="404" t="s">
        <v>7447</v>
      </c>
      <c r="E987" s="404" t="s">
        <v>7448</v>
      </c>
      <c r="F987" s="385" t="s">
        <v>229</v>
      </c>
      <c r="G987" s="404" t="s">
        <v>7449</v>
      </c>
      <c r="H987" s="404" t="s">
        <v>7450</v>
      </c>
      <c r="I987" s="404" t="s">
        <v>23</v>
      </c>
      <c r="J987" s="404" t="s">
        <v>7451</v>
      </c>
      <c r="K987" s="404" t="s">
        <v>7452</v>
      </c>
    </row>
    <row r="988" spans="1:11" ht="30">
      <c r="A988" s="387"/>
      <c r="B988" s="387"/>
      <c r="C988" s="387"/>
      <c r="D988" s="404" t="s">
        <v>7453</v>
      </c>
      <c r="E988" s="404" t="s">
        <v>7454</v>
      </c>
      <c r="F988" s="385" t="s">
        <v>229</v>
      </c>
      <c r="G988" s="404" t="s">
        <v>7455</v>
      </c>
      <c r="H988" s="404" t="s">
        <v>7456</v>
      </c>
      <c r="I988" s="404" t="s">
        <v>94</v>
      </c>
      <c r="J988" s="404" t="s">
        <v>7457</v>
      </c>
      <c r="K988" s="404" t="s">
        <v>7458</v>
      </c>
    </row>
    <row r="989" spans="1:11" ht="30">
      <c r="A989" s="387"/>
      <c r="B989" s="387"/>
      <c r="C989" s="387"/>
      <c r="D989" s="404" t="s">
        <v>7459</v>
      </c>
      <c r="E989" s="404" t="s">
        <v>7460</v>
      </c>
      <c r="F989" s="385" t="s">
        <v>229</v>
      </c>
      <c r="G989" s="404" t="s">
        <v>7461</v>
      </c>
      <c r="H989" s="404" t="s">
        <v>7462</v>
      </c>
      <c r="I989" s="404" t="s">
        <v>23</v>
      </c>
      <c r="J989" s="404" t="s">
        <v>7463</v>
      </c>
      <c r="K989" s="404" t="s">
        <v>7464</v>
      </c>
    </row>
    <row r="990" spans="1:11" ht="30">
      <c r="A990" s="387"/>
      <c r="B990" s="387"/>
      <c r="C990" s="387" t="s">
        <v>7465</v>
      </c>
      <c r="D990" s="404" t="s">
        <v>7466</v>
      </c>
      <c r="E990" s="404" t="s">
        <v>7467</v>
      </c>
      <c r="F990" s="385" t="s">
        <v>229</v>
      </c>
      <c r="G990" s="404" t="s">
        <v>7468</v>
      </c>
      <c r="H990" s="404" t="s">
        <v>7469</v>
      </c>
      <c r="I990" s="404" t="s">
        <v>23</v>
      </c>
      <c r="J990" s="404" t="s">
        <v>7470</v>
      </c>
      <c r="K990" s="404" t="s">
        <v>7471</v>
      </c>
    </row>
    <row r="991" spans="1:11" ht="30">
      <c r="A991" s="387"/>
      <c r="B991" s="387"/>
      <c r="C991" s="387"/>
      <c r="D991" s="404" t="s">
        <v>7468</v>
      </c>
      <c r="E991" s="404" t="s">
        <v>7472</v>
      </c>
      <c r="F991" s="385" t="s">
        <v>229</v>
      </c>
      <c r="G991" s="404" t="s">
        <v>7473</v>
      </c>
      <c r="H991" s="404" t="s">
        <v>7474</v>
      </c>
      <c r="I991" s="404" t="s">
        <v>23</v>
      </c>
      <c r="J991" s="404" t="s">
        <v>7475</v>
      </c>
      <c r="K991" s="404" t="s">
        <v>7476</v>
      </c>
    </row>
    <row r="992" spans="1:11" ht="30">
      <c r="A992" s="387"/>
      <c r="B992" s="387"/>
      <c r="C992" s="387"/>
      <c r="D992" s="404" t="s">
        <v>7477</v>
      </c>
      <c r="E992" s="404" t="s">
        <v>7478</v>
      </c>
      <c r="F992" s="385" t="s">
        <v>229</v>
      </c>
      <c r="G992" s="404" t="s">
        <v>7479</v>
      </c>
      <c r="H992" s="404" t="s">
        <v>7480</v>
      </c>
      <c r="I992" s="404" t="s">
        <v>23</v>
      </c>
      <c r="J992" s="404" t="s">
        <v>7481</v>
      </c>
      <c r="K992" s="404" t="s">
        <v>7482</v>
      </c>
    </row>
    <row r="993" spans="1:11">
      <c r="A993" s="387"/>
      <c r="B993" s="387"/>
      <c r="C993" s="387"/>
      <c r="D993" s="404" t="s">
        <v>7483</v>
      </c>
      <c r="E993" s="404" t="s">
        <v>7484</v>
      </c>
      <c r="F993" s="385" t="s">
        <v>229</v>
      </c>
      <c r="G993" s="404" t="s">
        <v>7485</v>
      </c>
      <c r="H993" s="404" t="s">
        <v>7486</v>
      </c>
      <c r="I993" s="404" t="s">
        <v>23</v>
      </c>
      <c r="J993" s="404" t="s">
        <v>7487</v>
      </c>
      <c r="K993" s="404" t="s">
        <v>7488</v>
      </c>
    </row>
    <row r="994" spans="1:11" ht="30">
      <c r="A994" s="387"/>
      <c r="B994" s="387"/>
      <c r="C994" s="387"/>
      <c r="D994" s="404" t="s">
        <v>7485</v>
      </c>
      <c r="E994" s="404" t="s">
        <v>7489</v>
      </c>
      <c r="F994" s="385" t="s">
        <v>20</v>
      </c>
      <c r="G994" s="404" t="s">
        <v>7490</v>
      </c>
      <c r="H994" s="404" t="s">
        <v>7491</v>
      </c>
      <c r="I994" s="404" t="s">
        <v>23</v>
      </c>
      <c r="J994" s="404" t="s">
        <v>7492</v>
      </c>
      <c r="K994" s="404" t="s">
        <v>7493</v>
      </c>
    </row>
    <row r="995" spans="1:11" ht="30">
      <c r="A995" s="387"/>
      <c r="B995" s="387"/>
      <c r="C995" s="387" t="s">
        <v>7494</v>
      </c>
      <c r="D995" s="404" t="s">
        <v>7495</v>
      </c>
      <c r="E995" s="404" t="s">
        <v>7496</v>
      </c>
      <c r="F995" s="385" t="s">
        <v>20</v>
      </c>
      <c r="G995" s="404" t="s">
        <v>7497</v>
      </c>
      <c r="H995" s="404" t="s">
        <v>7498</v>
      </c>
      <c r="I995" s="404" t="s">
        <v>23</v>
      </c>
      <c r="J995" s="404" t="s">
        <v>7499</v>
      </c>
      <c r="K995" s="404" t="s">
        <v>7500</v>
      </c>
    </row>
    <row r="996" spans="1:11" ht="30">
      <c r="A996" s="387"/>
      <c r="B996" s="387"/>
      <c r="C996" s="387"/>
      <c r="D996" s="404" t="s">
        <v>7501</v>
      </c>
      <c r="E996" s="404" t="s">
        <v>7502</v>
      </c>
      <c r="F996" s="385" t="s">
        <v>20</v>
      </c>
      <c r="G996" s="404" t="s">
        <v>7503</v>
      </c>
      <c r="H996" s="404" t="s">
        <v>7504</v>
      </c>
      <c r="I996" s="404" t="s">
        <v>23</v>
      </c>
      <c r="J996" s="404" t="s">
        <v>7505</v>
      </c>
      <c r="K996" s="404" t="s">
        <v>7506</v>
      </c>
    </row>
    <row r="997" spans="1:11">
      <c r="A997" s="387"/>
      <c r="B997" s="387"/>
      <c r="C997" s="387"/>
      <c r="D997" s="404" t="s">
        <v>7507</v>
      </c>
      <c r="E997" s="404" t="s">
        <v>7508</v>
      </c>
      <c r="F997" s="385" t="s">
        <v>20</v>
      </c>
      <c r="G997" s="404" t="s">
        <v>7509</v>
      </c>
      <c r="H997" s="404" t="s">
        <v>7510</v>
      </c>
      <c r="I997" s="404" t="s">
        <v>23</v>
      </c>
      <c r="J997" s="404" t="s">
        <v>7511</v>
      </c>
      <c r="K997" s="404" t="s">
        <v>7512</v>
      </c>
    </row>
    <row r="998" spans="1:11" ht="30">
      <c r="A998" s="387"/>
      <c r="B998" s="387"/>
      <c r="C998" s="387"/>
      <c r="D998" s="404" t="s">
        <v>7509</v>
      </c>
      <c r="E998" s="404" t="s">
        <v>7513</v>
      </c>
      <c r="F998" s="385" t="s">
        <v>20</v>
      </c>
      <c r="G998" s="404" t="s">
        <v>7514</v>
      </c>
      <c r="H998" s="404" t="s">
        <v>7515</v>
      </c>
      <c r="I998" s="404" t="s">
        <v>23</v>
      </c>
      <c r="J998" s="404" t="s">
        <v>7516</v>
      </c>
      <c r="K998" s="404" t="s">
        <v>7517</v>
      </c>
    </row>
    <row r="999" spans="1:11" ht="30">
      <c r="A999" s="387"/>
      <c r="B999" s="387"/>
      <c r="C999" s="387"/>
      <c r="D999" s="404" t="s">
        <v>7518</v>
      </c>
      <c r="E999" s="404" t="s">
        <v>7519</v>
      </c>
      <c r="F999" s="385" t="s">
        <v>20</v>
      </c>
      <c r="G999" s="404" t="s">
        <v>7520</v>
      </c>
      <c r="H999" s="404" t="s">
        <v>7521</v>
      </c>
      <c r="I999" s="404" t="s">
        <v>23</v>
      </c>
      <c r="J999" s="404" t="s">
        <v>7522</v>
      </c>
      <c r="K999" s="404" t="s">
        <v>7523</v>
      </c>
    </row>
    <row r="1000" spans="1:11">
      <c r="A1000" s="387"/>
      <c r="B1000" s="387"/>
      <c r="C1000" s="387" t="s">
        <v>7524</v>
      </c>
      <c r="D1000" s="404" t="s">
        <v>7525</v>
      </c>
      <c r="E1000" s="404" t="s">
        <v>7526</v>
      </c>
      <c r="F1000" s="385" t="s">
        <v>425</v>
      </c>
      <c r="G1000" s="404" t="s">
        <v>7527</v>
      </c>
      <c r="H1000" s="404" t="s">
        <v>7528</v>
      </c>
      <c r="I1000" s="404" t="s">
        <v>23</v>
      </c>
      <c r="J1000" s="404" t="s">
        <v>7529</v>
      </c>
      <c r="K1000" s="404" t="s">
        <v>7530</v>
      </c>
    </row>
    <row r="1001" spans="1:11" ht="30">
      <c r="A1001" s="387"/>
      <c r="B1001" s="387"/>
      <c r="C1001" s="387"/>
      <c r="D1001" s="404" t="s">
        <v>7531</v>
      </c>
      <c r="E1001" s="404" t="s">
        <v>7532</v>
      </c>
      <c r="F1001" s="385" t="s">
        <v>425</v>
      </c>
      <c r="G1001" s="404" t="s">
        <v>7533</v>
      </c>
      <c r="H1001" s="404" t="s">
        <v>7534</v>
      </c>
      <c r="I1001" s="404" t="s">
        <v>23</v>
      </c>
      <c r="J1001" s="404" t="s">
        <v>7535</v>
      </c>
      <c r="K1001" s="404" t="s">
        <v>7536</v>
      </c>
    </row>
    <row r="1002" spans="1:11" ht="30">
      <c r="A1002" s="387"/>
      <c r="B1002" s="387"/>
      <c r="C1002" s="387"/>
      <c r="D1002" s="404" t="s">
        <v>7537</v>
      </c>
      <c r="E1002" s="404" t="s">
        <v>7538</v>
      </c>
      <c r="F1002" s="385" t="s">
        <v>20</v>
      </c>
      <c r="G1002" s="404" t="s">
        <v>7539</v>
      </c>
      <c r="H1002" s="404" t="s">
        <v>7540</v>
      </c>
      <c r="I1002" s="404" t="s">
        <v>23</v>
      </c>
      <c r="J1002" s="404" t="s">
        <v>7541</v>
      </c>
      <c r="K1002" s="404" t="s">
        <v>7542</v>
      </c>
    </row>
    <row r="1003" spans="1:11" ht="30">
      <c r="A1003" s="387"/>
      <c r="B1003" s="387"/>
      <c r="C1003" s="387"/>
      <c r="D1003" s="404" t="s">
        <v>7533</v>
      </c>
      <c r="E1003" s="404" t="s">
        <v>7543</v>
      </c>
      <c r="F1003" s="385" t="s">
        <v>20</v>
      </c>
      <c r="G1003" s="404" t="s">
        <v>7544</v>
      </c>
      <c r="H1003" s="404" t="s">
        <v>7545</v>
      </c>
      <c r="I1003" s="404" t="s">
        <v>23</v>
      </c>
      <c r="J1003" s="404" t="s">
        <v>7546</v>
      </c>
      <c r="K1003" s="404" t="s">
        <v>7547</v>
      </c>
    </row>
    <row r="1004" spans="1:11" ht="30">
      <c r="A1004" s="387"/>
      <c r="B1004" s="387"/>
      <c r="C1004" s="387"/>
      <c r="D1004" s="404" t="s">
        <v>7539</v>
      </c>
      <c r="E1004" s="404" t="s">
        <v>7548</v>
      </c>
      <c r="F1004" s="385" t="s">
        <v>20</v>
      </c>
      <c r="G1004" s="404" t="s">
        <v>7549</v>
      </c>
      <c r="H1004" s="404" t="s">
        <v>7550</v>
      </c>
      <c r="I1004" s="404" t="s">
        <v>23</v>
      </c>
      <c r="J1004" s="404" t="s">
        <v>7551</v>
      </c>
      <c r="K1004" s="404" t="s">
        <v>7552</v>
      </c>
    </row>
    <row r="1005" spans="1:11" ht="30">
      <c r="A1005" s="387"/>
      <c r="B1005" s="387"/>
      <c r="C1005" s="387" t="s">
        <v>7553</v>
      </c>
      <c r="D1005" s="404" t="s">
        <v>7554</v>
      </c>
      <c r="E1005" s="404" t="s">
        <v>7555</v>
      </c>
      <c r="F1005" s="385" t="s">
        <v>20</v>
      </c>
      <c r="G1005" s="404" t="s">
        <v>7556</v>
      </c>
      <c r="H1005" s="404" t="s">
        <v>7557</v>
      </c>
      <c r="I1005" s="404" t="s">
        <v>23</v>
      </c>
      <c r="J1005" s="404" t="s">
        <v>7558</v>
      </c>
      <c r="K1005" s="404" t="s">
        <v>7559</v>
      </c>
    </row>
    <row r="1006" spans="1:11" ht="30">
      <c r="A1006" s="387"/>
      <c r="B1006" s="387"/>
      <c r="C1006" s="387"/>
      <c r="D1006" s="404" t="s">
        <v>7560</v>
      </c>
      <c r="E1006" s="404" t="s">
        <v>7561</v>
      </c>
      <c r="F1006" s="385" t="s">
        <v>425</v>
      </c>
      <c r="G1006" s="404" t="s">
        <v>7562</v>
      </c>
      <c r="H1006" s="404" t="s">
        <v>7563</v>
      </c>
      <c r="I1006" s="404" t="s">
        <v>23</v>
      </c>
      <c r="J1006" s="404" t="s">
        <v>7564</v>
      </c>
      <c r="K1006" s="404" t="s">
        <v>7565</v>
      </c>
    </row>
    <row r="1007" spans="1:11" ht="30">
      <c r="A1007" s="387"/>
      <c r="B1007" s="387"/>
      <c r="C1007" s="387"/>
      <c r="D1007" s="404" t="s">
        <v>7566</v>
      </c>
      <c r="E1007" s="404" t="s">
        <v>7567</v>
      </c>
      <c r="F1007" s="385" t="s">
        <v>20</v>
      </c>
      <c r="G1007" s="404" t="s">
        <v>7568</v>
      </c>
      <c r="H1007" s="404" t="s">
        <v>7569</v>
      </c>
      <c r="I1007" s="404" t="s">
        <v>23</v>
      </c>
      <c r="J1007" s="404" t="s">
        <v>7570</v>
      </c>
      <c r="K1007" s="404" t="s">
        <v>7571</v>
      </c>
    </row>
    <row r="1008" spans="1:11" ht="30">
      <c r="A1008" s="387"/>
      <c r="B1008" s="387"/>
      <c r="C1008" s="387"/>
      <c r="D1008" s="404" t="s">
        <v>7562</v>
      </c>
      <c r="E1008" s="404" t="s">
        <v>7572</v>
      </c>
      <c r="F1008" s="385" t="s">
        <v>20</v>
      </c>
      <c r="G1008" s="404" t="s">
        <v>7573</v>
      </c>
      <c r="H1008" s="404" t="s">
        <v>7574</v>
      </c>
      <c r="I1008" s="404" t="s">
        <v>23</v>
      </c>
      <c r="J1008" s="404" t="s">
        <v>7575</v>
      </c>
      <c r="K1008" s="404" t="s">
        <v>7576</v>
      </c>
    </row>
    <row r="1009" spans="1:11" ht="30">
      <c r="A1009" s="387"/>
      <c r="B1009" s="387"/>
      <c r="C1009" s="387"/>
      <c r="D1009" s="404" t="s">
        <v>7568</v>
      </c>
      <c r="E1009" s="404" t="s">
        <v>7577</v>
      </c>
      <c r="F1009" s="385" t="s">
        <v>20</v>
      </c>
      <c r="G1009" s="404" t="s">
        <v>7568</v>
      </c>
      <c r="H1009" s="404" t="s">
        <v>7578</v>
      </c>
      <c r="I1009" s="404" t="s">
        <v>23</v>
      </c>
      <c r="J1009" s="404" t="s">
        <v>7579</v>
      </c>
      <c r="K1009" s="404" t="s">
        <v>7580</v>
      </c>
    </row>
    <row r="1010" spans="1:11" ht="30">
      <c r="A1010" s="387"/>
      <c r="B1010" s="387"/>
      <c r="C1010" s="387" t="s">
        <v>7581</v>
      </c>
      <c r="D1010" s="404" t="s">
        <v>7582</v>
      </c>
      <c r="E1010" s="404" t="s">
        <v>7583</v>
      </c>
      <c r="F1010" s="385" t="s">
        <v>425</v>
      </c>
      <c r="G1010" s="404" t="s">
        <v>7573</v>
      </c>
      <c r="H1010" s="404" t="s">
        <v>7584</v>
      </c>
      <c r="I1010" s="404" t="s">
        <v>23</v>
      </c>
      <c r="J1010" s="404" t="s">
        <v>7585</v>
      </c>
      <c r="K1010" s="404" t="s">
        <v>7586</v>
      </c>
    </row>
    <row r="1011" spans="1:11" ht="30">
      <c r="A1011" s="387"/>
      <c r="B1011" s="387"/>
      <c r="C1011" s="387"/>
      <c r="D1011" s="404" t="s">
        <v>7587</v>
      </c>
      <c r="E1011" s="404" t="s">
        <v>7588</v>
      </c>
      <c r="F1011" s="385" t="s">
        <v>20</v>
      </c>
      <c r="G1011" s="404" t="s">
        <v>7589</v>
      </c>
      <c r="H1011" s="404" t="s">
        <v>7590</v>
      </c>
      <c r="I1011" s="404" t="s">
        <v>23</v>
      </c>
      <c r="J1011" s="404" t="s">
        <v>7591</v>
      </c>
      <c r="K1011" s="404" t="s">
        <v>7592</v>
      </c>
    </row>
    <row r="1012" spans="1:11" ht="30">
      <c r="A1012" s="387"/>
      <c r="B1012" s="387"/>
      <c r="C1012" s="387"/>
      <c r="D1012" s="404" t="s">
        <v>7593</v>
      </c>
      <c r="E1012" s="404" t="s">
        <v>7594</v>
      </c>
      <c r="F1012" s="385" t="s">
        <v>20</v>
      </c>
      <c r="G1012" s="404" t="s">
        <v>7595</v>
      </c>
      <c r="H1012" s="404" t="s">
        <v>7596</v>
      </c>
      <c r="I1012" s="404" t="s">
        <v>23</v>
      </c>
      <c r="J1012" s="404" t="s">
        <v>7597</v>
      </c>
      <c r="K1012" s="404" t="s">
        <v>7598</v>
      </c>
    </row>
    <row r="1013" spans="1:11" ht="30">
      <c r="A1013" s="387"/>
      <c r="B1013" s="387"/>
      <c r="C1013" s="387"/>
      <c r="D1013" s="404" t="s">
        <v>7599</v>
      </c>
      <c r="E1013" s="404" t="s">
        <v>7600</v>
      </c>
      <c r="F1013" s="385" t="s">
        <v>229</v>
      </c>
      <c r="G1013" s="404" t="s">
        <v>7599</v>
      </c>
      <c r="H1013" s="404" t="s">
        <v>7601</v>
      </c>
      <c r="I1013" s="404" t="s">
        <v>23</v>
      </c>
      <c r="J1013" s="404" t="s">
        <v>7602</v>
      </c>
      <c r="K1013" s="404" t="s">
        <v>7603</v>
      </c>
    </row>
    <row r="1014" spans="1:11" ht="30">
      <c r="A1014" s="387"/>
      <c r="B1014" s="387"/>
      <c r="C1014" s="387"/>
      <c r="D1014" s="404" t="s">
        <v>7604</v>
      </c>
      <c r="E1014" s="404" t="s">
        <v>7605</v>
      </c>
      <c r="F1014" s="385" t="s">
        <v>229</v>
      </c>
      <c r="G1014" s="404" t="s">
        <v>7604</v>
      </c>
      <c r="H1014" s="404" t="s">
        <v>7606</v>
      </c>
      <c r="I1014" s="404" t="s">
        <v>23</v>
      </c>
      <c r="J1014" s="404" t="s">
        <v>7607</v>
      </c>
      <c r="K1014" s="404" t="s">
        <v>7608</v>
      </c>
    </row>
    <row r="1015" spans="1:11">
      <c r="A1015" s="387"/>
      <c r="B1015" s="387"/>
      <c r="C1015" s="387" t="s">
        <v>7609</v>
      </c>
      <c r="D1015" s="404" t="s">
        <v>7610</v>
      </c>
      <c r="E1015" s="404" t="s">
        <v>7611</v>
      </c>
      <c r="F1015" s="385" t="s">
        <v>229</v>
      </c>
      <c r="G1015" s="404" t="s">
        <v>7610</v>
      </c>
      <c r="H1015" s="404" t="s">
        <v>7612</v>
      </c>
      <c r="I1015" s="404" t="s">
        <v>94</v>
      </c>
      <c r="J1015" s="404" t="s">
        <v>7613</v>
      </c>
      <c r="K1015" s="404" t="s">
        <v>7614</v>
      </c>
    </row>
    <row r="1016" spans="1:11" ht="30">
      <c r="A1016" s="387"/>
      <c r="B1016" s="387"/>
      <c r="C1016" s="387"/>
      <c r="D1016" s="404" t="s">
        <v>7615</v>
      </c>
      <c r="E1016" s="404" t="s">
        <v>7616</v>
      </c>
      <c r="F1016" s="385" t="s">
        <v>229</v>
      </c>
      <c r="G1016" s="404" t="s">
        <v>7617</v>
      </c>
      <c r="H1016" s="404" t="s">
        <v>7618</v>
      </c>
      <c r="I1016" s="404" t="s">
        <v>94</v>
      </c>
      <c r="J1016" s="404" t="s">
        <v>7619</v>
      </c>
      <c r="K1016" s="404" t="s">
        <v>7620</v>
      </c>
    </row>
    <row r="1017" spans="1:11" ht="30">
      <c r="A1017" s="387"/>
      <c r="B1017" s="387"/>
      <c r="C1017" s="387"/>
      <c r="D1017" s="404" t="s">
        <v>7621</v>
      </c>
      <c r="E1017" s="404" t="s">
        <v>7622</v>
      </c>
      <c r="F1017" s="385" t="s">
        <v>229</v>
      </c>
      <c r="G1017" s="404" t="s">
        <v>7623</v>
      </c>
      <c r="H1017" s="404" t="s">
        <v>7624</v>
      </c>
      <c r="I1017" s="404" t="s">
        <v>94</v>
      </c>
      <c r="J1017" s="404" t="s">
        <v>7625</v>
      </c>
      <c r="K1017" s="404" t="s">
        <v>7626</v>
      </c>
    </row>
    <row r="1018" spans="1:11" ht="30">
      <c r="A1018" s="387"/>
      <c r="B1018" s="387"/>
      <c r="C1018" s="387"/>
      <c r="D1018" s="404" t="s">
        <v>7627</v>
      </c>
      <c r="E1018" s="404" t="s">
        <v>7628</v>
      </c>
      <c r="F1018" s="385" t="s">
        <v>20</v>
      </c>
      <c r="G1018" s="404" t="s">
        <v>7627</v>
      </c>
      <c r="H1018" s="404" t="s">
        <v>7629</v>
      </c>
      <c r="I1018" s="404" t="s">
        <v>23</v>
      </c>
      <c r="J1018" s="404" t="s">
        <v>7630</v>
      </c>
      <c r="K1018" s="404" t="s">
        <v>7631</v>
      </c>
    </row>
    <row r="1019" spans="1:11" ht="30">
      <c r="A1019" s="387"/>
      <c r="B1019" s="387"/>
      <c r="C1019" s="387"/>
      <c r="D1019" s="404" t="s">
        <v>7632</v>
      </c>
      <c r="E1019" s="404" t="s">
        <v>7633</v>
      </c>
      <c r="F1019" s="385" t="s">
        <v>20</v>
      </c>
      <c r="G1019" s="404" t="s">
        <v>7632</v>
      </c>
      <c r="H1019" s="404" t="s">
        <v>7634</v>
      </c>
      <c r="I1019" s="404" t="s">
        <v>23</v>
      </c>
      <c r="J1019" s="404" t="s">
        <v>7635</v>
      </c>
      <c r="K1019" s="404" t="s">
        <v>7636</v>
      </c>
    </row>
    <row r="1020" spans="1:11" ht="30">
      <c r="A1020" s="387"/>
      <c r="B1020" s="387"/>
      <c r="C1020" s="387" t="s">
        <v>7637</v>
      </c>
      <c r="D1020" s="404" t="s">
        <v>7638</v>
      </c>
      <c r="E1020" s="404" t="s">
        <v>7639</v>
      </c>
      <c r="F1020" s="385" t="s">
        <v>229</v>
      </c>
      <c r="G1020" s="404" t="s">
        <v>7640</v>
      </c>
      <c r="H1020" s="404" t="s">
        <v>7641</v>
      </c>
      <c r="I1020" s="404" t="s">
        <v>23</v>
      </c>
      <c r="J1020" s="404" t="s">
        <v>7642</v>
      </c>
      <c r="K1020" s="404" t="s">
        <v>7643</v>
      </c>
    </row>
    <row r="1021" spans="1:11" ht="30">
      <c r="A1021" s="387"/>
      <c r="B1021" s="387"/>
      <c r="C1021" s="387"/>
      <c r="D1021" s="404" t="s">
        <v>7644</v>
      </c>
      <c r="E1021" s="404" t="s">
        <v>7645</v>
      </c>
      <c r="F1021" s="385" t="s">
        <v>229</v>
      </c>
      <c r="G1021" s="404" t="s">
        <v>7646</v>
      </c>
      <c r="H1021" s="404" t="s">
        <v>7647</v>
      </c>
      <c r="I1021" s="404" t="s">
        <v>23</v>
      </c>
      <c r="J1021" s="404" t="s">
        <v>7648</v>
      </c>
      <c r="K1021" s="404" t="s">
        <v>7649</v>
      </c>
    </row>
    <row r="1022" spans="1:11" ht="30">
      <c r="A1022" s="387"/>
      <c r="B1022" s="387"/>
      <c r="C1022" s="387"/>
      <c r="D1022" s="404" t="s">
        <v>7650</v>
      </c>
      <c r="E1022" s="404" t="s">
        <v>7651</v>
      </c>
      <c r="F1022" s="385" t="s">
        <v>229</v>
      </c>
      <c r="G1022" s="404" t="s">
        <v>7652</v>
      </c>
      <c r="H1022" s="404" t="s">
        <v>7653</v>
      </c>
      <c r="I1022" s="404" t="s">
        <v>23</v>
      </c>
      <c r="J1022" s="404" t="s">
        <v>7654</v>
      </c>
      <c r="K1022" s="404" t="s">
        <v>7655</v>
      </c>
    </row>
    <row r="1023" spans="1:11" ht="30">
      <c r="A1023" s="387"/>
      <c r="B1023" s="387"/>
      <c r="C1023" s="387"/>
      <c r="D1023" s="404" t="s">
        <v>7656</v>
      </c>
      <c r="E1023" s="404" t="s">
        <v>7657</v>
      </c>
      <c r="F1023" s="385" t="s">
        <v>20</v>
      </c>
      <c r="G1023" s="404" t="s">
        <v>7656</v>
      </c>
      <c r="H1023" s="404" t="s">
        <v>7658</v>
      </c>
      <c r="I1023" s="404" t="s">
        <v>23</v>
      </c>
      <c r="J1023" s="404" t="s">
        <v>7659</v>
      </c>
      <c r="K1023" s="404" t="s">
        <v>7660</v>
      </c>
    </row>
    <row r="1024" spans="1:11" ht="30">
      <c r="A1024" s="387"/>
      <c r="B1024" s="387"/>
      <c r="C1024" s="387"/>
      <c r="D1024" s="404" t="s">
        <v>7661</v>
      </c>
      <c r="E1024" s="404" t="s">
        <v>7662</v>
      </c>
      <c r="F1024" s="385" t="s">
        <v>20</v>
      </c>
      <c r="G1024" s="404" t="s">
        <v>7663</v>
      </c>
      <c r="H1024" s="404" t="s">
        <v>7664</v>
      </c>
      <c r="I1024" s="404" t="s">
        <v>23</v>
      </c>
      <c r="J1024" s="404" t="s">
        <v>7665</v>
      </c>
      <c r="K1024" s="404" t="s">
        <v>7666</v>
      </c>
    </row>
    <row r="1025" spans="1:11" ht="30">
      <c r="A1025" s="387"/>
      <c r="B1025" s="387" t="s">
        <v>7667</v>
      </c>
      <c r="C1025" s="387" t="s">
        <v>7668</v>
      </c>
      <c r="D1025" s="404" t="s">
        <v>7669</v>
      </c>
      <c r="E1025" s="404" t="s">
        <v>7670</v>
      </c>
      <c r="F1025" s="385" t="s">
        <v>229</v>
      </c>
      <c r="G1025" s="404" t="s">
        <v>7669</v>
      </c>
      <c r="H1025" s="404" t="s">
        <v>7671</v>
      </c>
      <c r="I1025" s="404" t="s">
        <v>23</v>
      </c>
      <c r="J1025" s="404" t="s">
        <v>7672</v>
      </c>
      <c r="K1025" s="404" t="s">
        <v>7673</v>
      </c>
    </row>
    <row r="1026" spans="1:11" ht="30">
      <c r="A1026" s="387"/>
      <c r="B1026" s="387"/>
      <c r="C1026" s="387"/>
      <c r="D1026" s="404" t="s">
        <v>7674</v>
      </c>
      <c r="E1026" s="404" t="s">
        <v>7675</v>
      </c>
      <c r="F1026" s="385" t="s">
        <v>229</v>
      </c>
      <c r="G1026" s="404" t="s">
        <v>7674</v>
      </c>
      <c r="H1026" s="404" t="s">
        <v>7676</v>
      </c>
      <c r="I1026" s="404" t="s">
        <v>23</v>
      </c>
      <c r="J1026" s="404" t="s">
        <v>7677</v>
      </c>
      <c r="K1026" s="404" t="s">
        <v>7678</v>
      </c>
    </row>
    <row r="1027" spans="1:11" ht="30">
      <c r="A1027" s="387"/>
      <c r="B1027" s="387"/>
      <c r="C1027" s="387"/>
      <c r="D1027" s="404" t="s">
        <v>7679</v>
      </c>
      <c r="E1027" s="404" t="s">
        <v>7680</v>
      </c>
      <c r="F1027" s="385" t="s">
        <v>229</v>
      </c>
      <c r="G1027" s="404" t="s">
        <v>7679</v>
      </c>
      <c r="H1027" s="404" t="s">
        <v>7681</v>
      </c>
      <c r="I1027" s="404" t="s">
        <v>23</v>
      </c>
      <c r="J1027" s="404" t="s">
        <v>7682</v>
      </c>
      <c r="K1027" s="404" t="s">
        <v>7683</v>
      </c>
    </row>
    <row r="1028" spans="1:11" ht="30">
      <c r="A1028" s="387"/>
      <c r="B1028" s="387"/>
      <c r="C1028" s="387"/>
      <c r="D1028" s="404" t="s">
        <v>7684</v>
      </c>
      <c r="E1028" s="404" t="s">
        <v>7685</v>
      </c>
      <c r="F1028" s="385" t="s">
        <v>229</v>
      </c>
      <c r="G1028" s="404" t="s">
        <v>7686</v>
      </c>
      <c r="H1028" s="404" t="s">
        <v>7687</v>
      </c>
      <c r="I1028" s="404" t="s">
        <v>23</v>
      </c>
      <c r="J1028" s="404" t="s">
        <v>7688</v>
      </c>
      <c r="K1028" s="404" t="s">
        <v>7689</v>
      </c>
    </row>
    <row r="1029" spans="1:11" ht="30">
      <c r="A1029" s="387"/>
      <c r="B1029" s="387"/>
      <c r="C1029" s="387"/>
      <c r="D1029" s="404" t="s">
        <v>7690</v>
      </c>
      <c r="E1029" s="404" t="s">
        <v>7691</v>
      </c>
      <c r="F1029" s="385" t="s">
        <v>20</v>
      </c>
      <c r="G1029" s="404" t="s">
        <v>7692</v>
      </c>
      <c r="H1029" s="404" t="s">
        <v>7693</v>
      </c>
      <c r="I1029" s="404" t="s">
        <v>23</v>
      </c>
      <c r="J1029" s="404" t="s">
        <v>7694</v>
      </c>
      <c r="K1029" s="404" t="s">
        <v>7695</v>
      </c>
    </row>
    <row r="1030" spans="1:11" ht="30">
      <c r="A1030" s="387"/>
      <c r="B1030" s="387"/>
      <c r="C1030" s="387" t="s">
        <v>7696</v>
      </c>
      <c r="D1030" s="404" t="s">
        <v>7697</v>
      </c>
      <c r="E1030" s="404" t="s">
        <v>7698</v>
      </c>
      <c r="F1030" s="385" t="s">
        <v>20</v>
      </c>
      <c r="G1030" s="404" t="s">
        <v>7699</v>
      </c>
      <c r="H1030" s="404" t="s">
        <v>7700</v>
      </c>
      <c r="I1030" s="404" t="s">
        <v>23</v>
      </c>
      <c r="J1030" s="404" t="s">
        <v>7701</v>
      </c>
      <c r="K1030" s="404" t="s">
        <v>7702</v>
      </c>
    </row>
    <row r="1031" spans="1:11" ht="30">
      <c r="A1031" s="387"/>
      <c r="B1031" s="387"/>
      <c r="C1031" s="387"/>
      <c r="D1031" s="404" t="s">
        <v>7703</v>
      </c>
      <c r="E1031" s="404" t="s">
        <v>7704</v>
      </c>
      <c r="F1031" s="385" t="s">
        <v>20</v>
      </c>
      <c r="G1031" s="404" t="s">
        <v>7705</v>
      </c>
      <c r="H1031" s="404" t="s">
        <v>7706</v>
      </c>
      <c r="I1031" s="404" t="s">
        <v>23</v>
      </c>
      <c r="J1031" s="404" t="s">
        <v>7707</v>
      </c>
      <c r="K1031" s="404" t="s">
        <v>7708</v>
      </c>
    </row>
    <row r="1032" spans="1:11" ht="30">
      <c r="A1032" s="387"/>
      <c r="B1032" s="387"/>
      <c r="C1032" s="387"/>
      <c r="D1032" s="404" t="s">
        <v>7709</v>
      </c>
      <c r="E1032" s="404" t="s">
        <v>7710</v>
      </c>
      <c r="F1032" s="385" t="s">
        <v>20</v>
      </c>
      <c r="G1032" s="404" t="s">
        <v>7709</v>
      </c>
      <c r="H1032" s="404" t="s">
        <v>7711</v>
      </c>
      <c r="I1032" s="404" t="s">
        <v>23</v>
      </c>
      <c r="J1032" s="404" t="s">
        <v>7712</v>
      </c>
      <c r="K1032" s="404" t="s">
        <v>7713</v>
      </c>
    </row>
    <row r="1033" spans="1:11" ht="30">
      <c r="A1033" s="387"/>
      <c r="B1033" s="387"/>
      <c r="C1033" s="387"/>
      <c r="D1033" s="404" t="s">
        <v>7714</v>
      </c>
      <c r="E1033" s="404" t="s">
        <v>7715</v>
      </c>
      <c r="F1033" s="385" t="s">
        <v>425</v>
      </c>
      <c r="G1033" s="404" t="s">
        <v>7716</v>
      </c>
      <c r="H1033" s="404" t="s">
        <v>7717</v>
      </c>
      <c r="I1033" s="404" t="s">
        <v>23</v>
      </c>
      <c r="J1033" s="404" t="s">
        <v>7718</v>
      </c>
      <c r="K1033" s="404" t="s">
        <v>7719</v>
      </c>
    </row>
    <row r="1034" spans="1:11" ht="30">
      <c r="A1034" s="387"/>
      <c r="B1034" s="387"/>
      <c r="C1034" s="387"/>
      <c r="D1034" s="404" t="s">
        <v>7720</v>
      </c>
      <c r="E1034" s="404" t="s">
        <v>7721</v>
      </c>
      <c r="F1034" s="385" t="s">
        <v>20</v>
      </c>
      <c r="G1034" s="404" t="s">
        <v>7722</v>
      </c>
      <c r="H1034" s="404" t="s">
        <v>7723</v>
      </c>
      <c r="I1034" s="404" t="s">
        <v>23</v>
      </c>
      <c r="J1034" s="404" t="s">
        <v>7724</v>
      </c>
      <c r="K1034" s="404" t="s">
        <v>7725</v>
      </c>
    </row>
    <row r="1035" spans="1:11" ht="30">
      <c r="A1035" s="387"/>
      <c r="B1035" s="387"/>
      <c r="C1035" s="387" t="s">
        <v>7726</v>
      </c>
      <c r="D1035" s="404" t="s">
        <v>7727</v>
      </c>
      <c r="E1035" s="404" t="s">
        <v>7728</v>
      </c>
      <c r="F1035" s="385" t="s">
        <v>20</v>
      </c>
      <c r="G1035" s="404" t="s">
        <v>7727</v>
      </c>
      <c r="H1035" s="404" t="s">
        <v>7729</v>
      </c>
      <c r="I1035" s="404" t="s">
        <v>23</v>
      </c>
      <c r="J1035" s="404" t="s">
        <v>7730</v>
      </c>
      <c r="K1035" s="404" t="s">
        <v>7731</v>
      </c>
    </row>
    <row r="1036" spans="1:11" ht="30">
      <c r="A1036" s="387"/>
      <c r="B1036" s="387"/>
      <c r="C1036" s="387"/>
      <c r="D1036" s="404" t="s">
        <v>7732</v>
      </c>
      <c r="E1036" s="404" t="s">
        <v>7733</v>
      </c>
      <c r="F1036" s="385" t="s">
        <v>20</v>
      </c>
      <c r="G1036" s="404" t="s">
        <v>7734</v>
      </c>
      <c r="H1036" s="404" t="s">
        <v>7735</v>
      </c>
      <c r="I1036" s="404" t="s">
        <v>23</v>
      </c>
      <c r="J1036" s="404" t="s">
        <v>7736</v>
      </c>
      <c r="K1036" s="404" t="s">
        <v>7737</v>
      </c>
    </row>
    <row r="1037" spans="1:11" ht="30">
      <c r="A1037" s="387"/>
      <c r="B1037" s="387"/>
      <c r="C1037" s="387"/>
      <c r="D1037" s="404" t="s">
        <v>7738</v>
      </c>
      <c r="E1037" s="404" t="s">
        <v>7739</v>
      </c>
      <c r="F1037" s="385" t="s">
        <v>229</v>
      </c>
      <c r="G1037" s="404" t="s">
        <v>7740</v>
      </c>
      <c r="H1037" s="404" t="s">
        <v>7741</v>
      </c>
      <c r="I1037" s="404" t="s">
        <v>23</v>
      </c>
      <c r="J1037" s="404" t="s">
        <v>7742</v>
      </c>
      <c r="K1037" s="404" t="s">
        <v>7743</v>
      </c>
    </row>
    <row r="1038" spans="1:11" ht="30">
      <c r="A1038" s="387"/>
      <c r="B1038" s="387"/>
      <c r="C1038" s="387"/>
      <c r="D1038" s="404" t="s">
        <v>7744</v>
      </c>
      <c r="E1038" s="404" t="s">
        <v>7745</v>
      </c>
      <c r="F1038" s="385" t="s">
        <v>229</v>
      </c>
      <c r="G1038" s="404" t="s">
        <v>7746</v>
      </c>
      <c r="H1038" s="404" t="s">
        <v>7747</v>
      </c>
      <c r="I1038" s="404" t="s">
        <v>23</v>
      </c>
      <c r="J1038" s="404" t="s">
        <v>7748</v>
      </c>
      <c r="K1038" s="404" t="s">
        <v>7749</v>
      </c>
    </row>
    <row r="1039" spans="1:11" ht="30">
      <c r="A1039" s="387"/>
      <c r="B1039" s="387"/>
      <c r="C1039" s="387"/>
      <c r="D1039" s="404" t="s">
        <v>7750</v>
      </c>
      <c r="E1039" s="404" t="s">
        <v>7751</v>
      </c>
      <c r="F1039" s="385" t="s">
        <v>229</v>
      </c>
      <c r="G1039" s="404" t="s">
        <v>7752</v>
      </c>
      <c r="H1039" s="404" t="s">
        <v>7753</v>
      </c>
      <c r="I1039" s="404" t="s">
        <v>23</v>
      </c>
      <c r="J1039" s="404" t="s">
        <v>7754</v>
      </c>
      <c r="K1039" s="404" t="s">
        <v>7755</v>
      </c>
    </row>
    <row r="1040" spans="1:11" ht="30">
      <c r="A1040" s="387"/>
      <c r="B1040" s="387"/>
      <c r="C1040" s="387" t="s">
        <v>7756</v>
      </c>
      <c r="D1040" s="404" t="s">
        <v>7757</v>
      </c>
      <c r="E1040" s="404" t="s">
        <v>7758</v>
      </c>
      <c r="F1040" s="385" t="s">
        <v>229</v>
      </c>
      <c r="G1040" s="404" t="s">
        <v>7757</v>
      </c>
      <c r="H1040" s="404" t="s">
        <v>7759</v>
      </c>
      <c r="I1040" s="404" t="s">
        <v>23</v>
      </c>
      <c r="J1040" s="404" t="s">
        <v>7760</v>
      </c>
      <c r="K1040" s="404" t="s">
        <v>7761</v>
      </c>
    </row>
    <row r="1041" spans="1:11" ht="30">
      <c r="A1041" s="387"/>
      <c r="B1041" s="387"/>
      <c r="C1041" s="387"/>
      <c r="D1041" s="404" t="s">
        <v>7762</v>
      </c>
      <c r="E1041" s="404" t="s">
        <v>7763</v>
      </c>
      <c r="F1041" s="385" t="s">
        <v>229</v>
      </c>
      <c r="G1041" s="404" t="s">
        <v>7764</v>
      </c>
      <c r="H1041" s="404" t="s">
        <v>7765</v>
      </c>
      <c r="I1041" s="404" t="s">
        <v>23</v>
      </c>
      <c r="J1041" s="404" t="s">
        <v>7766</v>
      </c>
      <c r="K1041" s="404" t="s">
        <v>7767</v>
      </c>
    </row>
    <row r="1042" spans="1:11" ht="30">
      <c r="A1042" s="387"/>
      <c r="B1042" s="387"/>
      <c r="C1042" s="387"/>
      <c r="D1042" s="404" t="s">
        <v>7768</v>
      </c>
      <c r="E1042" s="404" t="s">
        <v>7769</v>
      </c>
      <c r="F1042" s="385" t="s">
        <v>229</v>
      </c>
      <c r="G1042" s="404" t="s">
        <v>7768</v>
      </c>
      <c r="H1042" s="404" t="s">
        <v>7770</v>
      </c>
      <c r="I1042" s="404" t="s">
        <v>23</v>
      </c>
      <c r="J1042" s="404" t="s">
        <v>7771</v>
      </c>
      <c r="K1042" s="404" t="s">
        <v>7772</v>
      </c>
    </row>
    <row r="1043" spans="1:11" ht="30">
      <c r="A1043" s="387"/>
      <c r="B1043" s="387"/>
      <c r="C1043" s="387"/>
      <c r="D1043" s="404" t="s">
        <v>7773</v>
      </c>
      <c r="E1043" s="404" t="s">
        <v>7774</v>
      </c>
      <c r="F1043" s="385" t="s">
        <v>229</v>
      </c>
      <c r="G1043" s="404" t="s">
        <v>7775</v>
      </c>
      <c r="H1043" s="404" t="s">
        <v>7776</v>
      </c>
      <c r="I1043" s="404" t="s">
        <v>23</v>
      </c>
      <c r="J1043" s="404" t="s">
        <v>7777</v>
      </c>
      <c r="K1043" s="404" t="s">
        <v>7778</v>
      </c>
    </row>
    <row r="1044" spans="1:11" ht="30">
      <c r="A1044" s="387"/>
      <c r="B1044" s="387"/>
      <c r="C1044" s="387"/>
      <c r="D1044" s="404" t="s">
        <v>7779</v>
      </c>
      <c r="E1044" s="404" t="s">
        <v>7780</v>
      </c>
      <c r="F1044" s="385" t="s">
        <v>229</v>
      </c>
      <c r="G1044" s="404" t="s">
        <v>7779</v>
      </c>
      <c r="H1044" s="404" t="s">
        <v>7781</v>
      </c>
      <c r="I1044" s="404" t="s">
        <v>23</v>
      </c>
      <c r="J1044" s="404" t="s">
        <v>7782</v>
      </c>
      <c r="K1044" s="404" t="s">
        <v>7783</v>
      </c>
    </row>
    <row r="1045" spans="1:11" ht="30">
      <c r="A1045" s="387"/>
      <c r="B1045" s="387"/>
      <c r="C1045" s="387" t="s">
        <v>7784</v>
      </c>
      <c r="D1045" s="404" t="s">
        <v>7785</v>
      </c>
      <c r="E1045" s="404" t="s">
        <v>7786</v>
      </c>
      <c r="F1045" s="385" t="s">
        <v>229</v>
      </c>
      <c r="G1045" s="404" t="s">
        <v>7787</v>
      </c>
      <c r="H1045" s="404" t="s">
        <v>7788</v>
      </c>
      <c r="I1045" s="404" t="s">
        <v>23</v>
      </c>
      <c r="J1045" s="404" t="s">
        <v>7789</v>
      </c>
      <c r="K1045" s="404" t="s">
        <v>7790</v>
      </c>
    </row>
    <row r="1046" spans="1:11" ht="30">
      <c r="A1046" s="387"/>
      <c r="B1046" s="387"/>
      <c r="C1046" s="387"/>
      <c r="D1046" s="404" t="s">
        <v>7791</v>
      </c>
      <c r="E1046" s="404" t="s">
        <v>7792</v>
      </c>
      <c r="F1046" s="385" t="s">
        <v>229</v>
      </c>
      <c r="G1046" s="404" t="s">
        <v>7793</v>
      </c>
      <c r="H1046" s="404" t="s">
        <v>7794</v>
      </c>
      <c r="I1046" s="404" t="s">
        <v>23</v>
      </c>
      <c r="J1046" s="404" t="s">
        <v>7795</v>
      </c>
      <c r="K1046" s="404" t="s">
        <v>7796</v>
      </c>
    </row>
    <row r="1047" spans="1:11" ht="30">
      <c r="A1047" s="387"/>
      <c r="B1047" s="387"/>
      <c r="C1047" s="387"/>
      <c r="D1047" s="404" t="s">
        <v>7797</v>
      </c>
      <c r="E1047" s="404" t="s">
        <v>7798</v>
      </c>
      <c r="F1047" s="385" t="s">
        <v>20</v>
      </c>
      <c r="G1047" s="404" t="s">
        <v>7797</v>
      </c>
      <c r="H1047" s="404" t="s">
        <v>7799</v>
      </c>
      <c r="I1047" s="404" t="s">
        <v>23</v>
      </c>
      <c r="J1047" s="404" t="s">
        <v>7800</v>
      </c>
      <c r="K1047" s="404" t="s">
        <v>7801</v>
      </c>
    </row>
    <row r="1048" spans="1:11" ht="30">
      <c r="A1048" s="387"/>
      <c r="B1048" s="387"/>
      <c r="C1048" s="387"/>
      <c r="D1048" s="404" t="s">
        <v>7802</v>
      </c>
      <c r="E1048" s="404" t="s">
        <v>7803</v>
      </c>
      <c r="F1048" s="385" t="s">
        <v>20</v>
      </c>
      <c r="G1048" s="404" t="s">
        <v>7802</v>
      </c>
      <c r="H1048" s="404" t="s">
        <v>7804</v>
      </c>
      <c r="I1048" s="404" t="s">
        <v>23</v>
      </c>
      <c r="J1048" s="404" t="s">
        <v>7805</v>
      </c>
      <c r="K1048" s="404" t="s">
        <v>7806</v>
      </c>
    </row>
    <row r="1049" spans="1:11" ht="30">
      <c r="A1049" s="387"/>
      <c r="B1049" s="387"/>
      <c r="C1049" s="387"/>
      <c r="D1049" s="404" t="s">
        <v>7807</v>
      </c>
      <c r="E1049" s="404" t="s">
        <v>7808</v>
      </c>
      <c r="F1049" s="385" t="s">
        <v>20</v>
      </c>
      <c r="G1049" s="404" t="s">
        <v>7809</v>
      </c>
      <c r="H1049" s="404" t="s">
        <v>7810</v>
      </c>
      <c r="I1049" s="404" t="s">
        <v>23</v>
      </c>
      <c r="J1049" s="404" t="s">
        <v>7811</v>
      </c>
      <c r="K1049" s="404" t="s">
        <v>7812</v>
      </c>
    </row>
    <row r="1050" spans="1:11">
      <c r="A1050" s="387"/>
      <c r="B1050" s="387"/>
      <c r="C1050" s="387" t="s">
        <v>7813</v>
      </c>
      <c r="D1050" s="404" t="s">
        <v>7814</v>
      </c>
      <c r="E1050" s="404" t="s">
        <v>7815</v>
      </c>
      <c r="F1050" s="385" t="s">
        <v>20</v>
      </c>
      <c r="G1050" s="404" t="s">
        <v>7816</v>
      </c>
      <c r="H1050" s="404" t="s">
        <v>7817</v>
      </c>
      <c r="I1050" s="404" t="s">
        <v>23</v>
      </c>
      <c r="J1050" s="404" t="s">
        <v>7818</v>
      </c>
      <c r="K1050" s="404" t="s">
        <v>7819</v>
      </c>
    </row>
    <row r="1051" spans="1:11" ht="30">
      <c r="A1051" s="387"/>
      <c r="B1051" s="387"/>
      <c r="C1051" s="387"/>
      <c r="D1051" s="404" t="s">
        <v>7820</v>
      </c>
      <c r="E1051" s="404" t="s">
        <v>7821</v>
      </c>
      <c r="F1051" s="385" t="s">
        <v>20</v>
      </c>
      <c r="G1051" s="404" t="s">
        <v>7820</v>
      </c>
      <c r="H1051" s="404" t="s">
        <v>7822</v>
      </c>
      <c r="I1051" s="404" t="s">
        <v>23</v>
      </c>
      <c r="J1051" s="404" t="s">
        <v>7823</v>
      </c>
      <c r="K1051" s="404" t="s">
        <v>7824</v>
      </c>
    </row>
    <row r="1052" spans="1:11" ht="30">
      <c r="A1052" s="387"/>
      <c r="B1052" s="387"/>
      <c r="C1052" s="387"/>
      <c r="D1052" s="404" t="s">
        <v>7825</v>
      </c>
      <c r="E1052" s="404" t="s">
        <v>7826</v>
      </c>
      <c r="F1052" s="385" t="s">
        <v>20</v>
      </c>
      <c r="G1052" s="404" t="s">
        <v>7825</v>
      </c>
      <c r="H1052" s="404" t="s">
        <v>7827</v>
      </c>
      <c r="I1052" s="404" t="s">
        <v>23</v>
      </c>
      <c r="J1052" s="404" t="s">
        <v>7828</v>
      </c>
      <c r="K1052" s="404" t="s">
        <v>7829</v>
      </c>
    </row>
    <row r="1053" spans="1:11" ht="30">
      <c r="A1053" s="387"/>
      <c r="B1053" s="387"/>
      <c r="C1053" s="387"/>
      <c r="D1053" s="404" t="s">
        <v>7830</v>
      </c>
      <c r="E1053" s="404" t="s">
        <v>7831</v>
      </c>
      <c r="F1053" s="385" t="s">
        <v>20</v>
      </c>
      <c r="G1053" s="404" t="s">
        <v>7832</v>
      </c>
      <c r="H1053" s="404" t="s">
        <v>7833</v>
      </c>
      <c r="I1053" s="404" t="s">
        <v>23</v>
      </c>
      <c r="J1053" s="404" t="s">
        <v>7834</v>
      </c>
      <c r="K1053" s="404" t="s">
        <v>7835</v>
      </c>
    </row>
    <row r="1054" spans="1:11" ht="30">
      <c r="A1054" s="387"/>
      <c r="B1054" s="387"/>
      <c r="C1054" s="387"/>
      <c r="D1054" s="404" t="s">
        <v>7836</v>
      </c>
      <c r="E1054" s="404" t="s">
        <v>7837</v>
      </c>
      <c r="F1054" s="385" t="s">
        <v>229</v>
      </c>
      <c r="G1054" s="404" t="s">
        <v>7838</v>
      </c>
      <c r="H1054" s="404" t="s">
        <v>7839</v>
      </c>
      <c r="I1054" s="404" t="s">
        <v>23</v>
      </c>
      <c r="J1054" s="404" t="s">
        <v>7840</v>
      </c>
      <c r="K1054" s="404" t="s">
        <v>7841</v>
      </c>
    </row>
    <row r="1055" spans="1:11" ht="30">
      <c r="A1055" s="387"/>
      <c r="B1055" s="387"/>
      <c r="C1055" s="387" t="s">
        <v>7842</v>
      </c>
      <c r="D1055" s="404" t="s">
        <v>7843</v>
      </c>
      <c r="E1055" s="404" t="s">
        <v>7844</v>
      </c>
      <c r="F1055" s="385" t="s">
        <v>229</v>
      </c>
      <c r="G1055" s="404" t="s">
        <v>7843</v>
      </c>
      <c r="H1055" s="404" t="s">
        <v>7845</v>
      </c>
      <c r="I1055" s="404" t="s">
        <v>23</v>
      </c>
      <c r="J1055" s="404" t="s">
        <v>7846</v>
      </c>
      <c r="K1055" s="404" t="s">
        <v>7847</v>
      </c>
    </row>
    <row r="1056" spans="1:11" ht="30">
      <c r="A1056" s="387"/>
      <c r="B1056" s="387"/>
      <c r="C1056" s="387"/>
      <c r="D1056" s="404" t="s">
        <v>7848</v>
      </c>
      <c r="E1056" s="404" t="s">
        <v>7849</v>
      </c>
      <c r="F1056" s="385" t="s">
        <v>229</v>
      </c>
      <c r="G1056" s="404" t="s">
        <v>7850</v>
      </c>
      <c r="H1056" s="404" t="s">
        <v>7851</v>
      </c>
      <c r="I1056" s="404" t="s">
        <v>23</v>
      </c>
      <c r="J1056" s="404" t="s">
        <v>7852</v>
      </c>
      <c r="K1056" s="404" t="s">
        <v>7853</v>
      </c>
    </row>
    <row r="1057" spans="1:11" ht="30">
      <c r="A1057" s="387"/>
      <c r="B1057" s="387"/>
      <c r="C1057" s="387"/>
      <c r="D1057" s="404" t="s">
        <v>7854</v>
      </c>
      <c r="E1057" s="404" t="s">
        <v>7855</v>
      </c>
      <c r="F1057" s="385" t="s">
        <v>229</v>
      </c>
      <c r="G1057" s="404" t="s">
        <v>7856</v>
      </c>
      <c r="H1057" s="404" t="s">
        <v>7857</v>
      </c>
      <c r="I1057" s="404" t="s">
        <v>23</v>
      </c>
      <c r="J1057" s="404" t="s">
        <v>7858</v>
      </c>
      <c r="K1057" s="404" t="s">
        <v>7859</v>
      </c>
    </row>
    <row r="1058" spans="1:11" ht="30">
      <c r="A1058" s="387"/>
      <c r="B1058" s="387"/>
      <c r="C1058" s="387"/>
      <c r="D1058" s="404" t="s">
        <v>7860</v>
      </c>
      <c r="E1058" s="404" t="s">
        <v>7861</v>
      </c>
      <c r="F1058" s="385" t="s">
        <v>20</v>
      </c>
      <c r="G1058" s="404" t="s">
        <v>7862</v>
      </c>
      <c r="H1058" s="404" t="s">
        <v>7863</v>
      </c>
      <c r="I1058" s="404" t="s">
        <v>23</v>
      </c>
      <c r="J1058" s="404" t="s">
        <v>7864</v>
      </c>
      <c r="K1058" s="404" t="s">
        <v>7865</v>
      </c>
    </row>
    <row r="1059" spans="1:11" ht="30">
      <c r="A1059" s="387"/>
      <c r="B1059" s="387"/>
      <c r="C1059" s="387"/>
      <c r="D1059" s="404" t="s">
        <v>7866</v>
      </c>
      <c r="E1059" s="404" t="s">
        <v>7867</v>
      </c>
      <c r="F1059" s="385" t="s">
        <v>20</v>
      </c>
      <c r="G1059" s="404" t="s">
        <v>7868</v>
      </c>
      <c r="H1059" s="404" t="s">
        <v>7869</v>
      </c>
      <c r="I1059" s="404" t="s">
        <v>23</v>
      </c>
      <c r="J1059" s="404" t="s">
        <v>7870</v>
      </c>
      <c r="K1059" s="404" t="s">
        <v>7871</v>
      </c>
    </row>
    <row r="1060" spans="1:11">
      <c r="A1060" s="387"/>
      <c r="B1060" s="387"/>
      <c r="C1060" s="387" t="s">
        <v>7872</v>
      </c>
      <c r="D1060" s="404" t="s">
        <v>7873</v>
      </c>
      <c r="E1060" s="404" t="s">
        <v>7874</v>
      </c>
      <c r="F1060" s="385" t="s">
        <v>20</v>
      </c>
      <c r="G1060" s="404" t="s">
        <v>7875</v>
      </c>
      <c r="H1060" s="404" t="s">
        <v>7876</v>
      </c>
      <c r="I1060" s="404" t="s">
        <v>23</v>
      </c>
      <c r="J1060" s="404" t="s">
        <v>7877</v>
      </c>
      <c r="K1060" s="404" t="s">
        <v>7878</v>
      </c>
    </row>
    <row r="1061" spans="1:11" ht="30">
      <c r="A1061" s="387"/>
      <c r="B1061" s="387"/>
      <c r="C1061" s="387"/>
      <c r="D1061" s="404" t="s">
        <v>7879</v>
      </c>
      <c r="E1061" s="404" t="s">
        <v>7880</v>
      </c>
      <c r="F1061" s="385" t="s">
        <v>20</v>
      </c>
      <c r="G1061" s="404" t="s">
        <v>7881</v>
      </c>
      <c r="H1061" s="404" t="s">
        <v>7882</v>
      </c>
      <c r="I1061" s="404" t="s">
        <v>23</v>
      </c>
      <c r="J1061" s="404" t="s">
        <v>7883</v>
      </c>
      <c r="K1061" s="404" t="s">
        <v>7884</v>
      </c>
    </row>
    <row r="1062" spans="1:11">
      <c r="A1062" s="387"/>
      <c r="B1062" s="387"/>
      <c r="C1062" s="387"/>
      <c r="D1062" s="404" t="s">
        <v>7885</v>
      </c>
      <c r="E1062" s="404" t="s">
        <v>7886</v>
      </c>
      <c r="F1062" s="385" t="s">
        <v>425</v>
      </c>
      <c r="G1062" s="404" t="s">
        <v>7887</v>
      </c>
      <c r="H1062" s="404" t="s">
        <v>7888</v>
      </c>
      <c r="I1062" s="404" t="s">
        <v>23</v>
      </c>
      <c r="J1062" s="404" t="s">
        <v>7889</v>
      </c>
      <c r="K1062" s="404" t="s">
        <v>7890</v>
      </c>
    </row>
    <row r="1063" spans="1:11" ht="30">
      <c r="A1063" s="387"/>
      <c r="B1063" s="387"/>
      <c r="C1063" s="387"/>
      <c r="D1063" s="404" t="s">
        <v>7891</v>
      </c>
      <c r="E1063" s="404" t="s">
        <v>7892</v>
      </c>
      <c r="F1063" s="385" t="s">
        <v>425</v>
      </c>
      <c r="G1063" s="404" t="s">
        <v>7893</v>
      </c>
      <c r="H1063" s="404" t="s">
        <v>7894</v>
      </c>
      <c r="I1063" s="404" t="s">
        <v>23</v>
      </c>
      <c r="J1063" s="404" t="s">
        <v>7895</v>
      </c>
      <c r="K1063" s="404" t="s">
        <v>7896</v>
      </c>
    </row>
    <row r="1064" spans="1:11" ht="30">
      <c r="A1064" s="387"/>
      <c r="B1064" s="387"/>
      <c r="C1064" s="387"/>
      <c r="D1064" s="404" t="s">
        <v>7897</v>
      </c>
      <c r="E1064" s="404" t="s">
        <v>7898</v>
      </c>
      <c r="F1064" s="385" t="s">
        <v>20</v>
      </c>
      <c r="G1064" s="404" t="s">
        <v>7897</v>
      </c>
      <c r="H1064" s="404" t="s">
        <v>7899</v>
      </c>
      <c r="I1064" s="404" t="s">
        <v>23</v>
      </c>
      <c r="J1064" s="404" t="s">
        <v>7900</v>
      </c>
      <c r="K1064" s="404" t="s">
        <v>7901</v>
      </c>
    </row>
    <row r="1065" spans="1:11" ht="30">
      <c r="A1065" s="387"/>
      <c r="B1065" s="387" t="s">
        <v>7902</v>
      </c>
      <c r="C1065" s="387" t="s">
        <v>7903</v>
      </c>
      <c r="D1065" s="404" t="s">
        <v>7904</v>
      </c>
      <c r="E1065" s="404" t="s">
        <v>7905</v>
      </c>
      <c r="F1065" s="385" t="s">
        <v>20</v>
      </c>
      <c r="G1065" s="404" t="s">
        <v>7906</v>
      </c>
      <c r="H1065" s="404" t="s">
        <v>7907</v>
      </c>
      <c r="I1065" s="404" t="s">
        <v>23</v>
      </c>
      <c r="J1065" s="404" t="s">
        <v>7908</v>
      </c>
      <c r="K1065" s="404" t="s">
        <v>7909</v>
      </c>
    </row>
    <row r="1066" spans="1:11" ht="30">
      <c r="A1066" s="387"/>
      <c r="B1066" s="387"/>
      <c r="C1066" s="387"/>
      <c r="D1066" s="404" t="s">
        <v>7910</v>
      </c>
      <c r="E1066" s="404" t="s">
        <v>7911</v>
      </c>
      <c r="F1066" s="385" t="s">
        <v>20</v>
      </c>
      <c r="G1066" s="404" t="s">
        <v>7912</v>
      </c>
      <c r="H1066" s="404" t="s">
        <v>7913</v>
      </c>
      <c r="I1066" s="404" t="s">
        <v>23</v>
      </c>
      <c r="J1066" s="404" t="s">
        <v>7914</v>
      </c>
      <c r="K1066" s="404" t="s">
        <v>7915</v>
      </c>
    </row>
    <row r="1067" spans="1:11" ht="30">
      <c r="A1067" s="387"/>
      <c r="B1067" s="387"/>
      <c r="C1067" s="387"/>
      <c r="D1067" s="404" t="s">
        <v>7916</v>
      </c>
      <c r="E1067" s="404" t="s">
        <v>7917</v>
      </c>
      <c r="F1067" s="385" t="s">
        <v>229</v>
      </c>
      <c r="G1067" s="404" t="s">
        <v>7916</v>
      </c>
      <c r="H1067" s="404" t="s">
        <v>7918</v>
      </c>
      <c r="I1067" s="404" t="s">
        <v>23</v>
      </c>
      <c r="J1067" s="404" t="s">
        <v>7919</v>
      </c>
      <c r="K1067" s="404" t="s">
        <v>7920</v>
      </c>
    </row>
    <row r="1068" spans="1:11" ht="30">
      <c r="A1068" s="387"/>
      <c r="B1068" s="387"/>
      <c r="C1068" s="387"/>
      <c r="D1068" s="404" t="s">
        <v>7921</v>
      </c>
      <c r="E1068" s="404" t="s">
        <v>7922</v>
      </c>
      <c r="F1068" s="385" t="s">
        <v>229</v>
      </c>
      <c r="G1068" s="404" t="s">
        <v>7923</v>
      </c>
      <c r="H1068" s="404" t="s">
        <v>7924</v>
      </c>
      <c r="I1068" s="404" t="s">
        <v>23</v>
      </c>
      <c r="J1068" s="404" t="s">
        <v>7925</v>
      </c>
      <c r="K1068" s="404" t="s">
        <v>7926</v>
      </c>
    </row>
    <row r="1069" spans="1:11" ht="30">
      <c r="A1069" s="387"/>
      <c r="B1069" s="387"/>
      <c r="C1069" s="387"/>
      <c r="D1069" s="404" t="s">
        <v>7927</v>
      </c>
      <c r="E1069" s="404" t="s">
        <v>7928</v>
      </c>
      <c r="F1069" s="385" t="s">
        <v>229</v>
      </c>
      <c r="G1069" s="404" t="s">
        <v>7927</v>
      </c>
      <c r="H1069" s="404" t="s">
        <v>7929</v>
      </c>
      <c r="I1069" s="404" t="s">
        <v>23</v>
      </c>
      <c r="J1069" s="404" t="s">
        <v>7930</v>
      </c>
      <c r="K1069" s="404" t="s">
        <v>7931</v>
      </c>
    </row>
    <row r="1070" spans="1:11" ht="45">
      <c r="A1070" s="387"/>
      <c r="B1070" s="387"/>
      <c r="C1070" s="387" t="s">
        <v>7932</v>
      </c>
      <c r="D1070" s="404" t="s">
        <v>7933</v>
      </c>
      <c r="E1070" s="404" t="s">
        <v>7934</v>
      </c>
      <c r="F1070" s="385" t="s">
        <v>229</v>
      </c>
      <c r="G1070" s="404" t="s">
        <v>7935</v>
      </c>
      <c r="H1070" s="404" t="s">
        <v>7936</v>
      </c>
      <c r="I1070" s="404" t="s">
        <v>23</v>
      </c>
      <c r="J1070" s="404" t="s">
        <v>7937</v>
      </c>
      <c r="K1070" s="404" t="s">
        <v>7938</v>
      </c>
    </row>
    <row r="1071" spans="1:11" ht="30">
      <c r="A1071" s="387"/>
      <c r="B1071" s="387"/>
      <c r="C1071" s="387"/>
      <c r="D1071" s="404" t="s">
        <v>7939</v>
      </c>
      <c r="E1071" s="404" t="s">
        <v>7940</v>
      </c>
      <c r="F1071" s="385" t="s">
        <v>229</v>
      </c>
      <c r="G1071" s="404" t="s">
        <v>7941</v>
      </c>
      <c r="H1071" s="404" t="s">
        <v>7942</v>
      </c>
      <c r="I1071" s="404" t="s">
        <v>23</v>
      </c>
      <c r="J1071" s="404" t="s">
        <v>7943</v>
      </c>
      <c r="K1071" s="404" t="s">
        <v>7944</v>
      </c>
    </row>
    <row r="1072" spans="1:11" ht="45">
      <c r="A1072" s="387"/>
      <c r="B1072" s="387"/>
      <c r="C1072" s="387"/>
      <c r="D1072" s="404" t="s">
        <v>7945</v>
      </c>
      <c r="E1072" s="404" t="s">
        <v>7946</v>
      </c>
      <c r="F1072" s="385" t="s">
        <v>229</v>
      </c>
      <c r="G1072" s="404" t="s">
        <v>7947</v>
      </c>
      <c r="H1072" s="404" t="s">
        <v>7948</v>
      </c>
      <c r="I1072" s="404" t="s">
        <v>23</v>
      </c>
      <c r="J1072" s="404" t="s">
        <v>7949</v>
      </c>
      <c r="K1072" s="404" t="s">
        <v>7950</v>
      </c>
    </row>
    <row r="1073" spans="1:11" ht="45">
      <c r="A1073" s="387"/>
      <c r="B1073" s="387"/>
      <c r="C1073" s="387"/>
      <c r="D1073" s="404" t="s">
        <v>7951</v>
      </c>
      <c r="E1073" s="404" t="s">
        <v>7952</v>
      </c>
      <c r="F1073" s="385" t="s">
        <v>20</v>
      </c>
      <c r="G1073" s="404" t="s">
        <v>7953</v>
      </c>
      <c r="H1073" s="404" t="s">
        <v>7954</v>
      </c>
      <c r="I1073" s="404" t="s">
        <v>23</v>
      </c>
      <c r="J1073" s="404" t="s">
        <v>7955</v>
      </c>
      <c r="K1073" s="404" t="s">
        <v>7956</v>
      </c>
    </row>
    <row r="1074" spans="1:11" ht="45">
      <c r="A1074" s="387"/>
      <c r="B1074" s="387"/>
      <c r="C1074" s="387"/>
      <c r="D1074" s="404" t="s">
        <v>7957</v>
      </c>
      <c r="E1074" s="404" t="s">
        <v>7958</v>
      </c>
      <c r="F1074" s="385" t="s">
        <v>20</v>
      </c>
      <c r="G1074" s="404" t="s">
        <v>7959</v>
      </c>
      <c r="H1074" s="404" t="s">
        <v>7960</v>
      </c>
      <c r="I1074" s="404" t="s">
        <v>23</v>
      </c>
      <c r="J1074" s="404" t="s">
        <v>7961</v>
      </c>
      <c r="K1074" s="404" t="s">
        <v>7962</v>
      </c>
    </row>
    <row r="1075" spans="1:11" ht="45">
      <c r="A1075" s="387"/>
      <c r="B1075" s="387"/>
      <c r="C1075" s="387" t="s">
        <v>7963</v>
      </c>
      <c r="D1075" s="404" t="s">
        <v>7964</v>
      </c>
      <c r="E1075" s="404" t="s">
        <v>7965</v>
      </c>
      <c r="F1075" s="385" t="s">
        <v>20</v>
      </c>
      <c r="G1075" s="404" t="s">
        <v>7966</v>
      </c>
      <c r="H1075" s="404" t="s">
        <v>7967</v>
      </c>
      <c r="I1075" s="404" t="s">
        <v>23</v>
      </c>
      <c r="J1075" s="404" t="s">
        <v>7968</v>
      </c>
      <c r="K1075" s="404" t="s">
        <v>7969</v>
      </c>
    </row>
    <row r="1076" spans="1:11" ht="45">
      <c r="A1076" s="387"/>
      <c r="B1076" s="387"/>
      <c r="C1076" s="387"/>
      <c r="D1076" s="404" t="s">
        <v>7970</v>
      </c>
      <c r="E1076" s="404" t="s">
        <v>7971</v>
      </c>
      <c r="F1076" s="385" t="s">
        <v>425</v>
      </c>
      <c r="G1076" s="404" t="s">
        <v>7972</v>
      </c>
      <c r="H1076" s="404" t="s">
        <v>7973</v>
      </c>
      <c r="I1076" s="404" t="s">
        <v>23</v>
      </c>
      <c r="J1076" s="404" t="s">
        <v>7974</v>
      </c>
      <c r="K1076" s="404" t="s">
        <v>7975</v>
      </c>
    </row>
    <row r="1077" spans="1:11" ht="45">
      <c r="A1077" s="387"/>
      <c r="B1077" s="387"/>
      <c r="C1077" s="387"/>
      <c r="D1077" s="404" t="s">
        <v>7976</v>
      </c>
      <c r="E1077" s="404" t="s">
        <v>7977</v>
      </c>
      <c r="F1077" s="385" t="s">
        <v>425</v>
      </c>
      <c r="G1077" s="404" t="s">
        <v>7976</v>
      </c>
      <c r="H1077" s="404" t="s">
        <v>7978</v>
      </c>
      <c r="I1077" s="404" t="s">
        <v>23</v>
      </c>
      <c r="J1077" s="404" t="s">
        <v>7979</v>
      </c>
      <c r="K1077" s="404" t="s">
        <v>7980</v>
      </c>
    </row>
    <row r="1078" spans="1:11" ht="45">
      <c r="A1078" s="387"/>
      <c r="B1078" s="387"/>
      <c r="C1078" s="387"/>
      <c r="D1078" s="404" t="s">
        <v>7981</v>
      </c>
      <c r="E1078" s="404" t="s">
        <v>7982</v>
      </c>
      <c r="F1078" s="385" t="s">
        <v>425</v>
      </c>
      <c r="G1078" s="404" t="s">
        <v>7983</v>
      </c>
      <c r="H1078" s="404" t="s">
        <v>7984</v>
      </c>
      <c r="I1078" s="404" t="s">
        <v>2560</v>
      </c>
      <c r="J1078" s="404" t="s">
        <v>7985</v>
      </c>
      <c r="K1078" s="404" t="s">
        <v>7986</v>
      </c>
    </row>
    <row r="1079" spans="1:11" ht="45">
      <c r="A1079" s="387"/>
      <c r="B1079" s="387"/>
      <c r="C1079" s="387"/>
      <c r="D1079" s="404" t="s">
        <v>7987</v>
      </c>
      <c r="E1079" s="404" t="s">
        <v>7988</v>
      </c>
      <c r="F1079" s="385" t="s">
        <v>425</v>
      </c>
      <c r="G1079" s="404" t="s">
        <v>7987</v>
      </c>
      <c r="H1079" s="404" t="s">
        <v>7989</v>
      </c>
      <c r="I1079" s="404" t="s">
        <v>23</v>
      </c>
      <c r="J1079" s="404" t="s">
        <v>7990</v>
      </c>
      <c r="K1079" s="404" t="s">
        <v>7991</v>
      </c>
    </row>
    <row r="1080" spans="1:11" ht="30">
      <c r="A1080" s="387"/>
      <c r="B1080" s="387"/>
      <c r="C1080" s="387" t="s">
        <v>7992</v>
      </c>
      <c r="D1080" s="404" t="s">
        <v>7993</v>
      </c>
      <c r="E1080" s="404" t="s">
        <v>7994</v>
      </c>
      <c r="F1080" s="385" t="s">
        <v>20</v>
      </c>
      <c r="G1080" s="404" t="s">
        <v>7995</v>
      </c>
      <c r="H1080" s="404" t="s">
        <v>7996</v>
      </c>
      <c r="I1080" s="404" t="s">
        <v>23</v>
      </c>
      <c r="J1080" s="404" t="s">
        <v>7997</v>
      </c>
      <c r="K1080" s="404" t="s">
        <v>7998</v>
      </c>
    </row>
    <row r="1081" spans="1:11" ht="45">
      <c r="A1081" s="387"/>
      <c r="B1081" s="387"/>
      <c r="C1081" s="387"/>
      <c r="D1081" s="404" t="s">
        <v>7999</v>
      </c>
      <c r="E1081" s="404" t="s">
        <v>8000</v>
      </c>
      <c r="F1081" s="385" t="s">
        <v>20</v>
      </c>
      <c r="G1081" s="404" t="s">
        <v>8001</v>
      </c>
      <c r="H1081" s="404" t="s">
        <v>8002</v>
      </c>
      <c r="I1081" s="404" t="s">
        <v>23</v>
      </c>
      <c r="J1081" s="404" t="s">
        <v>8003</v>
      </c>
      <c r="K1081" s="404" t="s">
        <v>8004</v>
      </c>
    </row>
    <row r="1082" spans="1:11" ht="45">
      <c r="A1082" s="387"/>
      <c r="B1082" s="387"/>
      <c r="C1082" s="387"/>
      <c r="D1082" s="404" t="s">
        <v>8005</v>
      </c>
      <c r="E1082" s="404" t="s">
        <v>8006</v>
      </c>
      <c r="F1082" s="385" t="s">
        <v>20</v>
      </c>
      <c r="G1082" s="404" t="s">
        <v>8007</v>
      </c>
      <c r="H1082" s="404" t="s">
        <v>8008</v>
      </c>
      <c r="I1082" s="404" t="s">
        <v>23</v>
      </c>
      <c r="J1082" s="404" t="s">
        <v>8009</v>
      </c>
      <c r="K1082" s="404" t="s">
        <v>8010</v>
      </c>
    </row>
    <row r="1083" spans="1:11" ht="45">
      <c r="A1083" s="387"/>
      <c r="B1083" s="387"/>
      <c r="C1083" s="387"/>
      <c r="D1083" s="404" t="s">
        <v>8011</v>
      </c>
      <c r="E1083" s="404" t="s">
        <v>8012</v>
      </c>
      <c r="F1083" s="385" t="s">
        <v>20</v>
      </c>
      <c r="G1083" s="404" t="s">
        <v>8013</v>
      </c>
      <c r="H1083" s="404" t="s">
        <v>8014</v>
      </c>
      <c r="I1083" s="404" t="s">
        <v>23</v>
      </c>
      <c r="J1083" s="404" t="s">
        <v>8015</v>
      </c>
      <c r="K1083" s="404" t="s">
        <v>8016</v>
      </c>
    </row>
    <row r="1084" spans="1:11" ht="45">
      <c r="A1084" s="387"/>
      <c r="B1084" s="387"/>
      <c r="C1084" s="387"/>
      <c r="D1084" s="404" t="s">
        <v>8017</v>
      </c>
      <c r="E1084" s="404" t="s">
        <v>8018</v>
      </c>
      <c r="F1084" s="385" t="s">
        <v>229</v>
      </c>
      <c r="G1084" s="404" t="s">
        <v>8017</v>
      </c>
      <c r="H1084" s="404" t="s">
        <v>8019</v>
      </c>
      <c r="I1084" s="404" t="s">
        <v>23</v>
      </c>
      <c r="J1084" s="404" t="s">
        <v>8020</v>
      </c>
      <c r="K1084" s="404" t="s">
        <v>8021</v>
      </c>
    </row>
    <row r="1085" spans="1:11" ht="45">
      <c r="A1085" s="387"/>
      <c r="B1085" s="387"/>
      <c r="C1085" s="387" t="s">
        <v>8022</v>
      </c>
      <c r="D1085" s="404" t="s">
        <v>8023</v>
      </c>
      <c r="E1085" s="404" t="s">
        <v>8024</v>
      </c>
      <c r="F1085" s="385" t="s">
        <v>229</v>
      </c>
      <c r="G1085" s="404" t="s">
        <v>8025</v>
      </c>
      <c r="H1085" s="404" t="s">
        <v>8026</v>
      </c>
      <c r="I1085" s="404" t="s">
        <v>23</v>
      </c>
      <c r="J1085" s="404" t="s">
        <v>8027</v>
      </c>
      <c r="K1085" s="404" t="s">
        <v>8028</v>
      </c>
    </row>
    <row r="1086" spans="1:11" ht="45">
      <c r="A1086" s="387"/>
      <c r="B1086" s="387"/>
      <c r="C1086" s="387"/>
      <c r="D1086" s="404" t="s">
        <v>8029</v>
      </c>
      <c r="E1086" s="404" t="s">
        <v>8030</v>
      </c>
      <c r="F1086" s="385" t="s">
        <v>229</v>
      </c>
      <c r="G1086" s="404" t="s">
        <v>8031</v>
      </c>
      <c r="H1086" s="404" t="s">
        <v>8032</v>
      </c>
      <c r="I1086" s="404" t="s">
        <v>23</v>
      </c>
      <c r="J1086" s="404" t="s">
        <v>8033</v>
      </c>
      <c r="K1086" s="404" t="s">
        <v>8034</v>
      </c>
    </row>
    <row r="1087" spans="1:11" ht="45">
      <c r="A1087" s="387"/>
      <c r="B1087" s="387"/>
      <c r="C1087" s="387"/>
      <c r="D1087" s="404" t="s">
        <v>8035</v>
      </c>
      <c r="E1087" s="404" t="s">
        <v>8036</v>
      </c>
      <c r="F1087" s="385" t="s">
        <v>229</v>
      </c>
      <c r="G1087" s="404" t="s">
        <v>8037</v>
      </c>
      <c r="H1087" s="404" t="s">
        <v>8038</v>
      </c>
      <c r="I1087" s="404" t="s">
        <v>23</v>
      </c>
      <c r="J1087" s="404" t="s">
        <v>8039</v>
      </c>
      <c r="K1087" s="404" t="s">
        <v>8040</v>
      </c>
    </row>
    <row r="1088" spans="1:11" ht="30">
      <c r="A1088" s="387"/>
      <c r="B1088" s="387"/>
      <c r="C1088" s="387"/>
      <c r="D1088" s="404" t="s">
        <v>8041</v>
      </c>
      <c r="E1088" s="404" t="s">
        <v>8042</v>
      </c>
      <c r="F1088" s="385" t="s">
        <v>229</v>
      </c>
      <c r="G1088" s="404" t="s">
        <v>8041</v>
      </c>
      <c r="H1088" s="404" t="s">
        <v>8043</v>
      </c>
      <c r="I1088" s="404" t="s">
        <v>94</v>
      </c>
      <c r="J1088" s="404" t="s">
        <v>8044</v>
      </c>
      <c r="K1088" s="404" t="s">
        <v>8045</v>
      </c>
    </row>
    <row r="1089" spans="1:11" ht="45">
      <c r="A1089" s="387"/>
      <c r="B1089" s="387"/>
      <c r="C1089" s="387"/>
      <c r="D1089" s="404" t="s">
        <v>8046</v>
      </c>
      <c r="E1089" s="404" t="s">
        <v>8047</v>
      </c>
      <c r="F1089" s="385" t="s">
        <v>229</v>
      </c>
      <c r="G1089" s="404" t="s">
        <v>8048</v>
      </c>
      <c r="H1089" s="404" t="s">
        <v>8049</v>
      </c>
      <c r="I1089" s="404" t="s">
        <v>94</v>
      </c>
      <c r="J1089" s="404" t="s">
        <v>8050</v>
      </c>
      <c r="K1089" s="404"/>
    </row>
    <row r="1090" spans="1:11">
      <c r="A1090" s="387" t="s">
        <v>8947</v>
      </c>
      <c r="B1090" s="387" t="s">
        <v>8059</v>
      </c>
      <c r="C1090" s="387" t="s">
        <v>8060</v>
      </c>
      <c r="D1090" s="387" t="s">
        <v>8061</v>
      </c>
      <c r="E1090" s="404" t="s">
        <v>8062</v>
      </c>
      <c r="F1090" s="385" t="s">
        <v>229</v>
      </c>
      <c r="G1090" s="404" t="s">
        <v>8063</v>
      </c>
      <c r="H1090" s="404" t="s">
        <v>8064</v>
      </c>
      <c r="I1090" s="404" t="s">
        <v>23</v>
      </c>
      <c r="J1090" s="404" t="s">
        <v>8065</v>
      </c>
      <c r="K1090" s="404" t="s">
        <v>8066</v>
      </c>
    </row>
    <row r="1091" spans="1:11">
      <c r="A1091" s="387"/>
      <c r="B1091" s="387"/>
      <c r="C1091" s="387"/>
      <c r="D1091" s="387" t="s">
        <v>8067</v>
      </c>
      <c r="E1091" s="404" t="s">
        <v>8068</v>
      </c>
      <c r="F1091" s="385" t="s">
        <v>20</v>
      </c>
      <c r="G1091" s="404" t="s">
        <v>8069</v>
      </c>
      <c r="H1091" s="404" t="s">
        <v>8070</v>
      </c>
      <c r="I1091" s="404" t="s">
        <v>94</v>
      </c>
      <c r="J1091" s="404" t="s">
        <v>8071</v>
      </c>
      <c r="K1091" s="404" t="s">
        <v>8072</v>
      </c>
    </row>
    <row r="1092" spans="1:11">
      <c r="A1092" s="387"/>
      <c r="B1092" s="387"/>
      <c r="C1092" s="387"/>
      <c r="D1092" s="387" t="s">
        <v>8073</v>
      </c>
      <c r="E1092" s="404" t="s">
        <v>8074</v>
      </c>
      <c r="F1092" s="385" t="s">
        <v>20</v>
      </c>
      <c r="G1092" s="404" t="s">
        <v>8075</v>
      </c>
      <c r="H1092" s="404" t="s">
        <v>8076</v>
      </c>
      <c r="I1092" s="404" t="s">
        <v>94</v>
      </c>
      <c r="J1092" s="404" t="s">
        <v>8077</v>
      </c>
      <c r="K1092" s="404" t="s">
        <v>8078</v>
      </c>
    </row>
    <row r="1093" spans="1:11">
      <c r="A1093" s="387"/>
      <c r="B1093" s="387"/>
      <c r="C1093" s="387"/>
      <c r="D1093" s="387" t="s">
        <v>8079</v>
      </c>
      <c r="E1093" s="404" t="s">
        <v>8080</v>
      </c>
      <c r="F1093" s="385" t="s">
        <v>20</v>
      </c>
      <c r="G1093" s="404" t="s">
        <v>8081</v>
      </c>
      <c r="H1093" s="404" t="s">
        <v>8082</v>
      </c>
      <c r="I1093" s="404" t="s">
        <v>23</v>
      </c>
      <c r="J1093" s="404" t="s">
        <v>8083</v>
      </c>
      <c r="K1093" s="404" t="s">
        <v>8084</v>
      </c>
    </row>
    <row r="1094" spans="1:11">
      <c r="A1094" s="387"/>
      <c r="B1094" s="387"/>
      <c r="C1094" s="387"/>
      <c r="D1094" s="387" t="s">
        <v>8085</v>
      </c>
      <c r="E1094" s="404" t="s">
        <v>8086</v>
      </c>
      <c r="F1094" s="385" t="s">
        <v>229</v>
      </c>
      <c r="G1094" s="404" t="s">
        <v>8087</v>
      </c>
      <c r="H1094" s="404" t="s">
        <v>8088</v>
      </c>
      <c r="I1094" s="404" t="s">
        <v>94</v>
      </c>
      <c r="J1094" s="404" t="s">
        <v>8089</v>
      </c>
      <c r="K1094" s="404" t="s">
        <v>8090</v>
      </c>
    </row>
    <row r="1095" spans="1:11">
      <c r="A1095" s="387"/>
      <c r="B1095" s="387"/>
      <c r="C1095" s="387" t="s">
        <v>8091</v>
      </c>
      <c r="D1095" s="387" t="s">
        <v>8092</v>
      </c>
      <c r="E1095" s="404" t="s">
        <v>8093</v>
      </c>
      <c r="F1095" s="385" t="s">
        <v>229</v>
      </c>
      <c r="G1095" s="404" t="s">
        <v>8094</v>
      </c>
      <c r="H1095" s="404" t="s">
        <v>8095</v>
      </c>
      <c r="I1095" s="404" t="s">
        <v>23</v>
      </c>
      <c r="J1095" s="404" t="s">
        <v>8096</v>
      </c>
      <c r="K1095" s="404" t="s">
        <v>8097</v>
      </c>
    </row>
    <row r="1096" spans="1:11">
      <c r="A1096" s="387"/>
      <c r="B1096" s="387"/>
      <c r="C1096" s="387"/>
      <c r="D1096" s="387" t="s">
        <v>8098</v>
      </c>
      <c r="E1096" s="404" t="s">
        <v>8099</v>
      </c>
      <c r="F1096" s="385" t="s">
        <v>229</v>
      </c>
      <c r="G1096" s="404" t="s">
        <v>8100</v>
      </c>
      <c r="H1096" s="404" t="s">
        <v>8101</v>
      </c>
      <c r="I1096" s="404" t="s">
        <v>94</v>
      </c>
      <c r="J1096" s="404" t="s">
        <v>8102</v>
      </c>
      <c r="K1096" s="404" t="s">
        <v>8103</v>
      </c>
    </row>
    <row r="1097" spans="1:11">
      <c r="A1097" s="387"/>
      <c r="B1097" s="387"/>
      <c r="C1097" s="387"/>
      <c r="D1097" s="387" t="s">
        <v>8104</v>
      </c>
      <c r="E1097" s="404" t="s">
        <v>8105</v>
      </c>
      <c r="F1097" s="385" t="s">
        <v>229</v>
      </c>
      <c r="G1097" s="404" t="s">
        <v>8106</v>
      </c>
      <c r="H1097" s="404" t="s">
        <v>8107</v>
      </c>
      <c r="I1097" s="404" t="s">
        <v>94</v>
      </c>
      <c r="J1097" s="404" t="s">
        <v>8108</v>
      </c>
      <c r="K1097" s="404" t="s">
        <v>8109</v>
      </c>
    </row>
    <row r="1098" spans="1:11">
      <c r="A1098" s="387"/>
      <c r="B1098" s="387"/>
      <c r="C1098" s="387"/>
      <c r="D1098" s="387" t="s">
        <v>8110</v>
      </c>
      <c r="E1098" s="404" t="s">
        <v>8111</v>
      </c>
      <c r="F1098" s="385" t="s">
        <v>425</v>
      </c>
      <c r="G1098" s="404" t="s">
        <v>8112</v>
      </c>
      <c r="H1098" s="404" t="s">
        <v>8113</v>
      </c>
      <c r="I1098" s="404" t="s">
        <v>23</v>
      </c>
      <c r="J1098" s="404" t="s">
        <v>8114</v>
      </c>
      <c r="K1098" s="404" t="s">
        <v>8115</v>
      </c>
    </row>
    <row r="1099" spans="1:11">
      <c r="A1099" s="387"/>
      <c r="B1099" s="387"/>
      <c r="C1099" s="387"/>
      <c r="D1099" s="387" t="s">
        <v>8116</v>
      </c>
      <c r="E1099" s="404" t="s">
        <v>8117</v>
      </c>
      <c r="F1099" s="385" t="s">
        <v>229</v>
      </c>
      <c r="G1099" s="404" t="s">
        <v>8118</v>
      </c>
      <c r="H1099" s="404" t="s">
        <v>8119</v>
      </c>
      <c r="I1099" s="404" t="s">
        <v>94</v>
      </c>
      <c r="J1099" s="404" t="s">
        <v>2891</v>
      </c>
      <c r="K1099" s="404" t="s">
        <v>8120</v>
      </c>
    </row>
    <row r="1100" spans="1:11">
      <c r="A1100" s="387"/>
      <c r="B1100" s="387"/>
      <c r="C1100" s="387" t="s">
        <v>8121</v>
      </c>
      <c r="D1100" s="387" t="s">
        <v>8122</v>
      </c>
      <c r="E1100" s="404" t="s">
        <v>8123</v>
      </c>
      <c r="F1100" s="385" t="s">
        <v>229</v>
      </c>
      <c r="G1100" s="404" t="s">
        <v>8124</v>
      </c>
      <c r="H1100" s="404" t="s">
        <v>8125</v>
      </c>
      <c r="I1100" s="404" t="s">
        <v>94</v>
      </c>
      <c r="J1100" s="404" t="s">
        <v>8126</v>
      </c>
      <c r="K1100" s="404" t="s">
        <v>8127</v>
      </c>
    </row>
    <row r="1101" spans="1:11">
      <c r="A1101" s="387"/>
      <c r="B1101" s="387"/>
      <c r="C1101" s="387"/>
      <c r="D1101" s="387" t="s">
        <v>8128</v>
      </c>
      <c r="E1101" s="404" t="s">
        <v>8129</v>
      </c>
      <c r="F1101" s="385" t="s">
        <v>229</v>
      </c>
      <c r="G1101" s="404" t="s">
        <v>8130</v>
      </c>
      <c r="H1101" s="404" t="s">
        <v>8131</v>
      </c>
      <c r="I1101" s="404" t="s">
        <v>94</v>
      </c>
      <c r="J1101" s="404" t="s">
        <v>8132</v>
      </c>
      <c r="K1101" s="404" t="s">
        <v>8133</v>
      </c>
    </row>
    <row r="1102" spans="1:11">
      <c r="A1102" s="387"/>
      <c r="B1102" s="387"/>
      <c r="C1102" s="387"/>
      <c r="D1102" s="387" t="s">
        <v>8134</v>
      </c>
      <c r="E1102" s="404" t="s">
        <v>8135</v>
      </c>
      <c r="F1102" s="385" t="s">
        <v>229</v>
      </c>
      <c r="G1102" s="404" t="s">
        <v>8136</v>
      </c>
      <c r="H1102" s="404" t="s">
        <v>8137</v>
      </c>
      <c r="I1102" s="404" t="s">
        <v>23</v>
      </c>
      <c r="J1102" s="404" t="s">
        <v>8138</v>
      </c>
      <c r="K1102" s="404" t="s">
        <v>8139</v>
      </c>
    </row>
    <row r="1103" spans="1:11">
      <c r="A1103" s="387"/>
      <c r="B1103" s="387"/>
      <c r="C1103" s="387"/>
      <c r="D1103" s="387" t="s">
        <v>8140</v>
      </c>
      <c r="E1103" s="404" t="s">
        <v>8141</v>
      </c>
      <c r="F1103" s="385" t="s">
        <v>20</v>
      </c>
      <c r="G1103" s="404" t="s">
        <v>8142</v>
      </c>
      <c r="H1103" s="404" t="s">
        <v>8143</v>
      </c>
      <c r="I1103" s="404" t="s">
        <v>23</v>
      </c>
      <c r="J1103" s="404" t="s">
        <v>8144</v>
      </c>
      <c r="K1103" s="404" t="s">
        <v>8145</v>
      </c>
    </row>
    <row r="1104" spans="1:11">
      <c r="A1104" s="387"/>
      <c r="B1104" s="387"/>
      <c r="C1104" s="387"/>
      <c r="D1104" s="387" t="s">
        <v>8146</v>
      </c>
      <c r="E1104" s="404" t="s">
        <v>8147</v>
      </c>
      <c r="F1104" s="385" t="s">
        <v>20</v>
      </c>
      <c r="G1104" s="404" t="s">
        <v>8148</v>
      </c>
      <c r="H1104" s="404" t="s">
        <v>3298</v>
      </c>
      <c r="I1104" s="404" t="s">
        <v>94</v>
      </c>
      <c r="J1104" s="404" t="s">
        <v>8149</v>
      </c>
      <c r="K1104" s="404" t="s">
        <v>8150</v>
      </c>
    </row>
    <row r="1105" spans="1:11">
      <c r="A1105" s="387"/>
      <c r="B1105" s="387"/>
      <c r="C1105" s="387" t="s">
        <v>8151</v>
      </c>
      <c r="D1105" s="387" t="s">
        <v>8152</v>
      </c>
      <c r="E1105" s="404" t="s">
        <v>8153</v>
      </c>
      <c r="F1105" s="385" t="s">
        <v>20</v>
      </c>
      <c r="G1105" s="404" t="s">
        <v>8154</v>
      </c>
      <c r="H1105" s="404" t="s">
        <v>8155</v>
      </c>
      <c r="I1105" s="404" t="s">
        <v>94</v>
      </c>
      <c r="J1105" s="404" t="s">
        <v>8156</v>
      </c>
      <c r="K1105" s="404" t="s">
        <v>8157</v>
      </c>
    </row>
    <row r="1106" spans="1:11">
      <c r="A1106" s="387"/>
      <c r="B1106" s="387"/>
      <c r="C1106" s="387"/>
      <c r="D1106" s="387" t="s">
        <v>8158</v>
      </c>
      <c r="E1106" s="404" t="s">
        <v>8159</v>
      </c>
      <c r="F1106" s="385" t="s">
        <v>425</v>
      </c>
      <c r="G1106" s="404" t="s">
        <v>8160</v>
      </c>
      <c r="H1106" s="404" t="s">
        <v>8161</v>
      </c>
      <c r="I1106" s="404" t="s">
        <v>23</v>
      </c>
      <c r="J1106" s="404" t="s">
        <v>8162</v>
      </c>
      <c r="K1106" s="404" t="s">
        <v>8163</v>
      </c>
    </row>
    <row r="1107" spans="1:11">
      <c r="A1107" s="387"/>
      <c r="B1107" s="387"/>
      <c r="C1107" s="387"/>
      <c r="D1107" s="387" t="s">
        <v>8164</v>
      </c>
      <c r="E1107" s="404" t="s">
        <v>8165</v>
      </c>
      <c r="F1107" s="385" t="s">
        <v>20</v>
      </c>
      <c r="G1107" s="404" t="s">
        <v>8166</v>
      </c>
      <c r="H1107" s="404" t="s">
        <v>8167</v>
      </c>
      <c r="I1107" s="404" t="s">
        <v>23</v>
      </c>
      <c r="J1107" s="404" t="s">
        <v>2657</v>
      </c>
      <c r="K1107" s="404" t="s">
        <v>8168</v>
      </c>
    </row>
    <row r="1108" spans="1:11">
      <c r="A1108" s="387"/>
      <c r="B1108" s="387"/>
      <c r="C1108" s="387"/>
      <c r="D1108" s="387" t="s">
        <v>8169</v>
      </c>
      <c r="E1108" s="404" t="s">
        <v>8170</v>
      </c>
      <c r="F1108" s="385" t="s">
        <v>229</v>
      </c>
      <c r="G1108" s="404" t="s">
        <v>8171</v>
      </c>
      <c r="H1108" s="404" t="s">
        <v>8172</v>
      </c>
      <c r="I1108" s="404" t="s">
        <v>94</v>
      </c>
      <c r="J1108" s="404" t="s">
        <v>8173</v>
      </c>
      <c r="K1108" s="404" t="s">
        <v>8174</v>
      </c>
    </row>
    <row r="1109" spans="1:11">
      <c r="A1109" s="387"/>
      <c r="B1109" s="387"/>
      <c r="C1109" s="387"/>
      <c r="D1109" s="387" t="s">
        <v>8175</v>
      </c>
      <c r="E1109" s="404" t="s">
        <v>8176</v>
      </c>
      <c r="F1109" s="385" t="s">
        <v>425</v>
      </c>
      <c r="G1109" s="404" t="s">
        <v>8177</v>
      </c>
      <c r="H1109" s="404" t="s">
        <v>8178</v>
      </c>
      <c r="I1109" s="404" t="s">
        <v>23</v>
      </c>
      <c r="J1109" s="404" t="s">
        <v>8179</v>
      </c>
      <c r="K1109" s="404" t="s">
        <v>8180</v>
      </c>
    </row>
    <row r="1110" spans="1:11">
      <c r="A1110" s="387"/>
      <c r="B1110" s="387"/>
      <c r="C1110" s="387" t="s">
        <v>8181</v>
      </c>
      <c r="D1110" s="387" t="s">
        <v>8182</v>
      </c>
      <c r="E1110" s="404" t="s">
        <v>8183</v>
      </c>
      <c r="F1110" s="385" t="s">
        <v>229</v>
      </c>
      <c r="G1110" s="404" t="s">
        <v>8184</v>
      </c>
      <c r="H1110" s="404" t="s">
        <v>8185</v>
      </c>
      <c r="I1110" s="404" t="s">
        <v>23</v>
      </c>
      <c r="J1110" s="404" t="s">
        <v>8186</v>
      </c>
      <c r="K1110" s="404" t="s">
        <v>8187</v>
      </c>
    </row>
    <row r="1111" spans="1:11">
      <c r="A1111" s="387"/>
      <c r="B1111" s="387"/>
      <c r="C1111" s="387"/>
      <c r="D1111" s="387" t="s">
        <v>8188</v>
      </c>
      <c r="E1111" s="404" t="s">
        <v>8189</v>
      </c>
      <c r="F1111" s="385" t="s">
        <v>229</v>
      </c>
      <c r="G1111" s="404" t="s">
        <v>8190</v>
      </c>
      <c r="H1111" s="404" t="s">
        <v>8191</v>
      </c>
      <c r="I1111" s="404" t="s">
        <v>23</v>
      </c>
      <c r="J1111" s="404" t="s">
        <v>8192</v>
      </c>
      <c r="K1111" s="404" t="s">
        <v>8193</v>
      </c>
    </row>
    <row r="1112" spans="1:11">
      <c r="A1112" s="387"/>
      <c r="B1112" s="387"/>
      <c r="C1112" s="387"/>
      <c r="D1112" s="387" t="s">
        <v>8194</v>
      </c>
      <c r="E1112" s="404" t="s">
        <v>8195</v>
      </c>
      <c r="F1112" s="385" t="s">
        <v>229</v>
      </c>
      <c r="G1112" s="404" t="s">
        <v>8196</v>
      </c>
      <c r="H1112" s="404" t="s">
        <v>8197</v>
      </c>
      <c r="I1112" s="404" t="s">
        <v>23</v>
      </c>
      <c r="J1112" s="404" t="s">
        <v>8198</v>
      </c>
      <c r="K1112" s="404" t="s">
        <v>8199</v>
      </c>
    </row>
    <row r="1113" spans="1:11">
      <c r="A1113" s="387"/>
      <c r="B1113" s="387"/>
      <c r="C1113" s="387"/>
      <c r="D1113" s="387" t="s">
        <v>8200</v>
      </c>
      <c r="E1113" s="404" t="s">
        <v>8201</v>
      </c>
      <c r="F1113" s="385" t="s">
        <v>20</v>
      </c>
      <c r="G1113" s="404" t="s">
        <v>3432</v>
      </c>
      <c r="H1113" s="404" t="s">
        <v>8202</v>
      </c>
      <c r="I1113" s="404" t="s">
        <v>94</v>
      </c>
      <c r="J1113" s="404" t="s">
        <v>8203</v>
      </c>
      <c r="K1113" s="404" t="s">
        <v>8204</v>
      </c>
    </row>
    <row r="1114" spans="1:11">
      <c r="A1114" s="387"/>
      <c r="B1114" s="387"/>
      <c r="C1114" s="387"/>
      <c r="D1114" s="387" t="s">
        <v>8205</v>
      </c>
      <c r="E1114" s="404" t="s">
        <v>8206</v>
      </c>
      <c r="F1114" s="385" t="s">
        <v>20</v>
      </c>
      <c r="G1114" s="404" t="s">
        <v>8207</v>
      </c>
      <c r="H1114" s="404" t="s">
        <v>8208</v>
      </c>
      <c r="I1114" s="404" t="s">
        <v>23</v>
      </c>
      <c r="J1114" s="404" t="s">
        <v>8209</v>
      </c>
      <c r="K1114" s="404" t="s">
        <v>8210</v>
      </c>
    </row>
    <row r="1115" spans="1:11">
      <c r="A1115" s="387"/>
      <c r="B1115" s="387"/>
      <c r="C1115" s="387" t="s">
        <v>8211</v>
      </c>
      <c r="D1115" s="387" t="s">
        <v>8212</v>
      </c>
      <c r="E1115" s="404" t="s">
        <v>8213</v>
      </c>
      <c r="F1115" s="385" t="s">
        <v>20</v>
      </c>
      <c r="G1115" s="404" t="s">
        <v>8214</v>
      </c>
      <c r="H1115" s="404" t="s">
        <v>8215</v>
      </c>
      <c r="I1115" s="404" t="s">
        <v>94</v>
      </c>
      <c r="J1115" s="404" t="s">
        <v>8216</v>
      </c>
      <c r="K1115" s="404" t="s">
        <v>8217</v>
      </c>
    </row>
    <row r="1116" spans="1:11">
      <c r="A1116" s="387"/>
      <c r="B1116" s="387"/>
      <c r="C1116" s="387"/>
      <c r="D1116" s="387" t="s">
        <v>8218</v>
      </c>
      <c r="E1116" s="404" t="s">
        <v>8219</v>
      </c>
      <c r="F1116" s="385" t="s">
        <v>20</v>
      </c>
      <c r="G1116" s="404" t="s">
        <v>8220</v>
      </c>
      <c r="H1116" s="404" t="s">
        <v>8221</v>
      </c>
      <c r="I1116" s="404" t="s">
        <v>94</v>
      </c>
      <c r="J1116" s="404" t="s">
        <v>8222</v>
      </c>
      <c r="K1116" s="404" t="s">
        <v>8223</v>
      </c>
    </row>
    <row r="1117" spans="1:11">
      <c r="A1117" s="387"/>
      <c r="B1117" s="387"/>
      <c r="C1117" s="387"/>
      <c r="D1117" s="387" t="s">
        <v>8224</v>
      </c>
      <c r="E1117" s="404" t="s">
        <v>8225</v>
      </c>
      <c r="F1117" s="385" t="s">
        <v>20</v>
      </c>
      <c r="G1117" s="404" t="s">
        <v>8226</v>
      </c>
      <c r="H1117" s="404" t="s">
        <v>8227</v>
      </c>
      <c r="I1117" s="404" t="s">
        <v>23</v>
      </c>
      <c r="J1117" s="404" t="s">
        <v>8228</v>
      </c>
      <c r="K1117" s="404" t="s">
        <v>8229</v>
      </c>
    </row>
    <row r="1118" spans="1:11">
      <c r="A1118" s="387"/>
      <c r="B1118" s="387"/>
      <c r="C1118" s="387"/>
      <c r="D1118" s="387" t="s">
        <v>8230</v>
      </c>
      <c r="E1118" s="404" t="s">
        <v>8231</v>
      </c>
      <c r="F1118" s="385" t="s">
        <v>229</v>
      </c>
      <c r="G1118" s="404" t="s">
        <v>8232</v>
      </c>
      <c r="H1118" s="404" t="s">
        <v>8233</v>
      </c>
      <c r="I1118" s="404" t="s">
        <v>94</v>
      </c>
      <c r="J1118" s="404" t="s">
        <v>3934</v>
      </c>
      <c r="K1118" s="404" t="s">
        <v>8234</v>
      </c>
    </row>
    <row r="1119" spans="1:11">
      <c r="A1119" s="387"/>
      <c r="B1119" s="387"/>
      <c r="C1119" s="387"/>
      <c r="D1119" s="387" t="s">
        <v>8235</v>
      </c>
      <c r="E1119" s="404" t="s">
        <v>8236</v>
      </c>
      <c r="F1119" s="385" t="s">
        <v>229</v>
      </c>
      <c r="G1119" s="404" t="s">
        <v>8237</v>
      </c>
      <c r="H1119" s="404" t="s">
        <v>3559</v>
      </c>
      <c r="I1119" s="404" t="s">
        <v>94</v>
      </c>
      <c r="J1119" s="404" t="s">
        <v>8238</v>
      </c>
      <c r="K1119" s="404" t="s">
        <v>8239</v>
      </c>
    </row>
    <row r="1120" spans="1:11">
      <c r="A1120" s="387"/>
      <c r="B1120" s="387"/>
      <c r="C1120" s="387" t="s">
        <v>8240</v>
      </c>
      <c r="D1120" s="387" t="s">
        <v>8241</v>
      </c>
      <c r="E1120" s="404" t="s">
        <v>8242</v>
      </c>
      <c r="F1120" s="385" t="s">
        <v>229</v>
      </c>
      <c r="G1120" s="404" t="s">
        <v>8243</v>
      </c>
      <c r="H1120" s="404" t="s">
        <v>8244</v>
      </c>
      <c r="I1120" s="404" t="s">
        <v>94</v>
      </c>
      <c r="J1120" s="404" t="s">
        <v>8071</v>
      </c>
      <c r="K1120" s="404" t="s">
        <v>8245</v>
      </c>
    </row>
    <row r="1121" spans="1:11">
      <c r="A1121" s="387"/>
      <c r="B1121" s="387"/>
      <c r="C1121" s="387"/>
      <c r="D1121" s="387" t="s">
        <v>8246</v>
      </c>
      <c r="E1121" s="404" t="s">
        <v>8247</v>
      </c>
      <c r="F1121" s="385" t="s">
        <v>229</v>
      </c>
      <c r="G1121" s="404" t="s">
        <v>8248</v>
      </c>
      <c r="H1121" s="404" t="s">
        <v>8249</v>
      </c>
      <c r="I1121" s="404" t="s">
        <v>23</v>
      </c>
      <c r="J1121" s="404" t="s">
        <v>3089</v>
      </c>
      <c r="K1121" s="404" t="s">
        <v>8250</v>
      </c>
    </row>
    <row r="1122" spans="1:11">
      <c r="A1122" s="387"/>
      <c r="B1122" s="387"/>
      <c r="C1122" s="387"/>
      <c r="D1122" s="387" t="s">
        <v>8251</v>
      </c>
      <c r="E1122" s="404" t="s">
        <v>8252</v>
      </c>
      <c r="F1122" s="385" t="s">
        <v>425</v>
      </c>
      <c r="G1122" s="404" t="s">
        <v>8253</v>
      </c>
      <c r="H1122" s="404" t="s">
        <v>8254</v>
      </c>
      <c r="I1122" s="404" t="s">
        <v>23</v>
      </c>
      <c r="J1122" s="404" t="s">
        <v>8255</v>
      </c>
      <c r="K1122" s="404" t="s">
        <v>8256</v>
      </c>
    </row>
    <row r="1123" spans="1:11">
      <c r="A1123" s="387"/>
      <c r="B1123" s="387"/>
      <c r="C1123" s="387"/>
      <c r="D1123" s="387" t="s">
        <v>8257</v>
      </c>
      <c r="E1123" s="404" t="s">
        <v>8258</v>
      </c>
      <c r="F1123" s="385" t="s">
        <v>229</v>
      </c>
      <c r="G1123" s="404" t="s">
        <v>8259</v>
      </c>
      <c r="H1123" s="404" t="s">
        <v>8260</v>
      </c>
      <c r="I1123" s="404" t="s">
        <v>94</v>
      </c>
      <c r="J1123" s="404" t="s">
        <v>8261</v>
      </c>
      <c r="K1123" s="404" t="s">
        <v>8262</v>
      </c>
    </row>
    <row r="1124" spans="1:11">
      <c r="A1124" s="387"/>
      <c r="B1124" s="387"/>
      <c r="C1124" s="387"/>
      <c r="D1124" s="387" t="s">
        <v>8263</v>
      </c>
      <c r="E1124" s="404" t="s">
        <v>8264</v>
      </c>
      <c r="F1124" s="385" t="s">
        <v>229</v>
      </c>
      <c r="G1124" s="404" t="s">
        <v>8265</v>
      </c>
      <c r="H1124" s="404" t="s">
        <v>8266</v>
      </c>
      <c r="I1124" s="404" t="s">
        <v>94</v>
      </c>
      <c r="J1124" s="404" t="s">
        <v>8267</v>
      </c>
      <c r="K1124" s="404" t="s">
        <v>8268</v>
      </c>
    </row>
    <row r="1125" spans="1:11">
      <c r="A1125" s="387"/>
      <c r="B1125" s="387"/>
      <c r="C1125" s="387" t="s">
        <v>8269</v>
      </c>
      <c r="D1125" s="387" t="s">
        <v>8270</v>
      </c>
      <c r="E1125" s="404" t="s">
        <v>8271</v>
      </c>
      <c r="F1125" s="385" t="s">
        <v>229</v>
      </c>
      <c r="G1125" s="404" t="s">
        <v>8272</v>
      </c>
      <c r="H1125" s="404" t="s">
        <v>8273</v>
      </c>
      <c r="I1125" s="404" t="s">
        <v>23</v>
      </c>
      <c r="J1125" s="404" t="s">
        <v>8274</v>
      </c>
      <c r="K1125" s="404" t="s">
        <v>8275</v>
      </c>
    </row>
    <row r="1126" spans="1:11">
      <c r="A1126" s="387"/>
      <c r="B1126" s="387"/>
      <c r="C1126" s="387"/>
      <c r="D1126" s="387" t="s">
        <v>8276</v>
      </c>
      <c r="E1126" s="404" t="s">
        <v>8277</v>
      </c>
      <c r="F1126" s="385" t="s">
        <v>229</v>
      </c>
      <c r="G1126" s="404" t="s">
        <v>8278</v>
      </c>
      <c r="H1126" s="404" t="s">
        <v>8279</v>
      </c>
      <c r="I1126" s="404" t="s">
        <v>23</v>
      </c>
      <c r="J1126" s="404" t="s">
        <v>8280</v>
      </c>
      <c r="K1126" s="404" t="s">
        <v>8281</v>
      </c>
    </row>
    <row r="1127" spans="1:11">
      <c r="A1127" s="387"/>
      <c r="B1127" s="387"/>
      <c r="C1127" s="387"/>
      <c r="D1127" s="387" t="s">
        <v>8282</v>
      </c>
      <c r="E1127" s="404" t="s">
        <v>8283</v>
      </c>
      <c r="F1127" s="385" t="s">
        <v>20</v>
      </c>
      <c r="G1127" s="404" t="s">
        <v>8284</v>
      </c>
      <c r="H1127" s="404" t="s">
        <v>8285</v>
      </c>
      <c r="I1127" s="404" t="s">
        <v>94</v>
      </c>
      <c r="J1127" s="404" t="s">
        <v>8286</v>
      </c>
      <c r="K1127" s="404" t="s">
        <v>8287</v>
      </c>
    </row>
    <row r="1128" spans="1:11">
      <c r="A1128" s="387"/>
      <c r="B1128" s="387"/>
      <c r="C1128" s="387"/>
      <c r="D1128" s="387" t="s">
        <v>8288</v>
      </c>
      <c r="E1128" s="404" t="s">
        <v>8289</v>
      </c>
      <c r="F1128" s="385" t="s">
        <v>20</v>
      </c>
      <c r="G1128" s="404" t="s">
        <v>8290</v>
      </c>
      <c r="H1128" s="404" t="s">
        <v>8291</v>
      </c>
      <c r="I1128" s="404" t="s">
        <v>23</v>
      </c>
      <c r="J1128" s="404" t="s">
        <v>8292</v>
      </c>
      <c r="K1128" s="404" t="s">
        <v>8293</v>
      </c>
    </row>
    <row r="1129" spans="1:11">
      <c r="A1129" s="387"/>
      <c r="B1129" s="387"/>
      <c r="C1129" s="387"/>
      <c r="D1129" s="387" t="s">
        <v>8294</v>
      </c>
      <c r="E1129" s="404" t="s">
        <v>8295</v>
      </c>
      <c r="F1129" s="385" t="s">
        <v>20</v>
      </c>
      <c r="G1129" s="404" t="s">
        <v>8296</v>
      </c>
      <c r="H1129" s="404" t="s">
        <v>8297</v>
      </c>
      <c r="I1129" s="404" t="s">
        <v>94</v>
      </c>
      <c r="J1129" s="404" t="s">
        <v>8298</v>
      </c>
      <c r="K1129" s="404" t="s">
        <v>8299</v>
      </c>
    </row>
    <row r="1130" spans="1:11">
      <c r="A1130" s="387"/>
      <c r="B1130" s="387"/>
      <c r="C1130" s="387" t="s">
        <v>8300</v>
      </c>
      <c r="D1130" s="387" t="s">
        <v>8301</v>
      </c>
      <c r="E1130" s="404" t="s">
        <v>8302</v>
      </c>
      <c r="F1130" s="385" t="s">
        <v>425</v>
      </c>
      <c r="G1130" s="404" t="s">
        <v>8303</v>
      </c>
      <c r="H1130" s="404" t="s">
        <v>8304</v>
      </c>
      <c r="I1130" s="404" t="s">
        <v>23</v>
      </c>
      <c r="J1130" s="404" t="s">
        <v>8305</v>
      </c>
      <c r="K1130" s="404" t="s">
        <v>8306</v>
      </c>
    </row>
    <row r="1131" spans="1:11">
      <c r="A1131" s="387"/>
      <c r="B1131" s="387"/>
      <c r="C1131" s="387"/>
      <c r="D1131" s="387" t="s">
        <v>8307</v>
      </c>
      <c r="E1131" s="404" t="s">
        <v>8308</v>
      </c>
      <c r="F1131" s="385" t="s">
        <v>20</v>
      </c>
      <c r="G1131" s="404" t="s">
        <v>8309</v>
      </c>
      <c r="H1131" s="404" t="s">
        <v>8310</v>
      </c>
      <c r="I1131" s="404" t="s">
        <v>23</v>
      </c>
      <c r="J1131" s="404" t="s">
        <v>8311</v>
      </c>
      <c r="K1131" s="404" t="s">
        <v>8312</v>
      </c>
    </row>
    <row r="1132" spans="1:11">
      <c r="A1132" s="387"/>
      <c r="B1132" s="387"/>
      <c r="C1132" s="387"/>
      <c r="D1132" s="387" t="s">
        <v>8313</v>
      </c>
      <c r="E1132" s="404" t="s">
        <v>8314</v>
      </c>
      <c r="F1132" s="385" t="s">
        <v>229</v>
      </c>
      <c r="G1132" s="404" t="s">
        <v>8315</v>
      </c>
      <c r="H1132" s="404" t="s">
        <v>8316</v>
      </c>
      <c r="I1132" s="404" t="s">
        <v>94</v>
      </c>
      <c r="J1132" s="404" t="s">
        <v>8317</v>
      </c>
      <c r="K1132" s="404" t="s">
        <v>8318</v>
      </c>
    </row>
    <row r="1133" spans="1:11">
      <c r="A1133" s="387"/>
      <c r="B1133" s="387"/>
      <c r="C1133" s="387"/>
      <c r="D1133" s="387" t="s">
        <v>8319</v>
      </c>
      <c r="E1133" s="404" t="s">
        <v>8320</v>
      </c>
      <c r="F1133" s="385" t="s">
        <v>425</v>
      </c>
      <c r="G1133" s="404" t="s">
        <v>8321</v>
      </c>
      <c r="H1133" s="404" t="s">
        <v>8322</v>
      </c>
      <c r="I1133" s="404" t="s">
        <v>23</v>
      </c>
      <c r="J1133" s="404" t="s">
        <v>8323</v>
      </c>
      <c r="K1133" s="404" t="s">
        <v>8324</v>
      </c>
    </row>
    <row r="1134" spans="1:11">
      <c r="A1134" s="387"/>
      <c r="B1134" s="387"/>
      <c r="C1134" s="387"/>
      <c r="D1134" s="387" t="s">
        <v>8325</v>
      </c>
      <c r="E1134" s="404" t="s">
        <v>8326</v>
      </c>
      <c r="F1134" s="385" t="s">
        <v>425</v>
      </c>
      <c r="G1134" s="404" t="s">
        <v>8327</v>
      </c>
      <c r="H1134" s="404" t="s">
        <v>8328</v>
      </c>
      <c r="I1134" s="404" t="s">
        <v>23</v>
      </c>
      <c r="J1134" s="404" t="s">
        <v>8329</v>
      </c>
      <c r="K1134" s="404" t="s">
        <v>8330</v>
      </c>
    </row>
    <row r="1135" spans="1:11">
      <c r="A1135" s="387"/>
      <c r="B1135" s="387"/>
      <c r="C1135" s="387" t="s">
        <v>8331</v>
      </c>
      <c r="D1135" s="387" t="s">
        <v>8332</v>
      </c>
      <c r="E1135" s="404" t="s">
        <v>8333</v>
      </c>
      <c r="F1135" s="385" t="s">
        <v>425</v>
      </c>
      <c r="G1135" s="404" t="s">
        <v>8334</v>
      </c>
      <c r="H1135" s="404" t="s">
        <v>8335</v>
      </c>
      <c r="I1135" s="404" t="s">
        <v>23</v>
      </c>
      <c r="J1135" s="404" t="s">
        <v>8336</v>
      </c>
      <c r="K1135" s="404" t="s">
        <v>8337</v>
      </c>
    </row>
    <row r="1136" spans="1:11">
      <c r="A1136" s="387"/>
      <c r="B1136" s="387"/>
      <c r="C1136" s="387"/>
      <c r="D1136" s="387" t="s">
        <v>8338</v>
      </c>
      <c r="E1136" s="404" t="s">
        <v>8339</v>
      </c>
      <c r="F1136" s="385" t="s">
        <v>229</v>
      </c>
      <c r="G1136" s="404" t="s">
        <v>8340</v>
      </c>
      <c r="H1136" s="404" t="s">
        <v>8341</v>
      </c>
      <c r="I1136" s="404" t="s">
        <v>23</v>
      </c>
      <c r="J1136" s="404" t="s">
        <v>8342</v>
      </c>
      <c r="K1136" s="404" t="s">
        <v>8343</v>
      </c>
    </row>
    <row r="1137" spans="1:11">
      <c r="A1137" s="387"/>
      <c r="B1137" s="387"/>
      <c r="C1137" s="387"/>
      <c r="D1137" s="387" t="s">
        <v>8344</v>
      </c>
      <c r="E1137" s="404" t="s">
        <v>8345</v>
      </c>
      <c r="F1137" s="385" t="s">
        <v>229</v>
      </c>
      <c r="G1137" s="404" t="s">
        <v>8346</v>
      </c>
      <c r="H1137" s="404" t="s">
        <v>8347</v>
      </c>
      <c r="I1137" s="404" t="s">
        <v>94</v>
      </c>
      <c r="J1137" s="404" t="s">
        <v>8348</v>
      </c>
      <c r="K1137" s="404" t="s">
        <v>8349</v>
      </c>
    </row>
    <row r="1138" spans="1:11">
      <c r="A1138" s="387"/>
      <c r="B1138" s="387"/>
      <c r="C1138" s="387"/>
      <c r="D1138" s="387" t="s">
        <v>8350</v>
      </c>
      <c r="E1138" s="404" t="s">
        <v>8351</v>
      </c>
      <c r="F1138" s="385" t="s">
        <v>20</v>
      </c>
      <c r="G1138" s="404" t="s">
        <v>8352</v>
      </c>
      <c r="H1138" s="404" t="s">
        <v>8353</v>
      </c>
      <c r="I1138" s="404" t="s">
        <v>23</v>
      </c>
      <c r="J1138" s="404" t="s">
        <v>8354</v>
      </c>
      <c r="K1138" s="404" t="s">
        <v>8355</v>
      </c>
    </row>
    <row r="1139" spans="1:11">
      <c r="A1139" s="387"/>
      <c r="B1139" s="387"/>
      <c r="C1139" s="387"/>
      <c r="D1139" s="387" t="s">
        <v>8356</v>
      </c>
      <c r="E1139" s="404" t="s">
        <v>8357</v>
      </c>
      <c r="F1139" s="385" t="s">
        <v>20</v>
      </c>
      <c r="G1139" s="404" t="s">
        <v>8358</v>
      </c>
      <c r="H1139" s="404" t="s">
        <v>8359</v>
      </c>
      <c r="I1139" s="404" t="s">
        <v>94</v>
      </c>
      <c r="J1139" s="404" t="s">
        <v>8360</v>
      </c>
      <c r="K1139" s="404" t="s">
        <v>8361</v>
      </c>
    </row>
    <row r="1140" spans="1:11">
      <c r="A1140" s="387"/>
      <c r="B1140" s="387"/>
      <c r="C1140" s="387" t="s">
        <v>8362</v>
      </c>
      <c r="D1140" s="387" t="s">
        <v>8363</v>
      </c>
      <c r="E1140" s="404" t="s">
        <v>8364</v>
      </c>
      <c r="F1140" s="385" t="s">
        <v>20</v>
      </c>
      <c r="G1140" s="404" t="s">
        <v>8365</v>
      </c>
      <c r="H1140" s="404" t="s">
        <v>8366</v>
      </c>
      <c r="I1140" s="404" t="s">
        <v>94</v>
      </c>
      <c r="J1140" s="404" t="s">
        <v>8367</v>
      </c>
      <c r="K1140" s="404" t="s">
        <v>8368</v>
      </c>
    </row>
    <row r="1141" spans="1:11">
      <c r="A1141" s="387"/>
      <c r="B1141" s="387"/>
      <c r="C1141" s="387"/>
      <c r="D1141" s="387" t="s">
        <v>8369</v>
      </c>
      <c r="E1141" s="404" t="s">
        <v>8370</v>
      </c>
      <c r="F1141" s="385" t="s">
        <v>20</v>
      </c>
      <c r="G1141" s="404" t="s">
        <v>8371</v>
      </c>
      <c r="H1141" s="404" t="s">
        <v>8372</v>
      </c>
      <c r="I1141" s="404" t="s">
        <v>23</v>
      </c>
      <c r="J1141" s="404" t="s">
        <v>8373</v>
      </c>
      <c r="K1141" s="404" t="s">
        <v>8374</v>
      </c>
    </row>
    <row r="1142" spans="1:11">
      <c r="A1142" s="387"/>
      <c r="B1142" s="387"/>
      <c r="C1142" s="387"/>
      <c r="D1142" s="387" t="s">
        <v>8375</v>
      </c>
      <c r="E1142" s="404" t="s">
        <v>8376</v>
      </c>
      <c r="F1142" s="385" t="s">
        <v>20</v>
      </c>
      <c r="G1142" s="404" t="s">
        <v>8377</v>
      </c>
      <c r="H1142" s="404" t="s">
        <v>8378</v>
      </c>
      <c r="I1142" s="404" t="s">
        <v>94</v>
      </c>
      <c r="J1142" s="404" t="s">
        <v>8379</v>
      </c>
      <c r="K1142" s="404" t="s">
        <v>8380</v>
      </c>
    </row>
    <row r="1143" spans="1:11">
      <c r="A1143" s="387"/>
      <c r="B1143" s="387"/>
      <c r="C1143" s="387"/>
      <c r="D1143" s="387" t="s">
        <v>8381</v>
      </c>
      <c r="E1143" s="404" t="s">
        <v>8382</v>
      </c>
      <c r="F1143" s="385" t="s">
        <v>20</v>
      </c>
      <c r="G1143" s="404" t="s">
        <v>8383</v>
      </c>
      <c r="H1143" s="404" t="s">
        <v>8384</v>
      </c>
      <c r="I1143" s="404" t="s">
        <v>23</v>
      </c>
      <c r="J1143" s="404" t="s">
        <v>8385</v>
      </c>
      <c r="K1143" s="404" t="s">
        <v>8386</v>
      </c>
    </row>
    <row r="1144" spans="1:11">
      <c r="A1144" s="387"/>
      <c r="B1144" s="387"/>
      <c r="C1144" s="387"/>
      <c r="D1144" s="387" t="s">
        <v>8387</v>
      </c>
      <c r="E1144" s="404" t="s">
        <v>8388</v>
      </c>
      <c r="F1144" s="385" t="s">
        <v>20</v>
      </c>
      <c r="G1144" s="404" t="s">
        <v>8389</v>
      </c>
      <c r="H1144" s="404" t="s">
        <v>8390</v>
      </c>
      <c r="I1144" s="404" t="s">
        <v>94</v>
      </c>
      <c r="J1144" s="404" t="s">
        <v>8391</v>
      </c>
      <c r="K1144" s="404" t="s">
        <v>8392</v>
      </c>
    </row>
    <row r="1145" spans="1:11">
      <c r="A1145" s="387"/>
      <c r="B1145" s="387"/>
      <c r="C1145" s="387" t="s">
        <v>8393</v>
      </c>
      <c r="D1145" s="387" t="s">
        <v>8394</v>
      </c>
      <c r="E1145" s="404" t="s">
        <v>8395</v>
      </c>
      <c r="F1145" s="385" t="s">
        <v>20</v>
      </c>
      <c r="G1145" s="404" t="s">
        <v>8396</v>
      </c>
      <c r="H1145" s="404" t="s">
        <v>8397</v>
      </c>
      <c r="I1145" s="404" t="s">
        <v>94</v>
      </c>
      <c r="J1145" s="404" t="s">
        <v>8336</v>
      </c>
      <c r="K1145" s="404" t="s">
        <v>8398</v>
      </c>
    </row>
    <row r="1146" spans="1:11">
      <c r="A1146" s="387"/>
      <c r="B1146" s="387"/>
      <c r="C1146" s="387"/>
      <c r="D1146" s="387" t="s">
        <v>8399</v>
      </c>
      <c r="E1146" s="404" t="s">
        <v>8400</v>
      </c>
      <c r="F1146" s="385" t="s">
        <v>20</v>
      </c>
      <c r="G1146" s="404" t="s">
        <v>8401</v>
      </c>
      <c r="H1146" s="404" t="s">
        <v>8402</v>
      </c>
      <c r="I1146" s="404" t="s">
        <v>23</v>
      </c>
      <c r="J1146" s="404" t="s">
        <v>8403</v>
      </c>
      <c r="K1146" s="404" t="s">
        <v>8404</v>
      </c>
    </row>
    <row r="1147" spans="1:11">
      <c r="A1147" s="387"/>
      <c r="B1147" s="387"/>
      <c r="C1147" s="387"/>
      <c r="D1147" s="387" t="s">
        <v>8405</v>
      </c>
      <c r="E1147" s="404" t="s">
        <v>8406</v>
      </c>
      <c r="F1147" s="385" t="s">
        <v>20</v>
      </c>
      <c r="G1147" s="404" t="s">
        <v>8407</v>
      </c>
      <c r="H1147" s="404" t="s">
        <v>8408</v>
      </c>
      <c r="I1147" s="404" t="s">
        <v>23</v>
      </c>
      <c r="J1147" s="404" t="s">
        <v>8409</v>
      </c>
      <c r="K1147" s="404" t="s">
        <v>8410</v>
      </c>
    </row>
    <row r="1148" spans="1:11">
      <c r="A1148" s="387"/>
      <c r="B1148" s="387"/>
      <c r="C1148" s="387"/>
      <c r="D1148" s="387" t="s">
        <v>8411</v>
      </c>
      <c r="E1148" s="404" t="s">
        <v>8412</v>
      </c>
      <c r="F1148" s="385" t="s">
        <v>229</v>
      </c>
      <c r="G1148" s="404" t="s">
        <v>8413</v>
      </c>
      <c r="H1148" s="404" t="s">
        <v>8414</v>
      </c>
      <c r="I1148" s="404" t="s">
        <v>94</v>
      </c>
      <c r="J1148" s="404" t="s">
        <v>8415</v>
      </c>
      <c r="K1148" s="404" t="s">
        <v>8416</v>
      </c>
    </row>
    <row r="1149" spans="1:11">
      <c r="A1149" s="387"/>
      <c r="B1149" s="387"/>
      <c r="C1149" s="387"/>
      <c r="D1149" s="387" t="s">
        <v>8417</v>
      </c>
      <c r="E1149" s="404" t="s">
        <v>8418</v>
      </c>
      <c r="F1149" s="385" t="s">
        <v>229</v>
      </c>
      <c r="G1149" s="404" t="s">
        <v>8419</v>
      </c>
      <c r="H1149" s="404" t="s">
        <v>8420</v>
      </c>
      <c r="I1149" s="404" t="s">
        <v>23</v>
      </c>
      <c r="J1149" s="404" t="s">
        <v>8421</v>
      </c>
      <c r="K1149" s="404" t="s">
        <v>8422</v>
      </c>
    </row>
    <row r="1150" spans="1:11">
      <c r="A1150" s="387"/>
      <c r="B1150" s="387"/>
      <c r="C1150" s="387" t="s">
        <v>8423</v>
      </c>
      <c r="D1150" s="387" t="s">
        <v>8424</v>
      </c>
      <c r="E1150" s="404" t="s">
        <v>8425</v>
      </c>
      <c r="F1150" s="385" t="s">
        <v>229</v>
      </c>
      <c r="G1150" s="404"/>
      <c r="H1150" s="404"/>
      <c r="I1150" s="404" t="s">
        <v>94</v>
      </c>
      <c r="J1150" s="404"/>
      <c r="K1150" s="404"/>
    </row>
    <row r="1151" spans="1:11">
      <c r="A1151" s="387"/>
      <c r="B1151" s="387"/>
      <c r="C1151" s="387"/>
      <c r="D1151" s="387" t="s">
        <v>8426</v>
      </c>
      <c r="E1151" s="404" t="s">
        <v>8427</v>
      </c>
      <c r="F1151" s="385" t="s">
        <v>20</v>
      </c>
      <c r="G1151" s="404"/>
      <c r="H1151" s="404"/>
      <c r="I1151" s="404" t="s">
        <v>23</v>
      </c>
      <c r="J1151" s="404"/>
      <c r="K1151" s="404"/>
    </row>
    <row r="1152" spans="1:11">
      <c r="A1152" s="387"/>
      <c r="B1152" s="387"/>
      <c r="C1152" s="387"/>
      <c r="D1152" s="387" t="s">
        <v>8428</v>
      </c>
      <c r="E1152" s="404" t="s">
        <v>8429</v>
      </c>
      <c r="F1152" s="385" t="s">
        <v>20</v>
      </c>
      <c r="G1152" s="404"/>
      <c r="H1152" s="404"/>
      <c r="I1152" s="404" t="s">
        <v>23</v>
      </c>
      <c r="J1152" s="404"/>
      <c r="K1152" s="404"/>
    </row>
    <row r="1153" spans="1:11">
      <c r="A1153" s="387"/>
      <c r="B1153" s="387"/>
      <c r="C1153" s="387"/>
      <c r="D1153" s="387" t="s">
        <v>8430</v>
      </c>
      <c r="E1153" s="404" t="s">
        <v>8431</v>
      </c>
      <c r="F1153" s="385" t="s">
        <v>20</v>
      </c>
      <c r="G1153" s="404"/>
      <c r="H1153" s="404"/>
      <c r="I1153" s="404" t="s">
        <v>94</v>
      </c>
      <c r="J1153" s="404"/>
      <c r="K1153" s="404"/>
    </row>
    <row r="1154" spans="1:11">
      <c r="A1154" s="387"/>
      <c r="B1154" s="387"/>
      <c r="C1154" s="387"/>
      <c r="D1154" s="387" t="s">
        <v>8432</v>
      </c>
      <c r="E1154" s="404" t="s">
        <v>8433</v>
      </c>
      <c r="F1154" s="385" t="s">
        <v>20</v>
      </c>
      <c r="G1154" s="404"/>
      <c r="H1154" s="404"/>
      <c r="I1154" s="404" t="s">
        <v>23</v>
      </c>
      <c r="J1154" s="404"/>
      <c r="K1154" s="404"/>
    </row>
    <row r="1155" spans="1:11">
      <c r="A1155" s="387"/>
      <c r="B1155" s="387"/>
      <c r="C1155" s="387" t="s">
        <v>8434</v>
      </c>
      <c r="D1155" s="387" t="s">
        <v>8435</v>
      </c>
      <c r="E1155" s="404" t="s">
        <v>8436</v>
      </c>
      <c r="F1155" s="385" t="s">
        <v>229</v>
      </c>
      <c r="G1155" s="404" t="s">
        <v>8437</v>
      </c>
      <c r="H1155" s="404" t="s">
        <v>8438</v>
      </c>
      <c r="I1155" s="404" t="s">
        <v>23</v>
      </c>
      <c r="J1155" s="404" t="s">
        <v>8439</v>
      </c>
      <c r="K1155" s="404" t="s">
        <v>8440</v>
      </c>
    </row>
    <row r="1156" spans="1:11">
      <c r="A1156" s="387"/>
      <c r="B1156" s="387"/>
      <c r="C1156" s="387"/>
      <c r="D1156" s="387" t="s">
        <v>8441</v>
      </c>
      <c r="E1156" s="404" t="s">
        <v>8442</v>
      </c>
      <c r="F1156" s="385" t="s">
        <v>229</v>
      </c>
      <c r="G1156" s="404" t="s">
        <v>8443</v>
      </c>
      <c r="H1156" s="404" t="s">
        <v>8444</v>
      </c>
      <c r="I1156" s="404" t="s">
        <v>23</v>
      </c>
      <c r="J1156" s="404" t="s">
        <v>8445</v>
      </c>
      <c r="K1156" s="404" t="s">
        <v>8446</v>
      </c>
    </row>
    <row r="1157" spans="1:11">
      <c r="A1157" s="387"/>
      <c r="B1157" s="387"/>
      <c r="C1157" s="387"/>
      <c r="D1157" s="387" t="s">
        <v>8447</v>
      </c>
      <c r="E1157" s="404" t="s">
        <v>8448</v>
      </c>
      <c r="F1157" s="385" t="s">
        <v>229</v>
      </c>
      <c r="G1157" s="404" t="s">
        <v>8449</v>
      </c>
      <c r="H1157" s="404" t="s">
        <v>8450</v>
      </c>
      <c r="I1157" s="404" t="s">
        <v>23</v>
      </c>
      <c r="J1157" s="404" t="s">
        <v>8451</v>
      </c>
      <c r="K1157" s="404" t="s">
        <v>8452</v>
      </c>
    </row>
    <row r="1158" spans="1:11">
      <c r="A1158" s="387"/>
      <c r="B1158" s="387"/>
      <c r="C1158" s="387"/>
      <c r="D1158" s="387" t="s">
        <v>8453</v>
      </c>
      <c r="E1158" s="404" t="s">
        <v>8454</v>
      </c>
      <c r="F1158" s="385" t="s">
        <v>229</v>
      </c>
      <c r="G1158" s="404" t="s">
        <v>8455</v>
      </c>
      <c r="H1158" s="404" t="s">
        <v>8341</v>
      </c>
      <c r="I1158" s="404" t="s">
        <v>94</v>
      </c>
      <c r="J1158" s="404" t="s">
        <v>8456</v>
      </c>
      <c r="K1158" s="404" t="s">
        <v>8457</v>
      </c>
    </row>
    <row r="1159" spans="1:11">
      <c r="A1159" s="387"/>
      <c r="B1159" s="387"/>
      <c r="C1159" s="387"/>
      <c r="D1159" s="387" t="s">
        <v>8458</v>
      </c>
      <c r="E1159" s="404" t="s">
        <v>8459</v>
      </c>
      <c r="F1159" s="385" t="s">
        <v>425</v>
      </c>
      <c r="G1159" s="404" t="s">
        <v>8460</v>
      </c>
      <c r="H1159" s="404" t="s">
        <v>8461</v>
      </c>
      <c r="I1159" s="404" t="s">
        <v>94</v>
      </c>
      <c r="J1159" s="404" t="s">
        <v>8385</v>
      </c>
      <c r="K1159" s="404" t="s">
        <v>8462</v>
      </c>
    </row>
    <row r="1160" spans="1:11">
      <c r="A1160" s="387"/>
      <c r="B1160" s="387"/>
      <c r="C1160" s="387" t="s">
        <v>8463</v>
      </c>
      <c r="D1160" s="387" t="s">
        <v>8464</v>
      </c>
      <c r="E1160" s="404" t="s">
        <v>8465</v>
      </c>
      <c r="F1160" s="385" t="s">
        <v>229</v>
      </c>
      <c r="G1160" s="404" t="s">
        <v>8466</v>
      </c>
      <c r="H1160" s="404" t="s">
        <v>8467</v>
      </c>
      <c r="I1160" s="404" t="s">
        <v>23</v>
      </c>
      <c r="J1160" s="404" t="s">
        <v>8468</v>
      </c>
      <c r="K1160" s="404" t="s">
        <v>8469</v>
      </c>
    </row>
    <row r="1161" spans="1:11">
      <c r="A1161" s="387"/>
      <c r="B1161" s="387"/>
      <c r="C1161" s="387"/>
      <c r="D1161" s="387" t="s">
        <v>8470</v>
      </c>
      <c r="E1161" s="404" t="s">
        <v>8471</v>
      </c>
      <c r="F1161" s="385" t="s">
        <v>229</v>
      </c>
      <c r="G1161" s="404" t="s">
        <v>8472</v>
      </c>
      <c r="H1161" s="404" t="s">
        <v>8473</v>
      </c>
      <c r="I1161" s="404" t="s">
        <v>94</v>
      </c>
      <c r="J1161" s="404" t="s">
        <v>8474</v>
      </c>
      <c r="K1161" s="404" t="s">
        <v>8475</v>
      </c>
    </row>
    <row r="1162" spans="1:11">
      <c r="A1162" s="387"/>
      <c r="B1162" s="387"/>
      <c r="C1162" s="387"/>
      <c r="D1162" s="387" t="s">
        <v>8476</v>
      </c>
      <c r="E1162" s="404" t="s">
        <v>8477</v>
      </c>
      <c r="F1162" s="385" t="s">
        <v>229</v>
      </c>
      <c r="G1162" s="404" t="s">
        <v>8478</v>
      </c>
      <c r="H1162" s="404" t="s">
        <v>8479</v>
      </c>
      <c r="I1162" s="404" t="s">
        <v>23</v>
      </c>
      <c r="J1162" s="404" t="s">
        <v>8480</v>
      </c>
      <c r="K1162" s="404" t="s">
        <v>8481</v>
      </c>
    </row>
    <row r="1163" spans="1:11">
      <c r="A1163" s="387"/>
      <c r="B1163" s="387"/>
      <c r="C1163" s="387"/>
      <c r="D1163" s="387" t="s">
        <v>8482</v>
      </c>
      <c r="E1163" s="404" t="s">
        <v>8483</v>
      </c>
      <c r="F1163" s="385" t="s">
        <v>229</v>
      </c>
      <c r="G1163" s="404" t="s">
        <v>8484</v>
      </c>
      <c r="H1163" s="404" t="s">
        <v>8485</v>
      </c>
      <c r="I1163" s="404" t="s">
        <v>94</v>
      </c>
      <c r="J1163" s="404" t="s">
        <v>8486</v>
      </c>
      <c r="K1163" s="404" t="s">
        <v>8487</v>
      </c>
    </row>
    <row r="1164" spans="1:11">
      <c r="A1164" s="387"/>
      <c r="B1164" s="387"/>
      <c r="C1164" s="387"/>
      <c r="D1164" s="387" t="s">
        <v>8488</v>
      </c>
      <c r="E1164" s="404" t="s">
        <v>8489</v>
      </c>
      <c r="F1164" s="385" t="s">
        <v>20</v>
      </c>
      <c r="G1164" s="404" t="s">
        <v>8490</v>
      </c>
      <c r="H1164" s="404" t="s">
        <v>8491</v>
      </c>
      <c r="I1164" s="404" t="s">
        <v>94</v>
      </c>
      <c r="J1164" s="404" t="s">
        <v>8492</v>
      </c>
      <c r="K1164" s="404" t="s">
        <v>8493</v>
      </c>
    </row>
    <row r="1165" spans="1:11">
      <c r="A1165" s="387"/>
      <c r="B1165" s="387"/>
      <c r="C1165" s="387" t="s">
        <v>8494</v>
      </c>
      <c r="D1165" s="387" t="s">
        <v>8495</v>
      </c>
      <c r="E1165" s="404" t="s">
        <v>8496</v>
      </c>
      <c r="F1165" s="385" t="s">
        <v>20</v>
      </c>
      <c r="G1165" s="404" t="s">
        <v>8497</v>
      </c>
      <c r="H1165" s="404" t="s">
        <v>8498</v>
      </c>
      <c r="I1165" s="404" t="s">
        <v>23</v>
      </c>
      <c r="J1165" s="404" t="s">
        <v>8499</v>
      </c>
      <c r="K1165" s="404" t="s">
        <v>8500</v>
      </c>
    </row>
    <row r="1166" spans="1:11">
      <c r="A1166" s="387"/>
      <c r="B1166" s="387"/>
      <c r="C1166" s="387"/>
      <c r="D1166" s="387" t="s">
        <v>8501</v>
      </c>
      <c r="E1166" s="404" t="s">
        <v>8502</v>
      </c>
      <c r="F1166" s="385" t="s">
        <v>20</v>
      </c>
      <c r="G1166" s="404" t="s">
        <v>8503</v>
      </c>
      <c r="H1166" s="404" t="s">
        <v>8504</v>
      </c>
      <c r="I1166" s="404" t="s">
        <v>94</v>
      </c>
      <c r="J1166" s="404" t="s">
        <v>8505</v>
      </c>
      <c r="K1166" s="404" t="s">
        <v>8506</v>
      </c>
    </row>
    <row r="1167" spans="1:11">
      <c r="A1167" s="387"/>
      <c r="B1167" s="387"/>
      <c r="C1167" s="387"/>
      <c r="D1167" s="387" t="s">
        <v>8507</v>
      </c>
      <c r="E1167" s="404" t="s">
        <v>8508</v>
      </c>
      <c r="F1167" s="385" t="s">
        <v>425</v>
      </c>
      <c r="G1167" s="404" t="s">
        <v>8509</v>
      </c>
      <c r="H1167" s="404" t="s">
        <v>8510</v>
      </c>
      <c r="I1167" s="404" t="s">
        <v>94</v>
      </c>
      <c r="J1167" s="404" t="s">
        <v>8474</v>
      </c>
      <c r="K1167" s="404" t="s">
        <v>8511</v>
      </c>
    </row>
    <row r="1168" spans="1:11">
      <c r="A1168" s="387"/>
      <c r="B1168" s="387"/>
      <c r="C1168" s="387"/>
      <c r="D1168" s="387" t="s">
        <v>8512</v>
      </c>
      <c r="E1168" s="404" t="s">
        <v>8513</v>
      </c>
      <c r="F1168" s="385" t="s">
        <v>20</v>
      </c>
      <c r="G1168" s="404" t="s">
        <v>8514</v>
      </c>
      <c r="H1168" s="404" t="s">
        <v>8515</v>
      </c>
      <c r="I1168" s="404" t="s">
        <v>94</v>
      </c>
      <c r="J1168" s="404" t="s">
        <v>8516</v>
      </c>
      <c r="K1168" s="404" t="s">
        <v>8517</v>
      </c>
    </row>
    <row r="1169" spans="1:11">
      <c r="A1169" s="387"/>
      <c r="B1169" s="387"/>
      <c r="C1169" s="387"/>
      <c r="D1169" s="387" t="s">
        <v>8518</v>
      </c>
      <c r="E1169" s="404" t="s">
        <v>8519</v>
      </c>
      <c r="F1169" s="385" t="s">
        <v>229</v>
      </c>
      <c r="G1169" s="404" t="s">
        <v>8520</v>
      </c>
      <c r="H1169" s="404" t="s">
        <v>8521</v>
      </c>
      <c r="I1169" s="404" t="s">
        <v>23</v>
      </c>
      <c r="J1169" s="404" t="s">
        <v>8335</v>
      </c>
      <c r="K1169" s="404" t="s">
        <v>8522</v>
      </c>
    </row>
    <row r="1170" spans="1:11">
      <c r="A1170" s="387"/>
      <c r="B1170" s="387"/>
      <c r="C1170" s="387" t="s">
        <v>8523</v>
      </c>
      <c r="D1170" s="387" t="s">
        <v>8524</v>
      </c>
      <c r="E1170" s="404" t="s">
        <v>8525</v>
      </c>
      <c r="F1170" s="385" t="s">
        <v>425</v>
      </c>
      <c r="G1170" s="404" t="s">
        <v>8526</v>
      </c>
      <c r="H1170" s="404" t="s">
        <v>8527</v>
      </c>
      <c r="I1170" s="404" t="s">
        <v>23</v>
      </c>
      <c r="J1170" s="404" t="s">
        <v>8528</v>
      </c>
      <c r="K1170" s="404" t="s">
        <v>8529</v>
      </c>
    </row>
    <row r="1171" spans="1:11">
      <c r="A1171" s="387"/>
      <c r="B1171" s="387"/>
      <c r="C1171" s="387"/>
      <c r="D1171" s="387" t="s">
        <v>8530</v>
      </c>
      <c r="E1171" s="404" t="s">
        <v>8531</v>
      </c>
      <c r="F1171" s="385" t="s">
        <v>20</v>
      </c>
      <c r="G1171" s="404" t="s">
        <v>8532</v>
      </c>
      <c r="H1171" s="404" t="s">
        <v>8533</v>
      </c>
      <c r="I1171" s="404" t="s">
        <v>94</v>
      </c>
      <c r="J1171" s="404" t="s">
        <v>8534</v>
      </c>
      <c r="K1171" s="404" t="s">
        <v>8535</v>
      </c>
    </row>
    <row r="1172" spans="1:11">
      <c r="A1172" s="387"/>
      <c r="B1172" s="387"/>
      <c r="C1172" s="387"/>
      <c r="D1172" s="387" t="s">
        <v>8536</v>
      </c>
      <c r="E1172" s="404" t="s">
        <v>8537</v>
      </c>
      <c r="F1172" s="385" t="s">
        <v>425</v>
      </c>
      <c r="G1172" s="404" t="s">
        <v>8538</v>
      </c>
      <c r="H1172" s="404" t="s">
        <v>8539</v>
      </c>
      <c r="I1172" s="404" t="s">
        <v>94</v>
      </c>
      <c r="J1172" s="404" t="s">
        <v>8540</v>
      </c>
      <c r="K1172" s="404" t="s">
        <v>8541</v>
      </c>
    </row>
    <row r="1173" spans="1:11">
      <c r="A1173" s="387"/>
      <c r="B1173" s="387"/>
      <c r="C1173" s="387"/>
      <c r="D1173" s="387" t="s">
        <v>8542</v>
      </c>
      <c r="E1173" s="404" t="s">
        <v>8543</v>
      </c>
      <c r="F1173" s="385" t="s">
        <v>20</v>
      </c>
      <c r="G1173" s="404" t="s">
        <v>8544</v>
      </c>
      <c r="H1173" s="404" t="s">
        <v>8545</v>
      </c>
      <c r="I1173" s="404" t="s">
        <v>23</v>
      </c>
      <c r="J1173" s="404" t="s">
        <v>8546</v>
      </c>
      <c r="K1173" s="404" t="s">
        <v>8547</v>
      </c>
    </row>
    <row r="1174" spans="1:11">
      <c r="A1174" s="387"/>
      <c r="B1174" s="387"/>
      <c r="C1174" s="387"/>
      <c r="D1174" s="387" t="s">
        <v>8548</v>
      </c>
      <c r="E1174" s="404" t="s">
        <v>8549</v>
      </c>
      <c r="F1174" s="385" t="s">
        <v>229</v>
      </c>
      <c r="G1174" s="404" t="s">
        <v>8550</v>
      </c>
      <c r="H1174" s="404" t="s">
        <v>8551</v>
      </c>
      <c r="I1174" s="404" t="s">
        <v>23</v>
      </c>
      <c r="J1174" s="404" t="s">
        <v>8552</v>
      </c>
      <c r="K1174" s="404" t="s">
        <v>8553</v>
      </c>
    </row>
    <row r="1175" spans="1:11">
      <c r="A1175" s="387"/>
      <c r="B1175" s="387"/>
      <c r="C1175" s="387" t="s">
        <v>8554</v>
      </c>
      <c r="D1175" s="387" t="s">
        <v>8555</v>
      </c>
      <c r="E1175" s="404" t="s">
        <v>8556</v>
      </c>
      <c r="F1175" s="385" t="s">
        <v>20</v>
      </c>
      <c r="G1175" s="404" t="s">
        <v>8557</v>
      </c>
      <c r="H1175" s="404" t="s">
        <v>8558</v>
      </c>
      <c r="I1175" s="404" t="s">
        <v>94</v>
      </c>
      <c r="J1175" s="404" t="s">
        <v>8528</v>
      </c>
      <c r="K1175" s="404" t="s">
        <v>8559</v>
      </c>
    </row>
    <row r="1176" spans="1:11">
      <c r="A1176" s="387"/>
      <c r="B1176" s="387"/>
      <c r="C1176" s="387"/>
      <c r="D1176" s="387" t="s">
        <v>8560</v>
      </c>
      <c r="E1176" s="404" t="s">
        <v>8561</v>
      </c>
      <c r="F1176" s="385" t="s">
        <v>20</v>
      </c>
      <c r="G1176" s="404" t="s">
        <v>8562</v>
      </c>
      <c r="H1176" s="404" t="s">
        <v>8563</v>
      </c>
      <c r="I1176" s="404" t="s">
        <v>23</v>
      </c>
      <c r="J1176" s="404" t="s">
        <v>8564</v>
      </c>
      <c r="K1176" s="404" t="s">
        <v>8565</v>
      </c>
    </row>
    <row r="1177" spans="1:11">
      <c r="A1177" s="387"/>
      <c r="B1177" s="387"/>
      <c r="C1177" s="387"/>
      <c r="D1177" s="387" t="s">
        <v>8566</v>
      </c>
      <c r="E1177" s="404" t="s">
        <v>8567</v>
      </c>
      <c r="F1177" s="385" t="s">
        <v>229</v>
      </c>
      <c r="G1177" s="404" t="s">
        <v>8568</v>
      </c>
      <c r="H1177" s="404" t="s">
        <v>8569</v>
      </c>
      <c r="I1177" s="404" t="s">
        <v>23</v>
      </c>
      <c r="J1177" s="404" t="s">
        <v>8570</v>
      </c>
      <c r="K1177" s="404" t="s">
        <v>8571</v>
      </c>
    </row>
    <row r="1178" spans="1:11">
      <c r="A1178" s="387"/>
      <c r="B1178" s="387"/>
      <c r="C1178" s="387"/>
      <c r="D1178" s="387" t="s">
        <v>8572</v>
      </c>
      <c r="E1178" s="404" t="s">
        <v>8573</v>
      </c>
      <c r="F1178" s="385" t="s">
        <v>20</v>
      </c>
      <c r="G1178" s="404" t="s">
        <v>8574</v>
      </c>
      <c r="H1178" s="404" t="s">
        <v>8575</v>
      </c>
      <c r="I1178" s="404" t="s">
        <v>23</v>
      </c>
      <c r="J1178" s="404" t="s">
        <v>8576</v>
      </c>
      <c r="K1178" s="404" t="s">
        <v>8577</v>
      </c>
    </row>
    <row r="1179" spans="1:11">
      <c r="A1179" s="387"/>
      <c r="B1179" s="387"/>
      <c r="C1179" s="387"/>
      <c r="D1179" s="387" t="s">
        <v>8578</v>
      </c>
      <c r="E1179" s="404" t="s">
        <v>8579</v>
      </c>
      <c r="F1179" s="385" t="s">
        <v>425</v>
      </c>
      <c r="G1179" s="404" t="s">
        <v>8580</v>
      </c>
      <c r="H1179" s="404" t="s">
        <v>8581</v>
      </c>
      <c r="I1179" s="404" t="s">
        <v>23</v>
      </c>
      <c r="J1179" s="404" t="s">
        <v>8582</v>
      </c>
      <c r="K1179" s="404" t="s">
        <v>8583</v>
      </c>
    </row>
    <row r="1180" spans="1:11">
      <c r="A1180" s="387"/>
      <c r="B1180" s="387"/>
      <c r="C1180" s="387" t="s">
        <v>8584</v>
      </c>
      <c r="D1180" s="387" t="s">
        <v>8585</v>
      </c>
      <c r="E1180" s="404" t="s">
        <v>8586</v>
      </c>
      <c r="F1180" s="385" t="s">
        <v>20</v>
      </c>
      <c r="G1180" s="404" t="s">
        <v>8587</v>
      </c>
      <c r="H1180" s="404" t="s">
        <v>8588</v>
      </c>
      <c r="I1180" s="404" t="s">
        <v>94</v>
      </c>
      <c r="J1180" s="404" t="s">
        <v>8589</v>
      </c>
      <c r="K1180" s="404" t="s">
        <v>8590</v>
      </c>
    </row>
    <row r="1181" spans="1:11">
      <c r="A1181" s="387"/>
      <c r="B1181" s="387"/>
      <c r="C1181" s="387"/>
      <c r="D1181" s="387" t="s">
        <v>8591</v>
      </c>
      <c r="E1181" s="404" t="s">
        <v>8592</v>
      </c>
      <c r="F1181" s="385" t="s">
        <v>425</v>
      </c>
      <c r="G1181" s="404" t="s">
        <v>8593</v>
      </c>
      <c r="H1181" s="404" t="s">
        <v>8594</v>
      </c>
      <c r="I1181" s="404" t="s">
        <v>23</v>
      </c>
      <c r="J1181" s="404" t="s">
        <v>8595</v>
      </c>
      <c r="K1181" s="404" t="s">
        <v>8596</v>
      </c>
    </row>
    <row r="1182" spans="1:11">
      <c r="A1182" s="387"/>
      <c r="B1182" s="387"/>
      <c r="C1182" s="387"/>
      <c r="D1182" s="387" t="s">
        <v>8597</v>
      </c>
      <c r="E1182" s="404" t="s">
        <v>8598</v>
      </c>
      <c r="F1182" s="385" t="s">
        <v>20</v>
      </c>
      <c r="G1182" s="404" t="s">
        <v>8599</v>
      </c>
      <c r="H1182" s="404" t="s">
        <v>8600</v>
      </c>
      <c r="I1182" s="404" t="s">
        <v>94</v>
      </c>
      <c r="J1182" s="404" t="s">
        <v>8601</v>
      </c>
      <c r="K1182" s="404" t="s">
        <v>8602</v>
      </c>
    </row>
    <row r="1183" spans="1:11">
      <c r="A1183" s="387"/>
      <c r="B1183" s="387"/>
      <c r="C1183" s="387"/>
      <c r="D1183" s="387" t="s">
        <v>8603</v>
      </c>
      <c r="E1183" s="404" t="s">
        <v>8604</v>
      </c>
      <c r="F1183" s="385" t="s">
        <v>425</v>
      </c>
      <c r="G1183" s="404" t="s">
        <v>8605</v>
      </c>
      <c r="H1183" s="404" t="s">
        <v>8606</v>
      </c>
      <c r="I1183" s="404" t="s">
        <v>94</v>
      </c>
      <c r="J1183" s="404" t="s">
        <v>8607</v>
      </c>
      <c r="K1183" s="404" t="s">
        <v>8608</v>
      </c>
    </row>
    <row r="1184" spans="1:11">
      <c r="A1184" s="387"/>
      <c r="B1184" s="387"/>
      <c r="C1184" s="387"/>
      <c r="D1184" s="387" t="s">
        <v>8609</v>
      </c>
      <c r="E1184" s="404" t="s">
        <v>8610</v>
      </c>
      <c r="F1184" s="385" t="s">
        <v>20</v>
      </c>
      <c r="G1184" s="404" t="s">
        <v>8611</v>
      </c>
      <c r="H1184" s="404" t="s">
        <v>8612</v>
      </c>
      <c r="I1184" s="404" t="s">
        <v>23</v>
      </c>
      <c r="J1184" s="404" t="s">
        <v>8613</v>
      </c>
      <c r="K1184" s="404" t="s">
        <v>8614</v>
      </c>
    </row>
    <row r="1185" spans="1:11">
      <c r="A1185" s="387"/>
      <c r="B1185" s="387"/>
      <c r="C1185" s="387" t="s">
        <v>8615</v>
      </c>
      <c r="D1185" s="387" t="s">
        <v>8424</v>
      </c>
      <c r="E1185" s="404" t="s">
        <v>8425</v>
      </c>
      <c r="F1185" s="385" t="s">
        <v>20</v>
      </c>
      <c r="G1185" s="404" t="s">
        <v>8616</v>
      </c>
      <c r="H1185" s="404" t="s">
        <v>8617</v>
      </c>
      <c r="I1185" s="404" t="s">
        <v>94</v>
      </c>
      <c r="J1185" s="404" t="s">
        <v>8618</v>
      </c>
      <c r="K1185" s="404" t="s">
        <v>8619</v>
      </c>
    </row>
    <row r="1186" spans="1:11">
      <c r="A1186" s="387"/>
      <c r="B1186" s="387"/>
      <c r="C1186" s="387"/>
      <c r="D1186" s="387" t="s">
        <v>8426</v>
      </c>
      <c r="E1186" s="404" t="s">
        <v>8427</v>
      </c>
      <c r="F1186" s="385" t="s">
        <v>425</v>
      </c>
      <c r="G1186" s="404" t="s">
        <v>8620</v>
      </c>
      <c r="H1186" s="404" t="s">
        <v>8621</v>
      </c>
      <c r="I1186" s="404" t="s">
        <v>94</v>
      </c>
      <c r="J1186" s="404" t="s">
        <v>8622</v>
      </c>
      <c r="K1186" s="404" t="s">
        <v>8623</v>
      </c>
    </row>
    <row r="1187" spans="1:11">
      <c r="A1187" s="387"/>
      <c r="B1187" s="387"/>
      <c r="C1187" s="387"/>
      <c r="D1187" s="387" t="s">
        <v>8428</v>
      </c>
      <c r="E1187" s="404" t="s">
        <v>8429</v>
      </c>
      <c r="F1187" s="385" t="s">
        <v>20</v>
      </c>
      <c r="G1187" s="404" t="s">
        <v>8624</v>
      </c>
      <c r="H1187" s="404" t="s">
        <v>8625</v>
      </c>
      <c r="I1187" s="404" t="s">
        <v>94</v>
      </c>
      <c r="J1187" s="404" t="s">
        <v>8626</v>
      </c>
      <c r="K1187" s="404" t="s">
        <v>8627</v>
      </c>
    </row>
    <row r="1188" spans="1:11">
      <c r="A1188" s="387"/>
      <c r="B1188" s="387"/>
      <c r="C1188" s="387"/>
      <c r="D1188" s="387" t="s">
        <v>8430</v>
      </c>
      <c r="E1188" s="404" t="s">
        <v>8431</v>
      </c>
      <c r="F1188" s="385" t="s">
        <v>20</v>
      </c>
      <c r="G1188" s="404" t="s">
        <v>8628</v>
      </c>
      <c r="H1188" s="404" t="s">
        <v>8629</v>
      </c>
      <c r="I1188" s="404" t="s">
        <v>94</v>
      </c>
      <c r="J1188" s="404" t="s">
        <v>8630</v>
      </c>
      <c r="K1188" s="404" t="s">
        <v>8631</v>
      </c>
    </row>
    <row r="1189" spans="1:11">
      <c r="A1189" s="387"/>
      <c r="B1189" s="387"/>
      <c r="C1189" s="387"/>
      <c r="D1189" s="387" t="s">
        <v>8432</v>
      </c>
      <c r="E1189" s="404" t="s">
        <v>8433</v>
      </c>
      <c r="F1189" s="385" t="s">
        <v>20</v>
      </c>
      <c r="G1189" s="404" t="s">
        <v>8632</v>
      </c>
      <c r="H1189" s="404" t="s">
        <v>8633</v>
      </c>
      <c r="I1189" s="404" t="s">
        <v>23</v>
      </c>
      <c r="J1189" s="404" t="s">
        <v>8634</v>
      </c>
      <c r="K1189" s="404" t="s">
        <v>8635</v>
      </c>
    </row>
    <row r="1190" spans="1:11">
      <c r="A1190" s="387"/>
      <c r="B1190" s="387"/>
      <c r="C1190" s="387" t="s">
        <v>8636</v>
      </c>
      <c r="D1190" s="387" t="s">
        <v>8637</v>
      </c>
      <c r="E1190" s="404" t="s">
        <v>8638</v>
      </c>
      <c r="F1190" s="385" t="s">
        <v>229</v>
      </c>
      <c r="G1190" s="404" t="s">
        <v>8639</v>
      </c>
      <c r="H1190" s="404" t="s">
        <v>8640</v>
      </c>
      <c r="I1190" s="404" t="s">
        <v>94</v>
      </c>
      <c r="J1190" s="404" t="s">
        <v>8402</v>
      </c>
      <c r="K1190" s="404" t="s">
        <v>8641</v>
      </c>
    </row>
    <row r="1191" spans="1:11">
      <c r="A1191" s="387"/>
      <c r="B1191" s="387"/>
      <c r="C1191" s="387"/>
      <c r="D1191" s="387" t="s">
        <v>8642</v>
      </c>
      <c r="E1191" s="404" t="s">
        <v>8643</v>
      </c>
      <c r="F1191" s="385" t="s">
        <v>425</v>
      </c>
      <c r="G1191" s="404" t="s">
        <v>8644</v>
      </c>
      <c r="H1191" s="404" t="s">
        <v>8645</v>
      </c>
      <c r="I1191" s="404" t="s">
        <v>23</v>
      </c>
      <c r="J1191" s="404" t="s">
        <v>8646</v>
      </c>
      <c r="K1191" s="404" t="s">
        <v>8647</v>
      </c>
    </row>
    <row r="1192" spans="1:11">
      <c r="A1192" s="387"/>
      <c r="B1192" s="387"/>
      <c r="C1192" s="387"/>
      <c r="D1192" s="387" t="s">
        <v>8648</v>
      </c>
      <c r="E1192" s="404" t="s">
        <v>8649</v>
      </c>
      <c r="F1192" s="385" t="s">
        <v>20</v>
      </c>
      <c r="G1192" s="404" t="s">
        <v>8650</v>
      </c>
      <c r="H1192" s="404" t="s">
        <v>8634</v>
      </c>
      <c r="I1192" s="404" t="s">
        <v>94</v>
      </c>
      <c r="J1192" s="404" t="s">
        <v>8651</v>
      </c>
      <c r="K1192" s="404" t="s">
        <v>8652</v>
      </c>
    </row>
    <row r="1193" spans="1:11">
      <c r="A1193" s="387"/>
      <c r="B1193" s="387"/>
      <c r="C1193" s="387"/>
      <c r="D1193" s="387" t="s">
        <v>8653</v>
      </c>
      <c r="E1193" s="404" t="s">
        <v>8654</v>
      </c>
      <c r="F1193" s="385" t="s">
        <v>20</v>
      </c>
      <c r="G1193" s="404" t="s">
        <v>8655</v>
      </c>
      <c r="H1193" s="404" t="s">
        <v>8656</v>
      </c>
      <c r="I1193" s="404" t="s">
        <v>94</v>
      </c>
      <c r="J1193" s="404" t="s">
        <v>8657</v>
      </c>
      <c r="K1193" s="404" t="s">
        <v>8658</v>
      </c>
    </row>
    <row r="1194" spans="1:11">
      <c r="A1194" s="387"/>
      <c r="B1194" s="387"/>
      <c r="C1194" s="387"/>
      <c r="D1194" s="387" t="s">
        <v>8659</v>
      </c>
      <c r="E1194" s="404" t="s">
        <v>8660</v>
      </c>
      <c r="F1194" s="385" t="s">
        <v>20</v>
      </c>
      <c r="G1194" s="404" t="s">
        <v>8661</v>
      </c>
      <c r="H1194" s="404" t="s">
        <v>8662</v>
      </c>
      <c r="I1194" s="404" t="s">
        <v>23</v>
      </c>
      <c r="J1194" s="404" t="s">
        <v>8663</v>
      </c>
      <c r="K1194" s="404" t="s">
        <v>8664</v>
      </c>
    </row>
    <row r="1195" spans="1:11">
      <c r="A1195" s="387"/>
      <c r="B1195" s="387"/>
      <c r="C1195" s="387" t="s">
        <v>8665</v>
      </c>
      <c r="D1195" s="387" t="s">
        <v>8666</v>
      </c>
      <c r="E1195" s="404" t="s">
        <v>8667</v>
      </c>
      <c r="F1195" s="385" t="s">
        <v>20</v>
      </c>
      <c r="G1195" s="404" t="s">
        <v>8668</v>
      </c>
      <c r="H1195" s="404" t="s">
        <v>8669</v>
      </c>
      <c r="I1195" s="404" t="s">
        <v>94</v>
      </c>
      <c r="J1195" s="404" t="s">
        <v>8335</v>
      </c>
      <c r="K1195" s="404" t="s">
        <v>8670</v>
      </c>
    </row>
    <row r="1196" spans="1:11">
      <c r="A1196" s="387"/>
      <c r="B1196" s="387"/>
      <c r="C1196" s="387"/>
      <c r="D1196" s="387" t="s">
        <v>8671</v>
      </c>
      <c r="E1196" s="404" t="s">
        <v>8672</v>
      </c>
      <c r="F1196" s="385" t="s">
        <v>229</v>
      </c>
      <c r="G1196" s="404" t="s">
        <v>8673</v>
      </c>
      <c r="H1196" s="404" t="s">
        <v>8674</v>
      </c>
      <c r="I1196" s="404" t="s">
        <v>94</v>
      </c>
      <c r="J1196" s="404" t="s">
        <v>8675</v>
      </c>
      <c r="K1196" s="404" t="s">
        <v>8676</v>
      </c>
    </row>
    <row r="1197" spans="1:11">
      <c r="A1197" s="387"/>
      <c r="B1197" s="387"/>
      <c r="C1197" s="387"/>
      <c r="D1197" s="387" t="s">
        <v>8677</v>
      </c>
      <c r="E1197" s="404" t="s">
        <v>8678</v>
      </c>
      <c r="F1197" s="385" t="s">
        <v>229</v>
      </c>
      <c r="G1197" s="404" t="s">
        <v>8679</v>
      </c>
      <c r="H1197" s="404" t="s">
        <v>8680</v>
      </c>
      <c r="I1197" s="404" t="s">
        <v>94</v>
      </c>
      <c r="J1197" s="404" t="s">
        <v>8402</v>
      </c>
      <c r="K1197" s="404" t="s">
        <v>8681</v>
      </c>
    </row>
    <row r="1198" spans="1:11">
      <c r="A1198" s="387"/>
      <c r="B1198" s="387"/>
      <c r="C1198" s="387"/>
      <c r="D1198" s="387" t="s">
        <v>8682</v>
      </c>
      <c r="E1198" s="404" t="s">
        <v>8683</v>
      </c>
      <c r="F1198" s="385" t="s">
        <v>425</v>
      </c>
      <c r="G1198" s="404" t="s">
        <v>8684</v>
      </c>
      <c r="H1198" s="404" t="s">
        <v>8685</v>
      </c>
      <c r="I1198" s="404" t="s">
        <v>23</v>
      </c>
      <c r="J1198" s="404" t="s">
        <v>8342</v>
      </c>
      <c r="K1198" s="404" t="s">
        <v>8686</v>
      </c>
    </row>
    <row r="1199" spans="1:11">
      <c r="A1199" s="387"/>
      <c r="B1199" s="387"/>
      <c r="C1199" s="387"/>
      <c r="D1199" s="387" t="s">
        <v>8687</v>
      </c>
      <c r="E1199" s="404" t="s">
        <v>8688</v>
      </c>
      <c r="F1199" s="385" t="s">
        <v>20</v>
      </c>
      <c r="G1199" s="404" t="s">
        <v>8689</v>
      </c>
      <c r="H1199" s="404" t="s">
        <v>8690</v>
      </c>
      <c r="I1199" s="404" t="s">
        <v>94</v>
      </c>
      <c r="J1199" s="404" t="s">
        <v>8546</v>
      </c>
      <c r="K1199" s="404" t="s">
        <v>8691</v>
      </c>
    </row>
    <row r="1200" spans="1:11">
      <c r="A1200" s="387"/>
      <c r="B1200" s="387"/>
      <c r="C1200" s="387" t="s">
        <v>8692</v>
      </c>
      <c r="D1200" s="387" t="s">
        <v>8693</v>
      </c>
      <c r="E1200" s="404" t="s">
        <v>8694</v>
      </c>
      <c r="F1200" s="385" t="s">
        <v>229</v>
      </c>
      <c r="G1200" s="404" t="s">
        <v>8695</v>
      </c>
      <c r="H1200" s="404" t="s">
        <v>8696</v>
      </c>
      <c r="I1200" s="404" t="s">
        <v>94</v>
      </c>
      <c r="J1200" s="404" t="s">
        <v>8697</v>
      </c>
      <c r="K1200" s="404" t="s">
        <v>8698</v>
      </c>
    </row>
    <row r="1201" spans="1:11">
      <c r="A1201" s="387"/>
      <c r="B1201" s="387"/>
      <c r="C1201" s="387"/>
      <c r="D1201" s="387" t="s">
        <v>8699</v>
      </c>
      <c r="E1201" s="404" t="s">
        <v>8700</v>
      </c>
      <c r="F1201" s="385" t="s">
        <v>425</v>
      </c>
      <c r="G1201" s="404" t="s">
        <v>8701</v>
      </c>
      <c r="H1201" s="404" t="s">
        <v>8702</v>
      </c>
      <c r="I1201" s="404" t="s">
        <v>23</v>
      </c>
      <c r="J1201" s="404" t="s">
        <v>8703</v>
      </c>
      <c r="K1201" s="404" t="s">
        <v>8704</v>
      </c>
    </row>
    <row r="1202" spans="1:11">
      <c r="A1202" s="387"/>
      <c r="B1202" s="387"/>
      <c r="C1202" s="387"/>
      <c r="D1202" s="387" t="s">
        <v>8705</v>
      </c>
      <c r="E1202" s="404" t="s">
        <v>8706</v>
      </c>
      <c r="F1202" s="385" t="s">
        <v>425</v>
      </c>
      <c r="G1202" s="404" t="s">
        <v>8707</v>
      </c>
      <c r="H1202" s="404" t="s">
        <v>8708</v>
      </c>
      <c r="I1202" s="404" t="s">
        <v>23</v>
      </c>
      <c r="J1202" s="404" t="s">
        <v>8409</v>
      </c>
      <c r="K1202" s="404" t="s">
        <v>8709</v>
      </c>
    </row>
    <row r="1203" spans="1:11">
      <c r="A1203" s="387"/>
      <c r="B1203" s="387"/>
      <c r="C1203" s="387"/>
      <c r="D1203" s="387" t="s">
        <v>8710</v>
      </c>
      <c r="E1203" s="404" t="s">
        <v>8711</v>
      </c>
      <c r="F1203" s="385" t="s">
        <v>20</v>
      </c>
      <c r="G1203" s="404" t="s">
        <v>8712</v>
      </c>
      <c r="H1203" s="404" t="s">
        <v>8713</v>
      </c>
      <c r="I1203" s="404" t="s">
        <v>94</v>
      </c>
      <c r="J1203" s="404" t="s">
        <v>8714</v>
      </c>
      <c r="K1203" s="404" t="s">
        <v>8715</v>
      </c>
    </row>
    <row r="1204" spans="1:11">
      <c r="A1204" s="387"/>
      <c r="B1204" s="387"/>
      <c r="C1204" s="387"/>
      <c r="D1204" s="387" t="s">
        <v>8716</v>
      </c>
      <c r="E1204" s="404" t="s">
        <v>8717</v>
      </c>
      <c r="F1204" s="385" t="s">
        <v>20</v>
      </c>
      <c r="G1204" s="404" t="s">
        <v>8718</v>
      </c>
      <c r="H1204" s="404" t="s">
        <v>8719</v>
      </c>
      <c r="I1204" s="404" t="s">
        <v>23</v>
      </c>
      <c r="J1204" s="404" t="s">
        <v>8720</v>
      </c>
      <c r="K1204" s="404" t="s">
        <v>8721</v>
      </c>
    </row>
    <row r="1205" spans="1:11">
      <c r="A1205" s="387"/>
      <c r="B1205" s="387"/>
      <c r="C1205" s="387" t="s">
        <v>8722</v>
      </c>
      <c r="D1205" s="387" t="s">
        <v>8723</v>
      </c>
      <c r="E1205" s="404" t="s">
        <v>8724</v>
      </c>
      <c r="F1205" s="385" t="s">
        <v>20</v>
      </c>
      <c r="G1205" s="404" t="s">
        <v>8725</v>
      </c>
      <c r="H1205" s="404" t="s">
        <v>8726</v>
      </c>
      <c r="I1205" s="404" t="s">
        <v>23</v>
      </c>
      <c r="J1205" s="404" t="s">
        <v>8589</v>
      </c>
      <c r="K1205" s="404" t="s">
        <v>8727</v>
      </c>
    </row>
    <row r="1206" spans="1:11">
      <c r="A1206" s="387"/>
      <c r="B1206" s="387"/>
      <c r="C1206" s="387"/>
      <c r="D1206" s="387" t="s">
        <v>8728</v>
      </c>
      <c r="E1206" s="404" t="s">
        <v>8729</v>
      </c>
      <c r="F1206" s="385" t="s">
        <v>20</v>
      </c>
      <c r="G1206" s="404" t="s">
        <v>8730</v>
      </c>
      <c r="H1206" s="404" t="s">
        <v>8731</v>
      </c>
      <c r="I1206" s="404" t="s">
        <v>23</v>
      </c>
      <c r="J1206" s="404" t="s">
        <v>8595</v>
      </c>
      <c r="K1206" s="404" t="s">
        <v>8732</v>
      </c>
    </row>
    <row r="1207" spans="1:11">
      <c r="A1207" s="387"/>
      <c r="B1207" s="387"/>
      <c r="C1207" s="387"/>
      <c r="D1207" s="387" t="s">
        <v>8733</v>
      </c>
      <c r="E1207" s="404" t="s">
        <v>8734</v>
      </c>
      <c r="F1207" s="385" t="s">
        <v>20</v>
      </c>
      <c r="G1207" s="404" t="s">
        <v>8735</v>
      </c>
      <c r="H1207" s="404" t="s">
        <v>8736</v>
      </c>
      <c r="I1207" s="404" t="s">
        <v>23</v>
      </c>
      <c r="J1207" s="404" t="s">
        <v>8737</v>
      </c>
      <c r="K1207" s="404" t="s">
        <v>8738</v>
      </c>
    </row>
    <row r="1208" spans="1:11">
      <c r="A1208" s="387"/>
      <c r="B1208" s="387"/>
      <c r="C1208" s="387"/>
      <c r="D1208" s="387" t="s">
        <v>8739</v>
      </c>
      <c r="E1208" s="404" t="s">
        <v>8740</v>
      </c>
      <c r="F1208" s="385" t="s">
        <v>20</v>
      </c>
      <c r="G1208" s="404" t="s">
        <v>8741</v>
      </c>
      <c r="H1208" s="404" t="s">
        <v>8742</v>
      </c>
      <c r="I1208" s="404" t="s">
        <v>94</v>
      </c>
      <c r="J1208" s="404" t="s">
        <v>8743</v>
      </c>
      <c r="K1208" s="404" t="s">
        <v>8744</v>
      </c>
    </row>
    <row r="1209" spans="1:11">
      <c r="A1209" s="387"/>
      <c r="B1209" s="387"/>
      <c r="C1209" s="387"/>
      <c r="D1209" s="387" t="s">
        <v>8745</v>
      </c>
      <c r="E1209" s="404" t="s">
        <v>8746</v>
      </c>
      <c r="F1209" s="385" t="s">
        <v>20</v>
      </c>
      <c r="G1209" s="404" t="s">
        <v>8747</v>
      </c>
      <c r="H1209" s="404" t="s">
        <v>8748</v>
      </c>
      <c r="I1209" s="404" t="s">
        <v>23</v>
      </c>
      <c r="J1209" s="404" t="s">
        <v>8749</v>
      </c>
      <c r="K1209" s="404" t="s">
        <v>8750</v>
      </c>
    </row>
    <row r="1210" spans="1:11">
      <c r="A1210" s="387"/>
      <c r="B1210" s="387"/>
      <c r="C1210" s="387" t="s">
        <v>8751</v>
      </c>
      <c r="D1210" s="387" t="s">
        <v>8752</v>
      </c>
      <c r="E1210" s="404" t="s">
        <v>8753</v>
      </c>
      <c r="F1210" s="385" t="s">
        <v>20</v>
      </c>
      <c r="G1210" s="404" t="s">
        <v>8754</v>
      </c>
      <c r="H1210" s="404" t="s">
        <v>8335</v>
      </c>
      <c r="I1210" s="404" t="s">
        <v>94</v>
      </c>
      <c r="J1210" s="404" t="s">
        <v>8336</v>
      </c>
      <c r="K1210" s="404" t="s">
        <v>8755</v>
      </c>
    </row>
    <row r="1211" spans="1:11">
      <c r="A1211" s="387"/>
      <c r="B1211" s="387"/>
      <c r="C1211" s="387"/>
      <c r="D1211" s="387" t="s">
        <v>8756</v>
      </c>
      <c r="E1211" s="404" t="s">
        <v>8757</v>
      </c>
      <c r="F1211" s="385" t="s">
        <v>20</v>
      </c>
      <c r="G1211" s="404" t="s">
        <v>8758</v>
      </c>
      <c r="H1211" s="404" t="s">
        <v>8759</v>
      </c>
      <c r="I1211" s="404" t="s">
        <v>94</v>
      </c>
      <c r="J1211" s="404" t="s">
        <v>8492</v>
      </c>
      <c r="K1211" s="404" t="s">
        <v>8760</v>
      </c>
    </row>
    <row r="1212" spans="1:11">
      <c r="A1212" s="387"/>
      <c r="B1212" s="387"/>
      <c r="C1212" s="387"/>
      <c r="D1212" s="387" t="s">
        <v>8761</v>
      </c>
      <c r="E1212" s="404" t="s">
        <v>8762</v>
      </c>
      <c r="F1212" s="385" t="s">
        <v>20</v>
      </c>
      <c r="G1212" s="404" t="s">
        <v>8763</v>
      </c>
      <c r="H1212" s="404" t="s">
        <v>8764</v>
      </c>
      <c r="I1212" s="404" t="s">
        <v>23</v>
      </c>
      <c r="J1212" s="404" t="s">
        <v>8765</v>
      </c>
      <c r="K1212" s="404" t="s">
        <v>8766</v>
      </c>
    </row>
    <row r="1213" spans="1:11">
      <c r="A1213" s="387"/>
      <c r="B1213" s="387"/>
      <c r="C1213" s="387"/>
      <c r="D1213" s="387" t="s">
        <v>8767</v>
      </c>
      <c r="E1213" s="404" t="s">
        <v>8768</v>
      </c>
      <c r="F1213" s="385" t="s">
        <v>20</v>
      </c>
      <c r="G1213" s="404" t="s">
        <v>8769</v>
      </c>
      <c r="H1213" s="404" t="s">
        <v>8770</v>
      </c>
      <c r="I1213" s="404" t="s">
        <v>94</v>
      </c>
      <c r="J1213" s="404" t="s">
        <v>8771</v>
      </c>
      <c r="K1213" s="404" t="s">
        <v>8772</v>
      </c>
    </row>
    <row r="1214" spans="1:11">
      <c r="A1214" s="387"/>
      <c r="B1214" s="387"/>
      <c r="C1214" s="387"/>
      <c r="D1214" s="387" t="s">
        <v>8773</v>
      </c>
      <c r="E1214" s="404" t="s">
        <v>8774</v>
      </c>
      <c r="F1214" s="385" t="s">
        <v>20</v>
      </c>
      <c r="G1214" s="404" t="s">
        <v>8775</v>
      </c>
      <c r="H1214" s="404" t="s">
        <v>8776</v>
      </c>
      <c r="I1214" s="404" t="s">
        <v>94</v>
      </c>
      <c r="J1214" s="404" t="s">
        <v>8777</v>
      </c>
      <c r="K1214" s="404" t="s">
        <v>8778</v>
      </c>
    </row>
    <row r="1215" spans="1:11">
      <c r="A1215" s="387"/>
      <c r="B1215" s="387"/>
      <c r="C1215" s="387" t="s">
        <v>8779</v>
      </c>
      <c r="D1215" s="387" t="s">
        <v>8780</v>
      </c>
      <c r="E1215" s="404" t="s">
        <v>8781</v>
      </c>
      <c r="F1215" s="385" t="s">
        <v>20</v>
      </c>
      <c r="G1215" s="404" t="s">
        <v>8782</v>
      </c>
      <c r="H1215" s="404" t="s">
        <v>8783</v>
      </c>
      <c r="I1215" s="404" t="s">
        <v>94</v>
      </c>
      <c r="J1215" s="404" t="s">
        <v>8784</v>
      </c>
      <c r="K1215" s="404" t="s">
        <v>8785</v>
      </c>
    </row>
    <row r="1216" spans="1:11">
      <c r="A1216" s="387"/>
      <c r="B1216" s="387"/>
      <c r="C1216" s="387"/>
      <c r="D1216" s="387" t="s">
        <v>8786</v>
      </c>
      <c r="E1216" s="404" t="s">
        <v>8787</v>
      </c>
      <c r="F1216" s="385" t="s">
        <v>20</v>
      </c>
      <c r="G1216" s="404" t="s">
        <v>8788</v>
      </c>
      <c r="H1216" s="404" t="s">
        <v>8789</v>
      </c>
      <c r="I1216" s="404" t="s">
        <v>94</v>
      </c>
      <c r="J1216" s="404" t="s">
        <v>8790</v>
      </c>
      <c r="K1216" s="404" t="s">
        <v>8791</v>
      </c>
    </row>
    <row r="1217" spans="1:11">
      <c r="A1217" s="387"/>
      <c r="B1217" s="387"/>
      <c r="C1217" s="387"/>
      <c r="D1217" s="387" t="s">
        <v>8792</v>
      </c>
      <c r="E1217" s="404" t="s">
        <v>8793</v>
      </c>
      <c r="F1217" s="385" t="s">
        <v>20</v>
      </c>
      <c r="G1217" s="404" t="s">
        <v>8794</v>
      </c>
      <c r="H1217" s="404" t="s">
        <v>8795</v>
      </c>
      <c r="I1217" s="404" t="s">
        <v>23</v>
      </c>
      <c r="J1217" s="404" t="s">
        <v>8367</v>
      </c>
      <c r="K1217" s="404" t="s">
        <v>8796</v>
      </c>
    </row>
    <row r="1218" spans="1:11">
      <c r="A1218" s="387"/>
      <c r="B1218" s="387"/>
      <c r="C1218" s="387"/>
      <c r="D1218" s="387" t="s">
        <v>8797</v>
      </c>
      <c r="E1218" s="404" t="s">
        <v>8798</v>
      </c>
      <c r="F1218" s="385" t="s">
        <v>20</v>
      </c>
      <c r="G1218" s="404" t="s">
        <v>8799</v>
      </c>
      <c r="H1218" s="404" t="s">
        <v>8310</v>
      </c>
      <c r="I1218" s="404" t="s">
        <v>94</v>
      </c>
      <c r="J1218" s="404" t="s">
        <v>8335</v>
      </c>
      <c r="K1218" s="404" t="s">
        <v>8800</v>
      </c>
    </row>
    <row r="1219" spans="1:11">
      <c r="A1219" s="387"/>
      <c r="B1219" s="387"/>
      <c r="C1219" s="387"/>
      <c r="D1219" s="387" t="s">
        <v>8801</v>
      </c>
      <c r="E1219" s="404" t="s">
        <v>8802</v>
      </c>
      <c r="F1219" s="385" t="s">
        <v>20</v>
      </c>
      <c r="G1219" s="404" t="s">
        <v>8803</v>
      </c>
      <c r="H1219" s="404" t="s">
        <v>8445</v>
      </c>
      <c r="I1219" s="404" t="s">
        <v>23</v>
      </c>
      <c r="J1219" s="404" t="s">
        <v>8595</v>
      </c>
      <c r="K1219" s="404" t="s">
        <v>8804</v>
      </c>
    </row>
    <row r="1220" spans="1:11">
      <c r="A1220" s="387"/>
      <c r="B1220" s="387"/>
      <c r="C1220" s="387" t="s">
        <v>8805</v>
      </c>
      <c r="D1220" s="387" t="s">
        <v>8806</v>
      </c>
      <c r="E1220" s="404" t="s">
        <v>8807</v>
      </c>
      <c r="F1220" s="385" t="s">
        <v>20</v>
      </c>
      <c r="G1220" s="404" t="s">
        <v>8808</v>
      </c>
      <c r="H1220" s="404" t="s">
        <v>8809</v>
      </c>
      <c r="I1220" s="404" t="s">
        <v>94</v>
      </c>
      <c r="J1220" s="404" t="s">
        <v>8810</v>
      </c>
      <c r="K1220" s="404" t="s">
        <v>8811</v>
      </c>
    </row>
    <row r="1221" spans="1:11">
      <c r="A1221" s="387"/>
      <c r="B1221" s="387"/>
      <c r="C1221" s="387"/>
      <c r="D1221" s="387" t="s">
        <v>8812</v>
      </c>
      <c r="E1221" s="404" t="s">
        <v>8813</v>
      </c>
      <c r="F1221" s="385" t="s">
        <v>425</v>
      </c>
      <c r="G1221" s="404" t="s">
        <v>8346</v>
      </c>
      <c r="H1221" s="404" t="s">
        <v>8814</v>
      </c>
      <c r="I1221" s="404" t="s">
        <v>94</v>
      </c>
      <c r="J1221" s="404" t="s">
        <v>8815</v>
      </c>
      <c r="K1221" s="404" t="s">
        <v>8816</v>
      </c>
    </row>
    <row r="1222" spans="1:11">
      <c r="A1222" s="387"/>
      <c r="B1222" s="387"/>
      <c r="C1222" s="387"/>
      <c r="D1222" s="387" t="s">
        <v>8817</v>
      </c>
      <c r="E1222" s="404" t="s">
        <v>8818</v>
      </c>
      <c r="F1222" s="385" t="s">
        <v>20</v>
      </c>
      <c r="G1222" s="404" t="s">
        <v>8819</v>
      </c>
      <c r="H1222" s="404" t="s">
        <v>8820</v>
      </c>
      <c r="I1222" s="404" t="s">
        <v>94</v>
      </c>
      <c r="J1222" s="404" t="s">
        <v>8821</v>
      </c>
      <c r="K1222" s="404" t="s">
        <v>8822</v>
      </c>
    </row>
    <row r="1223" spans="1:11">
      <c r="A1223" s="387"/>
      <c r="B1223" s="387"/>
      <c r="C1223" s="387"/>
      <c r="D1223" s="387" t="s">
        <v>8823</v>
      </c>
      <c r="E1223" s="404" t="s">
        <v>8824</v>
      </c>
      <c r="F1223" s="385" t="s">
        <v>20</v>
      </c>
      <c r="G1223" s="404" t="s">
        <v>8825</v>
      </c>
      <c r="H1223" s="404" t="s">
        <v>8826</v>
      </c>
      <c r="I1223" s="404" t="s">
        <v>23</v>
      </c>
      <c r="J1223" s="404" t="s">
        <v>8827</v>
      </c>
      <c r="K1223" s="404" t="s">
        <v>8828</v>
      </c>
    </row>
    <row r="1224" spans="1:11">
      <c r="A1224" s="387"/>
      <c r="B1224" s="387"/>
      <c r="C1224" s="387"/>
      <c r="D1224" s="387" t="s">
        <v>8829</v>
      </c>
      <c r="E1224" s="404" t="s">
        <v>8830</v>
      </c>
      <c r="F1224" s="385" t="s">
        <v>20</v>
      </c>
      <c r="G1224" s="404" t="s">
        <v>8831</v>
      </c>
      <c r="H1224" s="404" t="s">
        <v>8832</v>
      </c>
      <c r="I1224" s="404" t="s">
        <v>94</v>
      </c>
      <c r="J1224" s="404" t="s">
        <v>8570</v>
      </c>
      <c r="K1224" s="404" t="s">
        <v>8833</v>
      </c>
    </row>
    <row r="1225" spans="1:11">
      <c r="A1225" s="387"/>
      <c r="B1225" s="387"/>
      <c r="C1225" s="387" t="s">
        <v>8834</v>
      </c>
      <c r="D1225" s="387" t="s">
        <v>8835</v>
      </c>
      <c r="E1225" s="404" t="s">
        <v>8836</v>
      </c>
      <c r="F1225" s="385" t="s">
        <v>229</v>
      </c>
      <c r="G1225" s="404" t="s">
        <v>8837</v>
      </c>
      <c r="H1225" s="404" t="s">
        <v>8838</v>
      </c>
      <c r="I1225" s="404" t="s">
        <v>23</v>
      </c>
      <c r="J1225" s="404" t="s">
        <v>8771</v>
      </c>
      <c r="K1225" s="404" t="s">
        <v>8839</v>
      </c>
    </row>
    <row r="1226" spans="1:11">
      <c r="A1226" s="387"/>
      <c r="B1226" s="387"/>
      <c r="C1226" s="387"/>
      <c r="D1226" s="387" t="s">
        <v>8840</v>
      </c>
      <c r="E1226" s="404" t="s">
        <v>8841</v>
      </c>
      <c r="F1226" s="385" t="s">
        <v>20</v>
      </c>
      <c r="G1226" s="404" t="s">
        <v>8842</v>
      </c>
      <c r="H1226" s="404" t="s">
        <v>8843</v>
      </c>
      <c r="I1226" s="404" t="s">
        <v>94</v>
      </c>
      <c r="J1226" s="404" t="s">
        <v>8703</v>
      </c>
      <c r="K1226" s="404" t="s">
        <v>8844</v>
      </c>
    </row>
    <row r="1227" spans="1:11">
      <c r="A1227" s="387"/>
      <c r="B1227" s="387"/>
      <c r="C1227" s="387"/>
      <c r="D1227" s="387" t="s">
        <v>8845</v>
      </c>
      <c r="E1227" s="404" t="s">
        <v>8846</v>
      </c>
      <c r="F1227" s="385" t="s">
        <v>20</v>
      </c>
      <c r="G1227" s="404" t="s">
        <v>8847</v>
      </c>
      <c r="H1227" s="404" t="s">
        <v>8848</v>
      </c>
      <c r="I1227" s="404" t="s">
        <v>94</v>
      </c>
      <c r="J1227" s="404" t="s">
        <v>8849</v>
      </c>
      <c r="K1227" s="404" t="s">
        <v>8850</v>
      </c>
    </row>
    <row r="1228" spans="1:11">
      <c r="A1228" s="387"/>
      <c r="B1228" s="387"/>
      <c r="C1228" s="387"/>
      <c r="D1228" s="387" t="s">
        <v>8851</v>
      </c>
      <c r="E1228" s="404" t="s">
        <v>8852</v>
      </c>
      <c r="F1228" s="385" t="s">
        <v>20</v>
      </c>
      <c r="G1228" s="404" t="s">
        <v>8853</v>
      </c>
      <c r="H1228" s="404" t="s">
        <v>8854</v>
      </c>
      <c r="I1228" s="404" t="s">
        <v>23</v>
      </c>
      <c r="J1228" s="404" t="s">
        <v>8855</v>
      </c>
      <c r="K1228" s="404" t="s">
        <v>8856</v>
      </c>
    </row>
    <row r="1229" spans="1:11">
      <c r="A1229" s="387"/>
      <c r="B1229" s="387"/>
      <c r="C1229" s="387"/>
      <c r="D1229" s="387" t="s">
        <v>8857</v>
      </c>
      <c r="E1229" s="404" t="s">
        <v>8858</v>
      </c>
      <c r="F1229" s="385" t="s">
        <v>229</v>
      </c>
      <c r="G1229" s="404" t="s">
        <v>8401</v>
      </c>
      <c r="H1229" s="404" t="s">
        <v>8859</v>
      </c>
      <c r="I1229" s="404" t="s">
        <v>94</v>
      </c>
      <c r="J1229" s="404" t="s">
        <v>8402</v>
      </c>
      <c r="K1229" s="404" t="s">
        <v>8860</v>
      </c>
    </row>
    <row r="1230" spans="1:11">
      <c r="A1230" s="387"/>
      <c r="B1230" s="387"/>
      <c r="C1230" s="387" t="s">
        <v>8861</v>
      </c>
      <c r="D1230" s="387" t="s">
        <v>8862</v>
      </c>
      <c r="E1230" s="404" t="s">
        <v>8863</v>
      </c>
      <c r="F1230" s="385" t="s">
        <v>229</v>
      </c>
      <c r="G1230" s="404" t="s">
        <v>8864</v>
      </c>
      <c r="H1230" s="404" t="s">
        <v>8865</v>
      </c>
      <c r="I1230" s="404" t="s">
        <v>94</v>
      </c>
      <c r="J1230" s="404" t="s">
        <v>8866</v>
      </c>
      <c r="K1230" s="404" t="s">
        <v>8867</v>
      </c>
    </row>
    <row r="1231" spans="1:11">
      <c r="A1231" s="387"/>
      <c r="B1231" s="387"/>
      <c r="C1231" s="387"/>
      <c r="D1231" s="387" t="s">
        <v>8868</v>
      </c>
      <c r="E1231" s="404" t="s">
        <v>8869</v>
      </c>
      <c r="F1231" s="385" t="s">
        <v>229</v>
      </c>
      <c r="G1231" s="404" t="s">
        <v>8870</v>
      </c>
      <c r="H1231" s="404" t="s">
        <v>8871</v>
      </c>
      <c r="I1231" s="404" t="s">
        <v>94</v>
      </c>
      <c r="J1231" s="404" t="s">
        <v>8872</v>
      </c>
      <c r="K1231" s="404" t="s">
        <v>8873</v>
      </c>
    </row>
    <row r="1232" spans="1:11">
      <c r="A1232" s="387"/>
      <c r="B1232" s="387"/>
      <c r="C1232" s="387"/>
      <c r="D1232" s="387" t="s">
        <v>8874</v>
      </c>
      <c r="E1232" s="404" t="s">
        <v>8875</v>
      </c>
      <c r="F1232" s="385" t="s">
        <v>229</v>
      </c>
      <c r="G1232" s="404" t="s">
        <v>8876</v>
      </c>
      <c r="H1232" s="404" t="s">
        <v>8613</v>
      </c>
      <c r="I1232" s="404" t="s">
        <v>23</v>
      </c>
      <c r="J1232" s="404" t="s">
        <v>8877</v>
      </c>
      <c r="K1232" s="404" t="s">
        <v>8878</v>
      </c>
    </row>
    <row r="1233" spans="1:11">
      <c r="A1233" s="387"/>
      <c r="B1233" s="387"/>
      <c r="C1233" s="387"/>
      <c r="D1233" s="387" t="s">
        <v>8879</v>
      </c>
      <c r="E1233" s="404" t="s">
        <v>8880</v>
      </c>
      <c r="F1233" s="385" t="s">
        <v>425</v>
      </c>
      <c r="G1233" s="404" t="s">
        <v>8881</v>
      </c>
      <c r="H1233" s="404" t="s">
        <v>8882</v>
      </c>
      <c r="I1233" s="404" t="s">
        <v>23</v>
      </c>
      <c r="J1233" s="404" t="s">
        <v>8883</v>
      </c>
      <c r="K1233" s="404" t="s">
        <v>8884</v>
      </c>
    </row>
    <row r="1234" spans="1:11">
      <c r="A1234" s="387"/>
      <c r="B1234" s="387"/>
      <c r="C1234" s="387"/>
      <c r="D1234" s="387" t="s">
        <v>8885</v>
      </c>
      <c r="E1234" s="404" t="s">
        <v>8886</v>
      </c>
      <c r="F1234" s="385" t="s">
        <v>229</v>
      </c>
      <c r="G1234" s="404" t="s">
        <v>8887</v>
      </c>
      <c r="H1234" s="404" t="s">
        <v>8888</v>
      </c>
      <c r="I1234" s="404" t="s">
        <v>94</v>
      </c>
      <c r="J1234" s="404" t="s">
        <v>8889</v>
      </c>
      <c r="K1234" s="404" t="s">
        <v>8890</v>
      </c>
    </row>
    <row r="1235" spans="1:11">
      <c r="A1235" s="387"/>
      <c r="B1235" s="387"/>
      <c r="C1235" s="387" t="s">
        <v>8891</v>
      </c>
      <c r="D1235" s="404" t="s">
        <v>8892</v>
      </c>
      <c r="E1235" s="404" t="s">
        <v>8893</v>
      </c>
      <c r="F1235" s="385" t="s">
        <v>229</v>
      </c>
      <c r="G1235" s="404" t="s">
        <v>8894</v>
      </c>
      <c r="H1235" s="404" t="s">
        <v>8498</v>
      </c>
      <c r="I1235" s="404" t="s">
        <v>94</v>
      </c>
      <c r="J1235" s="404" t="s">
        <v>8895</v>
      </c>
      <c r="K1235" s="404" t="s">
        <v>8896</v>
      </c>
    </row>
    <row r="1236" spans="1:11">
      <c r="A1236" s="387"/>
      <c r="B1236" s="387"/>
      <c r="C1236" s="387"/>
      <c r="D1236" s="404" t="s">
        <v>8897</v>
      </c>
      <c r="E1236" s="404" t="s">
        <v>8898</v>
      </c>
      <c r="F1236" s="385" t="s">
        <v>20</v>
      </c>
      <c r="G1236" s="404" t="s">
        <v>8899</v>
      </c>
      <c r="H1236" s="404" t="s">
        <v>8900</v>
      </c>
      <c r="I1236" s="404" t="s">
        <v>23</v>
      </c>
      <c r="J1236" s="404" t="s">
        <v>8901</v>
      </c>
      <c r="K1236" s="404" t="s">
        <v>8902</v>
      </c>
    </row>
    <row r="1237" spans="1:11">
      <c r="A1237" s="387"/>
      <c r="B1237" s="387"/>
      <c r="C1237" s="387"/>
      <c r="D1237" s="404" t="s">
        <v>8903</v>
      </c>
      <c r="E1237" s="404" t="s">
        <v>8904</v>
      </c>
      <c r="F1237" s="385" t="s">
        <v>229</v>
      </c>
      <c r="G1237" s="404" t="s">
        <v>8905</v>
      </c>
      <c r="H1237" s="404" t="s">
        <v>8906</v>
      </c>
      <c r="I1237" s="404" t="s">
        <v>23</v>
      </c>
      <c r="J1237" s="404" t="s">
        <v>8335</v>
      </c>
      <c r="K1237" s="404" t="s">
        <v>8907</v>
      </c>
    </row>
    <row r="1238" spans="1:11">
      <c r="A1238" s="387"/>
      <c r="B1238" s="387"/>
      <c r="C1238" s="387"/>
      <c r="D1238" s="404" t="s">
        <v>8908</v>
      </c>
      <c r="E1238" s="404" t="s">
        <v>8909</v>
      </c>
      <c r="F1238" s="385" t="s">
        <v>20</v>
      </c>
      <c r="G1238" s="404" t="s">
        <v>8910</v>
      </c>
      <c r="H1238" s="404" t="s">
        <v>8911</v>
      </c>
      <c r="I1238" s="404" t="s">
        <v>94</v>
      </c>
      <c r="J1238" s="404" t="s">
        <v>8397</v>
      </c>
      <c r="K1238" s="404" t="s">
        <v>8912</v>
      </c>
    </row>
    <row r="1239" spans="1:11">
      <c r="A1239" s="387"/>
      <c r="B1239" s="387"/>
      <c r="C1239" s="387"/>
      <c r="D1239" s="404" t="s">
        <v>8913</v>
      </c>
      <c r="E1239" s="404" t="s">
        <v>8914</v>
      </c>
      <c r="F1239" s="385" t="s">
        <v>20</v>
      </c>
      <c r="G1239" s="404" t="s">
        <v>8915</v>
      </c>
      <c r="H1239" s="404" t="s">
        <v>8916</v>
      </c>
      <c r="I1239" s="404" t="s">
        <v>23</v>
      </c>
      <c r="J1239" s="404" t="s">
        <v>8335</v>
      </c>
      <c r="K1239" s="404" t="s">
        <v>8917</v>
      </c>
    </row>
    <row r="1240" spans="1:11" ht="30">
      <c r="A1240" s="387"/>
      <c r="B1240" s="387"/>
      <c r="C1240" s="387" t="s">
        <v>8918</v>
      </c>
      <c r="D1240" s="404" t="s">
        <v>8919</v>
      </c>
      <c r="E1240" s="404" t="s">
        <v>8920</v>
      </c>
      <c r="F1240" s="385" t="s">
        <v>20</v>
      </c>
      <c r="G1240" s="404" t="s">
        <v>8921</v>
      </c>
      <c r="H1240" s="404" t="s">
        <v>8922</v>
      </c>
      <c r="I1240" s="404" t="s">
        <v>23</v>
      </c>
      <c r="J1240" s="404" t="s">
        <v>8771</v>
      </c>
      <c r="K1240" s="404" t="s">
        <v>8923</v>
      </c>
    </row>
    <row r="1241" spans="1:11">
      <c r="A1241" s="387"/>
      <c r="B1241" s="387"/>
      <c r="C1241" s="387"/>
      <c r="D1241" s="404" t="s">
        <v>8924</v>
      </c>
      <c r="E1241" s="404" t="s">
        <v>8925</v>
      </c>
      <c r="F1241" s="385" t="s">
        <v>425</v>
      </c>
      <c r="G1241" s="404" t="s">
        <v>8926</v>
      </c>
      <c r="H1241" s="404" t="s">
        <v>8927</v>
      </c>
      <c r="I1241" s="404" t="s">
        <v>23</v>
      </c>
      <c r="J1241" s="404" t="s">
        <v>8928</v>
      </c>
      <c r="K1241" s="404" t="s">
        <v>8929</v>
      </c>
    </row>
    <row r="1242" spans="1:11" ht="30">
      <c r="A1242" s="387"/>
      <c r="B1242" s="387"/>
      <c r="C1242" s="387"/>
      <c r="D1242" s="404" t="s">
        <v>8930</v>
      </c>
      <c r="E1242" s="404" t="s">
        <v>8931</v>
      </c>
      <c r="F1242" s="385" t="s">
        <v>20</v>
      </c>
      <c r="G1242" s="404" t="s">
        <v>8932</v>
      </c>
      <c r="H1242" s="404" t="s">
        <v>8933</v>
      </c>
      <c r="I1242" s="404" t="s">
        <v>23</v>
      </c>
      <c r="J1242" s="404" t="s">
        <v>8934</v>
      </c>
      <c r="K1242" s="404" t="s">
        <v>8935</v>
      </c>
    </row>
    <row r="1243" spans="1:11">
      <c r="A1243" s="387"/>
      <c r="B1243" s="387"/>
      <c r="C1243" s="387"/>
      <c r="D1243" s="404" t="s">
        <v>8936</v>
      </c>
      <c r="E1243" s="404" t="s">
        <v>8937</v>
      </c>
      <c r="F1243" s="385" t="s">
        <v>229</v>
      </c>
      <c r="G1243" s="404" t="s">
        <v>8938</v>
      </c>
      <c r="H1243" s="404" t="s">
        <v>8939</v>
      </c>
      <c r="I1243" s="404" t="s">
        <v>94</v>
      </c>
      <c r="J1243" s="404" t="s">
        <v>8940</v>
      </c>
      <c r="K1243" s="404" t="s">
        <v>8941</v>
      </c>
    </row>
    <row r="1244" spans="1:11">
      <c r="A1244" s="387"/>
      <c r="B1244" s="387"/>
      <c r="C1244" s="387"/>
      <c r="D1244" s="404" t="s">
        <v>8942</v>
      </c>
      <c r="E1244" s="404" t="s">
        <v>8943</v>
      </c>
      <c r="F1244" s="385" t="s">
        <v>425</v>
      </c>
      <c r="G1244" s="404" t="s">
        <v>8944</v>
      </c>
      <c r="H1244" s="404" t="s">
        <v>8945</v>
      </c>
      <c r="I1244" s="404" t="s">
        <v>23</v>
      </c>
      <c r="J1244" s="404" t="s">
        <v>8335</v>
      </c>
      <c r="K1244" s="404" t="s">
        <v>8946</v>
      </c>
    </row>
    <row r="1245" spans="1:11">
      <c r="A1245" s="387" t="s">
        <v>9640</v>
      </c>
      <c r="B1245" s="405" t="s">
        <v>8951</v>
      </c>
      <c r="C1245" s="405" t="s">
        <v>8952</v>
      </c>
      <c r="D1245" s="406" t="s">
        <v>8953</v>
      </c>
      <c r="E1245" s="406" t="s">
        <v>8954</v>
      </c>
      <c r="F1245" s="385" t="s">
        <v>229</v>
      </c>
      <c r="G1245" s="404" t="s">
        <v>8955</v>
      </c>
      <c r="H1245" s="404" t="s">
        <v>8335</v>
      </c>
      <c r="I1245" s="404" t="s">
        <v>23</v>
      </c>
      <c r="J1245" s="404" t="s">
        <v>8956</v>
      </c>
      <c r="K1245" s="404" t="s">
        <v>8957</v>
      </c>
    </row>
    <row r="1246" spans="1:11">
      <c r="A1246" s="387"/>
      <c r="B1246" s="405"/>
      <c r="C1246" s="405"/>
      <c r="D1246" s="406" t="s">
        <v>8958</v>
      </c>
      <c r="E1246" s="406" t="s">
        <v>8959</v>
      </c>
      <c r="F1246" s="385" t="s">
        <v>20</v>
      </c>
      <c r="G1246" s="404" t="s">
        <v>8899</v>
      </c>
      <c r="H1246" s="404" t="s">
        <v>8960</v>
      </c>
      <c r="I1246" s="404" t="s">
        <v>94</v>
      </c>
      <c r="J1246" s="404" t="s">
        <v>8961</v>
      </c>
      <c r="K1246" s="404" t="s">
        <v>8962</v>
      </c>
    </row>
    <row r="1247" spans="1:11">
      <c r="A1247" s="387"/>
      <c r="B1247" s="405"/>
      <c r="C1247" s="405"/>
      <c r="D1247" s="406" t="s">
        <v>8963</v>
      </c>
      <c r="E1247" s="406" t="s">
        <v>8964</v>
      </c>
      <c r="F1247" s="385" t="s">
        <v>20</v>
      </c>
      <c r="G1247" s="404" t="s">
        <v>8965</v>
      </c>
      <c r="H1247" s="404" t="s">
        <v>8966</v>
      </c>
      <c r="I1247" s="404" t="s">
        <v>94</v>
      </c>
      <c r="J1247" s="404" t="s">
        <v>8771</v>
      </c>
      <c r="K1247" s="404" t="s">
        <v>8967</v>
      </c>
    </row>
    <row r="1248" spans="1:11">
      <c r="A1248" s="387"/>
      <c r="B1248" s="405"/>
      <c r="C1248" s="405"/>
      <c r="D1248" s="406" t="s">
        <v>8968</v>
      </c>
      <c r="E1248" s="406" t="s">
        <v>8969</v>
      </c>
      <c r="F1248" s="385" t="s">
        <v>20</v>
      </c>
      <c r="G1248" s="404" t="s">
        <v>8970</v>
      </c>
      <c r="H1248" s="404" t="s">
        <v>8971</v>
      </c>
      <c r="I1248" s="404" t="s">
        <v>23</v>
      </c>
      <c r="J1248" s="404" t="s">
        <v>8335</v>
      </c>
      <c r="K1248" s="404" t="s">
        <v>8946</v>
      </c>
    </row>
    <row r="1249" spans="1:11">
      <c r="A1249" s="387"/>
      <c r="B1249" s="405"/>
      <c r="C1249" s="405"/>
      <c r="D1249" s="406" t="s">
        <v>8972</v>
      </c>
      <c r="E1249" s="406" t="s">
        <v>8973</v>
      </c>
      <c r="F1249" s="385" t="s">
        <v>229</v>
      </c>
      <c r="G1249" s="404" t="s">
        <v>8974</v>
      </c>
      <c r="H1249" s="404" t="s">
        <v>8975</v>
      </c>
      <c r="I1249" s="404" t="s">
        <v>94</v>
      </c>
      <c r="J1249" s="404" t="s">
        <v>8378</v>
      </c>
      <c r="K1249" s="404" t="s">
        <v>8976</v>
      </c>
    </row>
    <row r="1250" spans="1:11">
      <c r="A1250" s="387"/>
      <c r="B1250" s="405"/>
      <c r="C1250" s="405" t="s">
        <v>8977</v>
      </c>
      <c r="D1250" s="406" t="s">
        <v>8978</v>
      </c>
      <c r="E1250" s="406" t="s">
        <v>8979</v>
      </c>
      <c r="F1250" s="385" t="s">
        <v>229</v>
      </c>
      <c r="G1250" s="404" t="s">
        <v>8980</v>
      </c>
      <c r="H1250" s="404" t="s">
        <v>8981</v>
      </c>
      <c r="I1250" s="404" t="s">
        <v>23</v>
      </c>
      <c r="J1250" s="404" t="s">
        <v>8982</v>
      </c>
      <c r="K1250" s="404" t="s">
        <v>8983</v>
      </c>
    </row>
    <row r="1251" spans="1:11">
      <c r="A1251" s="387"/>
      <c r="B1251" s="405"/>
      <c r="C1251" s="405"/>
      <c r="D1251" s="406" t="s">
        <v>8984</v>
      </c>
      <c r="E1251" s="406" t="s">
        <v>8985</v>
      </c>
      <c r="F1251" s="385" t="s">
        <v>229</v>
      </c>
      <c r="G1251" s="404" t="s">
        <v>8986</v>
      </c>
      <c r="H1251" s="404" t="s">
        <v>8987</v>
      </c>
      <c r="I1251" s="404" t="s">
        <v>94</v>
      </c>
      <c r="J1251" s="404" t="s">
        <v>8988</v>
      </c>
      <c r="K1251" s="404" t="s">
        <v>8989</v>
      </c>
    </row>
    <row r="1252" spans="1:11">
      <c r="A1252" s="387"/>
      <c r="B1252" s="405"/>
      <c r="C1252" s="405"/>
      <c r="D1252" s="406" t="s">
        <v>8990</v>
      </c>
      <c r="E1252" s="406" t="s">
        <v>8991</v>
      </c>
      <c r="F1252" s="385" t="s">
        <v>229</v>
      </c>
      <c r="G1252" s="404" t="s">
        <v>8992</v>
      </c>
      <c r="H1252" s="404" t="s">
        <v>8993</v>
      </c>
      <c r="I1252" s="404" t="s">
        <v>94</v>
      </c>
      <c r="J1252" s="404" t="s">
        <v>8994</v>
      </c>
      <c r="K1252" s="404" t="s">
        <v>8995</v>
      </c>
    </row>
    <row r="1253" spans="1:11">
      <c r="A1253" s="387"/>
      <c r="B1253" s="405"/>
      <c r="C1253" s="405"/>
      <c r="D1253" s="406" t="s">
        <v>8996</v>
      </c>
      <c r="E1253" s="406" t="s">
        <v>8997</v>
      </c>
      <c r="F1253" s="385" t="s">
        <v>425</v>
      </c>
      <c r="G1253" s="404" t="s">
        <v>8998</v>
      </c>
      <c r="H1253" s="404" t="s">
        <v>8539</v>
      </c>
      <c r="I1253" s="404" t="s">
        <v>23</v>
      </c>
      <c r="J1253" s="404" t="s">
        <v>8999</v>
      </c>
      <c r="K1253" s="404" t="s">
        <v>9000</v>
      </c>
    </row>
    <row r="1254" spans="1:11">
      <c r="A1254" s="387"/>
      <c r="B1254" s="405"/>
      <c r="C1254" s="405"/>
      <c r="D1254" s="406" t="s">
        <v>9001</v>
      </c>
      <c r="E1254" s="406" t="s">
        <v>9002</v>
      </c>
      <c r="F1254" s="385" t="s">
        <v>229</v>
      </c>
      <c r="G1254" s="404" t="s">
        <v>8568</v>
      </c>
      <c r="H1254" s="404" t="s">
        <v>8569</v>
      </c>
      <c r="I1254" s="404" t="s">
        <v>94</v>
      </c>
      <c r="J1254" s="404" t="s">
        <v>8570</v>
      </c>
      <c r="K1254" s="404" t="s">
        <v>9003</v>
      </c>
    </row>
    <row r="1255" spans="1:11">
      <c r="A1255" s="387"/>
      <c r="B1255" s="405"/>
      <c r="C1255" s="405" t="s">
        <v>9004</v>
      </c>
      <c r="D1255" s="406" t="s">
        <v>9005</v>
      </c>
      <c r="E1255" s="406" t="s">
        <v>9006</v>
      </c>
      <c r="F1255" s="385" t="s">
        <v>229</v>
      </c>
      <c r="G1255" s="404" t="s">
        <v>9007</v>
      </c>
      <c r="H1255" s="404" t="s">
        <v>9008</v>
      </c>
      <c r="I1255" s="404" t="s">
        <v>94</v>
      </c>
      <c r="J1255" s="404" t="s">
        <v>9009</v>
      </c>
      <c r="K1255" s="404" t="s">
        <v>9010</v>
      </c>
    </row>
    <row r="1256" spans="1:11">
      <c r="A1256" s="387"/>
      <c r="B1256" s="405"/>
      <c r="C1256" s="405"/>
      <c r="D1256" s="406" t="s">
        <v>9011</v>
      </c>
      <c r="E1256" s="406" t="s">
        <v>9012</v>
      </c>
      <c r="F1256" s="385" t="s">
        <v>20</v>
      </c>
      <c r="G1256" s="404" t="s">
        <v>9013</v>
      </c>
      <c r="H1256" s="404" t="s">
        <v>9014</v>
      </c>
      <c r="I1256" s="404" t="s">
        <v>94</v>
      </c>
      <c r="J1256" s="404" t="s">
        <v>9015</v>
      </c>
      <c r="K1256" s="404" t="s">
        <v>9016</v>
      </c>
    </row>
    <row r="1257" spans="1:11">
      <c r="A1257" s="387"/>
      <c r="B1257" s="405"/>
      <c r="C1257" s="405"/>
      <c r="D1257" s="406" t="s">
        <v>9017</v>
      </c>
      <c r="E1257" s="406" t="s">
        <v>9018</v>
      </c>
      <c r="F1257" s="385" t="s">
        <v>229</v>
      </c>
      <c r="G1257" s="404" t="s">
        <v>9019</v>
      </c>
      <c r="H1257" s="404" t="s">
        <v>9020</v>
      </c>
      <c r="I1257" s="404" t="s">
        <v>23</v>
      </c>
      <c r="J1257" s="404" t="s">
        <v>8342</v>
      </c>
      <c r="K1257" s="404" t="s">
        <v>9021</v>
      </c>
    </row>
    <row r="1258" spans="1:11">
      <c r="A1258" s="387"/>
      <c r="B1258" s="405"/>
      <c r="C1258" s="405"/>
      <c r="D1258" s="406" t="s">
        <v>9022</v>
      </c>
      <c r="E1258" s="406" t="s">
        <v>9023</v>
      </c>
      <c r="F1258" s="385" t="s">
        <v>20</v>
      </c>
      <c r="G1258" s="404" t="s">
        <v>9024</v>
      </c>
      <c r="H1258" s="404" t="s">
        <v>9025</v>
      </c>
      <c r="I1258" s="404" t="s">
        <v>23</v>
      </c>
      <c r="J1258" s="404" t="s">
        <v>9026</v>
      </c>
      <c r="K1258" s="404" t="s">
        <v>9027</v>
      </c>
    </row>
    <row r="1259" spans="1:11">
      <c r="A1259" s="387"/>
      <c r="B1259" s="405"/>
      <c r="C1259" s="405"/>
      <c r="D1259" s="406" t="s">
        <v>9028</v>
      </c>
      <c r="E1259" s="406" t="s">
        <v>9029</v>
      </c>
      <c r="F1259" s="385" t="s">
        <v>20</v>
      </c>
      <c r="G1259" s="404" t="s">
        <v>9030</v>
      </c>
      <c r="H1259" s="404" t="s">
        <v>9031</v>
      </c>
      <c r="I1259" s="404" t="s">
        <v>94</v>
      </c>
      <c r="J1259" s="404" t="s">
        <v>9032</v>
      </c>
      <c r="K1259" s="404" t="s">
        <v>9033</v>
      </c>
    </row>
    <row r="1260" spans="1:11">
      <c r="A1260" s="387"/>
      <c r="B1260" s="405"/>
      <c r="C1260" s="405" t="s">
        <v>9034</v>
      </c>
      <c r="D1260" s="406" t="s">
        <v>9035</v>
      </c>
      <c r="E1260" s="406" t="s">
        <v>9036</v>
      </c>
      <c r="F1260" s="385" t="s">
        <v>20</v>
      </c>
      <c r="G1260" s="404" t="s">
        <v>9037</v>
      </c>
      <c r="H1260" s="404" t="s">
        <v>8859</v>
      </c>
      <c r="I1260" s="404" t="s">
        <v>94</v>
      </c>
      <c r="J1260" s="404" t="s">
        <v>8402</v>
      </c>
      <c r="K1260" s="404" t="s">
        <v>9038</v>
      </c>
    </row>
    <row r="1261" spans="1:11">
      <c r="A1261" s="387"/>
      <c r="B1261" s="405"/>
      <c r="C1261" s="405"/>
      <c r="D1261" s="406" t="s">
        <v>9039</v>
      </c>
      <c r="E1261" s="406" t="s">
        <v>9040</v>
      </c>
      <c r="F1261" s="385" t="s">
        <v>425</v>
      </c>
      <c r="G1261" s="404" t="s">
        <v>9041</v>
      </c>
      <c r="H1261" s="404" t="s">
        <v>9042</v>
      </c>
      <c r="I1261" s="404" t="s">
        <v>23</v>
      </c>
      <c r="J1261" s="404" t="s">
        <v>8601</v>
      </c>
      <c r="K1261" s="404" t="s">
        <v>9043</v>
      </c>
    </row>
    <row r="1262" spans="1:11">
      <c r="A1262" s="387"/>
      <c r="B1262" s="405"/>
      <c r="C1262" s="405"/>
      <c r="D1262" s="406" t="s">
        <v>9044</v>
      </c>
      <c r="E1262" s="406" t="s">
        <v>9045</v>
      </c>
      <c r="F1262" s="385" t="s">
        <v>20</v>
      </c>
      <c r="G1262" s="404" t="s">
        <v>9046</v>
      </c>
      <c r="H1262" s="404" t="s">
        <v>9047</v>
      </c>
      <c r="I1262" s="404" t="s">
        <v>23</v>
      </c>
      <c r="J1262" s="404" t="s">
        <v>9048</v>
      </c>
      <c r="K1262" s="404" t="s">
        <v>9049</v>
      </c>
    </row>
    <row r="1263" spans="1:11">
      <c r="A1263" s="387"/>
      <c r="B1263" s="405"/>
      <c r="C1263" s="405"/>
      <c r="D1263" s="406" t="s">
        <v>9050</v>
      </c>
      <c r="E1263" s="406" t="s">
        <v>9051</v>
      </c>
      <c r="F1263" s="385" t="s">
        <v>229</v>
      </c>
      <c r="G1263" s="404" t="s">
        <v>9052</v>
      </c>
      <c r="H1263" s="404" t="s">
        <v>8702</v>
      </c>
      <c r="I1263" s="404" t="s">
        <v>94</v>
      </c>
      <c r="J1263" s="404" t="s">
        <v>9053</v>
      </c>
      <c r="K1263" s="404" t="s">
        <v>9054</v>
      </c>
    </row>
    <row r="1264" spans="1:11">
      <c r="A1264" s="387"/>
      <c r="B1264" s="405"/>
      <c r="C1264" s="405"/>
      <c r="D1264" s="406" t="s">
        <v>9055</v>
      </c>
      <c r="E1264" s="406" t="s">
        <v>9056</v>
      </c>
      <c r="F1264" s="385" t="s">
        <v>425</v>
      </c>
      <c r="G1264" s="404" t="s">
        <v>9057</v>
      </c>
      <c r="H1264" s="404" t="s">
        <v>9058</v>
      </c>
      <c r="I1264" s="404" t="s">
        <v>23</v>
      </c>
      <c r="J1264" s="404" t="s">
        <v>9059</v>
      </c>
      <c r="K1264" s="404" t="s">
        <v>9060</v>
      </c>
    </row>
    <row r="1265" spans="1:11">
      <c r="A1265" s="387"/>
      <c r="B1265" s="405"/>
      <c r="C1265" s="405" t="s">
        <v>9061</v>
      </c>
      <c r="D1265" s="406" t="s">
        <v>9062</v>
      </c>
      <c r="E1265" s="406" t="s">
        <v>9063</v>
      </c>
      <c r="F1265" s="385" t="s">
        <v>229</v>
      </c>
      <c r="G1265" s="404" t="s">
        <v>9064</v>
      </c>
      <c r="H1265" s="404" t="s">
        <v>9065</v>
      </c>
      <c r="I1265" s="404" t="s">
        <v>23</v>
      </c>
      <c r="J1265" s="404" t="s">
        <v>9066</v>
      </c>
      <c r="K1265" s="404" t="s">
        <v>9067</v>
      </c>
    </row>
    <row r="1266" spans="1:11">
      <c r="A1266" s="387"/>
      <c r="B1266" s="405"/>
      <c r="C1266" s="405"/>
      <c r="D1266" s="406" t="s">
        <v>9068</v>
      </c>
      <c r="E1266" s="406" t="s">
        <v>9069</v>
      </c>
      <c r="F1266" s="385" t="s">
        <v>229</v>
      </c>
      <c r="G1266" s="404" t="s">
        <v>9070</v>
      </c>
      <c r="H1266" s="404" t="s">
        <v>8901</v>
      </c>
      <c r="I1266" s="404" t="s">
        <v>23</v>
      </c>
      <c r="J1266" s="404" t="s">
        <v>9071</v>
      </c>
      <c r="K1266" s="404" t="s">
        <v>9072</v>
      </c>
    </row>
    <row r="1267" spans="1:11">
      <c r="A1267" s="387"/>
      <c r="B1267" s="405"/>
      <c r="C1267" s="405"/>
      <c r="D1267" s="406" t="s">
        <v>9073</v>
      </c>
      <c r="E1267" s="406" t="s">
        <v>9074</v>
      </c>
      <c r="F1267" s="385" t="s">
        <v>229</v>
      </c>
      <c r="G1267" s="404" t="s">
        <v>9075</v>
      </c>
      <c r="H1267" s="404" t="s">
        <v>9076</v>
      </c>
      <c r="I1267" s="404" t="s">
        <v>23</v>
      </c>
      <c r="J1267" s="404" t="s">
        <v>9077</v>
      </c>
      <c r="K1267" s="404" t="s">
        <v>9078</v>
      </c>
    </row>
    <row r="1268" spans="1:11">
      <c r="A1268" s="387"/>
      <c r="B1268" s="405"/>
      <c r="C1268" s="405"/>
      <c r="D1268" s="406" t="s">
        <v>9079</v>
      </c>
      <c r="E1268" s="406" t="s">
        <v>9080</v>
      </c>
      <c r="F1268" s="385" t="s">
        <v>20</v>
      </c>
      <c r="G1268" s="404" t="s">
        <v>9081</v>
      </c>
      <c r="H1268" s="404" t="s">
        <v>9082</v>
      </c>
      <c r="I1268" s="404" t="s">
        <v>94</v>
      </c>
      <c r="J1268" s="404" t="s">
        <v>8630</v>
      </c>
      <c r="K1268" s="404" t="s">
        <v>9083</v>
      </c>
    </row>
    <row r="1269" spans="1:11">
      <c r="A1269" s="387"/>
      <c r="B1269" s="405"/>
      <c r="C1269" s="405"/>
      <c r="D1269" s="406" t="s">
        <v>9084</v>
      </c>
      <c r="E1269" s="406" t="s">
        <v>9085</v>
      </c>
      <c r="F1269" s="385" t="s">
        <v>20</v>
      </c>
      <c r="G1269" s="404" t="s">
        <v>9086</v>
      </c>
      <c r="H1269" s="404" t="s">
        <v>8534</v>
      </c>
      <c r="I1269" s="404" t="s">
        <v>23</v>
      </c>
      <c r="J1269" s="404" t="s">
        <v>9087</v>
      </c>
      <c r="K1269" s="404" t="s">
        <v>9088</v>
      </c>
    </row>
    <row r="1270" spans="1:11">
      <c r="A1270" s="387"/>
      <c r="B1270" s="407" t="s">
        <v>9089</v>
      </c>
      <c r="C1270" s="407" t="s">
        <v>9090</v>
      </c>
      <c r="D1270" s="408" t="s">
        <v>9091</v>
      </c>
      <c r="E1270" s="408" t="s">
        <v>9092</v>
      </c>
      <c r="F1270" s="385" t="s">
        <v>20</v>
      </c>
      <c r="G1270" s="404" t="s">
        <v>9093</v>
      </c>
      <c r="H1270" s="404" t="s">
        <v>9094</v>
      </c>
      <c r="I1270" s="404" t="s">
        <v>94</v>
      </c>
      <c r="J1270" s="404" t="s">
        <v>9095</v>
      </c>
      <c r="K1270" s="404" t="s">
        <v>9096</v>
      </c>
    </row>
    <row r="1271" spans="1:11">
      <c r="A1271" s="387"/>
      <c r="B1271" s="407"/>
      <c r="C1271" s="407"/>
      <c r="D1271" s="408" t="s">
        <v>9097</v>
      </c>
      <c r="E1271" s="408" t="s">
        <v>9098</v>
      </c>
      <c r="F1271" s="385" t="s">
        <v>20</v>
      </c>
      <c r="G1271" s="404" t="s">
        <v>9099</v>
      </c>
      <c r="H1271" s="404" t="s">
        <v>9100</v>
      </c>
      <c r="I1271" s="404" t="s">
        <v>94</v>
      </c>
      <c r="J1271" s="404" t="s">
        <v>9101</v>
      </c>
      <c r="K1271" s="404" t="s">
        <v>9102</v>
      </c>
    </row>
    <row r="1272" spans="1:11">
      <c r="A1272" s="387"/>
      <c r="B1272" s="407"/>
      <c r="C1272" s="407"/>
      <c r="D1272" s="408" t="s">
        <v>9103</v>
      </c>
      <c r="E1272" s="408" t="s">
        <v>9104</v>
      </c>
      <c r="F1272" s="385" t="s">
        <v>20</v>
      </c>
      <c r="G1272" s="404" t="s">
        <v>9105</v>
      </c>
      <c r="H1272" s="404" t="s">
        <v>9106</v>
      </c>
      <c r="I1272" s="404" t="s">
        <v>23</v>
      </c>
      <c r="J1272" s="404" t="s">
        <v>8336</v>
      </c>
      <c r="K1272" s="404" t="s">
        <v>9107</v>
      </c>
    </row>
    <row r="1273" spans="1:11">
      <c r="A1273" s="387"/>
      <c r="B1273" s="407"/>
      <c r="C1273" s="407"/>
      <c r="D1273" s="408" t="s">
        <v>9108</v>
      </c>
      <c r="E1273" s="408" t="s">
        <v>9109</v>
      </c>
      <c r="F1273" s="385" t="s">
        <v>20</v>
      </c>
      <c r="G1273" s="404" t="s">
        <v>8799</v>
      </c>
      <c r="H1273" s="404" t="s">
        <v>9110</v>
      </c>
      <c r="I1273" s="404" t="s">
        <v>94</v>
      </c>
      <c r="J1273" s="404" t="s">
        <v>9111</v>
      </c>
      <c r="K1273" s="404" t="s">
        <v>9112</v>
      </c>
    </row>
    <row r="1274" spans="1:11">
      <c r="A1274" s="387"/>
      <c r="B1274" s="407"/>
      <c r="C1274" s="407"/>
      <c r="D1274" s="408" t="s">
        <v>9113</v>
      </c>
      <c r="E1274" s="408" t="s">
        <v>9114</v>
      </c>
      <c r="F1274" s="385" t="s">
        <v>20</v>
      </c>
      <c r="G1274" s="404" t="s">
        <v>9115</v>
      </c>
      <c r="H1274" s="404" t="s">
        <v>8748</v>
      </c>
      <c r="I1274" s="404" t="s">
        <v>94</v>
      </c>
      <c r="J1274" s="404" t="s">
        <v>9116</v>
      </c>
      <c r="K1274" s="404" t="s">
        <v>9117</v>
      </c>
    </row>
    <row r="1275" spans="1:11">
      <c r="A1275" s="387"/>
      <c r="B1275" s="407"/>
      <c r="C1275" s="407" t="s">
        <v>9118</v>
      </c>
      <c r="D1275" s="408" t="s">
        <v>9119</v>
      </c>
      <c r="E1275" s="408" t="s">
        <v>9120</v>
      </c>
      <c r="F1275" s="385" t="s">
        <v>20</v>
      </c>
      <c r="G1275" s="404" t="s">
        <v>9121</v>
      </c>
      <c r="H1275" s="404" t="s">
        <v>9122</v>
      </c>
      <c r="I1275" s="404" t="s">
        <v>94</v>
      </c>
      <c r="J1275" s="404" t="s">
        <v>8784</v>
      </c>
      <c r="K1275" s="404" t="s">
        <v>9123</v>
      </c>
    </row>
    <row r="1276" spans="1:11">
      <c r="A1276" s="387"/>
      <c r="B1276" s="407"/>
      <c r="C1276" s="407"/>
      <c r="D1276" s="408" t="s">
        <v>9124</v>
      </c>
      <c r="E1276" s="408" t="s">
        <v>9125</v>
      </c>
      <c r="F1276" s="385" t="s">
        <v>229</v>
      </c>
      <c r="G1276" s="404" t="s">
        <v>9126</v>
      </c>
      <c r="H1276" s="404" t="s">
        <v>9127</v>
      </c>
      <c r="I1276" s="404" t="s">
        <v>23</v>
      </c>
      <c r="J1276" s="404" t="s">
        <v>9128</v>
      </c>
      <c r="K1276" s="404" t="s">
        <v>9129</v>
      </c>
    </row>
    <row r="1277" spans="1:11">
      <c r="A1277" s="387"/>
      <c r="B1277" s="407"/>
      <c r="C1277" s="407"/>
      <c r="D1277" s="408" t="s">
        <v>9130</v>
      </c>
      <c r="E1277" s="408" t="s">
        <v>9131</v>
      </c>
      <c r="F1277" s="385" t="s">
        <v>229</v>
      </c>
      <c r="G1277" s="404" t="s">
        <v>9132</v>
      </c>
      <c r="H1277" s="404" t="s">
        <v>9133</v>
      </c>
      <c r="I1277" s="404" t="s">
        <v>23</v>
      </c>
      <c r="J1277" s="404" t="s">
        <v>8397</v>
      </c>
      <c r="K1277" s="404" t="s">
        <v>9134</v>
      </c>
    </row>
    <row r="1278" spans="1:11">
      <c r="A1278" s="387"/>
      <c r="B1278" s="407"/>
      <c r="C1278" s="407"/>
      <c r="D1278" s="408" t="s">
        <v>9135</v>
      </c>
      <c r="E1278" s="408" t="s">
        <v>9136</v>
      </c>
      <c r="F1278" s="385" t="s">
        <v>229</v>
      </c>
      <c r="G1278" s="404" t="s">
        <v>9137</v>
      </c>
      <c r="H1278" s="404" t="s">
        <v>8498</v>
      </c>
      <c r="I1278" s="404" t="s">
        <v>94</v>
      </c>
      <c r="J1278" s="404" t="s">
        <v>9138</v>
      </c>
      <c r="K1278" s="404" t="s">
        <v>9139</v>
      </c>
    </row>
    <row r="1279" spans="1:11">
      <c r="A1279" s="387"/>
      <c r="B1279" s="407"/>
      <c r="C1279" s="407"/>
      <c r="D1279" s="408" t="s">
        <v>9140</v>
      </c>
      <c r="E1279" s="408" t="s">
        <v>9141</v>
      </c>
      <c r="F1279" s="385" t="s">
        <v>20</v>
      </c>
      <c r="G1279" s="404" t="s">
        <v>9142</v>
      </c>
      <c r="H1279" s="404" t="s">
        <v>9143</v>
      </c>
      <c r="I1279" s="404" t="s">
        <v>94</v>
      </c>
      <c r="J1279" s="404" t="s">
        <v>8474</v>
      </c>
      <c r="K1279" s="404" t="s">
        <v>9144</v>
      </c>
    </row>
    <row r="1280" spans="1:11">
      <c r="A1280" s="387"/>
      <c r="B1280" s="407"/>
      <c r="C1280" s="407" t="s">
        <v>9145</v>
      </c>
      <c r="D1280" s="408" t="s">
        <v>9146</v>
      </c>
      <c r="E1280" s="408" t="s">
        <v>9147</v>
      </c>
      <c r="F1280" s="385" t="s">
        <v>20</v>
      </c>
      <c r="G1280" s="404" t="s">
        <v>9148</v>
      </c>
      <c r="H1280" s="404" t="s">
        <v>9149</v>
      </c>
      <c r="I1280" s="404" t="s">
        <v>23</v>
      </c>
      <c r="J1280" s="404" t="s">
        <v>9150</v>
      </c>
      <c r="K1280" s="404" t="s">
        <v>9151</v>
      </c>
    </row>
    <row r="1281" spans="1:11">
      <c r="A1281" s="387"/>
      <c r="B1281" s="407"/>
      <c r="C1281" s="407"/>
      <c r="D1281" s="408" t="s">
        <v>9152</v>
      </c>
      <c r="E1281" s="408" t="s">
        <v>9153</v>
      </c>
      <c r="F1281" s="385" t="s">
        <v>229</v>
      </c>
      <c r="G1281" s="404" t="s">
        <v>9154</v>
      </c>
      <c r="H1281" s="404" t="s">
        <v>8933</v>
      </c>
      <c r="I1281" s="404" t="s">
        <v>23</v>
      </c>
      <c r="J1281" s="404" t="s">
        <v>9155</v>
      </c>
      <c r="K1281" s="404" t="s">
        <v>9156</v>
      </c>
    </row>
    <row r="1282" spans="1:11">
      <c r="A1282" s="387"/>
      <c r="B1282" s="407"/>
      <c r="C1282" s="407"/>
      <c r="D1282" s="408" t="s">
        <v>9157</v>
      </c>
      <c r="E1282" s="408" t="s">
        <v>9158</v>
      </c>
      <c r="F1282" s="385" t="s">
        <v>20</v>
      </c>
      <c r="G1282" s="404" t="s">
        <v>8915</v>
      </c>
      <c r="H1282" s="404" t="s">
        <v>8759</v>
      </c>
      <c r="I1282" s="404" t="s">
        <v>94</v>
      </c>
      <c r="J1282" s="404" t="s">
        <v>8492</v>
      </c>
      <c r="K1282" s="404" t="s">
        <v>9159</v>
      </c>
    </row>
    <row r="1283" spans="1:11">
      <c r="A1283" s="387"/>
      <c r="B1283" s="407"/>
      <c r="C1283" s="407"/>
      <c r="D1283" s="408" t="s">
        <v>9160</v>
      </c>
      <c r="E1283" s="408" t="s">
        <v>9161</v>
      </c>
      <c r="F1283" s="385" t="s">
        <v>20</v>
      </c>
      <c r="G1283" s="404" t="s">
        <v>9162</v>
      </c>
      <c r="H1283" s="404" t="s">
        <v>9163</v>
      </c>
      <c r="I1283" s="404" t="s">
        <v>23</v>
      </c>
      <c r="J1283" s="404" t="s">
        <v>9164</v>
      </c>
      <c r="K1283" s="404" t="s">
        <v>9165</v>
      </c>
    </row>
    <row r="1284" spans="1:11">
      <c r="A1284" s="387"/>
      <c r="B1284" s="407"/>
      <c r="C1284" s="407"/>
      <c r="D1284" s="408" t="s">
        <v>9166</v>
      </c>
      <c r="E1284" s="408" t="s">
        <v>9167</v>
      </c>
      <c r="F1284" s="385" t="s">
        <v>20</v>
      </c>
      <c r="G1284" s="404" t="s">
        <v>9168</v>
      </c>
      <c r="H1284" s="404" t="s">
        <v>9169</v>
      </c>
      <c r="I1284" s="404" t="s">
        <v>94</v>
      </c>
      <c r="J1284" s="404" t="s">
        <v>9170</v>
      </c>
      <c r="K1284" s="404" t="s">
        <v>9171</v>
      </c>
    </row>
    <row r="1285" spans="1:11">
      <c r="A1285" s="387"/>
      <c r="B1285" s="407"/>
      <c r="C1285" s="407" t="s">
        <v>9172</v>
      </c>
      <c r="D1285" s="408" t="s">
        <v>9173</v>
      </c>
      <c r="E1285" s="408" t="s">
        <v>9174</v>
      </c>
      <c r="F1285" s="385" t="s">
        <v>20</v>
      </c>
      <c r="G1285" s="404" t="s">
        <v>8775</v>
      </c>
      <c r="H1285" s="404" t="s">
        <v>9175</v>
      </c>
      <c r="I1285" s="404" t="s">
        <v>23</v>
      </c>
      <c r="J1285" s="404" t="s">
        <v>8397</v>
      </c>
      <c r="K1285" s="404" t="s">
        <v>9176</v>
      </c>
    </row>
    <row r="1286" spans="1:11">
      <c r="A1286" s="387"/>
      <c r="B1286" s="407"/>
      <c r="C1286" s="407"/>
      <c r="D1286" s="408" t="s">
        <v>9177</v>
      </c>
      <c r="E1286" s="408" t="s">
        <v>9178</v>
      </c>
      <c r="F1286" s="385" t="s">
        <v>20</v>
      </c>
      <c r="G1286" s="404" t="s">
        <v>9179</v>
      </c>
      <c r="H1286" s="404" t="s">
        <v>9180</v>
      </c>
      <c r="I1286" s="404" t="s">
        <v>23</v>
      </c>
      <c r="J1286" s="404" t="s">
        <v>9181</v>
      </c>
      <c r="K1286" s="404" t="s">
        <v>9182</v>
      </c>
    </row>
    <row r="1287" spans="1:11">
      <c r="A1287" s="387"/>
      <c r="B1287" s="407"/>
      <c r="C1287" s="407"/>
      <c r="D1287" s="408" t="s">
        <v>9183</v>
      </c>
      <c r="E1287" s="408" t="s">
        <v>9184</v>
      </c>
      <c r="F1287" s="385" t="s">
        <v>229</v>
      </c>
      <c r="G1287" s="404" t="s">
        <v>9185</v>
      </c>
      <c r="H1287" s="404" t="s">
        <v>9186</v>
      </c>
      <c r="I1287" s="404" t="s">
        <v>94</v>
      </c>
      <c r="J1287" s="404" t="s">
        <v>9187</v>
      </c>
      <c r="K1287" s="404" t="s">
        <v>9188</v>
      </c>
    </row>
    <row r="1288" spans="1:11">
      <c r="A1288" s="387"/>
      <c r="B1288" s="407"/>
      <c r="C1288" s="407"/>
      <c r="D1288" s="408" t="s">
        <v>9189</v>
      </c>
      <c r="E1288" s="408" t="s">
        <v>9190</v>
      </c>
      <c r="F1288" s="385" t="s">
        <v>229</v>
      </c>
      <c r="G1288" s="404" t="s">
        <v>9191</v>
      </c>
      <c r="H1288" s="404" t="s">
        <v>9192</v>
      </c>
      <c r="I1288" s="404" t="s">
        <v>23</v>
      </c>
      <c r="J1288" s="404" t="s">
        <v>9193</v>
      </c>
      <c r="K1288" s="404" t="s">
        <v>9194</v>
      </c>
    </row>
    <row r="1289" spans="1:11">
      <c r="A1289" s="387"/>
      <c r="B1289" s="407"/>
      <c r="C1289" s="407"/>
      <c r="D1289" s="408" t="s">
        <v>9195</v>
      </c>
      <c r="E1289" s="408" t="s">
        <v>9196</v>
      </c>
      <c r="F1289" s="385" t="s">
        <v>425</v>
      </c>
      <c r="G1289" s="404" t="s">
        <v>9197</v>
      </c>
      <c r="H1289" s="404" t="s">
        <v>9198</v>
      </c>
      <c r="I1289" s="404" t="s">
        <v>23</v>
      </c>
      <c r="J1289" s="404" t="s">
        <v>9199</v>
      </c>
      <c r="K1289" s="404" t="s">
        <v>9200</v>
      </c>
    </row>
    <row r="1290" spans="1:11">
      <c r="A1290" s="387"/>
      <c r="B1290" s="407"/>
      <c r="C1290" s="407" t="s">
        <v>9201</v>
      </c>
      <c r="D1290" s="408" t="s">
        <v>9202</v>
      </c>
      <c r="E1290" s="408" t="s">
        <v>9203</v>
      </c>
      <c r="F1290" s="385" t="s">
        <v>425</v>
      </c>
      <c r="G1290" s="404" t="s">
        <v>9204</v>
      </c>
      <c r="H1290" s="404" t="s">
        <v>9205</v>
      </c>
      <c r="I1290" s="404" t="s">
        <v>23</v>
      </c>
      <c r="J1290" s="404" t="s">
        <v>9206</v>
      </c>
      <c r="K1290" s="404" t="s">
        <v>9207</v>
      </c>
    </row>
    <row r="1291" spans="1:11">
      <c r="A1291" s="387"/>
      <c r="B1291" s="407"/>
      <c r="C1291" s="407"/>
      <c r="D1291" s="408" t="s">
        <v>9208</v>
      </c>
      <c r="E1291" s="408" t="s">
        <v>9209</v>
      </c>
      <c r="F1291" s="385" t="s">
        <v>229</v>
      </c>
      <c r="G1291" s="404" t="s">
        <v>9210</v>
      </c>
      <c r="H1291" s="404" t="s">
        <v>9211</v>
      </c>
      <c r="I1291" s="404" t="s">
        <v>23</v>
      </c>
      <c r="J1291" s="404" t="s">
        <v>9212</v>
      </c>
      <c r="K1291" s="404" t="s">
        <v>9213</v>
      </c>
    </row>
    <row r="1292" spans="1:11">
      <c r="A1292" s="387"/>
      <c r="B1292" s="407"/>
      <c r="C1292" s="407"/>
      <c r="D1292" s="408" t="s">
        <v>9214</v>
      </c>
      <c r="E1292" s="408" t="s">
        <v>9215</v>
      </c>
      <c r="F1292" s="385" t="s">
        <v>229</v>
      </c>
      <c r="G1292" s="404" t="s">
        <v>9216</v>
      </c>
      <c r="H1292" s="404" t="s">
        <v>9217</v>
      </c>
      <c r="I1292" s="404" t="s">
        <v>94</v>
      </c>
      <c r="J1292" s="404" t="s">
        <v>9218</v>
      </c>
      <c r="K1292" s="404" t="s">
        <v>9219</v>
      </c>
    </row>
    <row r="1293" spans="1:11">
      <c r="A1293" s="387"/>
      <c r="B1293" s="407"/>
      <c r="C1293" s="407"/>
      <c r="D1293" s="408" t="s">
        <v>9220</v>
      </c>
      <c r="E1293" s="408" t="s">
        <v>9221</v>
      </c>
      <c r="F1293" s="385" t="s">
        <v>20</v>
      </c>
      <c r="G1293" s="404" t="s">
        <v>9222</v>
      </c>
      <c r="H1293" s="404" t="s">
        <v>9223</v>
      </c>
      <c r="I1293" s="404" t="s">
        <v>23</v>
      </c>
      <c r="J1293" s="404" t="s">
        <v>9224</v>
      </c>
      <c r="K1293" s="404" t="s">
        <v>9225</v>
      </c>
    </row>
    <row r="1294" spans="1:11">
      <c r="A1294" s="387"/>
      <c r="B1294" s="407"/>
      <c r="C1294" s="407"/>
      <c r="D1294" s="408" t="s">
        <v>9226</v>
      </c>
      <c r="E1294" s="408" t="s">
        <v>9227</v>
      </c>
      <c r="F1294" s="385" t="s">
        <v>20</v>
      </c>
      <c r="G1294" s="404" t="s">
        <v>9228</v>
      </c>
      <c r="H1294" s="404" t="s">
        <v>9229</v>
      </c>
      <c r="I1294" s="404" t="s">
        <v>94</v>
      </c>
      <c r="J1294" s="404" t="s">
        <v>9230</v>
      </c>
      <c r="K1294" s="404" t="s">
        <v>9231</v>
      </c>
    </row>
    <row r="1295" spans="1:11">
      <c r="A1295" s="387"/>
      <c r="B1295" s="409" t="s">
        <v>9232</v>
      </c>
      <c r="C1295" s="409" t="s">
        <v>9233</v>
      </c>
      <c r="D1295" s="410" t="s">
        <v>9234</v>
      </c>
      <c r="E1295" s="410" t="s">
        <v>9235</v>
      </c>
      <c r="F1295" s="385" t="s">
        <v>20</v>
      </c>
      <c r="G1295" s="404" t="s">
        <v>9236</v>
      </c>
      <c r="H1295" s="404" t="s">
        <v>9237</v>
      </c>
      <c r="I1295" s="404" t="s">
        <v>94</v>
      </c>
      <c r="J1295" s="404" t="s">
        <v>9048</v>
      </c>
      <c r="K1295" s="404" t="s">
        <v>9238</v>
      </c>
    </row>
    <row r="1296" spans="1:11">
      <c r="A1296" s="387"/>
      <c r="B1296" s="409"/>
      <c r="C1296" s="409"/>
      <c r="D1296" s="410" t="s">
        <v>9239</v>
      </c>
      <c r="E1296" s="410" t="s">
        <v>9240</v>
      </c>
      <c r="F1296" s="385" t="s">
        <v>20</v>
      </c>
      <c r="G1296" s="404" t="s">
        <v>9241</v>
      </c>
      <c r="H1296" s="404" t="s">
        <v>9242</v>
      </c>
      <c r="I1296" s="404" t="s">
        <v>23</v>
      </c>
      <c r="J1296" s="404" t="s">
        <v>8402</v>
      </c>
      <c r="K1296" s="404" t="s">
        <v>9243</v>
      </c>
    </row>
    <row r="1297" spans="1:11">
      <c r="A1297" s="387"/>
      <c r="B1297" s="409"/>
      <c r="C1297" s="409"/>
      <c r="D1297" s="410" t="s">
        <v>9244</v>
      </c>
      <c r="E1297" s="410" t="s">
        <v>9245</v>
      </c>
      <c r="F1297" s="385" t="s">
        <v>20</v>
      </c>
      <c r="G1297" s="404" t="s">
        <v>9246</v>
      </c>
      <c r="H1297" s="404" t="s">
        <v>9247</v>
      </c>
      <c r="I1297" s="404" t="s">
        <v>94</v>
      </c>
      <c r="J1297" s="404" t="s">
        <v>9248</v>
      </c>
      <c r="K1297" s="404" t="s">
        <v>9249</v>
      </c>
    </row>
    <row r="1298" spans="1:11">
      <c r="A1298" s="387"/>
      <c r="B1298" s="409"/>
      <c r="C1298" s="409"/>
      <c r="D1298" s="410" t="s">
        <v>9250</v>
      </c>
      <c r="E1298" s="410" t="s">
        <v>9251</v>
      </c>
      <c r="F1298" s="385" t="s">
        <v>20</v>
      </c>
      <c r="G1298" s="404" t="s">
        <v>9252</v>
      </c>
      <c r="H1298" s="404" t="s">
        <v>9253</v>
      </c>
      <c r="I1298" s="404" t="s">
        <v>23</v>
      </c>
      <c r="J1298" s="404" t="s">
        <v>9254</v>
      </c>
      <c r="K1298" s="404" t="s">
        <v>9255</v>
      </c>
    </row>
    <row r="1299" spans="1:11">
      <c r="A1299" s="387"/>
      <c r="B1299" s="409"/>
      <c r="C1299" s="409"/>
      <c r="D1299" s="410" t="s">
        <v>9256</v>
      </c>
      <c r="E1299" s="410" t="s">
        <v>9257</v>
      </c>
      <c r="F1299" s="385" t="s">
        <v>20</v>
      </c>
      <c r="G1299" s="404" t="s">
        <v>9258</v>
      </c>
      <c r="H1299" s="404" t="s">
        <v>9259</v>
      </c>
      <c r="I1299" s="404" t="s">
        <v>94</v>
      </c>
      <c r="J1299" s="404" t="s">
        <v>8367</v>
      </c>
      <c r="K1299" s="404" t="s">
        <v>9260</v>
      </c>
    </row>
    <row r="1300" spans="1:11">
      <c r="A1300" s="387"/>
      <c r="B1300" s="409"/>
      <c r="C1300" s="409" t="s">
        <v>9261</v>
      </c>
      <c r="D1300" s="410" t="s">
        <v>9262</v>
      </c>
      <c r="E1300" s="410" t="s">
        <v>9263</v>
      </c>
      <c r="F1300" s="385" t="s">
        <v>20</v>
      </c>
      <c r="G1300" s="404" t="s">
        <v>9264</v>
      </c>
      <c r="H1300" s="404" t="s">
        <v>9265</v>
      </c>
      <c r="I1300" s="404" t="s">
        <v>94</v>
      </c>
      <c r="J1300" s="404" t="s">
        <v>8630</v>
      </c>
      <c r="K1300" s="404" t="s">
        <v>9266</v>
      </c>
    </row>
    <row r="1301" spans="1:11">
      <c r="A1301" s="387"/>
      <c r="B1301" s="409"/>
      <c r="C1301" s="409"/>
      <c r="D1301" s="410" t="s">
        <v>9267</v>
      </c>
      <c r="E1301" s="410" t="s">
        <v>9268</v>
      </c>
      <c r="F1301" s="385" t="s">
        <v>20</v>
      </c>
      <c r="G1301" s="404" t="s">
        <v>9269</v>
      </c>
      <c r="H1301" s="404" t="s">
        <v>9270</v>
      </c>
      <c r="I1301" s="404" t="s">
        <v>23</v>
      </c>
      <c r="J1301" s="404" t="s">
        <v>9271</v>
      </c>
      <c r="K1301" s="404" t="s">
        <v>9272</v>
      </c>
    </row>
    <row r="1302" spans="1:11">
      <c r="A1302" s="387"/>
      <c r="B1302" s="409"/>
      <c r="C1302" s="409"/>
      <c r="D1302" s="410" t="s">
        <v>9273</v>
      </c>
      <c r="E1302" s="410" t="s">
        <v>9274</v>
      </c>
      <c r="F1302" s="385" t="s">
        <v>20</v>
      </c>
      <c r="G1302" s="404" t="s">
        <v>9275</v>
      </c>
      <c r="H1302" s="404" t="s">
        <v>8895</v>
      </c>
      <c r="I1302" s="404" t="s">
        <v>23</v>
      </c>
      <c r="J1302" s="404" t="s">
        <v>9276</v>
      </c>
      <c r="K1302" s="404" t="s">
        <v>9277</v>
      </c>
    </row>
    <row r="1303" spans="1:11">
      <c r="A1303" s="387"/>
      <c r="B1303" s="409"/>
      <c r="C1303" s="409"/>
      <c r="D1303" s="410" t="s">
        <v>9278</v>
      </c>
      <c r="E1303" s="410" t="s">
        <v>9279</v>
      </c>
      <c r="F1303" s="385" t="s">
        <v>229</v>
      </c>
      <c r="G1303" s="404" t="s">
        <v>9280</v>
      </c>
      <c r="H1303" s="404" t="s">
        <v>9281</v>
      </c>
      <c r="I1303" s="404" t="s">
        <v>94</v>
      </c>
      <c r="J1303" s="404" t="s">
        <v>9282</v>
      </c>
      <c r="K1303" s="404" t="s">
        <v>9283</v>
      </c>
    </row>
    <row r="1304" spans="1:11">
      <c r="A1304" s="387"/>
      <c r="B1304" s="409"/>
      <c r="C1304" s="409"/>
      <c r="D1304" s="410" t="s">
        <v>9284</v>
      </c>
      <c r="E1304" s="410" t="s">
        <v>9285</v>
      </c>
      <c r="F1304" s="385" t="s">
        <v>229</v>
      </c>
      <c r="G1304" s="404" t="s">
        <v>9286</v>
      </c>
      <c r="H1304" s="404" t="s">
        <v>8713</v>
      </c>
      <c r="I1304" s="404" t="s">
        <v>23</v>
      </c>
      <c r="J1304" s="404" t="s">
        <v>9287</v>
      </c>
      <c r="K1304" s="404" t="s">
        <v>9288</v>
      </c>
    </row>
    <row r="1305" spans="1:11">
      <c r="A1305" s="387"/>
      <c r="B1305" s="409"/>
      <c r="C1305" s="409" t="s">
        <v>9289</v>
      </c>
      <c r="D1305" s="410" t="s">
        <v>9290</v>
      </c>
      <c r="E1305" s="410" t="s">
        <v>9291</v>
      </c>
      <c r="F1305" s="385" t="s">
        <v>229</v>
      </c>
      <c r="G1305" s="404" t="s">
        <v>9292</v>
      </c>
      <c r="H1305" s="404" t="s">
        <v>9293</v>
      </c>
      <c r="I1305" s="404" t="s">
        <v>94</v>
      </c>
      <c r="J1305" s="404" t="s">
        <v>9294</v>
      </c>
      <c r="K1305" s="404" t="s">
        <v>9295</v>
      </c>
    </row>
    <row r="1306" spans="1:11">
      <c r="A1306" s="387"/>
      <c r="B1306" s="409"/>
      <c r="C1306" s="409"/>
      <c r="D1306" s="410" t="s">
        <v>9296</v>
      </c>
      <c r="E1306" s="410" t="s">
        <v>9297</v>
      </c>
      <c r="F1306" s="385" t="s">
        <v>20</v>
      </c>
      <c r="G1306" s="404" t="s">
        <v>9298</v>
      </c>
      <c r="H1306" s="404" t="s">
        <v>9299</v>
      </c>
      <c r="I1306" s="404" t="s">
        <v>23</v>
      </c>
      <c r="J1306" s="404" t="s">
        <v>9300</v>
      </c>
      <c r="K1306" s="404" t="s">
        <v>9301</v>
      </c>
    </row>
    <row r="1307" spans="1:11">
      <c r="A1307" s="387"/>
      <c r="B1307" s="409"/>
      <c r="C1307" s="409"/>
      <c r="D1307" s="410" t="s">
        <v>9302</v>
      </c>
      <c r="E1307" s="410" t="s">
        <v>9303</v>
      </c>
      <c r="F1307" s="385" t="s">
        <v>20</v>
      </c>
      <c r="G1307" s="404" t="s">
        <v>9304</v>
      </c>
      <c r="H1307" s="404" t="s">
        <v>9110</v>
      </c>
      <c r="I1307" s="404" t="s">
        <v>23</v>
      </c>
      <c r="J1307" s="404" t="s">
        <v>9305</v>
      </c>
      <c r="K1307" s="404" t="s">
        <v>9306</v>
      </c>
    </row>
    <row r="1308" spans="1:11">
      <c r="A1308" s="387"/>
      <c r="B1308" s="409"/>
      <c r="C1308" s="409"/>
      <c r="D1308" s="410" t="s">
        <v>9307</v>
      </c>
      <c r="E1308" s="410" t="s">
        <v>9308</v>
      </c>
      <c r="F1308" s="385" t="s">
        <v>20</v>
      </c>
      <c r="G1308" s="404" t="s">
        <v>9309</v>
      </c>
      <c r="H1308" s="404" t="s">
        <v>9310</v>
      </c>
      <c r="I1308" s="404" t="s">
        <v>94</v>
      </c>
      <c r="J1308" s="404" t="s">
        <v>9077</v>
      </c>
      <c r="K1308" s="404" t="s">
        <v>9311</v>
      </c>
    </row>
    <row r="1309" spans="1:11">
      <c r="A1309" s="387"/>
      <c r="B1309" s="409"/>
      <c r="C1309" s="409"/>
      <c r="D1309" s="410" t="s">
        <v>9312</v>
      </c>
      <c r="E1309" s="410" t="s">
        <v>9313</v>
      </c>
      <c r="F1309" s="385" t="s">
        <v>425</v>
      </c>
      <c r="G1309" s="404" t="s">
        <v>9314</v>
      </c>
      <c r="H1309" s="404" t="s">
        <v>9315</v>
      </c>
      <c r="I1309" s="404" t="s">
        <v>23</v>
      </c>
      <c r="J1309" s="404" t="s">
        <v>9316</v>
      </c>
      <c r="K1309" s="404" t="s">
        <v>9317</v>
      </c>
    </row>
    <row r="1310" spans="1:11">
      <c r="A1310" s="387"/>
      <c r="B1310" s="409"/>
      <c r="C1310" s="409" t="s">
        <v>9318</v>
      </c>
      <c r="D1310" s="410" t="s">
        <v>9319</v>
      </c>
      <c r="E1310" s="410" t="s">
        <v>9320</v>
      </c>
      <c r="F1310" s="385" t="s">
        <v>20</v>
      </c>
      <c r="G1310" s="404" t="s">
        <v>9321</v>
      </c>
      <c r="H1310" s="404" t="s">
        <v>9322</v>
      </c>
      <c r="I1310" s="404" t="s">
        <v>23</v>
      </c>
      <c r="J1310" s="404" t="s">
        <v>8630</v>
      </c>
      <c r="K1310" s="404" t="s">
        <v>9323</v>
      </c>
    </row>
    <row r="1311" spans="1:11">
      <c r="A1311" s="387"/>
      <c r="B1311" s="409"/>
      <c r="C1311" s="409"/>
      <c r="D1311" s="410" t="s">
        <v>9324</v>
      </c>
      <c r="E1311" s="410" t="s">
        <v>9325</v>
      </c>
      <c r="F1311" s="385" t="s">
        <v>20</v>
      </c>
      <c r="G1311" s="404" t="s">
        <v>9326</v>
      </c>
      <c r="H1311" s="404" t="s">
        <v>9327</v>
      </c>
      <c r="I1311" s="404" t="s">
        <v>23</v>
      </c>
      <c r="J1311" s="404" t="s">
        <v>9328</v>
      </c>
      <c r="K1311" s="404" t="s">
        <v>9329</v>
      </c>
    </row>
    <row r="1312" spans="1:11">
      <c r="A1312" s="387"/>
      <c r="B1312" s="409"/>
      <c r="C1312" s="409"/>
      <c r="D1312" s="410" t="s">
        <v>9330</v>
      </c>
      <c r="E1312" s="410" t="s">
        <v>9331</v>
      </c>
      <c r="F1312" s="385" t="s">
        <v>20</v>
      </c>
      <c r="G1312" s="404" t="s">
        <v>9332</v>
      </c>
      <c r="H1312" s="404" t="s">
        <v>9333</v>
      </c>
      <c r="I1312" s="404" t="s">
        <v>23</v>
      </c>
      <c r="J1312" s="404" t="s">
        <v>9334</v>
      </c>
      <c r="K1312" s="404" t="s">
        <v>9335</v>
      </c>
    </row>
    <row r="1313" spans="1:11">
      <c r="A1313" s="387"/>
      <c r="B1313" s="409"/>
      <c r="C1313" s="409"/>
      <c r="D1313" s="410" t="s">
        <v>9336</v>
      </c>
      <c r="E1313" s="410" t="s">
        <v>9337</v>
      </c>
      <c r="F1313" s="385" t="s">
        <v>20</v>
      </c>
      <c r="G1313" s="404" t="s">
        <v>9338</v>
      </c>
      <c r="H1313" s="404" t="s">
        <v>9339</v>
      </c>
      <c r="I1313" s="404" t="s">
        <v>94</v>
      </c>
      <c r="J1313" s="404" t="s">
        <v>9340</v>
      </c>
      <c r="K1313" s="404" t="s">
        <v>9341</v>
      </c>
    </row>
    <row r="1314" spans="1:11">
      <c r="A1314" s="387"/>
      <c r="B1314" s="409"/>
      <c r="C1314" s="409"/>
      <c r="D1314" s="410" t="s">
        <v>9342</v>
      </c>
      <c r="E1314" s="410" t="s">
        <v>9343</v>
      </c>
      <c r="F1314" s="385" t="s">
        <v>20</v>
      </c>
      <c r="G1314" s="404" t="s">
        <v>9344</v>
      </c>
      <c r="H1314" s="404" t="s">
        <v>8515</v>
      </c>
      <c r="I1314" s="404" t="s">
        <v>94</v>
      </c>
      <c r="J1314" s="404" t="s">
        <v>9345</v>
      </c>
      <c r="K1314" s="404" t="s">
        <v>9346</v>
      </c>
    </row>
    <row r="1315" spans="1:11">
      <c r="A1315" s="387"/>
      <c r="B1315" s="409"/>
      <c r="C1315" s="409" t="s">
        <v>9347</v>
      </c>
      <c r="D1315" s="410" t="s">
        <v>9348</v>
      </c>
      <c r="E1315" s="410" t="s">
        <v>9349</v>
      </c>
      <c r="F1315" s="385" t="s">
        <v>20</v>
      </c>
      <c r="G1315" s="404" t="s">
        <v>9350</v>
      </c>
      <c r="H1315" s="404" t="s">
        <v>8922</v>
      </c>
      <c r="I1315" s="404" t="s">
        <v>23</v>
      </c>
      <c r="J1315" s="404" t="s">
        <v>8771</v>
      </c>
      <c r="K1315" s="404" t="s">
        <v>9351</v>
      </c>
    </row>
    <row r="1316" spans="1:11">
      <c r="A1316" s="387"/>
      <c r="B1316" s="409"/>
      <c r="C1316" s="409"/>
      <c r="D1316" s="410" t="s">
        <v>9352</v>
      </c>
      <c r="E1316" s="410" t="s">
        <v>9353</v>
      </c>
      <c r="F1316" s="385" t="s">
        <v>229</v>
      </c>
      <c r="G1316" s="404" t="s">
        <v>9354</v>
      </c>
      <c r="H1316" s="404" t="s">
        <v>9355</v>
      </c>
      <c r="I1316" s="404" t="s">
        <v>94</v>
      </c>
      <c r="J1316" s="404" t="s">
        <v>9356</v>
      </c>
      <c r="K1316" s="404" t="s">
        <v>9357</v>
      </c>
    </row>
    <row r="1317" spans="1:11">
      <c r="A1317" s="387"/>
      <c r="B1317" s="409"/>
      <c r="C1317" s="409"/>
      <c r="D1317" s="410" t="s">
        <v>9358</v>
      </c>
      <c r="E1317" s="410" t="s">
        <v>9359</v>
      </c>
      <c r="F1317" s="385" t="s">
        <v>229</v>
      </c>
      <c r="G1317" s="404" t="s">
        <v>9360</v>
      </c>
      <c r="H1317" s="404" t="s">
        <v>9020</v>
      </c>
      <c r="I1317" s="404" t="s">
        <v>23</v>
      </c>
      <c r="J1317" s="404" t="s">
        <v>9361</v>
      </c>
      <c r="K1317" s="404" t="s">
        <v>9362</v>
      </c>
    </row>
    <row r="1318" spans="1:11">
      <c r="A1318" s="387"/>
      <c r="B1318" s="409"/>
      <c r="C1318" s="409"/>
      <c r="D1318" s="410" t="s">
        <v>9363</v>
      </c>
      <c r="E1318" s="410" t="s">
        <v>9364</v>
      </c>
      <c r="F1318" s="385" t="s">
        <v>20</v>
      </c>
      <c r="G1318" s="404" t="s">
        <v>9365</v>
      </c>
      <c r="H1318" s="404" t="s">
        <v>8933</v>
      </c>
      <c r="I1318" s="404" t="s">
        <v>94</v>
      </c>
      <c r="J1318" s="404" t="s">
        <v>8895</v>
      </c>
      <c r="K1318" s="404" t="s">
        <v>9366</v>
      </c>
    </row>
    <row r="1319" spans="1:11">
      <c r="A1319" s="387"/>
      <c r="B1319" s="409"/>
      <c r="C1319" s="409"/>
      <c r="D1319" s="410" t="s">
        <v>9367</v>
      </c>
      <c r="E1319" s="410" t="s">
        <v>9368</v>
      </c>
      <c r="F1319" s="385" t="s">
        <v>229</v>
      </c>
      <c r="G1319" s="404" t="s">
        <v>8915</v>
      </c>
      <c r="H1319" s="404" t="s">
        <v>8916</v>
      </c>
      <c r="I1319" s="404" t="s">
        <v>94</v>
      </c>
      <c r="J1319" s="404" t="s">
        <v>8335</v>
      </c>
      <c r="K1319" s="404" t="s">
        <v>9369</v>
      </c>
    </row>
    <row r="1320" spans="1:11">
      <c r="A1320" s="387"/>
      <c r="B1320" s="392" t="s">
        <v>9370</v>
      </c>
      <c r="C1320" s="392" t="s">
        <v>9371</v>
      </c>
      <c r="D1320" s="381" t="s">
        <v>9372</v>
      </c>
      <c r="E1320" s="381" t="s">
        <v>9373</v>
      </c>
      <c r="F1320" s="385" t="s">
        <v>229</v>
      </c>
      <c r="G1320" s="404" t="s">
        <v>9374</v>
      </c>
      <c r="H1320" s="404" t="s">
        <v>9375</v>
      </c>
      <c r="I1320" s="404" t="s">
        <v>23</v>
      </c>
      <c r="J1320" s="404" t="s">
        <v>8402</v>
      </c>
      <c r="K1320" s="404" t="s">
        <v>9376</v>
      </c>
    </row>
    <row r="1321" spans="1:11">
      <c r="A1321" s="387"/>
      <c r="B1321" s="392"/>
      <c r="C1321" s="392"/>
      <c r="D1321" s="381" t="s">
        <v>9377</v>
      </c>
      <c r="E1321" s="381" t="s">
        <v>9378</v>
      </c>
      <c r="F1321" s="385" t="s">
        <v>229</v>
      </c>
      <c r="G1321" s="404" t="s">
        <v>9379</v>
      </c>
      <c r="H1321" s="404" t="s">
        <v>9380</v>
      </c>
      <c r="I1321" s="404" t="s">
        <v>94</v>
      </c>
      <c r="J1321" s="404" t="s">
        <v>9381</v>
      </c>
      <c r="K1321" s="404" t="s">
        <v>9382</v>
      </c>
    </row>
    <row r="1322" spans="1:11">
      <c r="A1322" s="387"/>
      <c r="B1322" s="392"/>
      <c r="C1322" s="392"/>
      <c r="D1322" s="381" t="s">
        <v>9383</v>
      </c>
      <c r="E1322" s="381" t="s">
        <v>9384</v>
      </c>
      <c r="F1322" s="385" t="s">
        <v>20</v>
      </c>
      <c r="G1322" s="404" t="s">
        <v>9385</v>
      </c>
      <c r="H1322" s="404" t="s">
        <v>9386</v>
      </c>
      <c r="I1322" s="404" t="s">
        <v>94</v>
      </c>
      <c r="J1322" s="404" t="s">
        <v>9387</v>
      </c>
      <c r="K1322" s="404" t="s">
        <v>9388</v>
      </c>
    </row>
    <row r="1323" spans="1:11">
      <c r="A1323" s="387"/>
      <c r="B1323" s="392"/>
      <c r="C1323" s="392"/>
      <c r="D1323" s="381" t="s">
        <v>9389</v>
      </c>
      <c r="E1323" s="381" t="s">
        <v>9390</v>
      </c>
      <c r="F1323" s="385" t="s">
        <v>229</v>
      </c>
      <c r="G1323" s="404" t="s">
        <v>9391</v>
      </c>
      <c r="H1323" s="404" t="s">
        <v>8498</v>
      </c>
      <c r="I1323" s="404" t="s">
        <v>94</v>
      </c>
      <c r="J1323" s="404" t="s">
        <v>8895</v>
      </c>
      <c r="K1323" s="404" t="s">
        <v>9392</v>
      </c>
    </row>
    <row r="1324" spans="1:11">
      <c r="A1324" s="387"/>
      <c r="B1324" s="392"/>
      <c r="C1324" s="392"/>
      <c r="D1324" s="381" t="s">
        <v>9393</v>
      </c>
      <c r="E1324" s="381" t="s">
        <v>9394</v>
      </c>
      <c r="F1324" s="385" t="s">
        <v>20</v>
      </c>
      <c r="G1324" s="404" t="s">
        <v>8915</v>
      </c>
      <c r="H1324" s="404" t="s">
        <v>9395</v>
      </c>
      <c r="I1324" s="404" t="s">
        <v>23</v>
      </c>
      <c r="J1324" s="404" t="s">
        <v>8335</v>
      </c>
      <c r="K1324" s="404" t="s">
        <v>9396</v>
      </c>
    </row>
    <row r="1325" spans="1:11">
      <c r="A1325" s="387"/>
      <c r="B1325" s="392"/>
      <c r="C1325" s="392" t="s">
        <v>9397</v>
      </c>
      <c r="D1325" s="381" t="s">
        <v>9398</v>
      </c>
      <c r="E1325" s="381" t="s">
        <v>9399</v>
      </c>
      <c r="F1325" s="385" t="s">
        <v>20</v>
      </c>
      <c r="G1325" s="404" t="s">
        <v>9400</v>
      </c>
      <c r="H1325" s="404" t="s">
        <v>9401</v>
      </c>
      <c r="I1325" s="404" t="s">
        <v>23</v>
      </c>
      <c r="J1325" s="404" t="s">
        <v>9402</v>
      </c>
      <c r="K1325" s="404" t="s">
        <v>9403</v>
      </c>
    </row>
    <row r="1326" spans="1:11">
      <c r="A1326" s="387"/>
      <c r="B1326" s="392"/>
      <c r="C1326" s="392"/>
      <c r="D1326" s="381" t="s">
        <v>9404</v>
      </c>
      <c r="E1326" s="381" t="s">
        <v>9405</v>
      </c>
      <c r="F1326" s="385" t="s">
        <v>20</v>
      </c>
      <c r="G1326" s="404" t="s">
        <v>9406</v>
      </c>
      <c r="H1326" s="404" t="s">
        <v>9242</v>
      </c>
      <c r="I1326" s="404" t="s">
        <v>94</v>
      </c>
      <c r="J1326" s="404" t="s">
        <v>9048</v>
      </c>
      <c r="K1326" s="404" t="s">
        <v>9407</v>
      </c>
    </row>
    <row r="1327" spans="1:11">
      <c r="A1327" s="387"/>
      <c r="B1327" s="392"/>
      <c r="C1327" s="392"/>
      <c r="D1327" s="381" t="s">
        <v>9408</v>
      </c>
      <c r="E1327" s="381" t="s">
        <v>9409</v>
      </c>
      <c r="F1327" s="385" t="s">
        <v>425</v>
      </c>
      <c r="G1327" s="404" t="s">
        <v>9410</v>
      </c>
      <c r="H1327" s="404" t="s">
        <v>9411</v>
      </c>
      <c r="I1327" s="404" t="s">
        <v>94</v>
      </c>
      <c r="J1327" s="404" t="s">
        <v>9412</v>
      </c>
      <c r="K1327" s="404" t="s">
        <v>9249</v>
      </c>
    </row>
    <row r="1328" spans="1:11">
      <c r="A1328" s="387"/>
      <c r="B1328" s="392"/>
      <c r="C1328" s="392"/>
      <c r="D1328" s="381" t="s">
        <v>9413</v>
      </c>
      <c r="E1328" s="381" t="s">
        <v>9414</v>
      </c>
      <c r="F1328" s="385" t="s">
        <v>20</v>
      </c>
      <c r="G1328" s="404" t="s">
        <v>9415</v>
      </c>
      <c r="H1328" s="404" t="s">
        <v>9416</v>
      </c>
      <c r="I1328" s="404" t="s">
        <v>23</v>
      </c>
      <c r="J1328" s="404" t="s">
        <v>9417</v>
      </c>
      <c r="K1328" s="404" t="s">
        <v>9418</v>
      </c>
    </row>
    <row r="1329" spans="1:11">
      <c r="A1329" s="387"/>
      <c r="B1329" s="392"/>
      <c r="C1329" s="392"/>
      <c r="D1329" s="381" t="s">
        <v>9419</v>
      </c>
      <c r="E1329" s="381" t="s">
        <v>9420</v>
      </c>
      <c r="F1329" s="385" t="s">
        <v>229</v>
      </c>
      <c r="G1329" s="404" t="s">
        <v>9421</v>
      </c>
      <c r="H1329" s="404" t="s">
        <v>9422</v>
      </c>
      <c r="I1329" s="404" t="s">
        <v>23</v>
      </c>
      <c r="J1329" s="404" t="s">
        <v>9287</v>
      </c>
      <c r="K1329" s="404" t="s">
        <v>9423</v>
      </c>
    </row>
    <row r="1330" spans="1:11">
      <c r="A1330" s="387"/>
      <c r="B1330" s="392"/>
      <c r="C1330" s="392" t="s">
        <v>9424</v>
      </c>
      <c r="D1330" s="381" t="s">
        <v>9425</v>
      </c>
      <c r="E1330" s="381" t="s">
        <v>9426</v>
      </c>
      <c r="F1330" s="385" t="s">
        <v>20</v>
      </c>
      <c r="G1330" s="404" t="s">
        <v>9427</v>
      </c>
      <c r="H1330" s="404" t="s">
        <v>9428</v>
      </c>
      <c r="I1330" s="404" t="s">
        <v>94</v>
      </c>
      <c r="J1330" s="404" t="s">
        <v>9294</v>
      </c>
      <c r="K1330" s="404" t="s">
        <v>9295</v>
      </c>
    </row>
    <row r="1331" spans="1:11">
      <c r="A1331" s="387"/>
      <c r="B1331" s="392"/>
      <c r="C1331" s="392"/>
      <c r="D1331" s="381" t="s">
        <v>9429</v>
      </c>
      <c r="E1331" s="381" t="s">
        <v>9430</v>
      </c>
      <c r="F1331" s="385" t="s">
        <v>20</v>
      </c>
      <c r="G1331" s="404" t="s">
        <v>9314</v>
      </c>
      <c r="H1331" s="404" t="s">
        <v>9431</v>
      </c>
      <c r="I1331" s="404" t="s">
        <v>23</v>
      </c>
      <c r="J1331" s="404" t="s">
        <v>9432</v>
      </c>
      <c r="K1331" s="404" t="s">
        <v>9433</v>
      </c>
    </row>
    <row r="1332" spans="1:11">
      <c r="A1332" s="387"/>
      <c r="B1332" s="392"/>
      <c r="C1332" s="392"/>
      <c r="D1332" s="381" t="s">
        <v>9434</v>
      </c>
      <c r="E1332" s="381" t="s">
        <v>9435</v>
      </c>
      <c r="F1332" s="385" t="s">
        <v>229</v>
      </c>
      <c r="G1332" s="404" t="s">
        <v>9298</v>
      </c>
      <c r="H1332" s="404" t="s">
        <v>9436</v>
      </c>
      <c r="I1332" s="404" t="s">
        <v>23</v>
      </c>
      <c r="J1332" s="404" t="s">
        <v>9437</v>
      </c>
      <c r="K1332" s="404" t="s">
        <v>9438</v>
      </c>
    </row>
    <row r="1333" spans="1:11">
      <c r="A1333" s="387"/>
      <c r="B1333" s="392"/>
      <c r="C1333" s="392"/>
      <c r="D1333" s="381" t="s">
        <v>9439</v>
      </c>
      <c r="E1333" s="381" t="s">
        <v>9440</v>
      </c>
      <c r="F1333" s="385" t="s">
        <v>20</v>
      </c>
      <c r="G1333" s="404" t="s">
        <v>9441</v>
      </c>
      <c r="H1333" s="404" t="s">
        <v>9315</v>
      </c>
      <c r="I1333" s="404" t="s">
        <v>23</v>
      </c>
      <c r="J1333" s="404" t="s">
        <v>9316</v>
      </c>
      <c r="K1333" s="404" t="s">
        <v>9317</v>
      </c>
    </row>
    <row r="1334" spans="1:11">
      <c r="A1334" s="387"/>
      <c r="B1334" s="392"/>
      <c r="C1334" s="392"/>
      <c r="D1334" s="381" t="s">
        <v>9442</v>
      </c>
      <c r="E1334" s="381" t="s">
        <v>9443</v>
      </c>
      <c r="F1334" s="385" t="s">
        <v>425</v>
      </c>
      <c r="G1334" s="404" t="s">
        <v>9338</v>
      </c>
      <c r="H1334" s="404" t="s">
        <v>9444</v>
      </c>
      <c r="I1334" s="404" t="s">
        <v>23</v>
      </c>
      <c r="J1334" s="404" t="s">
        <v>9077</v>
      </c>
      <c r="K1334" s="404" t="s">
        <v>9445</v>
      </c>
    </row>
    <row r="1335" spans="1:11">
      <c r="A1335" s="387"/>
      <c r="B1335" s="392"/>
      <c r="C1335" s="392" t="s">
        <v>9446</v>
      </c>
      <c r="D1335" s="381" t="s">
        <v>9447</v>
      </c>
      <c r="E1335" s="381" t="s">
        <v>9448</v>
      </c>
      <c r="F1335" s="385" t="s">
        <v>20</v>
      </c>
      <c r="G1335" s="404" t="s">
        <v>9449</v>
      </c>
      <c r="H1335" s="404" t="s">
        <v>9450</v>
      </c>
      <c r="I1335" s="404" t="s">
        <v>94</v>
      </c>
      <c r="J1335" s="404" t="s">
        <v>9451</v>
      </c>
      <c r="K1335" s="404" t="s">
        <v>9452</v>
      </c>
    </row>
    <row r="1336" spans="1:11">
      <c r="A1336" s="387"/>
      <c r="B1336" s="392"/>
      <c r="C1336" s="392"/>
      <c r="D1336" s="381" t="s">
        <v>9453</v>
      </c>
      <c r="E1336" s="381" t="s">
        <v>9454</v>
      </c>
      <c r="F1336" s="385" t="s">
        <v>425</v>
      </c>
      <c r="G1336" s="404" t="s">
        <v>9449</v>
      </c>
      <c r="H1336" s="404" t="s">
        <v>9450</v>
      </c>
      <c r="I1336" s="404" t="s">
        <v>23</v>
      </c>
      <c r="J1336" s="404" t="s">
        <v>9451</v>
      </c>
      <c r="K1336" s="404" t="s">
        <v>9455</v>
      </c>
    </row>
    <row r="1337" spans="1:11">
      <c r="A1337" s="387"/>
      <c r="B1337" s="392"/>
      <c r="C1337" s="392"/>
      <c r="D1337" s="381" t="s">
        <v>9456</v>
      </c>
      <c r="E1337" s="381" t="s">
        <v>9457</v>
      </c>
      <c r="F1337" s="385" t="s">
        <v>20</v>
      </c>
      <c r="G1337" s="404" t="s">
        <v>9458</v>
      </c>
      <c r="H1337" s="404" t="s">
        <v>9459</v>
      </c>
      <c r="I1337" s="404" t="s">
        <v>94</v>
      </c>
      <c r="J1337" s="404" t="s">
        <v>8402</v>
      </c>
      <c r="K1337" s="404" t="s">
        <v>9460</v>
      </c>
    </row>
    <row r="1338" spans="1:11">
      <c r="A1338" s="387"/>
      <c r="B1338" s="392"/>
      <c r="C1338" s="392"/>
      <c r="D1338" s="381" t="s">
        <v>9461</v>
      </c>
      <c r="E1338" s="381" t="s">
        <v>9462</v>
      </c>
      <c r="F1338" s="385" t="s">
        <v>425</v>
      </c>
      <c r="G1338" s="404" t="s">
        <v>9463</v>
      </c>
      <c r="H1338" s="404" t="s">
        <v>9464</v>
      </c>
      <c r="I1338" s="404" t="s">
        <v>94</v>
      </c>
      <c r="J1338" s="404" t="s">
        <v>9465</v>
      </c>
      <c r="K1338" s="404" t="s">
        <v>9466</v>
      </c>
    </row>
    <row r="1339" spans="1:11">
      <c r="A1339" s="387"/>
      <c r="B1339" s="392"/>
      <c r="C1339" s="392"/>
      <c r="D1339" s="381" t="s">
        <v>9467</v>
      </c>
      <c r="E1339" s="381" t="s">
        <v>9468</v>
      </c>
      <c r="F1339" s="385" t="s">
        <v>20</v>
      </c>
      <c r="G1339" s="404" t="s">
        <v>9469</v>
      </c>
      <c r="H1339" s="404" t="s">
        <v>9470</v>
      </c>
      <c r="I1339" s="404" t="s">
        <v>23</v>
      </c>
      <c r="J1339" s="404" t="s">
        <v>9471</v>
      </c>
      <c r="K1339" s="404" t="s">
        <v>9472</v>
      </c>
    </row>
    <row r="1340" spans="1:11">
      <c r="A1340" s="387"/>
      <c r="B1340" s="392"/>
      <c r="C1340" s="392" t="s">
        <v>9473</v>
      </c>
      <c r="D1340" s="381" t="s">
        <v>9474</v>
      </c>
      <c r="E1340" s="381" t="s">
        <v>9475</v>
      </c>
      <c r="F1340" s="385" t="s">
        <v>20</v>
      </c>
      <c r="G1340" s="404" t="s">
        <v>9476</v>
      </c>
      <c r="H1340" s="404" t="s">
        <v>9477</v>
      </c>
      <c r="I1340" s="404" t="s">
        <v>94</v>
      </c>
      <c r="J1340" s="404" t="s">
        <v>9478</v>
      </c>
      <c r="K1340" s="404" t="s">
        <v>9479</v>
      </c>
    </row>
    <row r="1341" spans="1:11">
      <c r="A1341" s="387"/>
      <c r="B1341" s="392"/>
      <c r="C1341" s="392"/>
      <c r="D1341" s="381" t="s">
        <v>9480</v>
      </c>
      <c r="E1341" s="381" t="s">
        <v>9481</v>
      </c>
      <c r="F1341" s="385" t="s">
        <v>425</v>
      </c>
      <c r="G1341" s="404" t="s">
        <v>9482</v>
      </c>
      <c r="H1341" s="404" t="s">
        <v>9483</v>
      </c>
      <c r="I1341" s="404" t="s">
        <v>94</v>
      </c>
      <c r="J1341" s="404" t="s">
        <v>9484</v>
      </c>
      <c r="K1341" s="404" t="s">
        <v>9485</v>
      </c>
    </row>
    <row r="1342" spans="1:11">
      <c r="A1342" s="387"/>
      <c r="B1342" s="392"/>
      <c r="C1342" s="392"/>
      <c r="D1342" s="381" t="s">
        <v>9486</v>
      </c>
      <c r="E1342" s="381" t="s">
        <v>9487</v>
      </c>
      <c r="F1342" s="385" t="s">
        <v>20</v>
      </c>
      <c r="G1342" s="404" t="s">
        <v>9488</v>
      </c>
      <c r="H1342" s="404" t="s">
        <v>9489</v>
      </c>
      <c r="I1342" s="404" t="s">
        <v>94</v>
      </c>
      <c r="J1342" s="404" t="s">
        <v>9490</v>
      </c>
      <c r="K1342" s="404" t="s">
        <v>9491</v>
      </c>
    </row>
    <row r="1343" spans="1:11">
      <c r="A1343" s="387"/>
      <c r="B1343" s="392"/>
      <c r="C1343" s="392"/>
      <c r="D1343" s="381" t="s">
        <v>9492</v>
      </c>
      <c r="E1343" s="381" t="s">
        <v>9493</v>
      </c>
      <c r="F1343" s="385" t="s">
        <v>20</v>
      </c>
      <c r="G1343" s="404" t="s">
        <v>9494</v>
      </c>
      <c r="H1343" s="404" t="s">
        <v>9495</v>
      </c>
      <c r="I1343" s="404" t="s">
        <v>94</v>
      </c>
      <c r="J1343" s="404" t="s">
        <v>9496</v>
      </c>
      <c r="K1343" s="404" t="s">
        <v>9497</v>
      </c>
    </row>
    <row r="1344" spans="1:11">
      <c r="A1344" s="387"/>
      <c r="B1344" s="392"/>
      <c r="C1344" s="392"/>
      <c r="D1344" s="381" t="s">
        <v>9498</v>
      </c>
      <c r="E1344" s="381" t="s">
        <v>9499</v>
      </c>
      <c r="F1344" s="385" t="s">
        <v>20</v>
      </c>
      <c r="G1344" s="404" t="s">
        <v>9500</v>
      </c>
      <c r="H1344" s="404" t="s">
        <v>9501</v>
      </c>
      <c r="I1344" s="404" t="s">
        <v>23</v>
      </c>
      <c r="J1344" s="404" t="s">
        <v>8630</v>
      </c>
      <c r="K1344" s="404" t="s">
        <v>9502</v>
      </c>
    </row>
    <row r="1345" spans="1:11">
      <c r="A1345" s="387"/>
      <c r="B1345" s="394" t="s">
        <v>9503</v>
      </c>
      <c r="C1345" s="394" t="s">
        <v>9504</v>
      </c>
      <c r="D1345" s="382" t="s">
        <v>9505</v>
      </c>
      <c r="E1345" s="382" t="s">
        <v>9506</v>
      </c>
      <c r="F1345" s="385" t="s">
        <v>229</v>
      </c>
      <c r="G1345" s="404" t="s">
        <v>9507</v>
      </c>
      <c r="H1345" s="404" t="s">
        <v>8922</v>
      </c>
      <c r="I1345" s="404" t="s">
        <v>94</v>
      </c>
      <c r="J1345" s="404" t="s">
        <v>9508</v>
      </c>
      <c r="K1345" s="404" t="s">
        <v>9509</v>
      </c>
    </row>
    <row r="1346" spans="1:11">
      <c r="A1346" s="387"/>
      <c r="B1346" s="394"/>
      <c r="C1346" s="394"/>
      <c r="D1346" s="382" t="s">
        <v>9510</v>
      </c>
      <c r="E1346" s="382" t="s">
        <v>9511</v>
      </c>
      <c r="F1346" s="385" t="s">
        <v>425</v>
      </c>
      <c r="G1346" s="404" t="s">
        <v>9512</v>
      </c>
      <c r="H1346" s="404" t="s">
        <v>9513</v>
      </c>
      <c r="I1346" s="404" t="s">
        <v>23</v>
      </c>
      <c r="J1346" s="404" t="s">
        <v>8335</v>
      </c>
      <c r="K1346" s="404" t="s">
        <v>9514</v>
      </c>
    </row>
    <row r="1347" spans="1:11">
      <c r="A1347" s="387"/>
      <c r="B1347" s="394"/>
      <c r="C1347" s="394"/>
      <c r="D1347" s="382" t="s">
        <v>9515</v>
      </c>
      <c r="E1347" s="382" t="s">
        <v>9516</v>
      </c>
      <c r="F1347" s="385" t="s">
        <v>20</v>
      </c>
      <c r="G1347" s="404" t="s">
        <v>9517</v>
      </c>
      <c r="H1347" s="404" t="s">
        <v>9518</v>
      </c>
      <c r="I1347" s="404" t="s">
        <v>94</v>
      </c>
      <c r="J1347" s="404" t="s">
        <v>9519</v>
      </c>
      <c r="K1347" s="404" t="s">
        <v>9520</v>
      </c>
    </row>
    <row r="1348" spans="1:11">
      <c r="A1348" s="387"/>
      <c r="B1348" s="394"/>
      <c r="C1348" s="394"/>
      <c r="D1348" s="382" t="s">
        <v>9521</v>
      </c>
      <c r="E1348" s="382" t="s">
        <v>9522</v>
      </c>
      <c r="F1348" s="385" t="s">
        <v>20</v>
      </c>
      <c r="G1348" s="404" t="s">
        <v>8915</v>
      </c>
      <c r="H1348" s="404" t="s">
        <v>9523</v>
      </c>
      <c r="I1348" s="404" t="s">
        <v>94</v>
      </c>
      <c r="J1348" s="404" t="s">
        <v>9524</v>
      </c>
      <c r="K1348" s="404" t="s">
        <v>9525</v>
      </c>
    </row>
    <row r="1349" spans="1:11">
      <c r="A1349" s="387"/>
      <c r="B1349" s="394"/>
      <c r="C1349" s="394"/>
      <c r="D1349" s="382" t="s">
        <v>9526</v>
      </c>
      <c r="E1349" s="382" t="s">
        <v>9527</v>
      </c>
      <c r="F1349" s="385" t="s">
        <v>20</v>
      </c>
      <c r="G1349" s="404" t="s">
        <v>9528</v>
      </c>
      <c r="H1349" s="404" t="s">
        <v>9529</v>
      </c>
      <c r="I1349" s="404" t="s">
        <v>23</v>
      </c>
      <c r="J1349" s="404" t="s">
        <v>9530</v>
      </c>
      <c r="K1349" s="404" t="s">
        <v>9531</v>
      </c>
    </row>
    <row r="1350" spans="1:11">
      <c r="A1350" s="387"/>
      <c r="B1350" s="394"/>
      <c r="C1350" s="394" t="s">
        <v>9532</v>
      </c>
      <c r="D1350" s="382" t="s">
        <v>9533</v>
      </c>
      <c r="E1350" s="382" t="s">
        <v>9534</v>
      </c>
      <c r="F1350" s="385" t="s">
        <v>20</v>
      </c>
      <c r="G1350" s="404" t="s">
        <v>9535</v>
      </c>
      <c r="H1350" s="404" t="s">
        <v>9536</v>
      </c>
      <c r="I1350" s="404" t="s">
        <v>94</v>
      </c>
      <c r="J1350" s="404" t="s">
        <v>9496</v>
      </c>
      <c r="K1350" s="404" t="s">
        <v>9537</v>
      </c>
    </row>
    <row r="1351" spans="1:11">
      <c r="A1351" s="387"/>
      <c r="B1351" s="394"/>
      <c r="C1351" s="394"/>
      <c r="D1351" s="382" t="s">
        <v>9538</v>
      </c>
      <c r="E1351" s="382" t="s">
        <v>9539</v>
      </c>
      <c r="F1351" s="385" t="s">
        <v>229</v>
      </c>
      <c r="G1351" s="404" t="s">
        <v>9540</v>
      </c>
      <c r="H1351" s="404" t="s">
        <v>9541</v>
      </c>
      <c r="I1351" s="404" t="s">
        <v>94</v>
      </c>
      <c r="J1351" s="404" t="s">
        <v>9542</v>
      </c>
      <c r="K1351" s="404" t="s">
        <v>9543</v>
      </c>
    </row>
    <row r="1352" spans="1:11">
      <c r="A1352" s="387"/>
      <c r="B1352" s="394"/>
      <c r="C1352" s="394"/>
      <c r="D1352" s="382" t="s">
        <v>9544</v>
      </c>
      <c r="E1352" s="382" t="s">
        <v>9545</v>
      </c>
      <c r="F1352" s="385" t="s">
        <v>229</v>
      </c>
      <c r="G1352" s="404" t="s">
        <v>8401</v>
      </c>
      <c r="H1352" s="404" t="s">
        <v>9546</v>
      </c>
      <c r="I1352" s="404" t="s">
        <v>94</v>
      </c>
      <c r="J1352" s="404" t="s">
        <v>9547</v>
      </c>
      <c r="K1352" s="404" t="s">
        <v>8860</v>
      </c>
    </row>
    <row r="1353" spans="1:11">
      <c r="A1353" s="387"/>
      <c r="B1353" s="394"/>
      <c r="C1353" s="394"/>
      <c r="D1353" s="382" t="s">
        <v>9548</v>
      </c>
      <c r="E1353" s="382" t="s">
        <v>9549</v>
      </c>
      <c r="F1353" s="385" t="s">
        <v>425</v>
      </c>
      <c r="G1353" s="404" t="s">
        <v>9550</v>
      </c>
      <c r="H1353" s="404" t="s">
        <v>9551</v>
      </c>
      <c r="I1353" s="404" t="s">
        <v>23</v>
      </c>
      <c r="J1353" s="404" t="s">
        <v>9552</v>
      </c>
      <c r="K1353" s="404" t="s">
        <v>9553</v>
      </c>
    </row>
    <row r="1354" spans="1:11">
      <c r="A1354" s="387"/>
      <c r="B1354" s="394"/>
      <c r="C1354" s="394"/>
      <c r="D1354" s="382" t="s">
        <v>9554</v>
      </c>
      <c r="E1354" s="382" t="s">
        <v>9555</v>
      </c>
      <c r="F1354" s="385" t="s">
        <v>20</v>
      </c>
      <c r="G1354" s="404" t="s">
        <v>9488</v>
      </c>
      <c r="H1354" s="404" t="s">
        <v>9422</v>
      </c>
      <c r="I1354" s="404" t="s">
        <v>94</v>
      </c>
      <c r="J1354" s="404" t="s">
        <v>9287</v>
      </c>
      <c r="K1354" s="404" t="s">
        <v>9556</v>
      </c>
    </row>
    <row r="1355" spans="1:11">
      <c r="A1355" s="387"/>
      <c r="B1355" s="394"/>
      <c r="C1355" s="394" t="s">
        <v>9557</v>
      </c>
      <c r="D1355" s="382" t="s">
        <v>9558</v>
      </c>
      <c r="E1355" s="382" t="s">
        <v>9559</v>
      </c>
      <c r="F1355" s="385" t="s">
        <v>229</v>
      </c>
      <c r="G1355" s="404" t="s">
        <v>9560</v>
      </c>
      <c r="H1355" s="404" t="s">
        <v>9561</v>
      </c>
      <c r="I1355" s="404" t="s">
        <v>94</v>
      </c>
      <c r="J1355" s="404" t="s">
        <v>8539</v>
      </c>
      <c r="K1355" s="404" t="s">
        <v>9562</v>
      </c>
    </row>
    <row r="1356" spans="1:11">
      <c r="A1356" s="387"/>
      <c r="B1356" s="394"/>
      <c r="C1356" s="394"/>
      <c r="D1356" s="382" t="s">
        <v>9563</v>
      </c>
      <c r="E1356" s="382" t="s">
        <v>9564</v>
      </c>
      <c r="F1356" s="385" t="s">
        <v>425</v>
      </c>
      <c r="G1356" s="404" t="s">
        <v>9565</v>
      </c>
      <c r="H1356" s="404" t="s">
        <v>8901</v>
      </c>
      <c r="I1356" s="404" t="s">
        <v>23</v>
      </c>
      <c r="J1356" s="404" t="s">
        <v>9566</v>
      </c>
      <c r="K1356" s="404" t="s">
        <v>9567</v>
      </c>
    </row>
    <row r="1357" spans="1:11">
      <c r="A1357" s="387"/>
      <c r="B1357" s="394"/>
      <c r="C1357" s="394"/>
      <c r="D1357" s="382" t="s">
        <v>9568</v>
      </c>
      <c r="E1357" s="382" t="s">
        <v>9569</v>
      </c>
      <c r="F1357" s="385" t="s">
        <v>425</v>
      </c>
      <c r="G1357" s="404" t="s">
        <v>9570</v>
      </c>
      <c r="H1357" s="404" t="s">
        <v>9571</v>
      </c>
      <c r="I1357" s="404" t="s">
        <v>23</v>
      </c>
      <c r="J1357" s="404" t="s">
        <v>9572</v>
      </c>
      <c r="K1357" s="404" t="s">
        <v>9573</v>
      </c>
    </row>
    <row r="1358" spans="1:11">
      <c r="A1358" s="387"/>
      <c r="B1358" s="394"/>
      <c r="C1358" s="394"/>
      <c r="D1358" s="382" t="s">
        <v>9574</v>
      </c>
      <c r="E1358" s="382" t="s">
        <v>9575</v>
      </c>
      <c r="F1358" s="385" t="s">
        <v>20</v>
      </c>
      <c r="G1358" s="404" t="s">
        <v>9576</v>
      </c>
      <c r="H1358" s="404" t="s">
        <v>9577</v>
      </c>
      <c r="I1358" s="404" t="s">
        <v>94</v>
      </c>
      <c r="J1358" s="404" t="s">
        <v>9578</v>
      </c>
      <c r="K1358" s="404" t="s">
        <v>9579</v>
      </c>
    </row>
    <row r="1359" spans="1:11">
      <c r="A1359" s="387"/>
      <c r="B1359" s="394"/>
      <c r="C1359" s="394"/>
      <c r="D1359" s="382" t="s">
        <v>9580</v>
      </c>
      <c r="E1359" s="382" t="s">
        <v>9581</v>
      </c>
      <c r="F1359" s="385" t="s">
        <v>20</v>
      </c>
      <c r="G1359" s="404" t="s">
        <v>9582</v>
      </c>
      <c r="H1359" s="404" t="s">
        <v>9110</v>
      </c>
      <c r="I1359" s="404" t="s">
        <v>23</v>
      </c>
      <c r="J1359" s="404" t="s">
        <v>8895</v>
      </c>
      <c r="K1359" s="404" t="s">
        <v>9583</v>
      </c>
    </row>
    <row r="1360" spans="1:11">
      <c r="A1360" s="387"/>
      <c r="B1360" s="394"/>
      <c r="C1360" s="394" t="s">
        <v>9584</v>
      </c>
      <c r="D1360" s="382" t="s">
        <v>9585</v>
      </c>
      <c r="E1360" s="382" t="s">
        <v>9586</v>
      </c>
      <c r="F1360" s="385" t="s">
        <v>20</v>
      </c>
      <c r="G1360" s="404" t="s">
        <v>9587</v>
      </c>
      <c r="H1360" s="404" t="s">
        <v>9588</v>
      </c>
      <c r="I1360" s="404" t="s">
        <v>23</v>
      </c>
      <c r="J1360" s="404" t="s">
        <v>9589</v>
      </c>
      <c r="K1360" s="404" t="s">
        <v>9590</v>
      </c>
    </row>
    <row r="1361" spans="1:11">
      <c r="A1361" s="387"/>
      <c r="B1361" s="394"/>
      <c r="C1361" s="394"/>
      <c r="D1361" s="382" t="s">
        <v>9591</v>
      </c>
      <c r="E1361" s="382" t="s">
        <v>9592</v>
      </c>
      <c r="F1361" s="385" t="s">
        <v>20</v>
      </c>
      <c r="G1361" s="404" t="s">
        <v>9593</v>
      </c>
      <c r="H1361" s="404" t="s">
        <v>9594</v>
      </c>
      <c r="I1361" s="404" t="s">
        <v>23</v>
      </c>
      <c r="J1361" s="404" t="s">
        <v>9595</v>
      </c>
      <c r="K1361" s="404" t="s">
        <v>9596</v>
      </c>
    </row>
    <row r="1362" spans="1:11">
      <c r="A1362" s="387"/>
      <c r="B1362" s="394"/>
      <c r="C1362" s="394"/>
      <c r="D1362" s="382" t="s">
        <v>9597</v>
      </c>
      <c r="E1362" s="382" t="s">
        <v>9598</v>
      </c>
      <c r="F1362" s="385" t="s">
        <v>20</v>
      </c>
      <c r="G1362" s="404" t="s">
        <v>9421</v>
      </c>
      <c r="H1362" s="404" t="s">
        <v>9599</v>
      </c>
      <c r="I1362" s="404" t="s">
        <v>23</v>
      </c>
      <c r="J1362" s="404" t="s">
        <v>8415</v>
      </c>
      <c r="K1362" s="404" t="s">
        <v>9600</v>
      </c>
    </row>
    <row r="1363" spans="1:11">
      <c r="A1363" s="387"/>
      <c r="B1363" s="394"/>
      <c r="C1363" s="394"/>
      <c r="D1363" s="382" t="s">
        <v>9601</v>
      </c>
      <c r="E1363" s="382" t="s">
        <v>9602</v>
      </c>
      <c r="F1363" s="385" t="s">
        <v>20</v>
      </c>
      <c r="G1363" s="404" t="s">
        <v>9603</v>
      </c>
      <c r="H1363" s="404" t="s">
        <v>9604</v>
      </c>
      <c r="I1363" s="404" t="s">
        <v>94</v>
      </c>
      <c r="J1363" s="404" t="s">
        <v>9305</v>
      </c>
      <c r="K1363" s="404" t="s">
        <v>9605</v>
      </c>
    </row>
    <row r="1364" spans="1:11">
      <c r="A1364" s="387"/>
      <c r="B1364" s="394"/>
      <c r="C1364" s="394"/>
      <c r="D1364" s="382" t="s">
        <v>9606</v>
      </c>
      <c r="E1364" s="382" t="s">
        <v>9607</v>
      </c>
      <c r="F1364" s="385" t="s">
        <v>20</v>
      </c>
      <c r="G1364" s="404" t="s">
        <v>9608</v>
      </c>
      <c r="H1364" s="404" t="s">
        <v>9609</v>
      </c>
      <c r="I1364" s="404" t="s">
        <v>23</v>
      </c>
      <c r="J1364" s="404" t="s">
        <v>9610</v>
      </c>
      <c r="K1364" s="404" t="s">
        <v>9611</v>
      </c>
    </row>
    <row r="1365" spans="1:11">
      <c r="A1365" s="387"/>
      <c r="B1365" s="394"/>
      <c r="C1365" s="394" t="s">
        <v>9612</v>
      </c>
      <c r="D1365" s="382" t="s">
        <v>9613</v>
      </c>
      <c r="E1365" s="382" t="s">
        <v>9614</v>
      </c>
      <c r="F1365" s="385" t="s">
        <v>20</v>
      </c>
      <c r="G1365" s="404" t="s">
        <v>9615</v>
      </c>
      <c r="H1365" s="404" t="s">
        <v>9616</v>
      </c>
      <c r="I1365" s="404" t="s">
        <v>94</v>
      </c>
      <c r="J1365" s="404" t="s">
        <v>9617</v>
      </c>
      <c r="K1365" s="404" t="s">
        <v>9618</v>
      </c>
    </row>
    <row r="1366" spans="1:11">
      <c r="A1366" s="387"/>
      <c r="B1366" s="394"/>
      <c r="C1366" s="394"/>
      <c r="D1366" s="382" t="s">
        <v>9619</v>
      </c>
      <c r="E1366" s="382" t="s">
        <v>9620</v>
      </c>
      <c r="F1366" s="385" t="s">
        <v>20</v>
      </c>
      <c r="G1366" s="404" t="s">
        <v>9621</v>
      </c>
      <c r="H1366" s="404" t="s">
        <v>9375</v>
      </c>
      <c r="I1366" s="404" t="s">
        <v>94</v>
      </c>
      <c r="J1366" s="404" t="s">
        <v>9622</v>
      </c>
      <c r="K1366" s="404" t="s">
        <v>9623</v>
      </c>
    </row>
    <row r="1367" spans="1:11">
      <c r="A1367" s="387"/>
      <c r="B1367" s="394"/>
      <c r="C1367" s="394"/>
      <c r="D1367" s="382" t="s">
        <v>9624</v>
      </c>
      <c r="E1367" s="382" t="s">
        <v>9625</v>
      </c>
      <c r="F1367" s="385" t="s">
        <v>20</v>
      </c>
      <c r="G1367" s="404" t="s">
        <v>9626</v>
      </c>
      <c r="H1367" s="404" t="s">
        <v>9627</v>
      </c>
      <c r="I1367" s="404" t="s">
        <v>23</v>
      </c>
      <c r="J1367" s="404" t="s">
        <v>9628</v>
      </c>
      <c r="K1367" s="404" t="s">
        <v>9629</v>
      </c>
    </row>
    <row r="1368" spans="1:11">
      <c r="A1368" s="387"/>
      <c r="B1368" s="394"/>
      <c r="C1368" s="394"/>
      <c r="D1368" s="382" t="s">
        <v>9630</v>
      </c>
      <c r="E1368" s="382" t="s">
        <v>9631</v>
      </c>
      <c r="F1368" s="385" t="s">
        <v>20</v>
      </c>
      <c r="G1368" s="404" t="s">
        <v>9632</v>
      </c>
      <c r="H1368" s="404" t="s">
        <v>9633</v>
      </c>
      <c r="I1368" s="404" t="s">
        <v>94</v>
      </c>
      <c r="J1368" s="404" t="s">
        <v>9634</v>
      </c>
      <c r="K1368" s="404" t="s">
        <v>9635</v>
      </c>
    </row>
    <row r="1369" spans="1:11">
      <c r="A1369" s="387"/>
      <c r="B1369" s="394"/>
      <c r="C1369" s="394"/>
      <c r="D1369" s="382" t="s">
        <v>9636</v>
      </c>
      <c r="E1369" s="382" t="s">
        <v>9637</v>
      </c>
      <c r="F1369" s="385" t="s">
        <v>20</v>
      </c>
      <c r="G1369" s="404" t="s">
        <v>8407</v>
      </c>
      <c r="H1369" s="404" t="s">
        <v>9638</v>
      </c>
      <c r="I1369" s="404" t="s">
        <v>94</v>
      </c>
      <c r="J1369" s="404" t="s">
        <v>8595</v>
      </c>
      <c r="K1369" s="404" t="s">
        <v>9639</v>
      </c>
    </row>
  </sheetData>
  <mergeCells count="453">
    <mergeCell ref="B1345:B1369"/>
    <mergeCell ref="C1345:C1349"/>
    <mergeCell ref="C1350:C1354"/>
    <mergeCell ref="C1355:C1359"/>
    <mergeCell ref="C1360:C1364"/>
    <mergeCell ref="C1365:C1369"/>
    <mergeCell ref="C1315:C1319"/>
    <mergeCell ref="B1320:B1344"/>
    <mergeCell ref="C1320:C1324"/>
    <mergeCell ref="C1325:C1329"/>
    <mergeCell ref="C1330:C1334"/>
    <mergeCell ref="C1335:C1339"/>
    <mergeCell ref="C1340:C1344"/>
    <mergeCell ref="C1270:C1274"/>
    <mergeCell ref="C1275:C1279"/>
    <mergeCell ref="C1280:C1284"/>
    <mergeCell ref="C1285:C1289"/>
    <mergeCell ref="C1290:C1294"/>
    <mergeCell ref="B1295:B1319"/>
    <mergeCell ref="C1295:C1299"/>
    <mergeCell ref="C1300:C1304"/>
    <mergeCell ref="C1305:C1309"/>
    <mergeCell ref="C1310:C1314"/>
    <mergeCell ref="C1235:C1239"/>
    <mergeCell ref="C1240:C1244"/>
    <mergeCell ref="A1245:A1369"/>
    <mergeCell ref="B1245:B1269"/>
    <mergeCell ref="C1245:C1249"/>
    <mergeCell ref="C1250:C1254"/>
    <mergeCell ref="C1255:C1259"/>
    <mergeCell ref="C1260:C1264"/>
    <mergeCell ref="C1265:C1269"/>
    <mergeCell ref="B1270:B1294"/>
    <mergeCell ref="D1195:D1199"/>
    <mergeCell ref="C1200:C1234"/>
    <mergeCell ref="D1200:D1204"/>
    <mergeCell ref="D1205:D1209"/>
    <mergeCell ref="D1210:D1214"/>
    <mergeCell ref="D1215:D1219"/>
    <mergeCell ref="D1220:D1224"/>
    <mergeCell ref="D1225:D1229"/>
    <mergeCell ref="D1230:D1234"/>
    <mergeCell ref="C1150:C1199"/>
    <mergeCell ref="D1150:D1154"/>
    <mergeCell ref="D1155:D1159"/>
    <mergeCell ref="D1160:D1164"/>
    <mergeCell ref="D1165:D1169"/>
    <mergeCell ref="D1170:D1174"/>
    <mergeCell ref="D1175:D1179"/>
    <mergeCell ref="D1180:D1184"/>
    <mergeCell ref="D1185:D1189"/>
    <mergeCell ref="D1190:D1194"/>
    <mergeCell ref="D1120:D1124"/>
    <mergeCell ref="D1125:D1129"/>
    <mergeCell ref="D1130:D1134"/>
    <mergeCell ref="D1135:D1139"/>
    <mergeCell ref="D1140:D1144"/>
    <mergeCell ref="D1145:D1149"/>
    <mergeCell ref="A1090:A1244"/>
    <mergeCell ref="B1090:B1244"/>
    <mergeCell ref="C1090:C1114"/>
    <mergeCell ref="D1090:D1094"/>
    <mergeCell ref="D1095:D1099"/>
    <mergeCell ref="D1100:D1104"/>
    <mergeCell ref="D1105:D1109"/>
    <mergeCell ref="D1110:D1114"/>
    <mergeCell ref="C1115:C1149"/>
    <mergeCell ref="D1115:D1119"/>
    <mergeCell ref="B1065:B1089"/>
    <mergeCell ref="C1065:C1069"/>
    <mergeCell ref="C1070:C1074"/>
    <mergeCell ref="C1075:C1079"/>
    <mergeCell ref="C1080:C1084"/>
    <mergeCell ref="C1085:C1089"/>
    <mergeCell ref="B1025:B1064"/>
    <mergeCell ref="C1025:C1029"/>
    <mergeCell ref="C1030:C1034"/>
    <mergeCell ref="C1035:C1039"/>
    <mergeCell ref="C1040:C1044"/>
    <mergeCell ref="C1045:C1049"/>
    <mergeCell ref="C1050:C1054"/>
    <mergeCell ref="C1055:C1059"/>
    <mergeCell ref="C1060:C1064"/>
    <mergeCell ref="C995:C999"/>
    <mergeCell ref="C1000:C1004"/>
    <mergeCell ref="C1005:C1009"/>
    <mergeCell ref="C1010:C1014"/>
    <mergeCell ref="C1015:C1019"/>
    <mergeCell ref="C1020:C1024"/>
    <mergeCell ref="C950:C954"/>
    <mergeCell ref="C955:C959"/>
    <mergeCell ref="C960:C964"/>
    <mergeCell ref="C965:C969"/>
    <mergeCell ref="C970:C974"/>
    <mergeCell ref="B975:B1024"/>
    <mergeCell ref="C975:C979"/>
    <mergeCell ref="C980:C984"/>
    <mergeCell ref="C985:C989"/>
    <mergeCell ref="C990:C994"/>
    <mergeCell ref="C905:C909"/>
    <mergeCell ref="C910:C914"/>
    <mergeCell ref="B915:B974"/>
    <mergeCell ref="C915:C919"/>
    <mergeCell ref="C920:C924"/>
    <mergeCell ref="C925:C929"/>
    <mergeCell ref="C930:C934"/>
    <mergeCell ref="C935:C939"/>
    <mergeCell ref="C940:C944"/>
    <mergeCell ref="C945:C949"/>
    <mergeCell ref="C875:C879"/>
    <mergeCell ref="C880:C884"/>
    <mergeCell ref="C885:C889"/>
    <mergeCell ref="C890:C894"/>
    <mergeCell ref="C895:C899"/>
    <mergeCell ref="C900:C904"/>
    <mergeCell ref="C830:C834"/>
    <mergeCell ref="C835:C839"/>
    <mergeCell ref="C840:C844"/>
    <mergeCell ref="C845:C849"/>
    <mergeCell ref="B850:B914"/>
    <mergeCell ref="C850:C854"/>
    <mergeCell ref="C855:C859"/>
    <mergeCell ref="C860:C864"/>
    <mergeCell ref="C865:C869"/>
    <mergeCell ref="C870:C874"/>
    <mergeCell ref="C785:C789"/>
    <mergeCell ref="B790:B849"/>
    <mergeCell ref="C790:C794"/>
    <mergeCell ref="C795:C799"/>
    <mergeCell ref="C800:C804"/>
    <mergeCell ref="C805:C809"/>
    <mergeCell ref="C810:C814"/>
    <mergeCell ref="C815:C819"/>
    <mergeCell ref="C820:C824"/>
    <mergeCell ref="C825:C829"/>
    <mergeCell ref="B740:B789"/>
    <mergeCell ref="C740:C744"/>
    <mergeCell ref="C745:C749"/>
    <mergeCell ref="C750:C754"/>
    <mergeCell ref="C755:C759"/>
    <mergeCell ref="C760:C764"/>
    <mergeCell ref="C765:C769"/>
    <mergeCell ref="C770:C774"/>
    <mergeCell ref="C775:C779"/>
    <mergeCell ref="C780:C784"/>
    <mergeCell ref="B700:B739"/>
    <mergeCell ref="C700:C704"/>
    <mergeCell ref="C705:C709"/>
    <mergeCell ref="C710:C714"/>
    <mergeCell ref="C715:C719"/>
    <mergeCell ref="C720:C724"/>
    <mergeCell ref="C725:C729"/>
    <mergeCell ref="C730:C734"/>
    <mergeCell ref="C735:C739"/>
    <mergeCell ref="B660:B699"/>
    <mergeCell ref="C660:C664"/>
    <mergeCell ref="C665:C669"/>
    <mergeCell ref="C670:C674"/>
    <mergeCell ref="C675:C679"/>
    <mergeCell ref="C680:C684"/>
    <mergeCell ref="C685:C689"/>
    <mergeCell ref="C690:C694"/>
    <mergeCell ref="C695:C699"/>
    <mergeCell ref="B620:B659"/>
    <mergeCell ref="C620:C624"/>
    <mergeCell ref="C625:C629"/>
    <mergeCell ref="C630:C634"/>
    <mergeCell ref="C635:C639"/>
    <mergeCell ref="C640:C644"/>
    <mergeCell ref="C645:C649"/>
    <mergeCell ref="C650:C654"/>
    <mergeCell ref="C655:C659"/>
    <mergeCell ref="C575:C579"/>
    <mergeCell ref="B580:B619"/>
    <mergeCell ref="C580:C584"/>
    <mergeCell ref="C585:C589"/>
    <mergeCell ref="C590:C594"/>
    <mergeCell ref="C595:C599"/>
    <mergeCell ref="C600:C604"/>
    <mergeCell ref="C605:C609"/>
    <mergeCell ref="C610:C614"/>
    <mergeCell ref="C615:C619"/>
    <mergeCell ref="B530:B579"/>
    <mergeCell ref="C530:C534"/>
    <mergeCell ref="C535:C539"/>
    <mergeCell ref="C540:C544"/>
    <mergeCell ref="C545:C549"/>
    <mergeCell ref="C550:C554"/>
    <mergeCell ref="C555:C559"/>
    <mergeCell ref="C560:C564"/>
    <mergeCell ref="C565:C569"/>
    <mergeCell ref="C570:C574"/>
    <mergeCell ref="C500:C504"/>
    <mergeCell ref="C505:C509"/>
    <mergeCell ref="C510:C514"/>
    <mergeCell ref="C515:C519"/>
    <mergeCell ref="C520:C524"/>
    <mergeCell ref="C525:C529"/>
    <mergeCell ref="C455:C459"/>
    <mergeCell ref="C460:C464"/>
    <mergeCell ref="C465:C469"/>
    <mergeCell ref="C470:C474"/>
    <mergeCell ref="C475:C479"/>
    <mergeCell ref="B480:B529"/>
    <mergeCell ref="C480:C484"/>
    <mergeCell ref="C485:C489"/>
    <mergeCell ref="C490:C494"/>
    <mergeCell ref="C495:C499"/>
    <mergeCell ref="A420:A1089"/>
    <mergeCell ref="B420:B444"/>
    <mergeCell ref="C420:C424"/>
    <mergeCell ref="C425:C429"/>
    <mergeCell ref="C430:C434"/>
    <mergeCell ref="C435:C439"/>
    <mergeCell ref="C440:C444"/>
    <mergeCell ref="B445:B479"/>
    <mergeCell ref="C445:C449"/>
    <mergeCell ref="C450:C454"/>
    <mergeCell ref="C380:C384"/>
    <mergeCell ref="C385:C389"/>
    <mergeCell ref="C390:C394"/>
    <mergeCell ref="B395:B419"/>
    <mergeCell ref="C395:C399"/>
    <mergeCell ref="C400:C404"/>
    <mergeCell ref="C405:C409"/>
    <mergeCell ref="C410:C414"/>
    <mergeCell ref="C415:C419"/>
    <mergeCell ref="C350:C354"/>
    <mergeCell ref="C355:C359"/>
    <mergeCell ref="C360:C364"/>
    <mergeCell ref="C365:C369"/>
    <mergeCell ref="C370:C374"/>
    <mergeCell ref="C375:C379"/>
    <mergeCell ref="B305:B394"/>
    <mergeCell ref="C305:C309"/>
    <mergeCell ref="C310:C314"/>
    <mergeCell ref="C315:C319"/>
    <mergeCell ref="C320:C324"/>
    <mergeCell ref="C325:C329"/>
    <mergeCell ref="C330:C334"/>
    <mergeCell ref="C335:C339"/>
    <mergeCell ref="C340:C344"/>
    <mergeCell ref="C345:C349"/>
    <mergeCell ref="B280:B304"/>
    <mergeCell ref="C280:C284"/>
    <mergeCell ref="C285:C289"/>
    <mergeCell ref="C290:C294"/>
    <mergeCell ref="C295:C299"/>
    <mergeCell ref="C300:C304"/>
    <mergeCell ref="D248:D249"/>
    <mergeCell ref="E248:E249"/>
    <mergeCell ref="F248:F249"/>
    <mergeCell ref="C250:C254"/>
    <mergeCell ref="B255:B279"/>
    <mergeCell ref="C255:C259"/>
    <mergeCell ref="C260:C264"/>
    <mergeCell ref="C265:C269"/>
    <mergeCell ref="C270:C274"/>
    <mergeCell ref="C275:C279"/>
    <mergeCell ref="D244:D245"/>
    <mergeCell ref="E244:E245"/>
    <mergeCell ref="F244:F245"/>
    <mergeCell ref="D246:D247"/>
    <mergeCell ref="E246:E247"/>
    <mergeCell ref="F246:F247"/>
    <mergeCell ref="D238:D239"/>
    <mergeCell ref="E238:E239"/>
    <mergeCell ref="F238:F239"/>
    <mergeCell ref="C240:C249"/>
    <mergeCell ref="D240:D241"/>
    <mergeCell ref="E240:E241"/>
    <mergeCell ref="F240:F241"/>
    <mergeCell ref="D242:D243"/>
    <mergeCell ref="E242:E243"/>
    <mergeCell ref="F242:F243"/>
    <mergeCell ref="D234:D235"/>
    <mergeCell ref="E234:E235"/>
    <mergeCell ref="F234:F235"/>
    <mergeCell ref="D236:D237"/>
    <mergeCell ref="E236:E237"/>
    <mergeCell ref="F236:F237"/>
    <mergeCell ref="D228:D229"/>
    <mergeCell ref="E228:E229"/>
    <mergeCell ref="F228:F229"/>
    <mergeCell ref="C230:C239"/>
    <mergeCell ref="D230:D231"/>
    <mergeCell ref="E230:E231"/>
    <mergeCell ref="F230:F231"/>
    <mergeCell ref="D232:D233"/>
    <mergeCell ref="E232:E233"/>
    <mergeCell ref="F232:F233"/>
    <mergeCell ref="D224:D225"/>
    <mergeCell ref="E224:E225"/>
    <mergeCell ref="F224:F225"/>
    <mergeCell ref="D226:D227"/>
    <mergeCell ref="E226:E227"/>
    <mergeCell ref="F226:F227"/>
    <mergeCell ref="D218:D219"/>
    <mergeCell ref="E218:E219"/>
    <mergeCell ref="F218:F219"/>
    <mergeCell ref="C220:C229"/>
    <mergeCell ref="D220:D221"/>
    <mergeCell ref="E220:E221"/>
    <mergeCell ref="F220:F221"/>
    <mergeCell ref="D222:D223"/>
    <mergeCell ref="E222:E223"/>
    <mergeCell ref="F222:F223"/>
    <mergeCell ref="C212:C219"/>
    <mergeCell ref="D212:D213"/>
    <mergeCell ref="E212:E213"/>
    <mergeCell ref="F212:F213"/>
    <mergeCell ref="D214:D215"/>
    <mergeCell ref="E214:E215"/>
    <mergeCell ref="F214:F215"/>
    <mergeCell ref="D216:D217"/>
    <mergeCell ref="E216:E217"/>
    <mergeCell ref="F216:F217"/>
    <mergeCell ref="F206:F207"/>
    <mergeCell ref="D208:D209"/>
    <mergeCell ref="E208:E209"/>
    <mergeCell ref="F208:F209"/>
    <mergeCell ref="D210:D211"/>
    <mergeCell ref="E210:E211"/>
    <mergeCell ref="F210:F211"/>
    <mergeCell ref="B202:B254"/>
    <mergeCell ref="C202:C211"/>
    <mergeCell ref="D202:D203"/>
    <mergeCell ref="E202:E203"/>
    <mergeCell ref="F202:F203"/>
    <mergeCell ref="D204:D205"/>
    <mergeCell ref="E204:E205"/>
    <mergeCell ref="F204:F205"/>
    <mergeCell ref="D206:D207"/>
    <mergeCell ref="E206:E207"/>
    <mergeCell ref="D198:D199"/>
    <mergeCell ref="E198:E199"/>
    <mergeCell ref="F198:F199"/>
    <mergeCell ref="D200:D201"/>
    <mergeCell ref="E200:E201"/>
    <mergeCell ref="F200:F201"/>
    <mergeCell ref="C192:C201"/>
    <mergeCell ref="D192:D193"/>
    <mergeCell ref="E192:E193"/>
    <mergeCell ref="F192:F193"/>
    <mergeCell ref="D194:D195"/>
    <mergeCell ref="E194:E195"/>
    <mergeCell ref="F194:F195"/>
    <mergeCell ref="D196:D197"/>
    <mergeCell ref="E196:E197"/>
    <mergeCell ref="F196:F197"/>
    <mergeCell ref="D188:D189"/>
    <mergeCell ref="E188:E189"/>
    <mergeCell ref="F188:F189"/>
    <mergeCell ref="D190:D191"/>
    <mergeCell ref="E190:E191"/>
    <mergeCell ref="F190:F191"/>
    <mergeCell ref="C182:C191"/>
    <mergeCell ref="D182:D183"/>
    <mergeCell ref="E182:E183"/>
    <mergeCell ref="F182:F183"/>
    <mergeCell ref="D184:D185"/>
    <mergeCell ref="E184:E185"/>
    <mergeCell ref="F184:F185"/>
    <mergeCell ref="D186:D187"/>
    <mergeCell ref="E186:E187"/>
    <mergeCell ref="F186:F187"/>
    <mergeCell ref="D178:D179"/>
    <mergeCell ref="E178:E179"/>
    <mergeCell ref="F178:F179"/>
    <mergeCell ref="D180:D181"/>
    <mergeCell ref="E180:E181"/>
    <mergeCell ref="F180:F181"/>
    <mergeCell ref="C172:C181"/>
    <mergeCell ref="D172:D173"/>
    <mergeCell ref="E172:E173"/>
    <mergeCell ref="F172:F173"/>
    <mergeCell ref="D174:D175"/>
    <mergeCell ref="E174:E175"/>
    <mergeCell ref="F174:F175"/>
    <mergeCell ref="D176:D177"/>
    <mergeCell ref="E176:E177"/>
    <mergeCell ref="F176:F177"/>
    <mergeCell ref="D168:D169"/>
    <mergeCell ref="E168:E169"/>
    <mergeCell ref="F168:F169"/>
    <mergeCell ref="D170:D171"/>
    <mergeCell ref="E170:E171"/>
    <mergeCell ref="F170:F171"/>
    <mergeCell ref="C162:C171"/>
    <mergeCell ref="D162:D163"/>
    <mergeCell ref="E162:E163"/>
    <mergeCell ref="F162:F163"/>
    <mergeCell ref="D164:D165"/>
    <mergeCell ref="E164:E165"/>
    <mergeCell ref="F164:F165"/>
    <mergeCell ref="D166:D167"/>
    <mergeCell ref="E166:E167"/>
    <mergeCell ref="F166:F167"/>
    <mergeCell ref="E156:E157"/>
    <mergeCell ref="F156:F157"/>
    <mergeCell ref="D158:D159"/>
    <mergeCell ref="E158:E159"/>
    <mergeCell ref="F158:F159"/>
    <mergeCell ref="D160:D161"/>
    <mergeCell ref="E160:E161"/>
    <mergeCell ref="F160:F161"/>
    <mergeCell ref="A152:A419"/>
    <mergeCell ref="B152:B201"/>
    <mergeCell ref="C152:C161"/>
    <mergeCell ref="D152:D153"/>
    <mergeCell ref="E152:E153"/>
    <mergeCell ref="F152:F153"/>
    <mergeCell ref="D154:D155"/>
    <mergeCell ref="E154:E155"/>
    <mergeCell ref="F154:F155"/>
    <mergeCell ref="D156:D157"/>
    <mergeCell ref="B127:B151"/>
    <mergeCell ref="C127:C131"/>
    <mergeCell ref="C132:C136"/>
    <mergeCell ref="C137:C141"/>
    <mergeCell ref="C142:C146"/>
    <mergeCell ref="C147:C151"/>
    <mergeCell ref="B102:B126"/>
    <mergeCell ref="C102:C106"/>
    <mergeCell ref="C107:C111"/>
    <mergeCell ref="C112:C116"/>
    <mergeCell ref="C117:C121"/>
    <mergeCell ref="C122:C126"/>
    <mergeCell ref="B77:B101"/>
    <mergeCell ref="C77:C81"/>
    <mergeCell ref="C82:C86"/>
    <mergeCell ref="C87:C91"/>
    <mergeCell ref="C92:C96"/>
    <mergeCell ref="C97:C101"/>
    <mergeCell ref="C37:C41"/>
    <mergeCell ref="C42:C46"/>
    <mergeCell ref="C47:C51"/>
    <mergeCell ref="B52:B76"/>
    <mergeCell ref="C52:C56"/>
    <mergeCell ref="C57:C61"/>
    <mergeCell ref="C62:C66"/>
    <mergeCell ref="C67:C71"/>
    <mergeCell ref="C72:C76"/>
    <mergeCell ref="A2:A151"/>
    <mergeCell ref="B2:B26"/>
    <mergeCell ref="C2:C6"/>
    <mergeCell ref="C7:C11"/>
    <mergeCell ref="C12:C16"/>
    <mergeCell ref="C17:C21"/>
    <mergeCell ref="C22:C26"/>
    <mergeCell ref="B27:B51"/>
    <mergeCell ref="C27:C31"/>
    <mergeCell ref="C32:C36"/>
  </mergeCells>
  <conditionalFormatting sqref="I420:I1089">
    <cfRule type="containsText" dxfId="80" priority="37" operator="containsText" text="Faible">
      <formula>NOT(ISERROR(SEARCH("Faible",I420)))</formula>
    </cfRule>
    <cfRule type="containsText" dxfId="79" priority="38" operator="containsText" text="Elevée">
      <formula>NOT(ISERROR(SEARCH("Elevée",I420)))</formula>
    </cfRule>
    <cfRule type="containsText" dxfId="78" priority="39" operator="containsText" text="Moyenne">
      <formula>NOT(ISERROR(SEARCH("Moyenne",I420)))</formula>
    </cfRule>
  </conditionalFormatting>
  <conditionalFormatting sqref="I1245:I1268">
    <cfRule type="containsText" dxfId="77" priority="34" operator="containsText" text="Faible">
      <formula>NOT(ISERROR(SEARCH("Faible",I1245)))</formula>
    </cfRule>
    <cfRule type="containsText" dxfId="76" priority="35" operator="containsText" text="Elevée">
      <formula>NOT(ISERROR(SEARCH("Elevée",I1245)))</formula>
    </cfRule>
    <cfRule type="containsText" dxfId="75" priority="36" operator="containsText" text="Moyenne">
      <formula>NOT(ISERROR(SEARCH("Moyenne",I1245)))</formula>
    </cfRule>
  </conditionalFormatting>
  <conditionalFormatting sqref="I1269:I1283">
    <cfRule type="containsText" dxfId="74" priority="31" operator="containsText" text="Faible">
      <formula>NOT(ISERROR(SEARCH("Faible",I1269)))</formula>
    </cfRule>
    <cfRule type="containsText" dxfId="73" priority="32" operator="containsText" text="Elevée">
      <formula>NOT(ISERROR(SEARCH("Elevée",I1269)))</formula>
    </cfRule>
    <cfRule type="containsText" dxfId="72" priority="33" operator="containsText" text="Moyenne">
      <formula>NOT(ISERROR(SEARCH("Moyenne",I1269)))</formula>
    </cfRule>
  </conditionalFormatting>
  <conditionalFormatting sqref="I1284:I1292">
    <cfRule type="containsText" dxfId="71" priority="28" operator="containsText" text="Faible">
      <formula>NOT(ISERROR(SEARCH("Faible",I1284)))</formula>
    </cfRule>
    <cfRule type="containsText" dxfId="70" priority="29" operator="containsText" text="Elevée">
      <formula>NOT(ISERROR(SEARCH("Elevée",I1284)))</formula>
    </cfRule>
    <cfRule type="containsText" dxfId="69" priority="30" operator="containsText" text="Moyenne">
      <formula>NOT(ISERROR(SEARCH("Moyenne",I1284)))</formula>
    </cfRule>
  </conditionalFormatting>
  <conditionalFormatting sqref="I1293:I1297">
    <cfRule type="containsText" dxfId="68" priority="25" operator="containsText" text="Faible">
      <formula>NOT(ISERROR(SEARCH("Faible",I1293)))</formula>
    </cfRule>
    <cfRule type="containsText" dxfId="67" priority="26" operator="containsText" text="Elevée">
      <formula>NOT(ISERROR(SEARCH("Elevée",I1293)))</formula>
    </cfRule>
    <cfRule type="containsText" dxfId="66" priority="27" operator="containsText" text="Moyenne">
      <formula>NOT(ISERROR(SEARCH("Moyenne",I1293)))</formula>
    </cfRule>
  </conditionalFormatting>
  <conditionalFormatting sqref="I1298:I1304">
    <cfRule type="containsText" dxfId="65" priority="22" operator="containsText" text="Faible">
      <formula>NOT(ISERROR(SEARCH("Faible",I1298)))</formula>
    </cfRule>
    <cfRule type="containsText" dxfId="64" priority="23" operator="containsText" text="Elevée">
      <formula>NOT(ISERROR(SEARCH("Elevée",I1298)))</formula>
    </cfRule>
    <cfRule type="containsText" dxfId="63" priority="24" operator="containsText" text="Moyenne">
      <formula>NOT(ISERROR(SEARCH("Moyenne",I1298)))</formula>
    </cfRule>
  </conditionalFormatting>
  <conditionalFormatting sqref="I1305:I1313">
    <cfRule type="containsText" dxfId="62" priority="19" operator="containsText" text="Faible">
      <formula>NOT(ISERROR(SEARCH("Faible",I1305)))</formula>
    </cfRule>
    <cfRule type="containsText" dxfId="61" priority="20" operator="containsText" text="Elevée">
      <formula>NOT(ISERROR(SEARCH("Elevée",I1305)))</formula>
    </cfRule>
    <cfRule type="containsText" dxfId="60" priority="21" operator="containsText" text="Moyenne">
      <formula>NOT(ISERROR(SEARCH("Moyenne",I1305)))</formula>
    </cfRule>
  </conditionalFormatting>
  <conditionalFormatting sqref="I1314:I1335">
    <cfRule type="containsText" dxfId="59" priority="16" operator="containsText" text="Faible">
      <formula>NOT(ISERROR(SEARCH("Faible",I1314)))</formula>
    </cfRule>
    <cfRule type="containsText" dxfId="58" priority="17" operator="containsText" text="Elevée">
      <formula>NOT(ISERROR(SEARCH("Elevée",I1314)))</formula>
    </cfRule>
    <cfRule type="containsText" dxfId="57" priority="18" operator="containsText" text="Moyenne">
      <formula>NOT(ISERROR(SEARCH("Moyenne",I1314)))</formula>
    </cfRule>
  </conditionalFormatting>
  <conditionalFormatting sqref="I1336:I1341">
    <cfRule type="containsText" dxfId="56" priority="13" operator="containsText" text="Faible">
      <formula>NOT(ISERROR(SEARCH("Faible",I1336)))</formula>
    </cfRule>
    <cfRule type="containsText" dxfId="55" priority="14" operator="containsText" text="Elevée">
      <formula>NOT(ISERROR(SEARCH("Elevée",I1336)))</formula>
    </cfRule>
    <cfRule type="containsText" dxfId="54" priority="15" operator="containsText" text="Moyenne">
      <formula>NOT(ISERROR(SEARCH("Moyenne",I1336)))</formula>
    </cfRule>
  </conditionalFormatting>
  <conditionalFormatting sqref="I1342">
    <cfRule type="containsText" dxfId="53" priority="10" operator="containsText" text="Faible">
      <formula>NOT(ISERROR(SEARCH("Faible",I1342)))</formula>
    </cfRule>
    <cfRule type="containsText" dxfId="52" priority="11" operator="containsText" text="Elevée">
      <formula>NOT(ISERROR(SEARCH("Elevée",I1342)))</formula>
    </cfRule>
    <cfRule type="containsText" dxfId="51" priority="12" operator="containsText" text="Moyenne">
      <formula>NOT(ISERROR(SEARCH("Moyenne",I1342)))</formula>
    </cfRule>
  </conditionalFormatting>
  <conditionalFormatting sqref="I1343:I1352">
    <cfRule type="containsText" dxfId="50" priority="7" operator="containsText" text="Faible">
      <formula>NOT(ISERROR(SEARCH("Faible",I1343)))</formula>
    </cfRule>
    <cfRule type="containsText" dxfId="49" priority="8" operator="containsText" text="Elevée">
      <formula>NOT(ISERROR(SEARCH("Elevée",I1343)))</formula>
    </cfRule>
    <cfRule type="containsText" dxfId="48" priority="9" operator="containsText" text="Moyenne">
      <formula>NOT(ISERROR(SEARCH("Moyenne",I1343)))</formula>
    </cfRule>
  </conditionalFormatting>
  <conditionalFormatting sqref="I1353:I1363">
    <cfRule type="containsText" dxfId="47" priority="4" operator="containsText" text="Faible">
      <formula>NOT(ISERROR(SEARCH("Faible",I1353)))</formula>
    </cfRule>
    <cfRule type="containsText" dxfId="46" priority="5" operator="containsText" text="Elevée">
      <formula>NOT(ISERROR(SEARCH("Elevée",I1353)))</formula>
    </cfRule>
    <cfRule type="containsText" dxfId="45" priority="6" operator="containsText" text="Moyenne">
      <formula>NOT(ISERROR(SEARCH("Moyenne",I1353)))</formula>
    </cfRule>
  </conditionalFormatting>
  <conditionalFormatting sqref="I1364:I1369">
    <cfRule type="containsText" dxfId="44" priority="1" operator="containsText" text="Faible">
      <formula>NOT(ISERROR(SEARCH("Faible",I1364)))</formula>
    </cfRule>
    <cfRule type="containsText" dxfId="43" priority="2" operator="containsText" text="Elevée">
      <formula>NOT(ISERROR(SEARCH("Elevée",I1364)))</formula>
    </cfRule>
    <cfRule type="containsText" dxfId="42" priority="3" operator="containsText" text="Moyenne">
      <formula>NOT(ISERROR(SEARCH("Moyenne",I1364)))</formula>
    </cfRule>
  </conditionalFormatting>
  <dataValidations count="2">
    <dataValidation type="list" allowBlank="1" showInputMessage="1" showErrorMessage="1" sqref="I420:I1089 I1245:I1369">
      <formula1>"Elevée,Moyenne,Faible"</formula1>
    </dataValidation>
    <dataValidation type="list" allowBlank="1" showInputMessage="1" showErrorMessage="1" sqref="F1245:F1369">
      <formula1>"oui,non,pas"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7"/>
  <sheetViews>
    <sheetView tabSelected="1" topLeftCell="A13" zoomScale="85" zoomScaleNormal="85" workbookViewId="0">
      <selection activeCell="N24" sqref="N24"/>
    </sheetView>
  </sheetViews>
  <sheetFormatPr baseColWidth="10" defaultRowHeight="15"/>
  <cols>
    <col min="1" max="1" width="11.42578125" style="306"/>
    <col min="2" max="2" width="5.85546875" style="306" bestFit="1" customWidth="1"/>
    <col min="3" max="3" width="38.85546875" style="306" bestFit="1" customWidth="1"/>
    <col min="4" max="16384" width="11.42578125" style="306"/>
  </cols>
  <sheetData>
    <row r="3" spans="2:16">
      <c r="B3" s="411" t="s">
        <v>9642</v>
      </c>
      <c r="C3" s="411"/>
      <c r="D3" s="411"/>
      <c r="E3" s="411"/>
      <c r="F3" s="411"/>
      <c r="G3" s="411"/>
      <c r="H3" s="411"/>
      <c r="J3" s="411" t="s">
        <v>9643</v>
      </c>
      <c r="K3" s="411"/>
      <c r="L3" s="411"/>
      <c r="M3" s="411"/>
      <c r="N3" s="411"/>
      <c r="O3" s="411"/>
      <c r="P3" s="411"/>
    </row>
    <row r="4" spans="2:16" ht="15.75" thickBot="1"/>
    <row r="5" spans="2:16">
      <c r="B5" s="412" t="s">
        <v>9644</v>
      </c>
      <c r="C5" s="413" t="s">
        <v>0</v>
      </c>
      <c r="D5" s="413" t="s">
        <v>9645</v>
      </c>
      <c r="E5" s="413" t="s">
        <v>9646</v>
      </c>
      <c r="F5" s="413" t="s">
        <v>9647</v>
      </c>
      <c r="G5" s="413" t="s">
        <v>9648</v>
      </c>
      <c r="H5" s="414" t="s">
        <v>9649</v>
      </c>
      <c r="J5" s="415"/>
      <c r="K5" s="416"/>
      <c r="L5" s="416"/>
      <c r="M5" s="416" t="s">
        <v>9650</v>
      </c>
      <c r="N5" s="416" t="s">
        <v>9651</v>
      </c>
      <c r="O5" s="416" t="s">
        <v>9658</v>
      </c>
      <c r="P5" s="417"/>
    </row>
    <row r="6" spans="2:16" ht="15.75" thickBot="1">
      <c r="B6" s="418">
        <v>1</v>
      </c>
      <c r="C6" s="335" t="s">
        <v>1679</v>
      </c>
      <c r="D6" s="335">
        <f>COUNTIF('4.1 Application en service'!F2:F151, "OUI")</f>
        <v>100</v>
      </c>
      <c r="E6" s="335">
        <f>COUNTIF('4.1 Application en service'!F2:F151, "NON")</f>
        <v>18</v>
      </c>
      <c r="F6" s="335">
        <f>COUNTIF('4.1 Application en service'!F2:F151, "PAS")</f>
        <v>32</v>
      </c>
      <c r="G6" s="335">
        <f>SUM(D6:F6)</f>
        <v>150</v>
      </c>
      <c r="H6" s="425">
        <f t="shared" ref="H6:H10" si="0">D6/G6</f>
        <v>0.66666666666666663</v>
      </c>
      <c r="J6" s="419"/>
      <c r="K6" s="306" t="s">
        <v>9652</v>
      </c>
      <c r="M6" s="306" t="s">
        <v>9656</v>
      </c>
      <c r="N6" s="306" t="s">
        <v>9657</v>
      </c>
      <c r="O6" s="433" t="s">
        <v>9659</v>
      </c>
      <c r="P6" s="420"/>
    </row>
    <row r="7" spans="2:16" ht="15.75" thickBot="1">
      <c r="B7" s="418">
        <v>2</v>
      </c>
      <c r="C7" s="335" t="s">
        <v>1953</v>
      </c>
      <c r="D7" s="335">
        <f>COUNTIF('4.2 Fonction Informatique'!F2:F269,"OUI")</f>
        <v>81</v>
      </c>
      <c r="E7" s="335">
        <f>COUNTIF('4.2 Fonction Informatique'!F2:F269,"NON")</f>
        <v>74</v>
      </c>
      <c r="F7" s="335">
        <f>COUNTIF('4.2 Fonction Informatique'!F2:F269,"PAS")</f>
        <v>64</v>
      </c>
      <c r="G7" s="335">
        <f>SUM(D7:F7)</f>
        <v>219</v>
      </c>
      <c r="H7" s="425">
        <f t="shared" si="0"/>
        <v>0.36986301369863012</v>
      </c>
      <c r="J7" s="419"/>
      <c r="P7" s="420"/>
    </row>
    <row r="8" spans="2:16" ht="15.75" thickBot="1">
      <c r="B8" s="418">
        <v>3</v>
      </c>
      <c r="C8" s="335" t="s">
        <v>9660</v>
      </c>
      <c r="D8" s="335">
        <f>COUNTIF('4.3 Projets Informatiques'!F2:F671, "OUI")</f>
        <v>310</v>
      </c>
      <c r="E8" s="335">
        <f>COUNTIF('4.3 Projets Informatiques'!F2:F671, "NON")</f>
        <v>254</v>
      </c>
      <c r="F8" s="335">
        <f>COUNTIF('4.3 Projets Informatiques'!F2:F671, "PAS")</f>
        <v>106</v>
      </c>
      <c r="G8" s="335">
        <f>SUM(G6:G7)</f>
        <v>369</v>
      </c>
      <c r="H8" s="425">
        <f t="shared" si="0"/>
        <v>0.84010840108401086</v>
      </c>
      <c r="J8" s="419"/>
      <c r="K8" s="306" t="s">
        <v>9653</v>
      </c>
      <c r="P8" s="420"/>
    </row>
    <row r="9" spans="2:16" ht="15.75" thickBot="1">
      <c r="B9" s="418">
        <v>4</v>
      </c>
      <c r="C9" s="335" t="s">
        <v>9661</v>
      </c>
      <c r="D9" s="335">
        <f>COUNTIF('4.4 Support Utilisateur'!F2:F156, "OUI")</f>
        <v>80</v>
      </c>
      <c r="E9" s="335">
        <f>COUNTIF('4.4 Support Utilisateur'!F2:F156, "NON")</f>
        <v>51</v>
      </c>
      <c r="F9" s="335">
        <f>COUNTIF('4.4 Support Utilisateur'!F2:F156, "PAS")</f>
        <v>24</v>
      </c>
      <c r="G9" s="335">
        <f>SUM(D9:F9)</f>
        <v>155</v>
      </c>
      <c r="H9" s="425">
        <f t="shared" si="0"/>
        <v>0.5161290322580645</v>
      </c>
      <c r="J9" s="419"/>
      <c r="L9" s="421"/>
      <c r="P9" s="420"/>
    </row>
    <row r="10" spans="2:16" ht="15.75" thickBot="1">
      <c r="B10" s="418">
        <v>5</v>
      </c>
      <c r="C10" s="335" t="s">
        <v>9640</v>
      </c>
      <c r="D10" s="335">
        <f>COUNTIF('4.5 Sécurité Informatique'!F2:F126, "OUI")</f>
        <v>75</v>
      </c>
      <c r="E10" s="335">
        <f>COUNTIF('4.5 Sécurité Informatique'!F2:F126, "NON")</f>
        <v>35</v>
      </c>
      <c r="F10" s="335">
        <f>COUNTIF('4.5 Sécurité Informatique'!F2:F126, "PAS")</f>
        <v>15</v>
      </c>
      <c r="G10" s="335">
        <f>SUM(D10:F10)</f>
        <v>125</v>
      </c>
      <c r="H10" s="425">
        <f t="shared" si="0"/>
        <v>0.6</v>
      </c>
      <c r="J10" s="419"/>
      <c r="L10" s="421"/>
      <c r="P10" s="420"/>
    </row>
    <row r="11" spans="2:16" ht="15.75" thickBot="1">
      <c r="B11" s="422" t="s">
        <v>9648</v>
      </c>
      <c r="C11" s="423"/>
      <c r="D11" s="424">
        <f>SUM(D3:D9)</f>
        <v>571</v>
      </c>
      <c r="E11" s="424">
        <f>SUM(E3:E9)</f>
        <v>397</v>
      </c>
      <c r="F11" s="424">
        <f>SUM(F3:F9)</f>
        <v>226</v>
      </c>
      <c r="G11" s="424">
        <f t="shared" ref="G11" si="1">SUM(D11:F11)</f>
        <v>1194</v>
      </c>
      <c r="H11" s="425">
        <f t="shared" ref="H11" si="2">D11/G11</f>
        <v>0.47822445561139026</v>
      </c>
      <c r="J11" s="419"/>
      <c r="L11" s="421"/>
      <c r="P11" s="420"/>
    </row>
    <row r="12" spans="2:16">
      <c r="B12" s="426"/>
      <c r="C12" s="426"/>
      <c r="D12" s="427"/>
      <c r="E12" s="427"/>
      <c r="F12" s="427"/>
      <c r="G12" s="427"/>
      <c r="H12" s="428"/>
      <c r="J12" s="419"/>
      <c r="L12" s="421"/>
      <c r="P12" s="420"/>
    </row>
    <row r="13" spans="2:16">
      <c r="B13" s="426"/>
      <c r="C13" s="426"/>
      <c r="D13" s="427"/>
      <c r="E13" s="427"/>
      <c r="F13" s="427"/>
      <c r="G13" s="427"/>
      <c r="H13" s="428"/>
      <c r="J13" s="419"/>
      <c r="L13" s="421"/>
      <c r="P13" s="420"/>
    </row>
    <row r="14" spans="2:16">
      <c r="B14" s="426"/>
      <c r="C14" s="426"/>
      <c r="D14" s="427"/>
      <c r="E14" s="427"/>
      <c r="F14" s="427"/>
      <c r="G14" s="427"/>
      <c r="H14" s="428"/>
      <c r="J14" s="419"/>
      <c r="K14" s="306" t="s">
        <v>9654</v>
      </c>
      <c r="L14" s="421"/>
      <c r="P14" s="420"/>
    </row>
    <row r="15" spans="2:16" ht="15.75" thickBot="1">
      <c r="J15" s="429"/>
      <c r="K15" s="430"/>
      <c r="L15" s="430"/>
      <c r="M15" s="430"/>
      <c r="N15" s="430"/>
      <c r="O15" s="430"/>
      <c r="P15" s="431"/>
    </row>
    <row r="16" spans="2:16">
      <c r="B16" s="432" t="s">
        <v>9655</v>
      </c>
      <c r="C16" s="432"/>
      <c r="D16" s="432"/>
      <c r="E16" s="432"/>
      <c r="F16" s="432"/>
      <c r="G16" s="432"/>
      <c r="H16" s="432"/>
    </row>
    <row r="17" spans="9:16">
      <c r="I17" s="432"/>
      <c r="J17" s="432"/>
      <c r="K17" s="432"/>
      <c r="L17" s="432"/>
      <c r="M17" s="432"/>
      <c r="N17" s="432"/>
      <c r="O17" s="432"/>
      <c r="P17" s="432"/>
    </row>
  </sheetData>
  <mergeCells count="6">
    <mergeCell ref="B3:H3"/>
    <mergeCell ref="J3:P3"/>
    <mergeCell ref="B11:C11"/>
    <mergeCell ref="B12:C12"/>
    <mergeCell ref="B13:C13"/>
    <mergeCell ref="B14:C14"/>
  </mergeCells>
  <conditionalFormatting sqref="H6:H14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1"/>
  <sheetViews>
    <sheetView topLeftCell="I1" zoomScale="85" zoomScaleNormal="85" workbookViewId="0">
      <selection activeCell="AD143" sqref="AD143"/>
    </sheetView>
  </sheetViews>
  <sheetFormatPr baseColWidth="10" defaultColWidth="9.140625" defaultRowHeight="15"/>
  <cols>
    <col min="1" max="1" width="53" customWidth="1"/>
    <col min="2" max="2" width="72.42578125" customWidth="1"/>
    <col min="3" max="3" width="82.140625" customWidth="1"/>
    <col min="4" max="4" width="70.85546875" customWidth="1"/>
    <col min="5" max="5" width="86" customWidth="1"/>
    <col min="6" max="6" width="92.42578125" customWidth="1"/>
    <col min="7" max="7" width="107.85546875" customWidth="1"/>
    <col min="8" max="8" width="125.140625" customWidth="1"/>
    <col min="9" max="9" width="113" customWidth="1"/>
    <col min="10" max="10" width="15.28515625" customWidth="1"/>
    <col min="11" max="12" width="53" customWidth="1"/>
    <col min="13" max="13" width="22.5703125" customWidth="1"/>
    <col min="14" max="14" width="44" customWidth="1"/>
    <col min="15" max="15" width="81.5703125" customWidth="1"/>
  </cols>
  <sheetData>
    <row r="1" spans="1:15" ht="15.75">
      <c r="A1" s="104" t="s">
        <v>0</v>
      </c>
      <c r="B1" s="105" t="s">
        <v>1</v>
      </c>
      <c r="C1" s="106" t="s">
        <v>2</v>
      </c>
      <c r="D1" s="106" t="s">
        <v>3</v>
      </c>
      <c r="E1" s="106" t="s">
        <v>4</v>
      </c>
      <c r="F1" s="107" t="s">
        <v>5</v>
      </c>
      <c r="G1" s="108" t="s">
        <v>6</v>
      </c>
      <c r="H1" s="108" t="s">
        <v>7</v>
      </c>
      <c r="I1" s="108" t="s">
        <v>8</v>
      </c>
      <c r="J1" s="108" t="s">
        <v>9</v>
      </c>
      <c r="K1" s="108" t="s">
        <v>10</v>
      </c>
      <c r="L1" s="108" t="s">
        <v>11</v>
      </c>
      <c r="M1" s="109" t="s">
        <v>12</v>
      </c>
      <c r="N1" s="108" t="s">
        <v>13</v>
      </c>
      <c r="O1" s="110" t="s">
        <v>14</v>
      </c>
    </row>
    <row r="2" spans="1:15">
      <c r="A2" s="111" t="s">
        <v>15</v>
      </c>
      <c r="B2" s="112"/>
      <c r="C2" s="112"/>
      <c r="D2" s="112"/>
      <c r="E2" s="112"/>
      <c r="F2" s="19" t="s">
        <v>16</v>
      </c>
      <c r="G2" s="19" t="s">
        <v>17</v>
      </c>
      <c r="H2" s="113" t="s">
        <v>18</v>
      </c>
      <c r="I2" s="114" t="s">
        <v>19</v>
      </c>
      <c r="J2" s="115" t="s">
        <v>20</v>
      </c>
      <c r="K2" s="114" t="s">
        <v>21</v>
      </c>
      <c r="L2" s="114" t="s">
        <v>22</v>
      </c>
      <c r="M2" s="116" t="s">
        <v>23</v>
      </c>
      <c r="N2" s="114" t="s">
        <v>24</v>
      </c>
      <c r="O2" s="117"/>
    </row>
    <row r="3" spans="1:15" ht="15.75">
      <c r="A3" s="118"/>
      <c r="B3" s="119"/>
      <c r="C3" s="119"/>
      <c r="D3" s="119"/>
      <c r="E3" s="119"/>
      <c r="F3" s="20"/>
      <c r="G3" s="20"/>
      <c r="H3" s="47" t="s">
        <v>25</v>
      </c>
      <c r="I3" s="114" t="s">
        <v>26</v>
      </c>
      <c r="J3" s="115"/>
      <c r="K3" s="114"/>
      <c r="L3" s="114"/>
      <c r="M3" s="116"/>
      <c r="N3" s="114"/>
      <c r="O3" s="117"/>
    </row>
    <row r="4" spans="1:15" ht="15.75">
      <c r="A4" s="118"/>
      <c r="B4" s="119"/>
      <c r="C4" s="119"/>
      <c r="D4" s="119"/>
      <c r="E4" s="119"/>
      <c r="F4" s="20"/>
      <c r="G4" s="20"/>
      <c r="H4" s="47" t="s">
        <v>27</v>
      </c>
      <c r="I4" s="114" t="s">
        <v>28</v>
      </c>
      <c r="J4" s="115"/>
      <c r="K4" s="114"/>
      <c r="L4" s="114"/>
      <c r="M4" s="116"/>
      <c r="N4" s="114"/>
      <c r="O4" s="117"/>
    </row>
    <row r="5" spans="1:15" ht="15.75">
      <c r="A5" s="118"/>
      <c r="B5" s="119"/>
      <c r="C5" s="119"/>
      <c r="D5" s="119"/>
      <c r="E5" s="119"/>
      <c r="F5" s="20"/>
      <c r="G5" s="20"/>
      <c r="H5" s="47" t="s">
        <v>29</v>
      </c>
      <c r="I5" s="114" t="s">
        <v>30</v>
      </c>
      <c r="J5" s="115"/>
      <c r="K5" s="114"/>
      <c r="L5" s="114"/>
      <c r="M5" s="116"/>
      <c r="N5" s="114"/>
      <c r="O5" s="117"/>
    </row>
    <row r="6" spans="1:15" ht="15.75">
      <c r="A6" s="118"/>
      <c r="B6" s="119"/>
      <c r="C6" s="119"/>
      <c r="D6" s="119"/>
      <c r="E6" s="119"/>
      <c r="F6" s="20"/>
      <c r="G6" s="21"/>
      <c r="H6" s="47" t="s">
        <v>31</v>
      </c>
      <c r="I6" s="114" t="s">
        <v>32</v>
      </c>
      <c r="J6" s="115"/>
      <c r="K6" s="114"/>
      <c r="L6" s="114"/>
      <c r="M6" s="116"/>
      <c r="N6" s="114"/>
      <c r="O6" s="117"/>
    </row>
    <row r="7" spans="1:15" ht="15.75">
      <c r="A7" s="118"/>
      <c r="B7" s="119"/>
      <c r="C7" s="119"/>
      <c r="D7" s="119"/>
      <c r="E7" s="119"/>
      <c r="F7" s="20"/>
      <c r="G7" s="120" t="s">
        <v>33</v>
      </c>
      <c r="H7" s="40" t="s">
        <v>34</v>
      </c>
      <c r="I7" s="114" t="s">
        <v>35</v>
      </c>
      <c r="J7" s="115"/>
      <c r="K7" s="114"/>
      <c r="L7" s="114"/>
      <c r="M7" s="116"/>
      <c r="N7" s="114"/>
      <c r="O7" s="117"/>
    </row>
    <row r="8" spans="1:15" ht="15.75">
      <c r="A8" s="118"/>
      <c r="B8" s="119"/>
      <c r="C8" s="119"/>
      <c r="D8" s="119"/>
      <c r="E8" s="119"/>
      <c r="F8" s="20"/>
      <c r="G8" s="121"/>
      <c r="H8" s="40" t="s">
        <v>36</v>
      </c>
      <c r="I8" s="114" t="s">
        <v>37</v>
      </c>
      <c r="J8" s="115"/>
      <c r="K8" s="114"/>
      <c r="L8" s="114"/>
      <c r="M8" s="116"/>
      <c r="N8" s="114"/>
      <c r="O8" s="117"/>
    </row>
    <row r="9" spans="1:15" ht="15.75">
      <c r="A9" s="118"/>
      <c r="B9" s="119"/>
      <c r="C9" s="119"/>
      <c r="D9" s="119"/>
      <c r="E9" s="119"/>
      <c r="F9" s="20"/>
      <c r="G9" s="121"/>
      <c r="H9" s="40" t="s">
        <v>38</v>
      </c>
      <c r="I9" s="114" t="s">
        <v>39</v>
      </c>
      <c r="J9" s="115"/>
      <c r="K9" s="114"/>
      <c r="L9" s="114"/>
      <c r="M9" s="116"/>
      <c r="N9" s="114"/>
      <c r="O9" s="117"/>
    </row>
    <row r="10" spans="1:15" ht="15.75">
      <c r="A10" s="118"/>
      <c r="B10" s="119"/>
      <c r="C10" s="119"/>
      <c r="D10" s="119"/>
      <c r="E10" s="119"/>
      <c r="F10" s="20"/>
      <c r="G10" s="121"/>
      <c r="H10" s="40" t="s">
        <v>40</v>
      </c>
      <c r="I10" s="114" t="s">
        <v>41</v>
      </c>
      <c r="J10" s="115"/>
      <c r="K10" s="114"/>
      <c r="L10" s="114"/>
      <c r="M10" s="116"/>
      <c r="N10" s="114"/>
      <c r="O10" s="117"/>
    </row>
    <row r="11" spans="1:15" ht="15.75">
      <c r="A11" s="118"/>
      <c r="B11" s="119"/>
      <c r="C11" s="119"/>
      <c r="D11" s="119"/>
      <c r="E11" s="119"/>
      <c r="F11" s="20"/>
      <c r="G11" s="122"/>
      <c r="H11" s="40" t="s">
        <v>42</v>
      </c>
      <c r="I11" s="114" t="s">
        <v>43</v>
      </c>
      <c r="J11" s="115"/>
      <c r="K11" s="114"/>
      <c r="L11" s="114"/>
      <c r="M11" s="116"/>
      <c r="N11" s="114"/>
      <c r="O11" s="117"/>
    </row>
    <row r="12" spans="1:15" ht="15.75">
      <c r="A12" s="118"/>
      <c r="B12" s="119"/>
      <c r="C12" s="119"/>
      <c r="D12" s="119"/>
      <c r="E12" s="119"/>
      <c r="F12" s="20"/>
      <c r="G12" s="120" t="s">
        <v>44</v>
      </c>
      <c r="H12" s="47" t="s">
        <v>45</v>
      </c>
      <c r="I12" s="114" t="s">
        <v>46</v>
      </c>
      <c r="J12" s="115"/>
      <c r="K12" s="114"/>
      <c r="L12" s="114"/>
      <c r="M12" s="116"/>
      <c r="N12" s="114"/>
      <c r="O12" s="117"/>
    </row>
    <row r="13" spans="1:15" ht="15.75">
      <c r="A13" s="118"/>
      <c r="B13" s="119"/>
      <c r="C13" s="119"/>
      <c r="D13" s="119"/>
      <c r="E13" s="119"/>
      <c r="F13" s="20"/>
      <c r="G13" s="121"/>
      <c r="H13" s="47" t="s">
        <v>47</v>
      </c>
      <c r="I13" s="114" t="s">
        <v>48</v>
      </c>
      <c r="J13" s="115"/>
      <c r="K13" s="114"/>
      <c r="L13" s="114"/>
      <c r="M13" s="116"/>
      <c r="N13" s="114"/>
      <c r="O13" s="117"/>
    </row>
    <row r="14" spans="1:15" ht="15.75">
      <c r="A14" s="118"/>
      <c r="B14" s="119"/>
      <c r="C14" s="119"/>
      <c r="D14" s="119"/>
      <c r="E14" s="119"/>
      <c r="F14" s="20"/>
      <c r="G14" s="121"/>
      <c r="H14" s="47" t="s">
        <v>49</v>
      </c>
      <c r="I14" s="114" t="s">
        <v>50</v>
      </c>
      <c r="J14" s="115"/>
      <c r="K14" s="114"/>
      <c r="L14" s="114"/>
      <c r="M14" s="116"/>
      <c r="N14" s="114"/>
      <c r="O14" s="117"/>
    </row>
    <row r="15" spans="1:15" ht="15.75">
      <c r="A15" s="118"/>
      <c r="B15" s="119"/>
      <c r="C15" s="119"/>
      <c r="D15" s="119"/>
      <c r="E15" s="119"/>
      <c r="F15" s="20"/>
      <c r="G15" s="121"/>
      <c r="H15" s="47" t="s">
        <v>51</v>
      </c>
      <c r="I15" s="114" t="s">
        <v>52</v>
      </c>
      <c r="J15" s="115"/>
      <c r="K15" s="114"/>
      <c r="L15" s="114"/>
      <c r="M15" s="116"/>
      <c r="N15" s="114"/>
      <c r="O15" s="117"/>
    </row>
    <row r="16" spans="1:15" ht="15.75">
      <c r="A16" s="118"/>
      <c r="B16" s="119"/>
      <c r="C16" s="119"/>
      <c r="D16" s="119"/>
      <c r="E16" s="119"/>
      <c r="F16" s="20"/>
      <c r="G16" s="122"/>
      <c r="H16" s="47" t="s">
        <v>53</v>
      </c>
      <c r="I16" s="114" t="s">
        <v>54</v>
      </c>
      <c r="J16" s="115"/>
      <c r="K16" s="114"/>
      <c r="L16" s="114"/>
      <c r="M16" s="116"/>
      <c r="N16" s="114"/>
      <c r="O16" s="117"/>
    </row>
    <row r="17" spans="1:15" ht="15.75">
      <c r="A17" s="118"/>
      <c r="B17" s="119"/>
      <c r="C17" s="119"/>
      <c r="D17" s="119"/>
      <c r="E17" s="119"/>
      <c r="F17" s="20"/>
      <c r="G17" s="120" t="s">
        <v>55</v>
      </c>
      <c r="H17" s="40" t="s">
        <v>56</v>
      </c>
      <c r="I17" s="114" t="s">
        <v>57</v>
      </c>
      <c r="J17" s="115"/>
      <c r="K17" s="114"/>
      <c r="L17" s="114"/>
      <c r="M17" s="116"/>
      <c r="N17" s="114"/>
      <c r="O17" s="117"/>
    </row>
    <row r="18" spans="1:15" ht="15.75">
      <c r="A18" s="118"/>
      <c r="B18" s="119"/>
      <c r="C18" s="119"/>
      <c r="D18" s="119"/>
      <c r="E18" s="119"/>
      <c r="F18" s="20"/>
      <c r="G18" s="121"/>
      <c r="H18" s="40" t="s">
        <v>58</v>
      </c>
      <c r="I18" s="114" t="s">
        <v>59</v>
      </c>
      <c r="J18" s="115"/>
      <c r="K18" s="114"/>
      <c r="L18" s="114"/>
      <c r="M18" s="116"/>
      <c r="N18" s="114"/>
      <c r="O18" s="117"/>
    </row>
    <row r="19" spans="1:15" ht="15.75">
      <c r="A19" s="118"/>
      <c r="B19" s="119"/>
      <c r="C19" s="119"/>
      <c r="D19" s="119"/>
      <c r="E19" s="119"/>
      <c r="F19" s="20"/>
      <c r="G19" s="121"/>
      <c r="H19" s="40" t="s">
        <v>60</v>
      </c>
      <c r="I19" s="114" t="s">
        <v>61</v>
      </c>
      <c r="J19" s="115"/>
      <c r="K19" s="114"/>
      <c r="L19" s="114"/>
      <c r="M19" s="116"/>
      <c r="N19" s="114"/>
      <c r="O19" s="117"/>
    </row>
    <row r="20" spans="1:15" ht="15.75">
      <c r="A20" s="118"/>
      <c r="B20" s="119"/>
      <c r="C20" s="119"/>
      <c r="D20" s="119"/>
      <c r="E20" s="119"/>
      <c r="F20" s="20"/>
      <c r="G20" s="121"/>
      <c r="H20" s="40" t="s">
        <v>62</v>
      </c>
      <c r="I20" s="114" t="s">
        <v>63</v>
      </c>
      <c r="J20" s="115"/>
      <c r="K20" s="114"/>
      <c r="L20" s="114"/>
      <c r="M20" s="116"/>
      <c r="N20" s="114"/>
      <c r="O20" s="117"/>
    </row>
    <row r="21" spans="1:15" ht="15.75">
      <c r="A21" s="118"/>
      <c r="B21" s="119"/>
      <c r="C21" s="119"/>
      <c r="D21" s="119"/>
      <c r="E21" s="119"/>
      <c r="F21" s="20"/>
      <c r="G21" s="122"/>
      <c r="H21" s="40" t="s">
        <v>64</v>
      </c>
      <c r="I21" s="114" t="s">
        <v>65</v>
      </c>
      <c r="J21" s="115"/>
      <c r="K21" s="114"/>
      <c r="L21" s="114"/>
      <c r="M21" s="116"/>
      <c r="N21" s="114"/>
      <c r="O21" s="117"/>
    </row>
    <row r="22" spans="1:15" ht="15.75">
      <c r="A22" s="118"/>
      <c r="B22" s="119"/>
      <c r="C22" s="119"/>
      <c r="D22" s="119"/>
      <c r="E22" s="119"/>
      <c r="F22" s="20"/>
      <c r="G22" s="120" t="s">
        <v>66</v>
      </c>
      <c r="H22" s="47" t="s">
        <v>67</v>
      </c>
      <c r="I22" s="114" t="s">
        <v>68</v>
      </c>
      <c r="J22" s="115"/>
      <c r="K22" s="114"/>
      <c r="L22" s="114"/>
      <c r="M22" s="116"/>
      <c r="N22" s="114"/>
      <c r="O22" s="117"/>
    </row>
    <row r="23" spans="1:15" ht="15.75">
      <c r="A23" s="118"/>
      <c r="B23" s="119"/>
      <c r="C23" s="119"/>
      <c r="D23" s="119"/>
      <c r="E23" s="119"/>
      <c r="F23" s="20"/>
      <c r="G23" s="121"/>
      <c r="H23" s="47" t="s">
        <v>69</v>
      </c>
      <c r="I23" s="114" t="s">
        <v>70</v>
      </c>
      <c r="J23" s="115"/>
      <c r="K23" s="114"/>
      <c r="L23" s="114"/>
      <c r="M23" s="116"/>
      <c r="N23" s="114"/>
      <c r="O23" s="117"/>
    </row>
    <row r="24" spans="1:15" ht="15.75">
      <c r="A24" s="118"/>
      <c r="B24" s="119"/>
      <c r="C24" s="119"/>
      <c r="D24" s="119"/>
      <c r="E24" s="119"/>
      <c r="F24" s="20"/>
      <c r="G24" s="121"/>
      <c r="H24" s="47" t="s">
        <v>71</v>
      </c>
      <c r="I24" s="114" t="s">
        <v>72</v>
      </c>
      <c r="J24" s="115"/>
      <c r="K24" s="114"/>
      <c r="L24" s="114"/>
      <c r="M24" s="116"/>
      <c r="N24" s="114"/>
      <c r="O24" s="117"/>
    </row>
    <row r="25" spans="1:15" ht="15.75">
      <c r="A25" s="118"/>
      <c r="B25" s="119"/>
      <c r="C25" s="119"/>
      <c r="D25" s="119"/>
      <c r="E25" s="119"/>
      <c r="F25" s="20"/>
      <c r="G25" s="121"/>
      <c r="H25" s="47" t="s">
        <v>73</v>
      </c>
      <c r="I25" s="114" t="s">
        <v>74</v>
      </c>
      <c r="J25" s="115"/>
      <c r="K25" s="114"/>
      <c r="L25" s="114"/>
      <c r="M25" s="116"/>
      <c r="N25" s="114"/>
      <c r="O25" s="117"/>
    </row>
    <row r="26" spans="1:15" ht="15.75">
      <c r="A26" s="118"/>
      <c r="B26" s="119"/>
      <c r="C26" s="119"/>
      <c r="D26" s="119"/>
      <c r="E26" s="119"/>
      <c r="F26" s="20"/>
      <c r="G26" s="122"/>
      <c r="H26" s="47" t="s">
        <v>75</v>
      </c>
      <c r="I26" s="114" t="s">
        <v>76</v>
      </c>
      <c r="J26" s="115"/>
      <c r="K26" s="114"/>
      <c r="L26" s="114"/>
      <c r="M26" s="116"/>
      <c r="N26" s="114"/>
      <c r="O26" s="117"/>
    </row>
    <row r="27" spans="1:15" ht="15.75">
      <c r="A27" s="118"/>
      <c r="B27" s="119"/>
      <c r="C27" s="119"/>
      <c r="D27" s="119"/>
      <c r="E27" s="119"/>
      <c r="F27" s="20"/>
      <c r="G27" s="120" t="s">
        <v>77</v>
      </c>
      <c r="H27" s="40" t="s">
        <v>78</v>
      </c>
      <c r="I27" s="114" t="s">
        <v>79</v>
      </c>
      <c r="J27" s="115"/>
      <c r="K27" s="114"/>
      <c r="L27" s="114"/>
      <c r="M27" s="116"/>
      <c r="N27" s="114"/>
      <c r="O27" s="117"/>
    </row>
    <row r="28" spans="1:15" ht="15.75">
      <c r="A28" s="118"/>
      <c r="B28" s="119"/>
      <c r="C28" s="119"/>
      <c r="D28" s="119"/>
      <c r="E28" s="119"/>
      <c r="F28" s="20"/>
      <c r="G28" s="121"/>
      <c r="H28" s="40" t="s">
        <v>80</v>
      </c>
      <c r="I28" s="114" t="s">
        <v>81</v>
      </c>
      <c r="J28" s="115"/>
      <c r="K28" s="114"/>
      <c r="L28" s="114"/>
      <c r="M28" s="116"/>
      <c r="N28" s="114"/>
      <c r="O28" s="117"/>
    </row>
    <row r="29" spans="1:15" ht="15.75">
      <c r="A29" s="118"/>
      <c r="B29" s="119"/>
      <c r="C29" s="119"/>
      <c r="D29" s="119"/>
      <c r="E29" s="119"/>
      <c r="F29" s="20"/>
      <c r="G29" s="121"/>
      <c r="H29" s="40" t="s">
        <v>82</v>
      </c>
      <c r="I29" s="114" t="s">
        <v>83</v>
      </c>
      <c r="J29" s="115"/>
      <c r="K29" s="114"/>
      <c r="L29" s="114"/>
      <c r="M29" s="116"/>
      <c r="N29" s="114"/>
      <c r="O29" s="117"/>
    </row>
    <row r="30" spans="1:15" ht="15.75">
      <c r="A30" s="118"/>
      <c r="B30" s="119"/>
      <c r="C30" s="119"/>
      <c r="D30" s="119"/>
      <c r="E30" s="119"/>
      <c r="F30" s="20"/>
      <c r="G30" s="121"/>
      <c r="H30" s="40" t="s">
        <v>84</v>
      </c>
      <c r="I30" s="114" t="s">
        <v>85</v>
      </c>
      <c r="J30" s="115"/>
      <c r="K30" s="114"/>
      <c r="L30" s="114"/>
      <c r="M30" s="116"/>
      <c r="N30" s="114"/>
      <c r="O30" s="117"/>
    </row>
    <row r="31" spans="1:15" ht="15.75">
      <c r="A31" s="118"/>
      <c r="B31" s="123"/>
      <c r="C31" s="123"/>
      <c r="D31" s="123"/>
      <c r="E31" s="123"/>
      <c r="F31" s="21"/>
      <c r="G31" s="122"/>
      <c r="H31" s="40" t="s">
        <v>86</v>
      </c>
      <c r="I31" s="114" t="s">
        <v>87</v>
      </c>
      <c r="J31" s="115"/>
      <c r="K31" s="114"/>
      <c r="L31" s="114"/>
      <c r="M31" s="116"/>
      <c r="N31" s="114"/>
      <c r="O31" s="117"/>
    </row>
    <row r="32" spans="1:15" ht="15.75">
      <c r="A32" s="118"/>
      <c r="B32" s="112"/>
      <c r="C32" s="112"/>
      <c r="D32" s="112"/>
      <c r="E32" s="112"/>
      <c r="F32" s="124" t="s">
        <v>88</v>
      </c>
      <c r="G32" s="124" t="s">
        <v>89</v>
      </c>
      <c r="H32" s="47" t="s">
        <v>90</v>
      </c>
      <c r="I32" s="114" t="s">
        <v>91</v>
      </c>
      <c r="J32" s="115" t="s">
        <v>20</v>
      </c>
      <c r="K32" s="114" t="s">
        <v>92</v>
      </c>
      <c r="L32" s="114" t="s">
        <v>93</v>
      </c>
      <c r="M32" s="116" t="s">
        <v>94</v>
      </c>
      <c r="N32" s="114" t="s">
        <v>95</v>
      </c>
      <c r="O32" s="125"/>
    </row>
    <row r="33" spans="1:15" ht="15.75">
      <c r="A33" s="118"/>
      <c r="B33" s="119"/>
      <c r="C33" s="119"/>
      <c r="D33" s="119"/>
      <c r="E33" s="119"/>
      <c r="F33" s="126"/>
      <c r="G33" s="126"/>
      <c r="H33" s="47" t="s">
        <v>96</v>
      </c>
      <c r="I33" s="114" t="s">
        <v>97</v>
      </c>
      <c r="J33" s="115"/>
      <c r="K33" s="114"/>
      <c r="L33" s="114"/>
      <c r="M33" s="116"/>
      <c r="N33" s="114"/>
      <c r="O33" s="125"/>
    </row>
    <row r="34" spans="1:15" ht="15.75">
      <c r="A34" s="118"/>
      <c r="B34" s="119"/>
      <c r="C34" s="119"/>
      <c r="D34" s="119"/>
      <c r="E34" s="119"/>
      <c r="F34" s="126"/>
      <c r="G34" s="126"/>
      <c r="H34" s="47" t="s">
        <v>98</v>
      </c>
      <c r="I34" s="114" t="s">
        <v>99</v>
      </c>
      <c r="J34" s="115"/>
      <c r="K34" s="114"/>
      <c r="L34" s="114"/>
      <c r="M34" s="116"/>
      <c r="N34" s="114"/>
      <c r="O34" s="125"/>
    </row>
    <row r="35" spans="1:15" ht="15.75">
      <c r="A35" s="118"/>
      <c r="B35" s="119"/>
      <c r="C35" s="119"/>
      <c r="D35" s="119"/>
      <c r="E35" s="119"/>
      <c r="F35" s="126"/>
      <c r="G35" s="126"/>
      <c r="H35" s="47" t="s">
        <v>100</v>
      </c>
      <c r="I35" s="114" t="s">
        <v>101</v>
      </c>
      <c r="J35" s="115"/>
      <c r="K35" s="114"/>
      <c r="L35" s="114"/>
      <c r="M35" s="116"/>
      <c r="N35" s="114"/>
      <c r="O35" s="125"/>
    </row>
    <row r="36" spans="1:15" ht="15.75">
      <c r="A36" s="118"/>
      <c r="B36" s="119"/>
      <c r="C36" s="119"/>
      <c r="D36" s="119"/>
      <c r="E36" s="119"/>
      <c r="F36" s="126"/>
      <c r="G36" s="127"/>
      <c r="H36" s="47" t="s">
        <v>102</v>
      </c>
      <c r="I36" s="114" t="s">
        <v>103</v>
      </c>
      <c r="J36" s="115"/>
      <c r="K36" s="114"/>
      <c r="L36" s="114"/>
      <c r="M36" s="116"/>
      <c r="N36" s="114"/>
      <c r="O36" s="125"/>
    </row>
    <row r="37" spans="1:15" ht="15.75">
      <c r="A37" s="118"/>
      <c r="B37" s="119"/>
      <c r="C37" s="119"/>
      <c r="D37" s="119"/>
      <c r="E37" s="119"/>
      <c r="F37" s="126"/>
      <c r="G37" s="128" t="s">
        <v>104</v>
      </c>
      <c r="H37" s="40" t="s">
        <v>105</v>
      </c>
      <c r="I37" s="114" t="s">
        <v>106</v>
      </c>
      <c r="J37" s="115"/>
      <c r="K37" s="114"/>
      <c r="L37" s="114"/>
      <c r="M37" s="116"/>
      <c r="N37" s="114"/>
      <c r="O37" s="125"/>
    </row>
    <row r="38" spans="1:15" ht="15.75">
      <c r="A38" s="118"/>
      <c r="B38" s="119"/>
      <c r="C38" s="119"/>
      <c r="D38" s="119"/>
      <c r="E38" s="119"/>
      <c r="F38" s="126"/>
      <c r="G38" s="129"/>
      <c r="H38" s="40" t="s">
        <v>107</v>
      </c>
      <c r="I38" s="114" t="s">
        <v>108</v>
      </c>
      <c r="J38" s="115"/>
      <c r="K38" s="114"/>
      <c r="L38" s="114"/>
      <c r="M38" s="116"/>
      <c r="N38" s="114"/>
      <c r="O38" s="125"/>
    </row>
    <row r="39" spans="1:15" ht="15.75">
      <c r="A39" s="118"/>
      <c r="B39" s="119"/>
      <c r="C39" s="119"/>
      <c r="D39" s="119"/>
      <c r="E39" s="119"/>
      <c r="F39" s="126"/>
      <c r="G39" s="129"/>
      <c r="H39" s="40" t="s">
        <v>109</v>
      </c>
      <c r="I39" s="114" t="s">
        <v>110</v>
      </c>
      <c r="J39" s="115"/>
      <c r="K39" s="114"/>
      <c r="L39" s="114"/>
      <c r="M39" s="116"/>
      <c r="N39" s="114"/>
      <c r="O39" s="125"/>
    </row>
    <row r="40" spans="1:15" ht="15.75">
      <c r="A40" s="118"/>
      <c r="B40" s="119"/>
      <c r="C40" s="119"/>
      <c r="D40" s="119"/>
      <c r="E40" s="119"/>
      <c r="F40" s="126"/>
      <c r="G40" s="129"/>
      <c r="H40" s="40" t="s">
        <v>111</v>
      </c>
      <c r="I40" s="114" t="s">
        <v>112</v>
      </c>
      <c r="J40" s="115"/>
      <c r="K40" s="114"/>
      <c r="L40" s="114"/>
      <c r="M40" s="116"/>
      <c r="N40" s="114"/>
      <c r="O40" s="125"/>
    </row>
    <row r="41" spans="1:15" ht="15.75">
      <c r="A41" s="118"/>
      <c r="B41" s="119"/>
      <c r="C41" s="119"/>
      <c r="D41" s="119"/>
      <c r="E41" s="119"/>
      <c r="F41" s="126"/>
      <c r="G41" s="130"/>
      <c r="H41" s="40" t="s">
        <v>113</v>
      </c>
      <c r="I41" s="114" t="s">
        <v>114</v>
      </c>
      <c r="J41" s="115"/>
      <c r="K41" s="114"/>
      <c r="L41" s="114"/>
      <c r="M41" s="116"/>
      <c r="N41" s="114"/>
      <c r="O41" s="125"/>
    </row>
    <row r="42" spans="1:15" ht="15.75">
      <c r="A42" s="118"/>
      <c r="B42" s="119"/>
      <c r="C42" s="119"/>
      <c r="D42" s="119"/>
      <c r="E42" s="119"/>
      <c r="F42" s="126"/>
      <c r="G42" s="128" t="s">
        <v>115</v>
      </c>
      <c r="H42" s="47" t="s">
        <v>116</v>
      </c>
      <c r="I42" s="114" t="s">
        <v>117</v>
      </c>
      <c r="J42" s="115"/>
      <c r="K42" s="114"/>
      <c r="L42" s="114"/>
      <c r="M42" s="116"/>
      <c r="N42" s="114"/>
      <c r="O42" s="125"/>
    </row>
    <row r="43" spans="1:15" ht="15.75">
      <c r="A43" s="118"/>
      <c r="B43" s="119"/>
      <c r="C43" s="119"/>
      <c r="D43" s="119"/>
      <c r="E43" s="119"/>
      <c r="F43" s="126"/>
      <c r="G43" s="129"/>
      <c r="H43" s="47" t="s">
        <v>118</v>
      </c>
      <c r="I43" s="114" t="s">
        <v>119</v>
      </c>
      <c r="J43" s="115"/>
      <c r="K43" s="114"/>
      <c r="L43" s="114"/>
      <c r="M43" s="116"/>
      <c r="N43" s="114"/>
      <c r="O43" s="125"/>
    </row>
    <row r="44" spans="1:15" ht="15.75">
      <c r="A44" s="118"/>
      <c r="B44" s="119"/>
      <c r="C44" s="119"/>
      <c r="D44" s="119"/>
      <c r="E44" s="119"/>
      <c r="F44" s="126"/>
      <c r="G44" s="129"/>
      <c r="H44" s="47" t="s">
        <v>120</v>
      </c>
      <c r="I44" s="114" t="s">
        <v>121</v>
      </c>
      <c r="J44" s="115"/>
      <c r="K44" s="114"/>
      <c r="L44" s="114"/>
      <c r="M44" s="116"/>
      <c r="N44" s="114"/>
      <c r="O44" s="125"/>
    </row>
    <row r="45" spans="1:15" ht="15.75">
      <c r="A45" s="118"/>
      <c r="B45" s="119"/>
      <c r="C45" s="119"/>
      <c r="D45" s="119"/>
      <c r="E45" s="119"/>
      <c r="F45" s="126"/>
      <c r="G45" s="129"/>
      <c r="H45" s="47" t="s">
        <v>122</v>
      </c>
      <c r="I45" s="114" t="s">
        <v>123</v>
      </c>
      <c r="J45" s="115"/>
      <c r="K45" s="114"/>
      <c r="L45" s="114"/>
      <c r="M45" s="116"/>
      <c r="N45" s="114"/>
      <c r="O45" s="125"/>
    </row>
    <row r="46" spans="1:15" ht="15.75">
      <c r="A46" s="118"/>
      <c r="B46" s="119"/>
      <c r="C46" s="119"/>
      <c r="D46" s="119"/>
      <c r="E46" s="119"/>
      <c r="F46" s="126"/>
      <c r="G46" s="130"/>
      <c r="H46" s="47" t="s">
        <v>124</v>
      </c>
      <c r="I46" s="114" t="s">
        <v>125</v>
      </c>
      <c r="J46" s="115"/>
      <c r="K46" s="114"/>
      <c r="L46" s="114"/>
      <c r="M46" s="116"/>
      <c r="N46" s="114"/>
      <c r="O46" s="125"/>
    </row>
    <row r="47" spans="1:15" ht="15.75">
      <c r="A47" s="118"/>
      <c r="B47" s="119"/>
      <c r="C47" s="119"/>
      <c r="D47" s="119"/>
      <c r="E47" s="119"/>
      <c r="F47" s="126"/>
      <c r="G47" s="128" t="s">
        <v>126</v>
      </c>
      <c r="H47" s="131" t="s">
        <v>127</v>
      </c>
      <c r="I47" s="114" t="s">
        <v>128</v>
      </c>
      <c r="J47" s="115"/>
      <c r="K47" s="114"/>
      <c r="L47" s="114"/>
      <c r="M47" s="116"/>
      <c r="N47" s="114"/>
      <c r="O47" s="125"/>
    </row>
    <row r="48" spans="1:15" ht="15.75">
      <c r="A48" s="118"/>
      <c r="B48" s="119"/>
      <c r="C48" s="119"/>
      <c r="D48" s="119"/>
      <c r="E48" s="119"/>
      <c r="F48" s="126"/>
      <c r="G48" s="129"/>
      <c r="H48" s="131" t="s">
        <v>129</v>
      </c>
      <c r="I48" s="114" t="s">
        <v>130</v>
      </c>
      <c r="J48" s="115"/>
      <c r="K48" s="114"/>
      <c r="L48" s="114"/>
      <c r="M48" s="116"/>
      <c r="N48" s="114"/>
      <c r="O48" s="125"/>
    </row>
    <row r="49" spans="1:15" ht="15.75">
      <c r="A49" s="118"/>
      <c r="B49" s="119"/>
      <c r="C49" s="119"/>
      <c r="D49" s="119"/>
      <c r="E49" s="119"/>
      <c r="F49" s="126"/>
      <c r="G49" s="129"/>
      <c r="H49" s="131" t="s">
        <v>131</v>
      </c>
      <c r="I49" s="114" t="s">
        <v>132</v>
      </c>
      <c r="J49" s="115"/>
      <c r="K49" s="114"/>
      <c r="L49" s="114"/>
      <c r="M49" s="116"/>
      <c r="N49" s="114"/>
      <c r="O49" s="125"/>
    </row>
    <row r="50" spans="1:15" ht="15.75">
      <c r="A50" s="118"/>
      <c r="B50" s="119"/>
      <c r="C50" s="119"/>
      <c r="D50" s="119"/>
      <c r="E50" s="119"/>
      <c r="F50" s="126"/>
      <c r="G50" s="129"/>
      <c r="H50" s="131" t="s">
        <v>133</v>
      </c>
      <c r="I50" s="114" t="s">
        <v>134</v>
      </c>
      <c r="J50" s="115"/>
      <c r="K50" s="114"/>
      <c r="L50" s="114"/>
      <c r="M50" s="116"/>
      <c r="N50" s="114"/>
      <c r="O50" s="125"/>
    </row>
    <row r="51" spans="1:15" ht="15.75">
      <c r="A51" s="118"/>
      <c r="B51" s="119"/>
      <c r="C51" s="119"/>
      <c r="D51" s="119"/>
      <c r="E51" s="119"/>
      <c r="F51" s="126"/>
      <c r="G51" s="130"/>
      <c r="H51" s="131" t="s">
        <v>135</v>
      </c>
      <c r="I51" s="114" t="s">
        <v>136</v>
      </c>
      <c r="J51" s="115"/>
      <c r="K51" s="114"/>
      <c r="L51" s="114"/>
      <c r="M51" s="116"/>
      <c r="N51" s="114"/>
      <c r="O51" s="125"/>
    </row>
    <row r="52" spans="1:15" ht="15.75">
      <c r="A52" s="118"/>
      <c r="B52" s="119"/>
      <c r="C52" s="119"/>
      <c r="D52" s="119"/>
      <c r="E52" s="119"/>
      <c r="F52" s="126"/>
      <c r="G52" s="128" t="s">
        <v>137</v>
      </c>
      <c r="H52" s="47" t="s">
        <v>138</v>
      </c>
      <c r="I52" s="114" t="s">
        <v>139</v>
      </c>
      <c r="J52" s="115"/>
      <c r="K52" s="114"/>
      <c r="L52" s="114"/>
      <c r="M52" s="116"/>
      <c r="N52" s="114"/>
      <c r="O52" s="125"/>
    </row>
    <row r="53" spans="1:15" ht="15.75">
      <c r="A53" s="118"/>
      <c r="B53" s="119"/>
      <c r="C53" s="119"/>
      <c r="D53" s="119"/>
      <c r="E53" s="119"/>
      <c r="F53" s="126"/>
      <c r="G53" s="129"/>
      <c r="H53" s="47" t="s">
        <v>140</v>
      </c>
      <c r="I53" s="114" t="s">
        <v>141</v>
      </c>
      <c r="J53" s="115"/>
      <c r="K53" s="114"/>
      <c r="L53" s="114"/>
      <c r="M53" s="116"/>
      <c r="N53" s="114"/>
      <c r="O53" s="125"/>
    </row>
    <row r="54" spans="1:15" ht="15.75">
      <c r="A54" s="118"/>
      <c r="B54" s="119"/>
      <c r="C54" s="119"/>
      <c r="D54" s="119"/>
      <c r="E54" s="119"/>
      <c r="F54" s="126"/>
      <c r="G54" s="129"/>
      <c r="H54" s="47" t="s">
        <v>142</v>
      </c>
      <c r="I54" s="114" t="s">
        <v>143</v>
      </c>
      <c r="J54" s="115"/>
      <c r="K54" s="114"/>
      <c r="L54" s="114"/>
      <c r="M54" s="116"/>
      <c r="N54" s="114"/>
      <c r="O54" s="125"/>
    </row>
    <row r="55" spans="1:15" ht="15.75">
      <c r="A55" s="118"/>
      <c r="B55" s="119"/>
      <c r="C55" s="119"/>
      <c r="D55" s="119"/>
      <c r="E55" s="119"/>
      <c r="F55" s="126"/>
      <c r="G55" s="129"/>
      <c r="H55" s="47" t="s">
        <v>144</v>
      </c>
      <c r="I55" s="114" t="s">
        <v>145</v>
      </c>
      <c r="J55" s="115"/>
      <c r="K55" s="114"/>
      <c r="L55" s="114"/>
      <c r="M55" s="116"/>
      <c r="N55" s="114"/>
      <c r="O55" s="125"/>
    </row>
    <row r="56" spans="1:15" ht="15.75">
      <c r="A56" s="118"/>
      <c r="B56" s="119"/>
      <c r="C56" s="119"/>
      <c r="D56" s="119"/>
      <c r="E56" s="119"/>
      <c r="F56" s="126"/>
      <c r="G56" s="130"/>
      <c r="H56" s="47" t="s">
        <v>146</v>
      </c>
      <c r="I56" s="114" t="s">
        <v>147</v>
      </c>
      <c r="J56" s="115"/>
      <c r="K56" s="114"/>
      <c r="L56" s="114"/>
      <c r="M56" s="116"/>
      <c r="N56" s="114"/>
      <c r="O56" s="125"/>
    </row>
    <row r="57" spans="1:15" ht="15.75">
      <c r="A57" s="118"/>
      <c r="B57" s="119"/>
      <c r="C57" s="119"/>
      <c r="D57" s="119"/>
      <c r="E57" s="119"/>
      <c r="F57" s="126"/>
      <c r="G57" s="128" t="s">
        <v>148</v>
      </c>
      <c r="H57" s="40" t="s">
        <v>149</v>
      </c>
      <c r="I57" s="114" t="s">
        <v>150</v>
      </c>
      <c r="J57" s="115"/>
      <c r="K57" s="114"/>
      <c r="L57" s="114"/>
      <c r="M57" s="116"/>
      <c r="N57" s="114"/>
      <c r="O57" s="125"/>
    </row>
    <row r="58" spans="1:15" ht="15.75">
      <c r="A58" s="118"/>
      <c r="B58" s="119"/>
      <c r="C58" s="119"/>
      <c r="D58" s="119"/>
      <c r="E58" s="119"/>
      <c r="F58" s="126"/>
      <c r="G58" s="129"/>
      <c r="H58" s="40" t="s">
        <v>151</v>
      </c>
      <c r="I58" s="114" t="s">
        <v>152</v>
      </c>
      <c r="J58" s="115"/>
      <c r="K58" s="114"/>
      <c r="L58" s="114"/>
      <c r="M58" s="116"/>
      <c r="N58" s="114"/>
      <c r="O58" s="125"/>
    </row>
    <row r="59" spans="1:15" ht="30">
      <c r="A59" s="118"/>
      <c r="B59" s="119"/>
      <c r="C59" s="119"/>
      <c r="D59" s="119"/>
      <c r="E59" s="119"/>
      <c r="F59" s="126"/>
      <c r="G59" s="129"/>
      <c r="H59" s="40" t="s">
        <v>153</v>
      </c>
      <c r="I59" s="114" t="s">
        <v>154</v>
      </c>
      <c r="J59" s="115"/>
      <c r="K59" s="114"/>
      <c r="L59" s="114"/>
      <c r="M59" s="116"/>
      <c r="N59" s="114"/>
      <c r="O59" s="125"/>
    </row>
    <row r="60" spans="1:15" ht="15.75">
      <c r="A60" s="118"/>
      <c r="B60" s="119"/>
      <c r="C60" s="119"/>
      <c r="D60" s="119"/>
      <c r="E60" s="119"/>
      <c r="F60" s="126"/>
      <c r="G60" s="129"/>
      <c r="H60" s="40" t="s">
        <v>155</v>
      </c>
      <c r="I60" s="114" t="s">
        <v>156</v>
      </c>
      <c r="J60" s="115"/>
      <c r="K60" s="114"/>
      <c r="L60" s="114"/>
      <c r="M60" s="116"/>
      <c r="N60" s="114"/>
      <c r="O60" s="125"/>
    </row>
    <row r="61" spans="1:15" ht="30">
      <c r="A61" s="118"/>
      <c r="B61" s="123"/>
      <c r="C61" s="123"/>
      <c r="D61" s="123"/>
      <c r="E61" s="123"/>
      <c r="F61" s="127"/>
      <c r="G61" s="130"/>
      <c r="H61" s="40" t="s">
        <v>157</v>
      </c>
      <c r="I61" s="114" t="s">
        <v>158</v>
      </c>
      <c r="J61" s="115"/>
      <c r="K61" s="114"/>
      <c r="L61" s="114"/>
      <c r="M61" s="116"/>
      <c r="N61" s="114"/>
      <c r="O61" s="125"/>
    </row>
    <row r="62" spans="1:15">
      <c r="A62" s="118"/>
      <c r="B62" s="112" t="s">
        <v>159</v>
      </c>
      <c r="C62" s="112"/>
      <c r="D62" s="112"/>
      <c r="E62" s="112"/>
      <c r="F62" s="132" t="s">
        <v>160</v>
      </c>
      <c r="G62" s="132" t="s">
        <v>161</v>
      </c>
      <c r="H62" s="113" t="s">
        <v>1673</v>
      </c>
      <c r="I62" s="114" t="s">
        <v>1674</v>
      </c>
      <c r="J62" s="115" t="s">
        <v>20</v>
      </c>
      <c r="K62" s="114" t="s">
        <v>162</v>
      </c>
      <c r="L62" s="114" t="s">
        <v>163</v>
      </c>
      <c r="M62" s="116" t="s">
        <v>94</v>
      </c>
      <c r="N62" s="114" t="s">
        <v>164</v>
      </c>
      <c r="O62" s="125"/>
    </row>
    <row r="63" spans="1:15" ht="15.75">
      <c r="A63" s="118"/>
      <c r="B63" s="119"/>
      <c r="C63" s="119"/>
      <c r="D63" s="119"/>
      <c r="E63" s="119"/>
      <c r="F63" s="133"/>
      <c r="G63" s="133"/>
      <c r="H63" s="47" t="s">
        <v>165</v>
      </c>
      <c r="I63" s="114" t="s">
        <v>166</v>
      </c>
      <c r="J63" s="115"/>
      <c r="K63" s="114"/>
      <c r="L63" s="114"/>
      <c r="M63" s="116"/>
      <c r="N63" s="114"/>
      <c r="O63" s="125"/>
    </row>
    <row r="64" spans="1:15" ht="15.75">
      <c r="A64" s="118"/>
      <c r="B64" s="119"/>
      <c r="C64" s="119"/>
      <c r="D64" s="119"/>
      <c r="E64" s="119"/>
      <c r="F64" s="133"/>
      <c r="G64" s="133"/>
      <c r="H64" s="47" t="s">
        <v>167</v>
      </c>
      <c r="I64" s="114" t="s">
        <v>168</v>
      </c>
      <c r="J64" s="115"/>
      <c r="K64" s="114"/>
      <c r="L64" s="114"/>
      <c r="M64" s="116"/>
      <c r="N64" s="114"/>
      <c r="O64" s="125"/>
    </row>
    <row r="65" spans="1:15" ht="15.75">
      <c r="A65" s="118"/>
      <c r="B65" s="119"/>
      <c r="C65" s="119"/>
      <c r="D65" s="119"/>
      <c r="E65" s="119"/>
      <c r="F65" s="133"/>
      <c r="G65" s="133"/>
      <c r="H65" s="47" t="s">
        <v>169</v>
      </c>
      <c r="I65" s="114" t="s">
        <v>170</v>
      </c>
      <c r="J65" s="115"/>
      <c r="K65" s="114"/>
      <c r="L65" s="114"/>
      <c r="M65" s="116"/>
      <c r="N65" s="114"/>
      <c r="O65" s="125"/>
    </row>
    <row r="66" spans="1:15" ht="15.75">
      <c r="A66" s="118"/>
      <c r="B66" s="119"/>
      <c r="C66" s="119"/>
      <c r="D66" s="119"/>
      <c r="E66" s="119"/>
      <c r="F66" s="133"/>
      <c r="G66" s="134"/>
      <c r="H66" s="47" t="s">
        <v>171</v>
      </c>
      <c r="I66" s="114" t="s">
        <v>172</v>
      </c>
      <c r="J66" s="115"/>
      <c r="K66" s="114"/>
      <c r="L66" s="114"/>
      <c r="M66" s="116"/>
      <c r="N66" s="114"/>
      <c r="O66" s="125"/>
    </row>
    <row r="67" spans="1:15" ht="15.75">
      <c r="A67" s="118"/>
      <c r="B67" s="119"/>
      <c r="C67" s="119"/>
      <c r="D67" s="119"/>
      <c r="E67" s="119"/>
      <c r="F67" s="133"/>
      <c r="G67" s="132" t="s">
        <v>104</v>
      </c>
      <c r="H67" s="40" t="s">
        <v>173</v>
      </c>
      <c r="I67" s="114" t="s">
        <v>174</v>
      </c>
      <c r="J67" s="115"/>
      <c r="K67" s="114"/>
      <c r="L67" s="114"/>
      <c r="M67" s="116"/>
      <c r="N67" s="114"/>
      <c r="O67" s="125"/>
    </row>
    <row r="68" spans="1:15" ht="15.75">
      <c r="A68" s="118"/>
      <c r="B68" s="119"/>
      <c r="C68" s="119"/>
      <c r="D68" s="119"/>
      <c r="E68" s="119"/>
      <c r="F68" s="133"/>
      <c r="G68" s="133"/>
      <c r="H68" s="40" t="s">
        <v>107</v>
      </c>
      <c r="I68" s="114" t="s">
        <v>175</v>
      </c>
      <c r="J68" s="115"/>
      <c r="K68" s="114"/>
      <c r="L68" s="114"/>
      <c r="M68" s="116"/>
      <c r="N68" s="114"/>
      <c r="O68" s="125"/>
    </row>
    <row r="69" spans="1:15" ht="15.75">
      <c r="A69" s="118"/>
      <c r="B69" s="119"/>
      <c r="C69" s="119"/>
      <c r="D69" s="119"/>
      <c r="E69" s="119"/>
      <c r="F69" s="133"/>
      <c r="G69" s="133"/>
      <c r="H69" s="40" t="s">
        <v>176</v>
      </c>
      <c r="I69" s="114" t="s">
        <v>177</v>
      </c>
      <c r="J69" s="115"/>
      <c r="K69" s="114"/>
      <c r="L69" s="114"/>
      <c r="M69" s="116"/>
      <c r="N69" s="114"/>
      <c r="O69" s="125"/>
    </row>
    <row r="70" spans="1:15" ht="30">
      <c r="A70" s="118"/>
      <c r="B70" s="119"/>
      <c r="C70" s="119"/>
      <c r="D70" s="119"/>
      <c r="E70" s="119"/>
      <c r="F70" s="133"/>
      <c r="G70" s="133"/>
      <c r="H70" s="40" t="s">
        <v>178</v>
      </c>
      <c r="I70" s="114" t="s">
        <v>179</v>
      </c>
      <c r="J70" s="115"/>
      <c r="K70" s="114"/>
      <c r="L70" s="114"/>
      <c r="M70" s="116"/>
      <c r="N70" s="114"/>
      <c r="O70" s="125"/>
    </row>
    <row r="71" spans="1:15" ht="15.75">
      <c r="A71" s="118"/>
      <c r="B71" s="119"/>
      <c r="C71" s="119"/>
      <c r="D71" s="119"/>
      <c r="E71" s="119"/>
      <c r="F71" s="133"/>
      <c r="G71" s="134"/>
      <c r="H71" s="40" t="s">
        <v>180</v>
      </c>
      <c r="I71" s="114" t="s">
        <v>181</v>
      </c>
      <c r="J71" s="115"/>
      <c r="K71" s="114"/>
      <c r="L71" s="114"/>
      <c r="M71" s="116"/>
      <c r="N71" s="114"/>
      <c r="O71" s="125"/>
    </row>
    <row r="72" spans="1:15" ht="15.75">
      <c r="A72" s="118"/>
      <c r="B72" s="119"/>
      <c r="C72" s="119"/>
      <c r="D72" s="119"/>
      <c r="E72" s="119"/>
      <c r="F72" s="133"/>
      <c r="G72" s="135" t="s">
        <v>115</v>
      </c>
      <c r="H72" s="47" t="s">
        <v>182</v>
      </c>
      <c r="I72" s="114" t="s">
        <v>183</v>
      </c>
      <c r="J72" s="115"/>
      <c r="K72" s="114"/>
      <c r="L72" s="114"/>
      <c r="M72" s="116"/>
      <c r="N72" s="114"/>
      <c r="O72" s="125"/>
    </row>
    <row r="73" spans="1:15" ht="15.75">
      <c r="A73" s="118"/>
      <c r="B73" s="119"/>
      <c r="C73" s="119"/>
      <c r="D73" s="119"/>
      <c r="E73" s="119"/>
      <c r="F73" s="133"/>
      <c r="G73" s="136"/>
      <c r="H73" s="47" t="s">
        <v>184</v>
      </c>
      <c r="I73" s="137" t="s">
        <v>185</v>
      </c>
      <c r="J73" s="115"/>
      <c r="K73" s="114"/>
      <c r="L73" s="114"/>
      <c r="M73" s="116"/>
      <c r="N73" s="114"/>
      <c r="O73" s="125"/>
    </row>
    <row r="74" spans="1:15" ht="15.75">
      <c r="A74" s="118"/>
      <c r="B74" s="119"/>
      <c r="C74" s="119"/>
      <c r="D74" s="119"/>
      <c r="E74" s="119"/>
      <c r="F74" s="133"/>
      <c r="G74" s="136"/>
      <c r="H74" s="47" t="s">
        <v>186</v>
      </c>
      <c r="I74" s="137" t="s">
        <v>187</v>
      </c>
      <c r="J74" s="115"/>
      <c r="K74" s="114"/>
      <c r="L74" s="114"/>
      <c r="M74" s="116"/>
      <c r="N74" s="114"/>
      <c r="O74" s="125"/>
    </row>
    <row r="75" spans="1:15" ht="15.75">
      <c r="A75" s="118"/>
      <c r="B75" s="119"/>
      <c r="C75" s="119"/>
      <c r="D75" s="119"/>
      <c r="E75" s="119"/>
      <c r="F75" s="133"/>
      <c r="G75" s="136"/>
      <c r="H75" s="47" t="s">
        <v>188</v>
      </c>
      <c r="I75" s="137" t="s">
        <v>189</v>
      </c>
      <c r="J75" s="115"/>
      <c r="K75" s="114"/>
      <c r="L75" s="114"/>
      <c r="M75" s="116"/>
      <c r="N75" s="114"/>
      <c r="O75" s="125"/>
    </row>
    <row r="76" spans="1:15" ht="15.75">
      <c r="A76" s="118"/>
      <c r="B76" s="119"/>
      <c r="C76" s="119"/>
      <c r="D76" s="119"/>
      <c r="E76" s="119"/>
      <c r="F76" s="133"/>
      <c r="G76" s="138"/>
      <c r="H76" s="47" t="s">
        <v>190</v>
      </c>
      <c r="I76" s="137" t="s">
        <v>191</v>
      </c>
      <c r="J76" s="115"/>
      <c r="K76" s="114"/>
      <c r="L76" s="114"/>
      <c r="M76" s="116"/>
      <c r="N76" s="114"/>
      <c r="O76" s="125"/>
    </row>
    <row r="77" spans="1:15" ht="15.75">
      <c r="A77" s="118"/>
      <c r="B77" s="119"/>
      <c r="C77" s="119"/>
      <c r="D77" s="119"/>
      <c r="E77" s="119"/>
      <c r="F77" s="133"/>
      <c r="G77" s="135" t="s">
        <v>126</v>
      </c>
      <c r="H77" s="40" t="s">
        <v>192</v>
      </c>
      <c r="I77" s="137" t="s">
        <v>193</v>
      </c>
      <c r="J77" s="115"/>
      <c r="K77" s="114"/>
      <c r="L77" s="114"/>
      <c r="M77" s="116"/>
      <c r="N77" s="114"/>
      <c r="O77" s="125"/>
    </row>
    <row r="78" spans="1:15" ht="15.75">
      <c r="A78" s="118"/>
      <c r="B78" s="119"/>
      <c r="C78" s="119"/>
      <c r="D78" s="119"/>
      <c r="E78" s="119"/>
      <c r="F78" s="133"/>
      <c r="G78" s="136"/>
      <c r="H78" s="40" t="s">
        <v>194</v>
      </c>
      <c r="I78" s="114" t="s">
        <v>195</v>
      </c>
      <c r="J78" s="115"/>
      <c r="K78" s="114"/>
      <c r="L78" s="114"/>
      <c r="M78" s="116"/>
      <c r="N78" s="114"/>
      <c r="O78" s="125"/>
    </row>
    <row r="79" spans="1:15" ht="15.75">
      <c r="A79" s="118"/>
      <c r="B79" s="119"/>
      <c r="C79" s="119"/>
      <c r="D79" s="119"/>
      <c r="E79" s="119"/>
      <c r="F79" s="133"/>
      <c r="G79" s="136"/>
      <c r="H79" s="40" t="s">
        <v>196</v>
      </c>
      <c r="I79" s="114" t="s">
        <v>197</v>
      </c>
      <c r="J79" s="115"/>
      <c r="K79" s="114"/>
      <c r="L79" s="114"/>
      <c r="M79" s="116"/>
      <c r="N79" s="114"/>
      <c r="O79" s="125"/>
    </row>
    <row r="80" spans="1:15" ht="15.75">
      <c r="A80" s="118"/>
      <c r="B80" s="119"/>
      <c r="C80" s="119"/>
      <c r="D80" s="119"/>
      <c r="E80" s="119"/>
      <c r="F80" s="133"/>
      <c r="G80" s="136"/>
      <c r="H80" s="40" t="s">
        <v>198</v>
      </c>
      <c r="I80" s="114" t="s">
        <v>199</v>
      </c>
      <c r="J80" s="115"/>
      <c r="K80" s="114"/>
      <c r="L80" s="114"/>
      <c r="M80" s="116"/>
      <c r="N80" s="114"/>
      <c r="O80" s="125"/>
    </row>
    <row r="81" spans="1:15" ht="15.75">
      <c r="A81" s="118"/>
      <c r="B81" s="119"/>
      <c r="C81" s="119"/>
      <c r="D81" s="119"/>
      <c r="E81" s="119"/>
      <c r="F81" s="133"/>
      <c r="G81" s="138"/>
      <c r="H81" s="40" t="s">
        <v>200</v>
      </c>
      <c r="I81" s="114" t="s">
        <v>201</v>
      </c>
      <c r="J81" s="115"/>
      <c r="K81" s="114"/>
      <c r="L81" s="114"/>
      <c r="M81" s="116"/>
      <c r="N81" s="114"/>
      <c r="O81" s="125"/>
    </row>
    <row r="82" spans="1:15" ht="15.75">
      <c r="A82" s="118"/>
      <c r="B82" s="119"/>
      <c r="C82" s="119"/>
      <c r="D82" s="119"/>
      <c r="E82" s="119"/>
      <c r="F82" s="133"/>
      <c r="G82" s="135" t="s">
        <v>202</v>
      </c>
      <c r="H82" s="47" t="s">
        <v>203</v>
      </c>
      <c r="I82" s="114" t="s">
        <v>204</v>
      </c>
      <c r="J82" s="115"/>
      <c r="K82" s="114"/>
      <c r="L82" s="114"/>
      <c r="M82" s="116"/>
      <c r="N82" s="114"/>
      <c r="O82" s="125"/>
    </row>
    <row r="83" spans="1:15" ht="15.75">
      <c r="A83" s="118"/>
      <c r="B83" s="119"/>
      <c r="C83" s="119"/>
      <c r="D83" s="119"/>
      <c r="E83" s="119"/>
      <c r="F83" s="133"/>
      <c r="G83" s="136"/>
      <c r="H83" s="47" t="s">
        <v>205</v>
      </c>
      <c r="I83" s="114" t="s">
        <v>206</v>
      </c>
      <c r="J83" s="115"/>
      <c r="K83" s="114"/>
      <c r="L83" s="114"/>
      <c r="M83" s="116"/>
      <c r="N83" s="114"/>
      <c r="O83" s="125"/>
    </row>
    <row r="84" spans="1:15" ht="15.75">
      <c r="A84" s="118"/>
      <c r="B84" s="119"/>
      <c r="C84" s="119"/>
      <c r="D84" s="119"/>
      <c r="E84" s="119"/>
      <c r="F84" s="133"/>
      <c r="G84" s="136"/>
      <c r="H84" s="47" t="s">
        <v>207</v>
      </c>
      <c r="I84" s="114" t="s">
        <v>208</v>
      </c>
      <c r="J84" s="115"/>
      <c r="K84" s="114"/>
      <c r="L84" s="114"/>
      <c r="M84" s="116"/>
      <c r="N84" s="114"/>
      <c r="O84" s="125"/>
    </row>
    <row r="85" spans="1:15" ht="15.75">
      <c r="A85" s="118"/>
      <c r="B85" s="119"/>
      <c r="C85" s="119"/>
      <c r="D85" s="119"/>
      <c r="E85" s="119"/>
      <c r="F85" s="133"/>
      <c r="G85" s="136"/>
      <c r="H85" s="47" t="s">
        <v>209</v>
      </c>
      <c r="I85" s="114" t="s">
        <v>210</v>
      </c>
      <c r="J85" s="115"/>
      <c r="K85" s="114"/>
      <c r="L85" s="114"/>
      <c r="M85" s="116"/>
      <c r="N85" s="114"/>
      <c r="O85" s="125"/>
    </row>
    <row r="86" spans="1:15" ht="30">
      <c r="A86" s="118"/>
      <c r="B86" s="119"/>
      <c r="C86" s="119"/>
      <c r="D86" s="119"/>
      <c r="E86" s="119"/>
      <c r="F86" s="133"/>
      <c r="G86" s="138"/>
      <c r="H86" s="113" t="s">
        <v>211</v>
      </c>
      <c r="I86" s="114" t="s">
        <v>212</v>
      </c>
      <c r="J86" s="115"/>
      <c r="K86" s="114"/>
      <c r="L86" s="114"/>
      <c r="M86" s="116"/>
      <c r="N86" s="114"/>
      <c r="O86" s="125"/>
    </row>
    <row r="87" spans="1:15" ht="15.75">
      <c r="A87" s="139"/>
      <c r="B87" s="123"/>
      <c r="C87" s="123"/>
      <c r="D87" s="123"/>
      <c r="E87" s="123"/>
      <c r="F87" s="134"/>
      <c r="G87" s="135" t="s">
        <v>213</v>
      </c>
      <c r="H87" s="40" t="s">
        <v>214</v>
      </c>
      <c r="I87" s="114" t="s">
        <v>215</v>
      </c>
      <c r="J87" s="115"/>
      <c r="K87" s="114"/>
      <c r="L87" s="114"/>
      <c r="M87" s="116"/>
      <c r="N87" s="114"/>
      <c r="O87" s="125"/>
    </row>
    <row r="88" spans="1:15" ht="15.75">
      <c r="A88" s="140"/>
      <c r="B88" s="141"/>
      <c r="C88" s="141"/>
      <c r="D88" s="141"/>
      <c r="E88" s="141"/>
      <c r="F88" s="142"/>
      <c r="G88" s="136"/>
      <c r="H88" s="40" t="s">
        <v>216</v>
      </c>
      <c r="I88" s="114" t="s">
        <v>217</v>
      </c>
      <c r="J88" s="115"/>
      <c r="K88" s="114"/>
      <c r="L88" s="114"/>
      <c r="M88" s="116"/>
      <c r="N88" s="114"/>
      <c r="O88" s="125"/>
    </row>
    <row r="89" spans="1:15" ht="15.75">
      <c r="A89" s="140"/>
      <c r="B89" s="141"/>
      <c r="C89" s="141"/>
      <c r="D89" s="141"/>
      <c r="E89" s="141"/>
      <c r="F89" s="142"/>
      <c r="G89" s="136"/>
      <c r="H89" s="40" t="s">
        <v>218</v>
      </c>
      <c r="I89" s="114" t="s">
        <v>219</v>
      </c>
      <c r="J89" s="115"/>
      <c r="K89" s="114"/>
      <c r="L89" s="114"/>
      <c r="M89" s="116"/>
      <c r="N89" s="114"/>
      <c r="O89" s="125"/>
    </row>
    <row r="90" spans="1:15" ht="15.75">
      <c r="A90" s="140"/>
      <c r="B90" s="141"/>
      <c r="C90" s="141"/>
      <c r="D90" s="141"/>
      <c r="E90" s="141"/>
      <c r="F90" s="142"/>
      <c r="G90" s="136"/>
      <c r="H90" s="40" t="s">
        <v>220</v>
      </c>
      <c r="I90" s="143" t="s">
        <v>221</v>
      </c>
      <c r="J90" s="115"/>
      <c r="K90" s="114"/>
      <c r="L90" s="114"/>
      <c r="M90" s="116"/>
      <c r="N90" s="114"/>
      <c r="O90" s="125"/>
    </row>
    <row r="91" spans="1:15" ht="15.75">
      <c r="A91" s="140"/>
      <c r="B91" s="141"/>
      <c r="C91" s="141"/>
      <c r="D91" s="141"/>
      <c r="E91" s="141"/>
      <c r="F91" s="142"/>
      <c r="G91" s="138"/>
      <c r="H91" s="40" t="s">
        <v>222</v>
      </c>
      <c r="I91" s="143" t="s">
        <v>223</v>
      </c>
      <c r="J91" s="115"/>
      <c r="K91" s="114"/>
      <c r="L91" s="114"/>
      <c r="M91" s="116"/>
      <c r="N91" s="114"/>
      <c r="O91" s="125"/>
    </row>
    <row r="92" spans="1:15" ht="15.75">
      <c r="A92" s="1" t="s">
        <v>224</v>
      </c>
      <c r="B92" s="2"/>
      <c r="C92" s="2"/>
      <c r="D92" s="2"/>
      <c r="E92" s="2"/>
      <c r="F92" s="56" t="s">
        <v>225</v>
      </c>
      <c r="G92" s="56" t="s">
        <v>226</v>
      </c>
      <c r="H92" s="113" t="s">
        <v>227</v>
      </c>
      <c r="I92" s="143" t="s">
        <v>228</v>
      </c>
      <c r="J92" s="144" t="s">
        <v>229</v>
      </c>
      <c r="K92" s="145" t="s">
        <v>230</v>
      </c>
      <c r="L92" s="145" t="s">
        <v>231</v>
      </c>
      <c r="M92" s="146" t="s">
        <v>23</v>
      </c>
      <c r="N92" s="145" t="s">
        <v>232</v>
      </c>
      <c r="O92" s="147"/>
    </row>
    <row r="93" spans="1:15" ht="15.75">
      <c r="A93" s="1"/>
      <c r="B93" s="3"/>
      <c r="C93" s="3"/>
      <c r="D93" s="3"/>
      <c r="E93" s="3"/>
      <c r="F93" s="57"/>
      <c r="G93" s="57"/>
      <c r="H93" s="47" t="s">
        <v>233</v>
      </c>
      <c r="I93" s="143" t="s">
        <v>234</v>
      </c>
      <c r="J93" s="144"/>
      <c r="K93" s="145"/>
      <c r="L93" s="145"/>
      <c r="M93" s="146"/>
      <c r="N93" s="145"/>
      <c r="O93" s="147"/>
    </row>
    <row r="94" spans="1:15" ht="15.75">
      <c r="A94" s="1"/>
      <c r="B94" s="3"/>
      <c r="C94" s="3"/>
      <c r="D94" s="3"/>
      <c r="E94" s="3"/>
      <c r="F94" s="57"/>
      <c r="G94" s="57"/>
      <c r="H94" s="47" t="s">
        <v>235</v>
      </c>
      <c r="I94" s="143" t="s">
        <v>236</v>
      </c>
      <c r="J94" s="144"/>
      <c r="K94" s="145"/>
      <c r="L94" s="145"/>
      <c r="M94" s="146"/>
      <c r="N94" s="145"/>
      <c r="O94" s="147"/>
    </row>
    <row r="95" spans="1:15" ht="15.75">
      <c r="A95" s="1"/>
      <c r="B95" s="3"/>
      <c r="C95" s="3"/>
      <c r="D95" s="3"/>
      <c r="E95" s="3"/>
      <c r="F95" s="57"/>
      <c r="G95" s="57"/>
      <c r="H95" s="47" t="s">
        <v>237</v>
      </c>
      <c r="I95" s="143" t="s">
        <v>238</v>
      </c>
      <c r="J95" s="144"/>
      <c r="K95" s="145"/>
      <c r="L95" s="145"/>
      <c r="M95" s="146"/>
      <c r="N95" s="145"/>
      <c r="O95" s="147"/>
    </row>
    <row r="96" spans="1:15" ht="15.75">
      <c r="A96" s="1"/>
      <c r="B96" s="3"/>
      <c r="C96" s="3"/>
      <c r="D96" s="3"/>
      <c r="E96" s="3"/>
      <c r="F96" s="57"/>
      <c r="G96" s="58"/>
      <c r="H96" s="47" t="s">
        <v>239</v>
      </c>
      <c r="I96" s="143" t="s">
        <v>240</v>
      </c>
      <c r="J96" s="144"/>
      <c r="K96" s="145"/>
      <c r="L96" s="145"/>
      <c r="M96" s="146"/>
      <c r="N96" s="145"/>
      <c r="O96" s="147"/>
    </row>
    <row r="97" spans="1:15" ht="15.75">
      <c r="A97" s="1"/>
      <c r="B97" s="3"/>
      <c r="C97" s="3"/>
      <c r="D97" s="3"/>
      <c r="E97" s="3"/>
      <c r="F97" s="57"/>
      <c r="G97" s="59" t="s">
        <v>241</v>
      </c>
      <c r="H97" s="40" t="s">
        <v>242</v>
      </c>
      <c r="I97" s="143" t="s">
        <v>243</v>
      </c>
      <c r="J97" s="144"/>
      <c r="K97" s="145"/>
      <c r="L97" s="145"/>
      <c r="M97" s="146"/>
      <c r="N97" s="145"/>
      <c r="O97" s="147"/>
    </row>
    <row r="98" spans="1:15" ht="15.75">
      <c r="A98" s="1"/>
      <c r="B98" s="3"/>
      <c r="C98" s="3"/>
      <c r="D98" s="3"/>
      <c r="E98" s="3"/>
      <c r="F98" s="57"/>
      <c r="G98" s="60"/>
      <c r="H98" s="40" t="s">
        <v>244</v>
      </c>
      <c r="I98" s="143" t="s">
        <v>245</v>
      </c>
      <c r="J98" s="144"/>
      <c r="K98" s="145"/>
      <c r="L98" s="145"/>
      <c r="M98" s="146"/>
      <c r="N98" s="145"/>
      <c r="O98" s="147"/>
    </row>
    <row r="99" spans="1:15" ht="15.75">
      <c r="A99" s="1"/>
      <c r="B99" s="3"/>
      <c r="C99" s="3"/>
      <c r="D99" s="3"/>
      <c r="E99" s="3"/>
      <c r="F99" s="57"/>
      <c r="G99" s="60"/>
      <c r="H99" s="40" t="s">
        <v>246</v>
      </c>
      <c r="I99" s="143" t="s">
        <v>247</v>
      </c>
      <c r="J99" s="144"/>
      <c r="K99" s="145"/>
      <c r="L99" s="145"/>
      <c r="M99" s="146"/>
      <c r="N99" s="145"/>
      <c r="O99" s="147"/>
    </row>
    <row r="100" spans="1:15" ht="15.75">
      <c r="A100" s="1"/>
      <c r="B100" s="3"/>
      <c r="C100" s="3"/>
      <c r="D100" s="3"/>
      <c r="E100" s="3"/>
      <c r="F100" s="57"/>
      <c r="G100" s="60"/>
      <c r="H100" s="40" t="s">
        <v>248</v>
      </c>
      <c r="I100" s="143" t="s">
        <v>249</v>
      </c>
      <c r="J100" s="144"/>
      <c r="K100" s="145"/>
      <c r="L100" s="145"/>
      <c r="M100" s="146"/>
      <c r="N100" s="145"/>
      <c r="O100" s="147"/>
    </row>
    <row r="101" spans="1:15" ht="15.75">
      <c r="A101" s="1"/>
      <c r="B101" s="3"/>
      <c r="C101" s="3"/>
      <c r="D101" s="3"/>
      <c r="E101" s="3"/>
      <c r="F101" s="57"/>
      <c r="G101" s="61"/>
      <c r="H101" s="40" t="s">
        <v>250</v>
      </c>
      <c r="I101" s="143" t="s">
        <v>251</v>
      </c>
      <c r="J101" s="144"/>
      <c r="K101" s="145"/>
      <c r="L101" s="145"/>
      <c r="M101" s="146"/>
      <c r="N101" s="145"/>
      <c r="O101" s="147"/>
    </row>
    <row r="102" spans="1:15" ht="15.75">
      <c r="A102" s="1"/>
      <c r="B102" s="3"/>
      <c r="C102" s="3"/>
      <c r="D102" s="3"/>
      <c r="E102" s="3"/>
      <c r="F102" s="57"/>
      <c r="G102" s="59" t="s">
        <v>252</v>
      </c>
      <c r="H102" s="47" t="s">
        <v>253</v>
      </c>
      <c r="I102" s="143" t="s">
        <v>254</v>
      </c>
      <c r="J102" s="144"/>
      <c r="K102" s="145"/>
      <c r="L102" s="145"/>
      <c r="M102" s="146"/>
      <c r="N102" s="145"/>
      <c r="O102" s="147"/>
    </row>
    <row r="103" spans="1:15" ht="15.75">
      <c r="A103" s="1"/>
      <c r="B103" s="3"/>
      <c r="C103" s="3"/>
      <c r="D103" s="3"/>
      <c r="E103" s="3"/>
      <c r="F103" s="57"/>
      <c r="G103" s="60"/>
      <c r="H103" s="47" t="s">
        <v>255</v>
      </c>
      <c r="I103" s="143" t="s">
        <v>256</v>
      </c>
      <c r="J103" s="144"/>
      <c r="K103" s="145"/>
      <c r="L103" s="145"/>
      <c r="M103" s="146"/>
      <c r="N103" s="145"/>
      <c r="O103" s="147"/>
    </row>
    <row r="104" spans="1:15" ht="15.75">
      <c r="A104" s="1"/>
      <c r="B104" s="3"/>
      <c r="C104" s="3"/>
      <c r="D104" s="3"/>
      <c r="E104" s="3"/>
      <c r="F104" s="57"/>
      <c r="G104" s="60"/>
      <c r="H104" s="47" t="s">
        <v>257</v>
      </c>
      <c r="I104" s="143" t="s">
        <v>258</v>
      </c>
      <c r="J104" s="144"/>
      <c r="K104" s="145"/>
      <c r="L104" s="145"/>
      <c r="M104" s="146"/>
      <c r="N104" s="145"/>
      <c r="O104" s="147"/>
    </row>
    <row r="105" spans="1:15" ht="15.75">
      <c r="A105" s="1"/>
      <c r="B105" s="3"/>
      <c r="C105" s="3"/>
      <c r="D105" s="3"/>
      <c r="E105" s="3"/>
      <c r="F105" s="57"/>
      <c r="G105" s="60"/>
      <c r="H105" s="47" t="s">
        <v>259</v>
      </c>
      <c r="I105" s="143" t="s">
        <v>260</v>
      </c>
      <c r="J105" s="144"/>
      <c r="K105" s="145"/>
      <c r="L105" s="145"/>
      <c r="M105" s="146"/>
      <c r="N105" s="145"/>
      <c r="O105" s="147"/>
    </row>
    <row r="106" spans="1:15" ht="15.75">
      <c r="A106" s="1"/>
      <c r="B106" s="3"/>
      <c r="C106" s="3"/>
      <c r="D106" s="3"/>
      <c r="E106" s="3"/>
      <c r="F106" s="57"/>
      <c r="G106" s="61"/>
      <c r="H106" s="47" t="s">
        <v>261</v>
      </c>
      <c r="I106" s="143" t="s">
        <v>262</v>
      </c>
      <c r="J106" s="144"/>
      <c r="K106" s="145"/>
      <c r="L106" s="145"/>
      <c r="M106" s="146"/>
      <c r="N106" s="145"/>
      <c r="O106" s="147"/>
    </row>
    <row r="107" spans="1:15" ht="15.75">
      <c r="A107" s="1"/>
      <c r="B107" s="3"/>
      <c r="C107" s="3"/>
      <c r="D107" s="3"/>
      <c r="E107" s="3"/>
      <c r="F107" s="57"/>
      <c r="G107" s="59" t="s">
        <v>263</v>
      </c>
      <c r="H107" s="40" t="s">
        <v>264</v>
      </c>
      <c r="I107" s="143" t="s">
        <v>265</v>
      </c>
      <c r="J107" s="144"/>
      <c r="K107" s="145"/>
      <c r="L107" s="145"/>
      <c r="M107" s="146"/>
      <c r="N107" s="145"/>
      <c r="O107" s="147"/>
    </row>
    <row r="108" spans="1:15" ht="15.75">
      <c r="A108" s="1"/>
      <c r="B108" s="3"/>
      <c r="C108" s="3"/>
      <c r="D108" s="3"/>
      <c r="E108" s="3"/>
      <c r="F108" s="57"/>
      <c r="G108" s="60"/>
      <c r="H108" s="40" t="s">
        <v>266</v>
      </c>
      <c r="I108" s="143" t="s">
        <v>267</v>
      </c>
      <c r="J108" s="144"/>
      <c r="K108" s="145"/>
      <c r="L108" s="145"/>
      <c r="M108" s="146"/>
      <c r="N108" s="145"/>
      <c r="O108" s="147"/>
    </row>
    <row r="109" spans="1:15" ht="15.75">
      <c r="A109" s="1"/>
      <c r="B109" s="3"/>
      <c r="C109" s="3"/>
      <c r="D109" s="3"/>
      <c r="E109" s="3"/>
      <c r="F109" s="57"/>
      <c r="G109" s="60"/>
      <c r="H109" s="40" t="s">
        <v>268</v>
      </c>
      <c r="I109" s="143" t="s">
        <v>269</v>
      </c>
      <c r="J109" s="144"/>
      <c r="K109" s="145"/>
      <c r="L109" s="145"/>
      <c r="M109" s="146"/>
      <c r="N109" s="145"/>
      <c r="O109" s="147"/>
    </row>
    <row r="110" spans="1:15" ht="15.75">
      <c r="A110" s="1"/>
      <c r="B110" s="3"/>
      <c r="C110" s="3"/>
      <c r="D110" s="3"/>
      <c r="E110" s="3"/>
      <c r="F110" s="57"/>
      <c r="G110" s="60"/>
      <c r="H110" s="40" t="s">
        <v>270</v>
      </c>
      <c r="I110" s="143" t="s">
        <v>271</v>
      </c>
      <c r="J110" s="144"/>
      <c r="K110" s="145"/>
      <c r="L110" s="145"/>
      <c r="M110" s="146"/>
      <c r="N110" s="145"/>
      <c r="O110" s="147"/>
    </row>
    <row r="111" spans="1:15" ht="15.75">
      <c r="A111" s="1"/>
      <c r="B111" s="3"/>
      <c r="C111" s="3"/>
      <c r="D111" s="3"/>
      <c r="E111" s="3"/>
      <c r="F111" s="57"/>
      <c r="G111" s="61"/>
      <c r="H111" s="40" t="s">
        <v>272</v>
      </c>
      <c r="I111" s="143" t="s">
        <v>273</v>
      </c>
      <c r="J111" s="144"/>
      <c r="K111" s="145"/>
      <c r="L111" s="145"/>
      <c r="M111" s="146"/>
      <c r="N111" s="145"/>
      <c r="O111" s="147"/>
    </row>
    <row r="112" spans="1:15" ht="15.75">
      <c r="A112" s="1"/>
      <c r="B112" s="3"/>
      <c r="C112" s="3"/>
      <c r="D112" s="3"/>
      <c r="E112" s="3"/>
      <c r="F112" s="57"/>
      <c r="G112" s="59" t="s">
        <v>274</v>
      </c>
      <c r="H112" s="47" t="s">
        <v>275</v>
      </c>
      <c r="I112" s="143" t="s">
        <v>276</v>
      </c>
      <c r="J112" s="144"/>
      <c r="K112" s="145"/>
      <c r="L112" s="145"/>
      <c r="M112" s="146"/>
      <c r="N112" s="145"/>
      <c r="O112" s="147"/>
    </row>
    <row r="113" spans="1:15" ht="15.75">
      <c r="A113" s="1"/>
      <c r="B113" s="3"/>
      <c r="C113" s="3"/>
      <c r="D113" s="3"/>
      <c r="E113" s="3"/>
      <c r="F113" s="57"/>
      <c r="G113" s="60"/>
      <c r="H113" s="47" t="s">
        <v>277</v>
      </c>
      <c r="I113" s="143" t="s">
        <v>278</v>
      </c>
      <c r="J113" s="144"/>
      <c r="K113" s="145"/>
      <c r="L113" s="145"/>
      <c r="M113" s="146"/>
      <c r="N113" s="145"/>
      <c r="O113" s="147"/>
    </row>
    <row r="114" spans="1:15" ht="15.75">
      <c r="A114" s="1"/>
      <c r="B114" s="3"/>
      <c r="C114" s="3"/>
      <c r="D114" s="3"/>
      <c r="E114" s="3"/>
      <c r="F114" s="57"/>
      <c r="G114" s="60"/>
      <c r="H114" s="47" t="s">
        <v>279</v>
      </c>
      <c r="I114" s="148" t="s">
        <v>280</v>
      </c>
      <c r="J114" s="144"/>
      <c r="K114" s="145"/>
      <c r="L114" s="145"/>
      <c r="M114" s="146"/>
      <c r="N114" s="145"/>
      <c r="O114" s="147"/>
    </row>
    <row r="115" spans="1:15" ht="15.75">
      <c r="A115" s="1"/>
      <c r="B115" s="3"/>
      <c r="C115" s="3"/>
      <c r="D115" s="3"/>
      <c r="E115" s="3"/>
      <c r="F115" s="57"/>
      <c r="G115" s="60"/>
      <c r="H115" s="47" t="s">
        <v>281</v>
      </c>
      <c r="I115" s="148" t="s">
        <v>282</v>
      </c>
      <c r="J115" s="144"/>
      <c r="K115" s="145"/>
      <c r="L115" s="145"/>
      <c r="M115" s="146"/>
      <c r="N115" s="145"/>
      <c r="O115" s="147"/>
    </row>
    <row r="116" spans="1:15" ht="15.75">
      <c r="A116" s="1"/>
      <c r="B116" s="3"/>
      <c r="C116" s="3"/>
      <c r="D116" s="3"/>
      <c r="E116" s="3"/>
      <c r="F116" s="57"/>
      <c r="G116" s="61"/>
      <c r="H116" s="47" t="s">
        <v>283</v>
      </c>
      <c r="I116" s="148" t="s">
        <v>284</v>
      </c>
      <c r="J116" s="144"/>
      <c r="K116" s="145"/>
      <c r="L116" s="145"/>
      <c r="M116" s="146"/>
      <c r="N116" s="145"/>
      <c r="O116" s="147"/>
    </row>
    <row r="117" spans="1:15" ht="15.75">
      <c r="A117" s="1"/>
      <c r="B117" s="4"/>
      <c r="C117" s="4"/>
      <c r="D117" s="4"/>
      <c r="E117" s="4"/>
      <c r="F117" s="58"/>
      <c r="G117" s="59" t="s">
        <v>285</v>
      </c>
      <c r="H117" s="40" t="s">
        <v>286</v>
      </c>
      <c r="I117" s="148" t="s">
        <v>287</v>
      </c>
      <c r="J117" s="144"/>
      <c r="K117" s="145"/>
      <c r="L117" s="145"/>
      <c r="M117" s="146"/>
      <c r="N117" s="145"/>
      <c r="O117" s="147"/>
    </row>
    <row r="118" spans="1:15" ht="15.75">
      <c r="A118" s="1"/>
      <c r="B118" s="5"/>
      <c r="C118" s="5"/>
      <c r="D118" s="5"/>
      <c r="E118" s="5"/>
      <c r="F118" s="149"/>
      <c r="G118" s="60"/>
      <c r="H118" s="40" t="s">
        <v>288</v>
      </c>
      <c r="I118" s="148" t="s">
        <v>289</v>
      </c>
      <c r="J118" s="144"/>
      <c r="K118" s="145"/>
      <c r="L118" s="145"/>
      <c r="M118" s="146"/>
      <c r="N118" s="145"/>
      <c r="O118" s="147"/>
    </row>
    <row r="119" spans="1:15" ht="15.75">
      <c r="A119" s="1"/>
      <c r="B119" s="5"/>
      <c r="C119" s="5"/>
      <c r="D119" s="5"/>
      <c r="E119" s="5"/>
      <c r="F119" s="149"/>
      <c r="G119" s="60"/>
      <c r="H119" s="40" t="s">
        <v>290</v>
      </c>
      <c r="I119" s="148" t="s">
        <v>291</v>
      </c>
      <c r="J119" s="144"/>
      <c r="K119" s="145"/>
      <c r="L119" s="145"/>
      <c r="M119" s="146"/>
      <c r="N119" s="145"/>
      <c r="O119" s="147"/>
    </row>
    <row r="120" spans="1:15" ht="15.75">
      <c r="A120" s="1"/>
      <c r="B120" s="5"/>
      <c r="C120" s="5"/>
      <c r="D120" s="5"/>
      <c r="E120" s="5"/>
      <c r="F120" s="149"/>
      <c r="G120" s="60"/>
      <c r="H120" s="40" t="s">
        <v>292</v>
      </c>
      <c r="I120" s="148" t="s">
        <v>293</v>
      </c>
      <c r="J120" s="144"/>
      <c r="K120" s="145"/>
      <c r="L120" s="145"/>
      <c r="M120" s="146"/>
      <c r="N120" s="145"/>
      <c r="O120" s="147"/>
    </row>
    <row r="121" spans="1:15" ht="15.75">
      <c r="A121" s="1"/>
      <c r="B121" s="5"/>
      <c r="C121" s="5"/>
      <c r="D121" s="5"/>
      <c r="E121" s="5"/>
      <c r="F121" s="149"/>
      <c r="G121" s="61"/>
      <c r="H121" s="40" t="s">
        <v>294</v>
      </c>
      <c r="I121" s="148" t="s">
        <v>295</v>
      </c>
      <c r="J121" s="144"/>
      <c r="K121" s="145"/>
      <c r="L121" s="145"/>
      <c r="M121" s="146"/>
      <c r="N121" s="145"/>
      <c r="O121" s="147"/>
    </row>
    <row r="122" spans="1:15" ht="15.75">
      <c r="A122" s="1"/>
      <c r="B122" s="2" t="s">
        <v>296</v>
      </c>
      <c r="C122" s="2"/>
      <c r="D122" s="2"/>
      <c r="E122" s="2"/>
      <c r="F122" s="150" t="s">
        <v>297</v>
      </c>
      <c r="G122" s="150" t="s">
        <v>298</v>
      </c>
      <c r="H122" s="151" t="s">
        <v>299</v>
      </c>
      <c r="I122" s="148" t="s">
        <v>300</v>
      </c>
      <c r="J122" s="144" t="s">
        <v>20</v>
      </c>
      <c r="K122" s="145" t="s">
        <v>301</v>
      </c>
      <c r="L122" s="145" t="s">
        <v>302</v>
      </c>
      <c r="M122" s="146" t="s">
        <v>94</v>
      </c>
      <c r="N122" s="145" t="s">
        <v>303</v>
      </c>
      <c r="O122" s="147"/>
    </row>
    <row r="123" spans="1:15" ht="15.75">
      <c r="A123" s="1"/>
      <c r="B123" s="3"/>
      <c r="C123" s="3"/>
      <c r="D123" s="3"/>
      <c r="E123" s="3"/>
      <c r="F123" s="152"/>
      <c r="G123" s="152"/>
      <c r="H123" s="47" t="s">
        <v>304</v>
      </c>
      <c r="I123" s="148" t="s">
        <v>305</v>
      </c>
      <c r="J123" s="144"/>
      <c r="K123" s="145"/>
      <c r="L123" s="145"/>
      <c r="M123" s="146"/>
      <c r="N123" s="145"/>
      <c r="O123" s="147"/>
    </row>
    <row r="124" spans="1:15" ht="15.75">
      <c r="A124" s="1"/>
      <c r="B124" s="3"/>
      <c r="C124" s="3"/>
      <c r="D124" s="3"/>
      <c r="E124" s="3"/>
      <c r="F124" s="152"/>
      <c r="G124" s="152"/>
      <c r="H124" s="47" t="s">
        <v>306</v>
      </c>
      <c r="I124" s="148" t="s">
        <v>307</v>
      </c>
      <c r="J124" s="144"/>
      <c r="K124" s="145"/>
      <c r="L124" s="145"/>
      <c r="M124" s="146"/>
      <c r="N124" s="145"/>
      <c r="O124" s="147"/>
    </row>
    <row r="125" spans="1:15" ht="15.75">
      <c r="A125" s="1"/>
      <c r="B125" s="3"/>
      <c r="C125" s="3"/>
      <c r="D125" s="3"/>
      <c r="E125" s="3"/>
      <c r="F125" s="152"/>
      <c r="G125" s="152"/>
      <c r="H125" s="47" t="s">
        <v>308</v>
      </c>
      <c r="I125" s="148" t="s">
        <v>309</v>
      </c>
      <c r="J125" s="144"/>
      <c r="K125" s="145"/>
      <c r="L125" s="145"/>
      <c r="M125" s="146"/>
      <c r="N125" s="145"/>
      <c r="O125" s="147"/>
    </row>
    <row r="126" spans="1:15" ht="15.75">
      <c r="A126" s="1"/>
      <c r="B126" s="3"/>
      <c r="C126" s="3"/>
      <c r="D126" s="3"/>
      <c r="E126" s="3"/>
      <c r="F126" s="152"/>
      <c r="G126" s="153"/>
      <c r="H126" s="47" t="s">
        <v>310</v>
      </c>
      <c r="I126" s="148" t="s">
        <v>311</v>
      </c>
      <c r="J126" s="144"/>
      <c r="K126" s="145"/>
      <c r="L126" s="145"/>
      <c r="M126" s="146"/>
      <c r="N126" s="145"/>
      <c r="O126" s="147"/>
    </row>
    <row r="127" spans="1:15" ht="15.75">
      <c r="A127" s="1"/>
      <c r="B127" s="3"/>
      <c r="C127" s="3"/>
      <c r="D127" s="3"/>
      <c r="E127" s="3"/>
      <c r="F127" s="152"/>
      <c r="G127" s="150" t="s">
        <v>312</v>
      </c>
      <c r="H127" s="40" t="s">
        <v>313</v>
      </c>
      <c r="I127" s="143" t="s">
        <v>314</v>
      </c>
      <c r="J127" s="144"/>
      <c r="K127" s="145"/>
      <c r="L127" s="145"/>
      <c r="M127" s="146"/>
      <c r="N127" s="145"/>
      <c r="O127" s="147"/>
    </row>
    <row r="128" spans="1:15" ht="15.75">
      <c r="A128" s="1"/>
      <c r="B128" s="3"/>
      <c r="C128" s="3"/>
      <c r="D128" s="3"/>
      <c r="E128" s="3"/>
      <c r="F128" s="152"/>
      <c r="G128" s="152"/>
      <c r="H128" s="40" t="s">
        <v>315</v>
      </c>
      <c r="I128" s="143" t="s">
        <v>316</v>
      </c>
      <c r="J128" s="144"/>
      <c r="K128" s="145"/>
      <c r="L128" s="145"/>
      <c r="M128" s="146"/>
      <c r="N128" s="145"/>
      <c r="O128" s="147"/>
    </row>
    <row r="129" spans="1:15" ht="15.75">
      <c r="A129" s="1"/>
      <c r="B129" s="3"/>
      <c r="C129" s="3"/>
      <c r="D129" s="3"/>
      <c r="E129" s="3"/>
      <c r="F129" s="152"/>
      <c r="G129" s="152"/>
      <c r="H129" s="40" t="s">
        <v>317</v>
      </c>
      <c r="I129" s="143" t="s">
        <v>318</v>
      </c>
      <c r="J129" s="144"/>
      <c r="K129" s="145"/>
      <c r="L129" s="145"/>
      <c r="M129" s="146"/>
      <c r="N129" s="145"/>
      <c r="O129" s="147"/>
    </row>
    <row r="130" spans="1:15" ht="15.75">
      <c r="A130" s="1"/>
      <c r="B130" s="3"/>
      <c r="C130" s="3"/>
      <c r="D130" s="3"/>
      <c r="E130" s="3"/>
      <c r="F130" s="152"/>
      <c r="G130" s="152"/>
      <c r="H130" s="40" t="s">
        <v>319</v>
      </c>
      <c r="I130" s="143" t="s">
        <v>320</v>
      </c>
      <c r="J130" s="144"/>
      <c r="K130" s="145"/>
      <c r="L130" s="145"/>
      <c r="M130" s="146"/>
      <c r="N130" s="145"/>
      <c r="O130" s="147"/>
    </row>
    <row r="131" spans="1:15" ht="15.75">
      <c r="A131" s="1"/>
      <c r="B131" s="3"/>
      <c r="C131" s="3"/>
      <c r="D131" s="3"/>
      <c r="E131" s="3"/>
      <c r="F131" s="152"/>
      <c r="G131" s="153"/>
      <c r="H131" s="40" t="s">
        <v>321</v>
      </c>
      <c r="I131" s="143" t="s">
        <v>322</v>
      </c>
      <c r="J131" s="144"/>
      <c r="K131" s="145"/>
      <c r="L131" s="145"/>
      <c r="M131" s="146"/>
      <c r="N131" s="145"/>
      <c r="O131" s="147"/>
    </row>
    <row r="132" spans="1:15" ht="15.75">
      <c r="A132" s="1"/>
      <c r="B132" s="3"/>
      <c r="C132" s="3"/>
      <c r="D132" s="3"/>
      <c r="E132" s="3"/>
      <c r="F132" s="152"/>
      <c r="G132" s="154" t="s">
        <v>323</v>
      </c>
      <c r="H132" s="47" t="s">
        <v>324</v>
      </c>
      <c r="I132" s="143" t="s">
        <v>325</v>
      </c>
      <c r="J132" s="144"/>
      <c r="K132" s="145"/>
      <c r="L132" s="145"/>
      <c r="M132" s="146"/>
      <c r="N132" s="145"/>
      <c r="O132" s="147"/>
    </row>
    <row r="133" spans="1:15" ht="15.75">
      <c r="A133" s="1"/>
      <c r="B133" s="3"/>
      <c r="C133" s="3"/>
      <c r="D133" s="3"/>
      <c r="E133" s="3"/>
      <c r="F133" s="152"/>
      <c r="G133" s="155"/>
      <c r="H133" s="47" t="s">
        <v>326</v>
      </c>
      <c r="I133" s="143" t="s">
        <v>327</v>
      </c>
      <c r="J133" s="144"/>
      <c r="K133" s="145"/>
      <c r="L133" s="145"/>
      <c r="M133" s="146"/>
      <c r="N133" s="145"/>
      <c r="O133" s="147"/>
    </row>
    <row r="134" spans="1:15" ht="15.75">
      <c r="A134" s="1"/>
      <c r="B134" s="3"/>
      <c r="C134" s="3"/>
      <c r="D134" s="3"/>
      <c r="E134" s="3"/>
      <c r="F134" s="152"/>
      <c r="G134" s="155"/>
      <c r="H134" s="47" t="s">
        <v>328</v>
      </c>
      <c r="I134" s="143" t="s">
        <v>329</v>
      </c>
      <c r="J134" s="144"/>
      <c r="K134" s="145"/>
      <c r="L134" s="145"/>
      <c r="M134" s="146"/>
      <c r="N134" s="145"/>
      <c r="O134" s="147"/>
    </row>
    <row r="135" spans="1:15" ht="15.75">
      <c r="A135" s="1"/>
      <c r="B135" s="3"/>
      <c r="C135" s="3"/>
      <c r="D135" s="3"/>
      <c r="E135" s="3"/>
      <c r="F135" s="152"/>
      <c r="G135" s="155"/>
      <c r="H135" s="47" t="s">
        <v>330</v>
      </c>
      <c r="I135" s="143" t="s">
        <v>331</v>
      </c>
      <c r="J135" s="144"/>
      <c r="K135" s="145"/>
      <c r="L135" s="145"/>
      <c r="M135" s="146"/>
      <c r="N135" s="145"/>
      <c r="O135" s="147"/>
    </row>
    <row r="136" spans="1:15" ht="30">
      <c r="A136" s="1"/>
      <c r="B136" s="3"/>
      <c r="C136" s="3"/>
      <c r="D136" s="3"/>
      <c r="E136" s="3"/>
      <c r="F136" s="152"/>
      <c r="G136" s="156"/>
      <c r="H136" s="47" t="s">
        <v>332</v>
      </c>
      <c r="I136" s="143" t="s">
        <v>333</v>
      </c>
      <c r="J136" s="144"/>
      <c r="K136" s="145"/>
      <c r="L136" s="145"/>
      <c r="M136" s="146"/>
      <c r="N136" s="145"/>
      <c r="O136" s="147"/>
    </row>
    <row r="137" spans="1:15" ht="15.75">
      <c r="A137" s="1"/>
      <c r="B137" s="3"/>
      <c r="C137" s="3"/>
      <c r="D137" s="3"/>
      <c r="E137" s="3"/>
      <c r="F137" s="152"/>
      <c r="G137" s="154" t="s">
        <v>334</v>
      </c>
      <c r="H137" s="40" t="s">
        <v>335</v>
      </c>
      <c r="I137" s="143" t="s">
        <v>336</v>
      </c>
      <c r="J137" s="144"/>
      <c r="K137" s="145"/>
      <c r="L137" s="145"/>
      <c r="M137" s="146"/>
      <c r="N137" s="145"/>
      <c r="O137" s="147"/>
    </row>
    <row r="138" spans="1:15" ht="15.75">
      <c r="A138" s="1"/>
      <c r="B138" s="3"/>
      <c r="C138" s="3"/>
      <c r="D138" s="3"/>
      <c r="E138" s="3"/>
      <c r="F138" s="152"/>
      <c r="G138" s="155"/>
      <c r="H138" s="40" t="s">
        <v>337</v>
      </c>
      <c r="I138" s="143" t="s">
        <v>338</v>
      </c>
      <c r="J138" s="144"/>
      <c r="K138" s="145"/>
      <c r="L138" s="145"/>
      <c r="M138" s="146"/>
      <c r="N138" s="145"/>
      <c r="O138" s="147"/>
    </row>
    <row r="139" spans="1:15" ht="15.75">
      <c r="A139" s="1"/>
      <c r="B139" s="3"/>
      <c r="C139" s="3"/>
      <c r="D139" s="3"/>
      <c r="E139" s="3"/>
      <c r="F139" s="152"/>
      <c r="G139" s="155"/>
      <c r="H139" s="40" t="s">
        <v>339</v>
      </c>
      <c r="I139" s="143" t="s">
        <v>340</v>
      </c>
      <c r="J139" s="144"/>
      <c r="K139" s="145"/>
      <c r="L139" s="145"/>
      <c r="M139" s="146"/>
      <c r="N139" s="145"/>
      <c r="O139" s="147"/>
    </row>
    <row r="140" spans="1:15" ht="15.75">
      <c r="A140" s="1"/>
      <c r="B140" s="3"/>
      <c r="C140" s="3"/>
      <c r="D140" s="3"/>
      <c r="E140" s="3"/>
      <c r="F140" s="152"/>
      <c r="G140" s="155"/>
      <c r="H140" s="40" t="s">
        <v>341</v>
      </c>
      <c r="I140" s="143" t="s">
        <v>342</v>
      </c>
      <c r="J140" s="144"/>
      <c r="K140" s="145"/>
      <c r="L140" s="145"/>
      <c r="M140" s="146"/>
      <c r="N140" s="145"/>
      <c r="O140" s="147"/>
    </row>
    <row r="141" spans="1:15" ht="15.75">
      <c r="A141" s="1"/>
      <c r="B141" s="3"/>
      <c r="C141" s="3"/>
      <c r="D141" s="3"/>
      <c r="E141" s="3"/>
      <c r="F141" s="152"/>
      <c r="G141" s="156"/>
      <c r="H141" s="40" t="s">
        <v>343</v>
      </c>
      <c r="I141" s="143" t="s">
        <v>344</v>
      </c>
      <c r="J141" s="144"/>
      <c r="K141" s="145"/>
      <c r="L141" s="145"/>
      <c r="M141" s="146"/>
      <c r="N141" s="145"/>
      <c r="O141" s="147"/>
    </row>
    <row r="142" spans="1:15" ht="15.75">
      <c r="A142" s="1"/>
      <c r="B142" s="3"/>
      <c r="C142" s="3"/>
      <c r="D142" s="3"/>
      <c r="E142" s="3"/>
      <c r="F142" s="152"/>
      <c r="G142" s="154" t="s">
        <v>345</v>
      </c>
      <c r="H142" s="47" t="s">
        <v>346</v>
      </c>
      <c r="I142" s="143" t="s">
        <v>347</v>
      </c>
      <c r="J142" s="144"/>
      <c r="K142" s="145"/>
      <c r="L142" s="145"/>
      <c r="M142" s="146"/>
      <c r="N142" s="145"/>
      <c r="O142" s="147"/>
    </row>
    <row r="143" spans="1:15" ht="15.75">
      <c r="A143" s="1"/>
      <c r="B143" s="3"/>
      <c r="C143" s="3"/>
      <c r="D143" s="3"/>
      <c r="E143" s="3"/>
      <c r="F143" s="152"/>
      <c r="G143" s="155"/>
      <c r="H143" s="47" t="s">
        <v>348</v>
      </c>
      <c r="I143" s="143" t="s">
        <v>349</v>
      </c>
      <c r="J143" s="144"/>
      <c r="K143" s="145"/>
      <c r="L143" s="145"/>
      <c r="M143" s="146"/>
      <c r="N143" s="145"/>
      <c r="O143" s="147"/>
    </row>
    <row r="144" spans="1:15" ht="15.75">
      <c r="A144" s="1"/>
      <c r="B144" s="3"/>
      <c r="C144" s="3"/>
      <c r="D144" s="3"/>
      <c r="E144" s="3"/>
      <c r="F144" s="152"/>
      <c r="G144" s="155"/>
      <c r="H144" s="47" t="s">
        <v>350</v>
      </c>
      <c r="I144" s="143" t="s">
        <v>351</v>
      </c>
      <c r="J144" s="144"/>
      <c r="K144" s="145"/>
      <c r="L144" s="145"/>
      <c r="M144" s="146"/>
      <c r="N144" s="145"/>
      <c r="O144" s="147"/>
    </row>
    <row r="145" spans="1:15" ht="30">
      <c r="A145" s="1"/>
      <c r="B145" s="3"/>
      <c r="C145" s="3"/>
      <c r="D145" s="3"/>
      <c r="E145" s="3"/>
      <c r="F145" s="152"/>
      <c r="G145" s="155"/>
      <c r="H145" s="47" t="s">
        <v>352</v>
      </c>
      <c r="I145" s="143" t="s">
        <v>353</v>
      </c>
      <c r="J145" s="144"/>
      <c r="K145" s="145"/>
      <c r="L145" s="145"/>
      <c r="M145" s="146"/>
      <c r="N145" s="145"/>
      <c r="O145" s="147"/>
    </row>
    <row r="146" spans="1:15" ht="15.75">
      <c r="A146" s="1"/>
      <c r="B146" s="3"/>
      <c r="C146" s="3"/>
      <c r="D146" s="3"/>
      <c r="E146" s="3"/>
      <c r="F146" s="152"/>
      <c r="G146" s="156"/>
      <c r="H146" s="47" t="s">
        <v>354</v>
      </c>
      <c r="I146" s="143" t="s">
        <v>355</v>
      </c>
      <c r="J146" s="144"/>
      <c r="K146" s="145"/>
      <c r="L146" s="145"/>
      <c r="M146" s="146"/>
      <c r="N146" s="145"/>
      <c r="O146" s="147"/>
    </row>
    <row r="147" spans="1:15" ht="15.75">
      <c r="A147" s="1"/>
      <c r="B147" s="4"/>
      <c r="C147" s="4"/>
      <c r="D147" s="4"/>
      <c r="E147" s="4"/>
      <c r="F147" s="153"/>
      <c r="G147" s="154" t="s">
        <v>356</v>
      </c>
      <c r="H147" s="40" t="s">
        <v>357</v>
      </c>
      <c r="I147" s="143" t="s">
        <v>1675</v>
      </c>
      <c r="J147" s="144"/>
      <c r="K147" s="145"/>
      <c r="L147" s="145"/>
      <c r="M147" s="146"/>
      <c r="N147" s="145"/>
      <c r="O147" s="147"/>
    </row>
    <row r="148" spans="1:15" ht="15.75">
      <c r="A148" s="1"/>
      <c r="B148" s="5"/>
      <c r="C148" s="5"/>
      <c r="D148" s="5"/>
      <c r="E148" s="5"/>
      <c r="F148" s="157"/>
      <c r="G148" s="155"/>
      <c r="H148" s="40" t="s">
        <v>358</v>
      </c>
      <c r="I148" s="158" t="s">
        <v>359</v>
      </c>
      <c r="J148" s="144"/>
      <c r="K148" s="145"/>
      <c r="L148" s="145"/>
      <c r="M148" s="146"/>
      <c r="N148" s="145"/>
      <c r="O148" s="147"/>
    </row>
    <row r="149" spans="1:15" ht="15.75">
      <c r="A149" s="1"/>
      <c r="B149" s="5"/>
      <c r="C149" s="5"/>
      <c r="D149" s="5"/>
      <c r="E149" s="5"/>
      <c r="F149" s="157"/>
      <c r="G149" s="155"/>
      <c r="H149" s="40" t="s">
        <v>360</v>
      </c>
      <c r="I149" s="158" t="s">
        <v>361</v>
      </c>
      <c r="J149" s="144"/>
      <c r="K149" s="145"/>
      <c r="L149" s="145"/>
      <c r="M149" s="146"/>
      <c r="N149" s="145"/>
      <c r="O149" s="147"/>
    </row>
    <row r="150" spans="1:15" ht="15.75">
      <c r="A150" s="1"/>
      <c r="B150" s="5"/>
      <c r="C150" s="5"/>
      <c r="D150" s="5"/>
      <c r="E150" s="5"/>
      <c r="F150" s="157"/>
      <c r="G150" s="155"/>
      <c r="H150" s="40" t="s">
        <v>362</v>
      </c>
      <c r="I150" s="158" t="s">
        <v>363</v>
      </c>
      <c r="J150" s="144"/>
      <c r="K150" s="145"/>
      <c r="L150" s="145"/>
      <c r="M150" s="146"/>
      <c r="N150" s="145"/>
      <c r="O150" s="147"/>
    </row>
    <row r="151" spans="1:15" ht="15.75">
      <c r="A151" s="1"/>
      <c r="B151" s="5"/>
      <c r="C151" s="5"/>
      <c r="D151" s="5"/>
      <c r="E151" s="5"/>
      <c r="F151" s="157"/>
      <c r="G151" s="156"/>
      <c r="H151" s="40" t="s">
        <v>364</v>
      </c>
      <c r="I151" s="158" t="s">
        <v>365</v>
      </c>
      <c r="J151" s="144"/>
      <c r="K151" s="145"/>
      <c r="L151" s="145"/>
      <c r="M151" s="146"/>
      <c r="N151" s="145"/>
      <c r="O151" s="147"/>
    </row>
    <row r="152" spans="1:15" ht="15.75">
      <c r="A152" s="1"/>
      <c r="B152" s="2"/>
      <c r="C152" s="2"/>
      <c r="D152" s="2"/>
      <c r="E152" s="2"/>
      <c r="F152" s="159" t="s">
        <v>366</v>
      </c>
      <c r="G152" s="159" t="s">
        <v>367</v>
      </c>
      <c r="H152" s="47" t="s">
        <v>368</v>
      </c>
      <c r="I152" s="158" t="s">
        <v>369</v>
      </c>
      <c r="J152" s="144"/>
      <c r="K152" s="145"/>
      <c r="L152" s="145"/>
      <c r="M152" s="146"/>
      <c r="N152" s="145"/>
      <c r="O152" s="147"/>
    </row>
    <row r="153" spans="1:15" ht="15.75">
      <c r="A153" s="1"/>
      <c r="B153" s="3"/>
      <c r="C153" s="3"/>
      <c r="D153" s="3"/>
      <c r="E153" s="3"/>
      <c r="F153" s="160"/>
      <c r="G153" s="160"/>
      <c r="H153" s="47" t="s">
        <v>370</v>
      </c>
      <c r="I153" s="158" t="s">
        <v>371</v>
      </c>
      <c r="J153" s="144"/>
      <c r="K153" s="145"/>
      <c r="L153" s="145"/>
      <c r="M153" s="146"/>
      <c r="N153" s="145"/>
      <c r="O153" s="147"/>
    </row>
    <row r="154" spans="1:15" ht="15.75">
      <c r="A154" s="1"/>
      <c r="B154" s="3"/>
      <c r="C154" s="3"/>
      <c r="D154" s="3"/>
      <c r="E154" s="3"/>
      <c r="F154" s="160"/>
      <c r="G154" s="160"/>
      <c r="H154" s="47" t="s">
        <v>372</v>
      </c>
      <c r="I154" s="158" t="s">
        <v>373</v>
      </c>
      <c r="J154" s="144"/>
      <c r="K154" s="145"/>
      <c r="L154" s="145"/>
      <c r="M154" s="146"/>
      <c r="N154" s="145"/>
      <c r="O154" s="147"/>
    </row>
    <row r="155" spans="1:15" ht="15.75">
      <c r="A155" s="1"/>
      <c r="B155" s="3"/>
      <c r="C155" s="3"/>
      <c r="D155" s="3"/>
      <c r="E155" s="3"/>
      <c r="F155" s="160"/>
      <c r="G155" s="160"/>
      <c r="H155" s="47" t="s">
        <v>374</v>
      </c>
      <c r="I155" s="158" t="s">
        <v>375</v>
      </c>
      <c r="J155" s="144"/>
      <c r="K155" s="145"/>
      <c r="L155" s="145"/>
      <c r="M155" s="146"/>
      <c r="N155" s="145"/>
      <c r="O155" s="147"/>
    </row>
    <row r="156" spans="1:15" ht="15.75">
      <c r="A156" s="1"/>
      <c r="B156" s="3"/>
      <c r="C156" s="3"/>
      <c r="D156" s="3"/>
      <c r="E156" s="3"/>
      <c r="F156" s="160"/>
      <c r="G156" s="161"/>
      <c r="H156" s="47" t="s">
        <v>376</v>
      </c>
      <c r="I156" s="158" t="s">
        <v>377</v>
      </c>
      <c r="J156" s="144"/>
      <c r="K156" s="145"/>
      <c r="L156" s="145"/>
      <c r="M156" s="146"/>
      <c r="N156" s="145"/>
      <c r="O156" s="147"/>
    </row>
    <row r="157" spans="1:15" ht="15.75">
      <c r="A157" s="1"/>
      <c r="B157" s="3"/>
      <c r="C157" s="3"/>
      <c r="D157" s="3"/>
      <c r="E157" s="3"/>
      <c r="F157" s="160"/>
      <c r="G157" s="162" t="s">
        <v>378</v>
      </c>
      <c r="H157" s="40" t="s">
        <v>379</v>
      </c>
      <c r="I157" s="158" t="s">
        <v>380</v>
      </c>
      <c r="J157" s="144"/>
      <c r="K157" s="145"/>
      <c r="L157" s="145"/>
      <c r="M157" s="146"/>
      <c r="N157" s="145"/>
      <c r="O157" s="147"/>
    </row>
    <row r="158" spans="1:15" ht="15.75">
      <c r="A158" s="1"/>
      <c r="B158" s="3"/>
      <c r="C158" s="3"/>
      <c r="D158" s="3"/>
      <c r="E158" s="3"/>
      <c r="F158" s="160"/>
      <c r="G158" s="163"/>
      <c r="H158" s="40" t="s">
        <v>381</v>
      </c>
      <c r="I158" s="158" t="s">
        <v>382</v>
      </c>
      <c r="J158" s="144"/>
      <c r="K158" s="145"/>
      <c r="L158" s="145"/>
      <c r="M158" s="146"/>
      <c r="N158" s="145"/>
      <c r="O158" s="147"/>
    </row>
    <row r="159" spans="1:15" ht="15.75">
      <c r="A159" s="1"/>
      <c r="B159" s="3"/>
      <c r="C159" s="3"/>
      <c r="D159" s="3"/>
      <c r="E159" s="3"/>
      <c r="F159" s="160"/>
      <c r="G159" s="163"/>
      <c r="H159" s="40" t="s">
        <v>383</v>
      </c>
      <c r="I159" s="158" t="s">
        <v>384</v>
      </c>
      <c r="J159" s="144"/>
      <c r="K159" s="145"/>
      <c r="L159" s="145"/>
      <c r="M159" s="146"/>
      <c r="N159" s="145"/>
      <c r="O159" s="147"/>
    </row>
    <row r="160" spans="1:15" ht="15.75">
      <c r="A160" s="1"/>
      <c r="B160" s="3"/>
      <c r="C160" s="3"/>
      <c r="D160" s="3"/>
      <c r="E160" s="3"/>
      <c r="F160" s="160"/>
      <c r="G160" s="163"/>
      <c r="H160" s="40" t="s">
        <v>385</v>
      </c>
      <c r="I160" s="158" t="s">
        <v>386</v>
      </c>
      <c r="J160" s="144"/>
      <c r="K160" s="145"/>
      <c r="L160" s="145"/>
      <c r="M160" s="146"/>
      <c r="N160" s="145"/>
      <c r="O160" s="147"/>
    </row>
    <row r="161" spans="1:15" ht="15.75">
      <c r="A161" s="1"/>
      <c r="B161" s="3"/>
      <c r="C161" s="3"/>
      <c r="D161" s="3"/>
      <c r="E161" s="3"/>
      <c r="F161" s="160"/>
      <c r="G161" s="164"/>
      <c r="H161" s="40" t="s">
        <v>387</v>
      </c>
      <c r="I161" s="158" t="s">
        <v>388</v>
      </c>
      <c r="J161" s="144"/>
      <c r="K161" s="145"/>
      <c r="L161" s="145"/>
      <c r="M161" s="146"/>
      <c r="N161" s="145"/>
      <c r="O161" s="147"/>
    </row>
    <row r="162" spans="1:15" ht="15.75">
      <c r="A162" s="1"/>
      <c r="B162" s="3"/>
      <c r="C162" s="3"/>
      <c r="D162" s="3"/>
      <c r="E162" s="3"/>
      <c r="F162" s="160"/>
      <c r="G162" s="162" t="s">
        <v>389</v>
      </c>
      <c r="H162" s="47" t="s">
        <v>390</v>
      </c>
      <c r="I162" s="158" t="s">
        <v>391</v>
      </c>
      <c r="J162" s="144"/>
      <c r="K162" s="145"/>
      <c r="L162" s="145"/>
      <c r="M162" s="146"/>
      <c r="N162" s="145"/>
      <c r="O162" s="147"/>
    </row>
    <row r="163" spans="1:15" ht="15.75">
      <c r="A163" s="1"/>
      <c r="B163" s="3"/>
      <c r="C163" s="3"/>
      <c r="D163" s="3"/>
      <c r="E163" s="3"/>
      <c r="F163" s="160"/>
      <c r="G163" s="163"/>
      <c r="H163" s="47" t="s">
        <v>392</v>
      </c>
      <c r="I163" s="158" t="s">
        <v>393</v>
      </c>
      <c r="J163" s="144"/>
      <c r="K163" s="145"/>
      <c r="L163" s="145"/>
      <c r="M163" s="146"/>
      <c r="N163" s="145"/>
      <c r="O163" s="147"/>
    </row>
    <row r="164" spans="1:15" ht="15.75">
      <c r="A164" s="1"/>
      <c r="B164" s="3"/>
      <c r="C164" s="3"/>
      <c r="D164" s="3"/>
      <c r="E164" s="3"/>
      <c r="F164" s="160"/>
      <c r="G164" s="163"/>
      <c r="H164" s="47" t="s">
        <v>394</v>
      </c>
      <c r="I164" s="143" t="s">
        <v>395</v>
      </c>
      <c r="J164" s="144"/>
      <c r="K164" s="145"/>
      <c r="L164" s="145"/>
      <c r="M164" s="146"/>
      <c r="N164" s="145"/>
      <c r="O164" s="147"/>
    </row>
    <row r="165" spans="1:15" ht="15.75">
      <c r="A165" s="1"/>
      <c r="B165" s="3"/>
      <c r="C165" s="3"/>
      <c r="D165" s="3"/>
      <c r="E165" s="3"/>
      <c r="F165" s="160"/>
      <c r="G165" s="163"/>
      <c r="H165" s="47" t="s">
        <v>396</v>
      </c>
      <c r="I165" s="158" t="s">
        <v>397</v>
      </c>
      <c r="J165" s="144"/>
      <c r="K165" s="145"/>
      <c r="L165" s="145"/>
      <c r="M165" s="146"/>
      <c r="N165" s="145"/>
      <c r="O165" s="147"/>
    </row>
    <row r="166" spans="1:15" ht="15.75">
      <c r="A166" s="1"/>
      <c r="B166" s="3"/>
      <c r="C166" s="3"/>
      <c r="D166" s="3"/>
      <c r="E166" s="3"/>
      <c r="F166" s="160"/>
      <c r="G166" s="164"/>
      <c r="H166" s="47" t="s">
        <v>398</v>
      </c>
      <c r="I166" s="143" t="s">
        <v>399</v>
      </c>
      <c r="J166" s="144"/>
      <c r="K166" s="145"/>
      <c r="L166" s="145"/>
      <c r="M166" s="146"/>
      <c r="N166" s="145"/>
      <c r="O166" s="147"/>
    </row>
    <row r="167" spans="1:15" ht="15.75">
      <c r="A167" s="1"/>
      <c r="B167" s="3"/>
      <c r="C167" s="3"/>
      <c r="D167" s="3"/>
      <c r="E167" s="3"/>
      <c r="F167" s="160"/>
      <c r="G167" s="162" t="s">
        <v>400</v>
      </c>
      <c r="H167" s="40" t="s">
        <v>401</v>
      </c>
      <c r="I167" s="143" t="s">
        <v>402</v>
      </c>
      <c r="J167" s="144"/>
      <c r="K167" s="145"/>
      <c r="L167" s="145"/>
      <c r="M167" s="146"/>
      <c r="N167" s="145"/>
      <c r="O167" s="147"/>
    </row>
    <row r="168" spans="1:15" ht="15.75">
      <c r="A168" s="1"/>
      <c r="B168" s="3"/>
      <c r="C168" s="3"/>
      <c r="D168" s="3"/>
      <c r="E168" s="3"/>
      <c r="F168" s="160"/>
      <c r="G168" s="163"/>
      <c r="H168" s="40" t="s">
        <v>403</v>
      </c>
      <c r="I168" s="143" t="s">
        <v>404</v>
      </c>
      <c r="J168" s="144"/>
      <c r="K168" s="145"/>
      <c r="L168" s="145"/>
      <c r="M168" s="146"/>
      <c r="N168" s="145"/>
      <c r="O168" s="147"/>
    </row>
    <row r="169" spans="1:15" ht="15.75">
      <c r="A169" s="1"/>
      <c r="B169" s="3"/>
      <c r="C169" s="3"/>
      <c r="D169" s="3"/>
      <c r="E169" s="3"/>
      <c r="F169" s="160"/>
      <c r="G169" s="163"/>
      <c r="H169" s="40" t="s">
        <v>405</v>
      </c>
      <c r="I169" s="143" t="s">
        <v>406</v>
      </c>
      <c r="J169" s="144"/>
      <c r="K169" s="145"/>
      <c r="L169" s="145"/>
      <c r="M169" s="146"/>
      <c r="N169" s="145"/>
      <c r="O169" s="147"/>
    </row>
    <row r="170" spans="1:15" ht="15.75">
      <c r="A170" s="1"/>
      <c r="B170" s="3"/>
      <c r="C170" s="3"/>
      <c r="D170" s="3"/>
      <c r="E170" s="3"/>
      <c r="F170" s="160"/>
      <c r="G170" s="163"/>
      <c r="H170" s="40" t="s">
        <v>407</v>
      </c>
      <c r="I170" s="143" t="s">
        <v>408</v>
      </c>
      <c r="J170" s="144"/>
      <c r="K170" s="145"/>
      <c r="L170" s="145"/>
      <c r="M170" s="146"/>
      <c r="N170" s="145"/>
      <c r="O170" s="147"/>
    </row>
    <row r="171" spans="1:15" ht="15.75">
      <c r="A171" s="1"/>
      <c r="B171" s="3"/>
      <c r="C171" s="3"/>
      <c r="D171" s="3"/>
      <c r="E171" s="3"/>
      <c r="F171" s="160"/>
      <c r="G171" s="164"/>
      <c r="H171" s="40" t="s">
        <v>409</v>
      </c>
      <c r="I171" s="143" t="s">
        <v>410</v>
      </c>
      <c r="J171" s="144"/>
      <c r="K171" s="145"/>
      <c r="L171" s="145"/>
      <c r="M171" s="146"/>
      <c r="N171" s="145"/>
      <c r="O171" s="147"/>
    </row>
    <row r="172" spans="1:15" ht="15.75">
      <c r="A172" s="1"/>
      <c r="B172" s="3"/>
      <c r="C172" s="3"/>
      <c r="D172" s="3"/>
      <c r="E172" s="3"/>
      <c r="F172" s="160"/>
      <c r="G172" s="162" t="s">
        <v>411</v>
      </c>
      <c r="H172" s="47" t="s">
        <v>412</v>
      </c>
      <c r="I172" s="143" t="s">
        <v>413</v>
      </c>
      <c r="J172" s="144"/>
      <c r="K172" s="145"/>
      <c r="L172" s="145"/>
      <c r="M172" s="146"/>
      <c r="N172" s="145"/>
      <c r="O172" s="147"/>
    </row>
    <row r="173" spans="1:15" ht="15.75">
      <c r="A173" s="1"/>
      <c r="B173" s="3"/>
      <c r="C173" s="3"/>
      <c r="D173" s="3"/>
      <c r="E173" s="3"/>
      <c r="F173" s="160"/>
      <c r="G173" s="163"/>
      <c r="H173" s="47" t="s">
        <v>414</v>
      </c>
      <c r="I173" s="143" t="s">
        <v>415</v>
      </c>
      <c r="J173" s="144"/>
      <c r="K173" s="145"/>
      <c r="L173" s="145"/>
      <c r="M173" s="146"/>
      <c r="N173" s="145"/>
      <c r="O173" s="147"/>
    </row>
    <row r="174" spans="1:15" ht="30">
      <c r="A174" s="1"/>
      <c r="B174" s="3"/>
      <c r="C174" s="3"/>
      <c r="D174" s="3"/>
      <c r="E174" s="3"/>
      <c r="F174" s="160"/>
      <c r="G174" s="163"/>
      <c r="H174" s="47" t="s">
        <v>416</v>
      </c>
      <c r="I174" s="143" t="s">
        <v>417</v>
      </c>
      <c r="J174" s="144"/>
      <c r="K174" s="145"/>
      <c r="L174" s="145"/>
      <c r="M174" s="146"/>
      <c r="N174" s="145"/>
      <c r="O174" s="147"/>
    </row>
    <row r="175" spans="1:15" ht="15.75">
      <c r="A175" s="1"/>
      <c r="B175" s="3"/>
      <c r="C175" s="3"/>
      <c r="D175" s="3"/>
      <c r="E175" s="3"/>
      <c r="F175" s="160"/>
      <c r="G175" s="163"/>
      <c r="H175" s="47" t="s">
        <v>418</v>
      </c>
      <c r="I175" s="143" t="s">
        <v>419</v>
      </c>
      <c r="J175" s="144"/>
      <c r="K175" s="145"/>
      <c r="L175" s="145"/>
      <c r="M175" s="146"/>
      <c r="N175" s="145"/>
      <c r="O175" s="147"/>
    </row>
    <row r="176" spans="1:15" ht="15.75">
      <c r="A176" s="1"/>
      <c r="B176" s="3"/>
      <c r="C176" s="3"/>
      <c r="D176" s="3"/>
      <c r="E176" s="3"/>
      <c r="F176" s="160"/>
      <c r="G176" s="164"/>
      <c r="H176" s="47" t="s">
        <v>420</v>
      </c>
      <c r="I176" s="143" t="s">
        <v>421</v>
      </c>
      <c r="J176" s="144"/>
      <c r="K176" s="145"/>
      <c r="L176" s="145"/>
      <c r="M176" s="146"/>
      <c r="N176" s="145"/>
      <c r="O176" s="147"/>
    </row>
    <row r="177" spans="1:15" ht="15.75">
      <c r="A177" s="1"/>
      <c r="B177" s="4"/>
      <c r="C177" s="4"/>
      <c r="D177" s="4"/>
      <c r="E177" s="4"/>
      <c r="F177" s="161"/>
      <c r="G177" s="162" t="s">
        <v>422</v>
      </c>
      <c r="H177" s="165" t="s">
        <v>423</v>
      </c>
      <c r="I177" s="143" t="s">
        <v>424</v>
      </c>
      <c r="J177" s="144" t="s">
        <v>425</v>
      </c>
      <c r="K177" s="145" t="s">
        <v>426</v>
      </c>
      <c r="L177" s="145" t="s">
        <v>427</v>
      </c>
      <c r="M177" s="146" t="s">
        <v>23</v>
      </c>
      <c r="N177" s="145" t="s">
        <v>428</v>
      </c>
      <c r="O177" s="147"/>
    </row>
    <row r="178" spans="1:15" ht="15.75">
      <c r="A178" s="6"/>
      <c r="B178" s="5"/>
      <c r="C178" s="5"/>
      <c r="D178" s="5"/>
      <c r="E178" s="5"/>
      <c r="F178" s="166"/>
      <c r="G178" s="163"/>
      <c r="H178" s="40" t="s">
        <v>429</v>
      </c>
      <c r="I178" s="143" t="s">
        <v>430</v>
      </c>
      <c r="J178" s="144"/>
      <c r="K178" s="145"/>
      <c r="L178" s="145"/>
      <c r="M178" s="146"/>
      <c r="N178" s="145"/>
      <c r="O178" s="147"/>
    </row>
    <row r="179" spans="1:15" ht="30">
      <c r="A179" s="6"/>
      <c r="B179" s="5"/>
      <c r="C179" s="5"/>
      <c r="D179" s="5"/>
      <c r="E179" s="5"/>
      <c r="F179" s="166"/>
      <c r="G179" s="163"/>
      <c r="H179" s="40" t="s">
        <v>431</v>
      </c>
      <c r="I179" s="143" t="s">
        <v>432</v>
      </c>
      <c r="J179" s="144"/>
      <c r="K179" s="145"/>
      <c r="L179" s="145"/>
      <c r="M179" s="146"/>
      <c r="N179" s="145"/>
      <c r="O179" s="147"/>
    </row>
    <row r="180" spans="1:15" ht="15.75">
      <c r="A180" s="6"/>
      <c r="B180" s="5"/>
      <c r="C180" s="5"/>
      <c r="D180" s="5"/>
      <c r="E180" s="5"/>
      <c r="F180" s="166"/>
      <c r="G180" s="163"/>
      <c r="H180" s="40" t="s">
        <v>433</v>
      </c>
      <c r="I180" s="143" t="s">
        <v>434</v>
      </c>
      <c r="J180" s="144"/>
      <c r="K180" s="145"/>
      <c r="L180" s="145"/>
      <c r="M180" s="146"/>
      <c r="N180" s="145"/>
      <c r="O180" s="147"/>
    </row>
    <row r="181" spans="1:15" ht="15.75">
      <c r="A181" s="6"/>
      <c r="B181" s="5"/>
      <c r="C181" s="5"/>
      <c r="D181" s="5"/>
      <c r="E181" s="5"/>
      <c r="F181" s="166"/>
      <c r="G181" s="164"/>
      <c r="H181" s="40" t="s">
        <v>435</v>
      </c>
      <c r="I181" s="143" t="s">
        <v>436</v>
      </c>
      <c r="J181" s="144"/>
      <c r="K181" s="145"/>
      <c r="L181" s="145"/>
      <c r="M181" s="146"/>
      <c r="N181" s="145"/>
      <c r="O181" s="147"/>
    </row>
    <row r="182" spans="1:15" ht="15.75">
      <c r="A182" s="7" t="s">
        <v>437</v>
      </c>
      <c r="B182" s="8"/>
      <c r="C182" s="8"/>
      <c r="D182" s="8"/>
      <c r="E182" s="8"/>
      <c r="F182" s="167" t="s">
        <v>438</v>
      </c>
      <c r="G182" s="167" t="s">
        <v>439</v>
      </c>
      <c r="H182" s="151" t="s">
        <v>440</v>
      </c>
      <c r="I182" s="168" t="s">
        <v>441</v>
      </c>
      <c r="J182" s="169" t="s">
        <v>20</v>
      </c>
      <c r="K182" s="170" t="s">
        <v>442</v>
      </c>
      <c r="L182" s="170" t="s">
        <v>443</v>
      </c>
      <c r="M182" s="171" t="s">
        <v>94</v>
      </c>
      <c r="N182" s="170" t="s">
        <v>444</v>
      </c>
      <c r="O182" s="172"/>
    </row>
    <row r="183" spans="1:15" ht="15.75">
      <c r="A183" s="7"/>
      <c r="B183" s="9"/>
      <c r="C183" s="9"/>
      <c r="D183" s="9"/>
      <c r="E183" s="9"/>
      <c r="F183" s="173"/>
      <c r="G183" s="173"/>
      <c r="H183" s="47" t="s">
        <v>445</v>
      </c>
      <c r="I183" s="168" t="s">
        <v>446</v>
      </c>
      <c r="J183" s="169"/>
      <c r="K183" s="170"/>
      <c r="L183" s="170"/>
      <c r="M183" s="171"/>
      <c r="N183" s="170"/>
      <c r="O183" s="172"/>
    </row>
    <row r="184" spans="1:15" ht="15.75">
      <c r="A184" s="7"/>
      <c r="B184" s="9"/>
      <c r="C184" s="9"/>
      <c r="D184" s="9"/>
      <c r="E184" s="9"/>
      <c r="F184" s="173"/>
      <c r="G184" s="173"/>
      <c r="H184" s="47" t="s">
        <v>447</v>
      </c>
      <c r="I184" s="168" t="s">
        <v>448</v>
      </c>
      <c r="J184" s="169"/>
      <c r="K184" s="170"/>
      <c r="L184" s="170"/>
      <c r="M184" s="171"/>
      <c r="N184" s="170"/>
      <c r="O184" s="172"/>
    </row>
    <row r="185" spans="1:15" ht="15.75">
      <c r="A185" s="7"/>
      <c r="B185" s="9"/>
      <c r="C185" s="9"/>
      <c r="D185" s="9"/>
      <c r="E185" s="9"/>
      <c r="F185" s="173"/>
      <c r="G185" s="173"/>
      <c r="H185" s="47" t="s">
        <v>449</v>
      </c>
      <c r="I185" s="168" t="s">
        <v>450</v>
      </c>
      <c r="J185" s="169"/>
      <c r="K185" s="170"/>
      <c r="L185" s="170"/>
      <c r="M185" s="171"/>
      <c r="N185" s="170"/>
      <c r="O185" s="172"/>
    </row>
    <row r="186" spans="1:15" ht="15.75">
      <c r="A186" s="7"/>
      <c r="B186" s="9"/>
      <c r="C186" s="9"/>
      <c r="D186" s="9"/>
      <c r="E186" s="9"/>
      <c r="F186" s="173"/>
      <c r="G186" s="174"/>
      <c r="H186" s="151" t="s">
        <v>451</v>
      </c>
      <c r="I186" s="168" t="s">
        <v>452</v>
      </c>
      <c r="J186" s="169"/>
      <c r="K186" s="170"/>
      <c r="L186" s="170"/>
      <c r="M186" s="171"/>
      <c r="N186" s="170"/>
      <c r="O186" s="172"/>
    </row>
    <row r="187" spans="1:15" ht="15.75">
      <c r="A187" s="7"/>
      <c r="B187" s="9"/>
      <c r="C187" s="9"/>
      <c r="D187" s="9"/>
      <c r="E187" s="9"/>
      <c r="F187" s="173"/>
      <c r="G187" s="175" t="s">
        <v>453</v>
      </c>
      <c r="H187" s="40" t="s">
        <v>454</v>
      </c>
      <c r="I187" s="168" t="s">
        <v>455</v>
      </c>
      <c r="J187" s="169"/>
      <c r="K187" s="170"/>
      <c r="L187" s="170"/>
      <c r="M187" s="171"/>
      <c r="N187" s="170"/>
      <c r="O187" s="172"/>
    </row>
    <row r="188" spans="1:15" ht="15.75">
      <c r="A188" s="7"/>
      <c r="B188" s="9"/>
      <c r="C188" s="9"/>
      <c r="D188" s="9"/>
      <c r="E188" s="9"/>
      <c r="F188" s="173"/>
      <c r="G188" s="176"/>
      <c r="H188" s="40" t="s">
        <v>456</v>
      </c>
      <c r="I188" s="168" t="s">
        <v>457</v>
      </c>
      <c r="J188" s="169"/>
      <c r="K188" s="170"/>
      <c r="L188" s="170"/>
      <c r="M188" s="171"/>
      <c r="N188" s="170"/>
      <c r="O188" s="172"/>
    </row>
    <row r="189" spans="1:15" ht="15.75">
      <c r="A189" s="7"/>
      <c r="B189" s="9"/>
      <c r="C189" s="9"/>
      <c r="D189" s="9"/>
      <c r="E189" s="9"/>
      <c r="F189" s="173"/>
      <c r="G189" s="176"/>
      <c r="H189" s="40" t="s">
        <v>458</v>
      </c>
      <c r="I189" s="168" t="s">
        <v>459</v>
      </c>
      <c r="J189" s="169"/>
      <c r="K189" s="170"/>
      <c r="L189" s="170"/>
      <c r="M189" s="171"/>
      <c r="N189" s="170"/>
      <c r="O189" s="172"/>
    </row>
    <row r="190" spans="1:15" ht="15.75">
      <c r="A190" s="7"/>
      <c r="B190" s="9"/>
      <c r="C190" s="9"/>
      <c r="D190" s="9"/>
      <c r="E190" s="9"/>
      <c r="F190" s="173"/>
      <c r="G190" s="176"/>
      <c r="H190" s="40" t="s">
        <v>460</v>
      </c>
      <c r="I190" s="168" t="s">
        <v>461</v>
      </c>
      <c r="J190" s="169"/>
      <c r="K190" s="170"/>
      <c r="L190" s="170"/>
      <c r="M190" s="171"/>
      <c r="N190" s="170"/>
      <c r="O190" s="172"/>
    </row>
    <row r="191" spans="1:15" ht="15.75">
      <c r="A191" s="7"/>
      <c r="B191" s="9"/>
      <c r="C191" s="9"/>
      <c r="D191" s="9"/>
      <c r="E191" s="9"/>
      <c r="F191" s="173"/>
      <c r="G191" s="177"/>
      <c r="H191" s="40" t="s">
        <v>462</v>
      </c>
      <c r="I191" s="168" t="s">
        <v>463</v>
      </c>
      <c r="J191" s="169"/>
      <c r="K191" s="170"/>
      <c r="L191" s="170"/>
      <c r="M191" s="171"/>
      <c r="N191" s="170"/>
      <c r="O191" s="172"/>
    </row>
    <row r="192" spans="1:15" ht="15.75">
      <c r="A192" s="7"/>
      <c r="B192" s="9"/>
      <c r="C192" s="9"/>
      <c r="D192" s="9"/>
      <c r="E192" s="9"/>
      <c r="F192" s="173"/>
      <c r="G192" s="175" t="s">
        <v>464</v>
      </c>
      <c r="H192" s="47" t="s">
        <v>465</v>
      </c>
      <c r="I192" s="168" t="s">
        <v>466</v>
      </c>
      <c r="J192" s="169"/>
      <c r="K192" s="170"/>
      <c r="L192" s="170"/>
      <c r="M192" s="171"/>
      <c r="N192" s="170"/>
      <c r="O192" s="172"/>
    </row>
    <row r="193" spans="1:15" ht="15.75">
      <c r="A193" s="7"/>
      <c r="B193" s="9"/>
      <c r="C193" s="9"/>
      <c r="D193" s="9"/>
      <c r="E193" s="9"/>
      <c r="F193" s="173"/>
      <c r="G193" s="176"/>
      <c r="H193" s="47" t="s">
        <v>467</v>
      </c>
      <c r="I193" s="168" t="s">
        <v>468</v>
      </c>
      <c r="J193" s="169"/>
      <c r="K193" s="170"/>
      <c r="L193" s="170"/>
      <c r="M193" s="171"/>
      <c r="N193" s="170"/>
      <c r="O193" s="172"/>
    </row>
    <row r="194" spans="1:15" ht="15.75">
      <c r="A194" s="7"/>
      <c r="B194" s="9"/>
      <c r="C194" s="9"/>
      <c r="D194" s="9"/>
      <c r="E194" s="9"/>
      <c r="F194" s="173"/>
      <c r="G194" s="176"/>
      <c r="H194" s="47" t="s">
        <v>469</v>
      </c>
      <c r="I194" s="168" t="s">
        <v>470</v>
      </c>
      <c r="J194" s="169"/>
      <c r="K194" s="170"/>
      <c r="L194" s="170"/>
      <c r="M194" s="171"/>
      <c r="N194" s="170"/>
      <c r="O194" s="172"/>
    </row>
    <row r="195" spans="1:15" ht="15.75">
      <c r="A195" s="7"/>
      <c r="B195" s="9"/>
      <c r="C195" s="9"/>
      <c r="D195" s="9"/>
      <c r="E195" s="9"/>
      <c r="F195" s="173"/>
      <c r="G195" s="176"/>
      <c r="H195" s="47" t="s">
        <v>471</v>
      </c>
      <c r="I195" s="168" t="s">
        <v>472</v>
      </c>
      <c r="J195" s="169"/>
      <c r="K195" s="170"/>
      <c r="L195" s="170"/>
      <c r="M195" s="171"/>
      <c r="N195" s="170"/>
      <c r="O195" s="172"/>
    </row>
    <row r="196" spans="1:15" ht="15.75">
      <c r="A196" s="7"/>
      <c r="B196" s="9"/>
      <c r="C196" s="9"/>
      <c r="D196" s="9"/>
      <c r="E196" s="9"/>
      <c r="F196" s="173"/>
      <c r="G196" s="177"/>
      <c r="H196" s="47" t="s">
        <v>473</v>
      </c>
      <c r="I196" s="168" t="s">
        <v>474</v>
      </c>
      <c r="J196" s="169"/>
      <c r="K196" s="170"/>
      <c r="L196" s="170"/>
      <c r="M196" s="171"/>
      <c r="N196" s="170"/>
      <c r="O196" s="172"/>
    </row>
    <row r="197" spans="1:15" ht="15.75">
      <c r="A197" s="7"/>
      <c r="B197" s="9"/>
      <c r="C197" s="9"/>
      <c r="D197" s="9"/>
      <c r="E197" s="9"/>
      <c r="F197" s="173"/>
      <c r="G197" s="175" t="s">
        <v>475</v>
      </c>
      <c r="H197" s="40" t="s">
        <v>476</v>
      </c>
      <c r="I197" s="168" t="s">
        <v>477</v>
      </c>
      <c r="J197" s="169"/>
      <c r="K197" s="170"/>
      <c r="L197" s="170"/>
      <c r="M197" s="171"/>
      <c r="N197" s="170"/>
      <c r="O197" s="172"/>
    </row>
    <row r="198" spans="1:15" ht="15.75">
      <c r="A198" s="7"/>
      <c r="B198" s="9"/>
      <c r="C198" s="9"/>
      <c r="D198" s="9"/>
      <c r="E198" s="9"/>
      <c r="F198" s="173"/>
      <c r="G198" s="176"/>
      <c r="H198" s="40" t="s">
        <v>478</v>
      </c>
      <c r="I198" s="168" t="s">
        <v>479</v>
      </c>
      <c r="J198" s="169"/>
      <c r="K198" s="170"/>
      <c r="L198" s="170"/>
      <c r="M198" s="171"/>
      <c r="N198" s="170"/>
      <c r="O198" s="172"/>
    </row>
    <row r="199" spans="1:15" ht="15.75">
      <c r="A199" s="7"/>
      <c r="B199" s="9"/>
      <c r="C199" s="9"/>
      <c r="D199" s="9"/>
      <c r="E199" s="9"/>
      <c r="F199" s="173"/>
      <c r="G199" s="176"/>
      <c r="H199" s="40" t="s">
        <v>480</v>
      </c>
      <c r="I199" s="178" t="s">
        <v>481</v>
      </c>
      <c r="J199" s="169"/>
      <c r="K199" s="170"/>
      <c r="L199" s="170"/>
      <c r="M199" s="171"/>
      <c r="N199" s="170"/>
      <c r="O199" s="172"/>
    </row>
    <row r="200" spans="1:15" ht="15.75">
      <c r="A200" s="7"/>
      <c r="B200" s="9"/>
      <c r="C200" s="9"/>
      <c r="D200" s="9"/>
      <c r="E200" s="9"/>
      <c r="F200" s="173"/>
      <c r="G200" s="176"/>
      <c r="H200" s="40" t="s">
        <v>482</v>
      </c>
      <c r="I200" s="178" t="s">
        <v>483</v>
      </c>
      <c r="J200" s="169"/>
      <c r="K200" s="170"/>
      <c r="L200" s="170"/>
      <c r="M200" s="171"/>
      <c r="N200" s="170"/>
      <c r="O200" s="172"/>
    </row>
    <row r="201" spans="1:15" ht="15.75">
      <c r="A201" s="7"/>
      <c r="B201" s="9"/>
      <c r="C201" s="9"/>
      <c r="D201" s="9"/>
      <c r="E201" s="9"/>
      <c r="F201" s="173"/>
      <c r="G201" s="177"/>
      <c r="H201" s="40" t="s">
        <v>484</v>
      </c>
      <c r="I201" s="178" t="s">
        <v>485</v>
      </c>
      <c r="J201" s="169"/>
      <c r="K201" s="170"/>
      <c r="L201" s="170"/>
      <c r="M201" s="171"/>
      <c r="N201" s="170"/>
      <c r="O201" s="172"/>
    </row>
    <row r="202" spans="1:15" ht="30">
      <c r="A202" s="7"/>
      <c r="B202" s="9"/>
      <c r="C202" s="9"/>
      <c r="D202" s="9"/>
      <c r="E202" s="9"/>
      <c r="F202" s="173"/>
      <c r="G202" s="175" t="s">
        <v>486</v>
      </c>
      <c r="H202" s="47" t="s">
        <v>487</v>
      </c>
      <c r="I202" s="178" t="s">
        <v>488</v>
      </c>
      <c r="J202" s="169"/>
      <c r="K202" s="170"/>
      <c r="L202" s="170"/>
      <c r="M202" s="171"/>
      <c r="N202" s="170"/>
      <c r="O202" s="172"/>
    </row>
    <row r="203" spans="1:15" ht="15.75">
      <c r="A203" s="7"/>
      <c r="B203" s="9"/>
      <c r="C203" s="9"/>
      <c r="D203" s="9"/>
      <c r="E203" s="9"/>
      <c r="F203" s="173"/>
      <c r="G203" s="176"/>
      <c r="H203" s="47" t="s">
        <v>489</v>
      </c>
      <c r="I203" s="178" t="s">
        <v>490</v>
      </c>
      <c r="J203" s="169"/>
      <c r="K203" s="170"/>
      <c r="L203" s="170"/>
      <c r="M203" s="171"/>
      <c r="N203" s="170"/>
      <c r="O203" s="172"/>
    </row>
    <row r="204" spans="1:15" ht="15.75">
      <c r="A204" s="7"/>
      <c r="B204" s="9"/>
      <c r="C204" s="9"/>
      <c r="D204" s="9"/>
      <c r="E204" s="9"/>
      <c r="F204" s="173"/>
      <c r="G204" s="176"/>
      <c r="H204" s="47" t="s">
        <v>491</v>
      </c>
      <c r="I204" s="178" t="s">
        <v>492</v>
      </c>
      <c r="J204" s="169"/>
      <c r="K204" s="170"/>
      <c r="L204" s="170"/>
      <c r="M204" s="171"/>
      <c r="N204" s="170"/>
      <c r="O204" s="172"/>
    </row>
    <row r="205" spans="1:15" ht="15.75">
      <c r="A205" s="7"/>
      <c r="B205" s="9"/>
      <c r="C205" s="9"/>
      <c r="D205" s="9"/>
      <c r="E205" s="9"/>
      <c r="F205" s="173"/>
      <c r="G205" s="176"/>
      <c r="H205" s="47" t="s">
        <v>493</v>
      </c>
      <c r="I205" s="178" t="s">
        <v>494</v>
      </c>
      <c r="J205" s="169"/>
      <c r="K205" s="170"/>
      <c r="L205" s="170"/>
      <c r="M205" s="171"/>
      <c r="N205" s="170"/>
      <c r="O205" s="172"/>
    </row>
    <row r="206" spans="1:15" ht="15.75">
      <c r="A206" s="7"/>
      <c r="B206" s="9"/>
      <c r="C206" s="9"/>
      <c r="D206" s="9"/>
      <c r="E206" s="9"/>
      <c r="F206" s="173"/>
      <c r="G206" s="177"/>
      <c r="H206" s="47" t="s">
        <v>495</v>
      </c>
      <c r="I206" s="178" t="s">
        <v>496</v>
      </c>
      <c r="J206" s="169"/>
      <c r="K206" s="170"/>
      <c r="L206" s="170"/>
      <c r="M206" s="171"/>
      <c r="N206" s="170"/>
      <c r="O206" s="172"/>
    </row>
    <row r="207" spans="1:15" ht="15.75">
      <c r="A207" s="7"/>
      <c r="B207" s="10"/>
      <c r="C207" s="10"/>
      <c r="D207" s="10"/>
      <c r="E207" s="10"/>
      <c r="F207" s="174"/>
      <c r="G207" s="175" t="s">
        <v>497</v>
      </c>
      <c r="H207" s="40" t="s">
        <v>498</v>
      </c>
      <c r="I207" s="178" t="s">
        <v>499</v>
      </c>
      <c r="J207" s="169"/>
      <c r="K207" s="170"/>
      <c r="L207" s="170"/>
      <c r="M207" s="171"/>
      <c r="N207" s="170"/>
      <c r="O207" s="172"/>
    </row>
    <row r="208" spans="1:15" ht="15.75">
      <c r="A208" s="7"/>
      <c r="B208" s="11"/>
      <c r="C208" s="11"/>
      <c r="D208" s="11"/>
      <c r="E208" s="11"/>
      <c r="F208" s="179"/>
      <c r="G208" s="176"/>
      <c r="H208" s="40" t="s">
        <v>500</v>
      </c>
      <c r="I208" s="178" t="s">
        <v>501</v>
      </c>
      <c r="J208" s="169"/>
      <c r="K208" s="170"/>
      <c r="L208" s="170"/>
      <c r="M208" s="171"/>
      <c r="N208" s="170"/>
      <c r="O208" s="172"/>
    </row>
    <row r="209" spans="1:15" ht="15.75">
      <c r="A209" s="7"/>
      <c r="B209" s="11"/>
      <c r="C209" s="11"/>
      <c r="D209" s="11"/>
      <c r="E209" s="11"/>
      <c r="F209" s="179"/>
      <c r="G209" s="176"/>
      <c r="H209" s="40" t="s">
        <v>502</v>
      </c>
      <c r="I209" s="178" t="s">
        <v>503</v>
      </c>
      <c r="J209" s="169"/>
      <c r="K209" s="170"/>
      <c r="L209" s="170"/>
      <c r="M209" s="171"/>
      <c r="N209" s="170"/>
      <c r="O209" s="172"/>
    </row>
    <row r="210" spans="1:15" ht="15.75">
      <c r="A210" s="7"/>
      <c r="B210" s="11"/>
      <c r="C210" s="11"/>
      <c r="D210" s="11"/>
      <c r="E210" s="11"/>
      <c r="F210" s="179"/>
      <c r="G210" s="176"/>
      <c r="H210" s="40" t="s">
        <v>504</v>
      </c>
      <c r="I210" s="178" t="s">
        <v>505</v>
      </c>
      <c r="J210" s="169"/>
      <c r="K210" s="170"/>
      <c r="L210" s="170"/>
      <c r="M210" s="171"/>
      <c r="N210" s="170"/>
      <c r="O210" s="172"/>
    </row>
    <row r="211" spans="1:15" ht="15.75">
      <c r="A211" s="7"/>
      <c r="B211" s="11"/>
      <c r="C211" s="11"/>
      <c r="D211" s="11"/>
      <c r="E211" s="11"/>
      <c r="F211" s="179"/>
      <c r="G211" s="177"/>
      <c r="H211" s="40" t="s">
        <v>506</v>
      </c>
      <c r="I211" s="178" t="s">
        <v>507</v>
      </c>
      <c r="J211" s="169"/>
      <c r="K211" s="170"/>
      <c r="L211" s="170"/>
      <c r="M211" s="171"/>
      <c r="N211" s="170"/>
      <c r="O211" s="172"/>
    </row>
    <row r="212" spans="1:15" ht="15.75">
      <c r="A212" s="7"/>
      <c r="B212" s="8" t="s">
        <v>508</v>
      </c>
      <c r="C212" s="8"/>
      <c r="D212" s="8"/>
      <c r="E212" s="8"/>
      <c r="F212" s="180" t="s">
        <v>509</v>
      </c>
      <c r="G212" s="181" t="s">
        <v>510</v>
      </c>
      <c r="H212" s="151" t="s">
        <v>1676</v>
      </c>
      <c r="I212" s="178" t="s">
        <v>511</v>
      </c>
      <c r="J212" s="169" t="s">
        <v>425</v>
      </c>
      <c r="K212" s="170" t="s">
        <v>512</v>
      </c>
      <c r="L212" s="170" t="s">
        <v>513</v>
      </c>
      <c r="M212" s="171" t="s">
        <v>94</v>
      </c>
      <c r="N212" s="170" t="s">
        <v>444</v>
      </c>
      <c r="O212" s="172"/>
    </row>
    <row r="213" spans="1:15" ht="15.75">
      <c r="A213" s="7"/>
      <c r="B213" s="9"/>
      <c r="C213" s="9"/>
      <c r="D213" s="9"/>
      <c r="E213" s="9"/>
      <c r="F213" s="182"/>
      <c r="G213" s="183"/>
      <c r="H213" s="47" t="s">
        <v>514</v>
      </c>
      <c r="I213" s="178" t="s">
        <v>515</v>
      </c>
      <c r="J213" s="169"/>
      <c r="K213" s="170"/>
      <c r="L213" s="170"/>
      <c r="M213" s="171"/>
      <c r="N213" s="170"/>
      <c r="O213" s="172"/>
    </row>
    <row r="214" spans="1:15" ht="15.75">
      <c r="A214" s="7"/>
      <c r="B214" s="9"/>
      <c r="C214" s="9"/>
      <c r="D214" s="9"/>
      <c r="E214" s="9"/>
      <c r="F214" s="182"/>
      <c r="G214" s="183"/>
      <c r="H214" s="47" t="s">
        <v>516</v>
      </c>
      <c r="I214" s="178" t="s">
        <v>517</v>
      </c>
      <c r="J214" s="169"/>
      <c r="K214" s="170"/>
      <c r="L214" s="170"/>
      <c r="M214" s="171"/>
      <c r="N214" s="170"/>
      <c r="O214" s="172"/>
    </row>
    <row r="215" spans="1:15" ht="15.75">
      <c r="A215" s="7"/>
      <c r="B215" s="9"/>
      <c r="C215" s="9"/>
      <c r="D215" s="9"/>
      <c r="E215" s="9"/>
      <c r="F215" s="182"/>
      <c r="G215" s="183"/>
      <c r="H215" s="47" t="s">
        <v>518</v>
      </c>
      <c r="I215" s="178" t="s">
        <v>519</v>
      </c>
      <c r="J215" s="169"/>
      <c r="K215" s="170"/>
      <c r="L215" s="170"/>
      <c r="M215" s="171"/>
      <c r="N215" s="170"/>
      <c r="O215" s="172"/>
    </row>
    <row r="216" spans="1:15" ht="15.75">
      <c r="A216" s="7"/>
      <c r="B216" s="9"/>
      <c r="C216" s="9"/>
      <c r="D216" s="9"/>
      <c r="E216" s="9"/>
      <c r="F216" s="182"/>
      <c r="G216" s="184"/>
      <c r="H216" s="47" t="s">
        <v>520</v>
      </c>
      <c r="I216" s="178" t="s">
        <v>521</v>
      </c>
      <c r="J216" s="169"/>
      <c r="K216" s="170"/>
      <c r="L216" s="170"/>
      <c r="M216" s="171"/>
      <c r="N216" s="170"/>
      <c r="O216" s="172"/>
    </row>
    <row r="217" spans="1:15" ht="31.5">
      <c r="A217" s="7"/>
      <c r="B217" s="9"/>
      <c r="C217" s="9"/>
      <c r="D217" s="9"/>
      <c r="E217" s="9"/>
      <c r="F217" s="182"/>
      <c r="G217" s="185" t="s">
        <v>522</v>
      </c>
      <c r="H217" s="40" t="s">
        <v>523</v>
      </c>
      <c r="I217" s="178" t="s">
        <v>524</v>
      </c>
      <c r="J217" s="169"/>
      <c r="K217" s="170"/>
      <c r="L217" s="170"/>
      <c r="M217" s="171"/>
      <c r="N217" s="170"/>
      <c r="O217" s="172"/>
    </row>
    <row r="218" spans="1:15" ht="15.75">
      <c r="A218" s="7"/>
      <c r="B218" s="9"/>
      <c r="C218" s="9"/>
      <c r="D218" s="9"/>
      <c r="E218" s="9"/>
      <c r="F218" s="182"/>
      <c r="G218" s="186"/>
      <c r="H218" s="40" t="s">
        <v>525</v>
      </c>
      <c r="I218" s="178" t="s">
        <v>526</v>
      </c>
      <c r="J218" s="169"/>
      <c r="K218" s="170"/>
      <c r="L218" s="170"/>
      <c r="M218" s="171"/>
      <c r="N218" s="170"/>
      <c r="O218" s="172"/>
    </row>
    <row r="219" spans="1:15" ht="15.75">
      <c r="A219" s="7"/>
      <c r="B219" s="9"/>
      <c r="C219" s="9"/>
      <c r="D219" s="9"/>
      <c r="E219" s="9"/>
      <c r="F219" s="182"/>
      <c r="G219" s="186"/>
      <c r="H219" s="40" t="s">
        <v>527</v>
      </c>
      <c r="I219" s="178" t="s">
        <v>528</v>
      </c>
      <c r="J219" s="169"/>
      <c r="K219" s="170"/>
      <c r="L219" s="170"/>
      <c r="M219" s="171"/>
      <c r="N219" s="170"/>
      <c r="O219" s="172"/>
    </row>
    <row r="220" spans="1:15" ht="15.75">
      <c r="A220" s="7"/>
      <c r="B220" s="9"/>
      <c r="C220" s="9"/>
      <c r="D220" s="9"/>
      <c r="E220" s="9"/>
      <c r="F220" s="182"/>
      <c r="G220" s="186"/>
      <c r="H220" s="40" t="s">
        <v>529</v>
      </c>
      <c r="I220" s="178" t="s">
        <v>530</v>
      </c>
      <c r="J220" s="169"/>
      <c r="K220" s="170"/>
      <c r="L220" s="170"/>
      <c r="M220" s="171"/>
      <c r="N220" s="170"/>
      <c r="O220" s="172"/>
    </row>
    <row r="221" spans="1:15" ht="15.75">
      <c r="A221" s="7"/>
      <c r="B221" s="9"/>
      <c r="C221" s="9"/>
      <c r="D221" s="9"/>
      <c r="E221" s="9"/>
      <c r="F221" s="182"/>
      <c r="G221" s="187"/>
      <c r="H221" s="40" t="s">
        <v>531</v>
      </c>
      <c r="I221" s="178" t="s">
        <v>532</v>
      </c>
      <c r="J221" s="169"/>
      <c r="K221" s="170"/>
      <c r="L221" s="170"/>
      <c r="M221" s="171"/>
      <c r="N221" s="170"/>
      <c r="O221" s="172"/>
    </row>
    <row r="222" spans="1:15" ht="15.75">
      <c r="A222" s="7"/>
      <c r="B222" s="9"/>
      <c r="C222" s="9"/>
      <c r="D222" s="9"/>
      <c r="E222" s="9"/>
      <c r="F222" s="182"/>
      <c r="G222" s="185" t="s">
        <v>533</v>
      </c>
      <c r="H222" s="47" t="s">
        <v>534</v>
      </c>
      <c r="I222" s="178" t="s">
        <v>535</v>
      </c>
      <c r="J222" s="169"/>
      <c r="K222" s="170"/>
      <c r="L222" s="170"/>
      <c r="M222" s="171"/>
      <c r="N222" s="170"/>
      <c r="O222" s="172"/>
    </row>
    <row r="223" spans="1:15" ht="15.75">
      <c r="A223" s="7"/>
      <c r="B223" s="9"/>
      <c r="C223" s="9"/>
      <c r="D223" s="9"/>
      <c r="E223" s="9"/>
      <c r="F223" s="182"/>
      <c r="G223" s="186"/>
      <c r="H223" s="47" t="s">
        <v>536</v>
      </c>
      <c r="I223" s="178" t="s">
        <v>537</v>
      </c>
      <c r="J223" s="169"/>
      <c r="K223" s="170"/>
      <c r="L223" s="170"/>
      <c r="M223" s="171"/>
      <c r="N223" s="170"/>
      <c r="O223" s="172"/>
    </row>
    <row r="224" spans="1:15" ht="15.75">
      <c r="A224" s="7"/>
      <c r="B224" s="9"/>
      <c r="C224" s="9"/>
      <c r="D224" s="9"/>
      <c r="E224" s="9"/>
      <c r="F224" s="182"/>
      <c r="G224" s="186"/>
      <c r="H224" s="47" t="s">
        <v>538</v>
      </c>
      <c r="I224" s="178" t="s">
        <v>539</v>
      </c>
      <c r="J224" s="169"/>
      <c r="K224" s="170"/>
      <c r="L224" s="170"/>
      <c r="M224" s="171"/>
      <c r="N224" s="170"/>
      <c r="O224" s="172"/>
    </row>
    <row r="225" spans="1:15" ht="30">
      <c r="A225" s="7"/>
      <c r="B225" s="9"/>
      <c r="C225" s="9"/>
      <c r="D225" s="9"/>
      <c r="E225" s="9"/>
      <c r="F225" s="182"/>
      <c r="G225" s="186"/>
      <c r="H225" s="47" t="s">
        <v>540</v>
      </c>
      <c r="I225" s="178" t="s">
        <v>541</v>
      </c>
      <c r="J225" s="169"/>
      <c r="K225" s="170"/>
      <c r="L225" s="170"/>
      <c r="M225" s="171"/>
      <c r="N225" s="170"/>
      <c r="O225" s="172"/>
    </row>
    <row r="226" spans="1:15" ht="15.75">
      <c r="A226" s="7"/>
      <c r="B226" s="9"/>
      <c r="C226" s="9"/>
      <c r="D226" s="9"/>
      <c r="E226" s="9"/>
      <c r="F226" s="182"/>
      <c r="G226" s="187"/>
      <c r="H226" s="47" t="s">
        <v>542</v>
      </c>
      <c r="I226" s="178" t="s">
        <v>543</v>
      </c>
      <c r="J226" s="169"/>
      <c r="K226" s="170"/>
      <c r="L226" s="170"/>
      <c r="M226" s="171"/>
      <c r="N226" s="170"/>
      <c r="O226" s="172"/>
    </row>
    <row r="227" spans="1:15" ht="15.75">
      <c r="A227" s="7"/>
      <c r="B227" s="9"/>
      <c r="C227" s="9"/>
      <c r="D227" s="9"/>
      <c r="E227" s="9"/>
      <c r="F227" s="182"/>
      <c r="G227" s="185" t="s">
        <v>544</v>
      </c>
      <c r="H227" s="188" t="s">
        <v>545</v>
      </c>
      <c r="I227" s="178" t="s">
        <v>546</v>
      </c>
      <c r="J227" s="169"/>
      <c r="K227" s="170"/>
      <c r="L227" s="170"/>
      <c r="M227" s="171"/>
      <c r="N227" s="170"/>
      <c r="O227" s="172"/>
    </row>
    <row r="228" spans="1:15" ht="15.75">
      <c r="A228" s="7"/>
      <c r="B228" s="9"/>
      <c r="C228" s="9"/>
      <c r="D228" s="9"/>
      <c r="E228" s="9"/>
      <c r="F228" s="182"/>
      <c r="G228" s="186"/>
      <c r="H228" s="188" t="s">
        <v>547</v>
      </c>
      <c r="I228" s="178" t="s">
        <v>548</v>
      </c>
      <c r="J228" s="169"/>
      <c r="K228" s="170"/>
      <c r="L228" s="170"/>
      <c r="M228" s="171"/>
      <c r="N228" s="170"/>
      <c r="O228" s="172"/>
    </row>
    <row r="229" spans="1:15" ht="15.75">
      <c r="A229" s="7"/>
      <c r="B229" s="9"/>
      <c r="C229" s="9"/>
      <c r="D229" s="9"/>
      <c r="E229" s="9"/>
      <c r="F229" s="182"/>
      <c r="G229" s="186"/>
      <c r="H229" s="188" t="s">
        <v>549</v>
      </c>
      <c r="I229" s="178" t="s">
        <v>550</v>
      </c>
      <c r="J229" s="169"/>
      <c r="K229" s="170"/>
      <c r="L229" s="170"/>
      <c r="M229" s="171"/>
      <c r="N229" s="170"/>
      <c r="O229" s="172"/>
    </row>
    <row r="230" spans="1:15" ht="15.75">
      <c r="A230" s="7"/>
      <c r="B230" s="9"/>
      <c r="C230" s="9"/>
      <c r="D230" s="9"/>
      <c r="E230" s="9"/>
      <c r="F230" s="182"/>
      <c r="G230" s="186"/>
      <c r="H230" s="188" t="s">
        <v>551</v>
      </c>
      <c r="I230" s="178" t="s">
        <v>552</v>
      </c>
      <c r="J230" s="169"/>
      <c r="K230" s="170"/>
      <c r="L230" s="170"/>
      <c r="M230" s="171"/>
      <c r="N230" s="170"/>
      <c r="O230" s="172"/>
    </row>
    <row r="231" spans="1:15" ht="30">
      <c r="A231" s="7"/>
      <c r="B231" s="9"/>
      <c r="C231" s="9"/>
      <c r="D231" s="9"/>
      <c r="E231" s="9"/>
      <c r="F231" s="182"/>
      <c r="G231" s="187"/>
      <c r="H231" s="188" t="s">
        <v>553</v>
      </c>
      <c r="I231" s="178" t="s">
        <v>554</v>
      </c>
      <c r="J231" s="169"/>
      <c r="K231" s="170"/>
      <c r="L231" s="170"/>
      <c r="M231" s="171"/>
      <c r="N231" s="170"/>
      <c r="O231" s="172"/>
    </row>
    <row r="232" spans="1:15" ht="15.75">
      <c r="A232" s="7"/>
      <c r="B232" s="9"/>
      <c r="C232" s="9"/>
      <c r="D232" s="9"/>
      <c r="E232" s="9"/>
      <c r="F232" s="182"/>
      <c r="G232" s="185" t="s">
        <v>555</v>
      </c>
      <c r="H232" s="47" t="s">
        <v>556</v>
      </c>
      <c r="I232" s="178" t="s">
        <v>557</v>
      </c>
      <c r="J232" s="169"/>
      <c r="K232" s="170"/>
      <c r="L232" s="170"/>
      <c r="M232" s="171"/>
      <c r="N232" s="170"/>
      <c r="O232" s="172"/>
    </row>
    <row r="233" spans="1:15" ht="15.75">
      <c r="A233" s="7"/>
      <c r="B233" s="9"/>
      <c r="C233" s="9"/>
      <c r="D233" s="9"/>
      <c r="E233" s="9"/>
      <c r="F233" s="182"/>
      <c r="G233" s="186"/>
      <c r="H233" s="47" t="s">
        <v>558</v>
      </c>
      <c r="I233" s="178" t="s">
        <v>559</v>
      </c>
      <c r="J233" s="169"/>
      <c r="K233" s="170"/>
      <c r="L233" s="170"/>
      <c r="M233" s="171"/>
      <c r="N233" s="170"/>
      <c r="O233" s="172"/>
    </row>
    <row r="234" spans="1:15" ht="15.75">
      <c r="A234" s="7"/>
      <c r="B234" s="9"/>
      <c r="C234" s="9"/>
      <c r="D234" s="9"/>
      <c r="E234" s="9"/>
      <c r="F234" s="182"/>
      <c r="G234" s="186"/>
      <c r="H234" s="47" t="s">
        <v>560</v>
      </c>
      <c r="I234" s="178" t="s">
        <v>561</v>
      </c>
      <c r="J234" s="169"/>
      <c r="K234" s="170"/>
      <c r="L234" s="170"/>
      <c r="M234" s="171"/>
      <c r="N234" s="170"/>
      <c r="O234" s="172"/>
    </row>
    <row r="235" spans="1:15" ht="15.75">
      <c r="A235" s="7"/>
      <c r="B235" s="9"/>
      <c r="C235" s="9"/>
      <c r="D235" s="9"/>
      <c r="E235" s="9"/>
      <c r="F235" s="182"/>
      <c r="G235" s="186"/>
      <c r="H235" s="47" t="s">
        <v>562</v>
      </c>
      <c r="I235" s="178" t="s">
        <v>563</v>
      </c>
      <c r="J235" s="169"/>
      <c r="K235" s="170"/>
      <c r="L235" s="170"/>
      <c r="M235" s="171"/>
      <c r="N235" s="170"/>
      <c r="O235" s="172"/>
    </row>
    <row r="236" spans="1:15" ht="30">
      <c r="A236" s="7"/>
      <c r="B236" s="9"/>
      <c r="C236" s="9"/>
      <c r="D236" s="9"/>
      <c r="E236" s="9"/>
      <c r="F236" s="182"/>
      <c r="G236" s="187"/>
      <c r="H236" s="47" t="s">
        <v>564</v>
      </c>
      <c r="I236" s="178" t="s">
        <v>565</v>
      </c>
      <c r="J236" s="169"/>
      <c r="K236" s="170"/>
      <c r="L236" s="170"/>
      <c r="M236" s="171"/>
      <c r="N236" s="170"/>
      <c r="O236" s="172"/>
    </row>
    <row r="237" spans="1:15" ht="15.75">
      <c r="A237" s="7"/>
      <c r="B237" s="10"/>
      <c r="C237" s="10"/>
      <c r="D237" s="10"/>
      <c r="E237" s="10"/>
      <c r="F237" s="189"/>
      <c r="G237" s="185" t="s">
        <v>566</v>
      </c>
      <c r="H237" s="40" t="s">
        <v>567</v>
      </c>
      <c r="I237" s="178" t="s">
        <v>568</v>
      </c>
      <c r="J237" s="169"/>
      <c r="K237" s="170"/>
      <c r="L237" s="170"/>
      <c r="M237" s="171"/>
      <c r="N237" s="170"/>
      <c r="O237" s="172"/>
    </row>
    <row r="238" spans="1:15" ht="15.75">
      <c r="A238" s="7"/>
      <c r="B238" s="11"/>
      <c r="C238" s="11"/>
      <c r="D238" s="11"/>
      <c r="E238" s="11"/>
      <c r="F238" s="190"/>
      <c r="G238" s="186"/>
      <c r="H238" s="40" t="s">
        <v>569</v>
      </c>
      <c r="I238" s="178" t="s">
        <v>570</v>
      </c>
      <c r="J238" s="169"/>
      <c r="K238" s="170"/>
      <c r="L238" s="170"/>
      <c r="M238" s="171"/>
      <c r="N238" s="170"/>
      <c r="O238" s="172"/>
    </row>
    <row r="239" spans="1:15" ht="15.75">
      <c r="A239" s="7"/>
      <c r="B239" s="11"/>
      <c r="C239" s="11"/>
      <c r="D239" s="11"/>
      <c r="E239" s="11"/>
      <c r="F239" s="190"/>
      <c r="G239" s="186"/>
      <c r="H239" s="40" t="s">
        <v>571</v>
      </c>
      <c r="I239" s="178" t="s">
        <v>572</v>
      </c>
      <c r="J239" s="169"/>
      <c r="K239" s="170"/>
      <c r="L239" s="170"/>
      <c r="M239" s="171"/>
      <c r="N239" s="170"/>
      <c r="O239" s="172"/>
    </row>
    <row r="240" spans="1:15" ht="15.75">
      <c r="A240" s="7"/>
      <c r="B240" s="11"/>
      <c r="C240" s="11"/>
      <c r="D240" s="11"/>
      <c r="E240" s="11"/>
      <c r="F240" s="190"/>
      <c r="G240" s="186"/>
      <c r="H240" s="40" t="s">
        <v>573</v>
      </c>
      <c r="I240" s="178" t="s">
        <v>574</v>
      </c>
      <c r="J240" s="169"/>
      <c r="K240" s="170"/>
      <c r="L240" s="170"/>
      <c r="M240" s="171"/>
      <c r="N240" s="170"/>
      <c r="O240" s="172"/>
    </row>
    <row r="241" spans="1:15" ht="30">
      <c r="A241" s="7"/>
      <c r="B241" s="11"/>
      <c r="C241" s="11"/>
      <c r="D241" s="11"/>
      <c r="E241" s="11"/>
      <c r="F241" s="190"/>
      <c r="G241" s="187"/>
      <c r="H241" s="40" t="s">
        <v>575</v>
      </c>
      <c r="I241" s="178" t="s">
        <v>576</v>
      </c>
      <c r="J241" s="169"/>
      <c r="K241" s="170"/>
      <c r="L241" s="170"/>
      <c r="M241" s="171"/>
      <c r="N241" s="170"/>
      <c r="O241" s="172"/>
    </row>
    <row r="242" spans="1:15" ht="15.75">
      <c r="A242" s="7"/>
      <c r="B242" s="8"/>
      <c r="C242" s="8"/>
      <c r="D242" s="8"/>
      <c r="E242" s="8"/>
      <c r="F242" s="180" t="s">
        <v>577</v>
      </c>
      <c r="G242" s="191" t="s">
        <v>578</v>
      </c>
      <c r="H242" s="47" t="s">
        <v>579</v>
      </c>
      <c r="I242" s="178" t="s">
        <v>580</v>
      </c>
      <c r="J242" s="169" t="s">
        <v>20</v>
      </c>
      <c r="K242" s="170" t="s">
        <v>581</v>
      </c>
      <c r="L242" s="170" t="s">
        <v>582</v>
      </c>
      <c r="M242" s="171" t="s">
        <v>23</v>
      </c>
      <c r="N242" s="170" t="s">
        <v>583</v>
      </c>
      <c r="O242" s="172"/>
    </row>
    <row r="243" spans="1:15" ht="15.75">
      <c r="A243" s="7"/>
      <c r="B243" s="9"/>
      <c r="C243" s="9"/>
      <c r="D243" s="9"/>
      <c r="E243" s="9"/>
      <c r="F243" s="182"/>
      <c r="G243" s="192"/>
      <c r="H243" s="47" t="s">
        <v>584</v>
      </c>
      <c r="I243" s="178" t="s">
        <v>585</v>
      </c>
      <c r="J243" s="169"/>
      <c r="K243" s="170"/>
      <c r="L243" s="170"/>
      <c r="M243" s="171"/>
      <c r="N243" s="170"/>
      <c r="O243" s="172"/>
    </row>
    <row r="244" spans="1:15" ht="15.75">
      <c r="A244" s="7"/>
      <c r="B244" s="9"/>
      <c r="C244" s="9"/>
      <c r="D244" s="9"/>
      <c r="E244" s="9"/>
      <c r="F244" s="182"/>
      <c r="G244" s="192"/>
      <c r="H244" s="47" t="s">
        <v>586</v>
      </c>
      <c r="I244" s="178" t="s">
        <v>587</v>
      </c>
      <c r="J244" s="169"/>
      <c r="K244" s="170"/>
      <c r="L244" s="170"/>
      <c r="M244" s="171"/>
      <c r="N244" s="170"/>
      <c r="O244" s="172"/>
    </row>
    <row r="245" spans="1:15" ht="15.75">
      <c r="A245" s="7"/>
      <c r="B245" s="9"/>
      <c r="C245" s="9"/>
      <c r="D245" s="9"/>
      <c r="E245" s="9"/>
      <c r="F245" s="182"/>
      <c r="G245" s="192"/>
      <c r="H245" s="47" t="s">
        <v>588</v>
      </c>
      <c r="I245" s="178" t="s">
        <v>589</v>
      </c>
      <c r="J245" s="169"/>
      <c r="K245" s="170"/>
      <c r="L245" s="170"/>
      <c r="M245" s="171"/>
      <c r="N245" s="170"/>
      <c r="O245" s="172"/>
    </row>
    <row r="246" spans="1:15" ht="15.75">
      <c r="A246" s="7"/>
      <c r="B246" s="9"/>
      <c r="C246" s="9"/>
      <c r="D246" s="9"/>
      <c r="E246" s="9"/>
      <c r="F246" s="182"/>
      <c r="G246" s="193"/>
      <c r="H246" s="47" t="s">
        <v>590</v>
      </c>
      <c r="I246" s="178" t="s">
        <v>591</v>
      </c>
      <c r="J246" s="169"/>
      <c r="K246" s="170"/>
      <c r="L246" s="170"/>
      <c r="M246" s="171"/>
      <c r="N246" s="170"/>
      <c r="O246" s="172"/>
    </row>
    <row r="247" spans="1:15" ht="30">
      <c r="A247" s="7"/>
      <c r="B247" s="9"/>
      <c r="C247" s="9"/>
      <c r="D247" s="9"/>
      <c r="E247" s="9"/>
      <c r="F247" s="182"/>
      <c r="G247" s="194" t="s">
        <v>592</v>
      </c>
      <c r="H247" s="40" t="s">
        <v>593</v>
      </c>
      <c r="I247" s="178" t="s">
        <v>594</v>
      </c>
      <c r="J247" s="169"/>
      <c r="K247" s="170"/>
      <c r="L247" s="170"/>
      <c r="M247" s="171"/>
      <c r="N247" s="170"/>
      <c r="O247" s="172"/>
    </row>
    <row r="248" spans="1:15" ht="15.75">
      <c r="A248" s="7"/>
      <c r="B248" s="9"/>
      <c r="C248" s="9"/>
      <c r="D248" s="9"/>
      <c r="E248" s="9"/>
      <c r="F248" s="182"/>
      <c r="G248" s="195"/>
      <c r="H248" s="40" t="s">
        <v>595</v>
      </c>
      <c r="I248" s="178" t="s">
        <v>596</v>
      </c>
      <c r="J248" s="169"/>
      <c r="K248" s="170"/>
      <c r="L248" s="170"/>
      <c r="M248" s="171"/>
      <c r="N248" s="170"/>
      <c r="O248" s="172"/>
    </row>
    <row r="249" spans="1:15" ht="15.75">
      <c r="A249" s="7"/>
      <c r="B249" s="9"/>
      <c r="C249" s="9"/>
      <c r="D249" s="9"/>
      <c r="E249" s="9"/>
      <c r="F249" s="182"/>
      <c r="G249" s="195"/>
      <c r="H249" s="40" t="s">
        <v>597</v>
      </c>
      <c r="I249" s="178" t="s">
        <v>598</v>
      </c>
      <c r="J249" s="169"/>
      <c r="K249" s="170"/>
      <c r="L249" s="170"/>
      <c r="M249" s="171"/>
      <c r="N249" s="170"/>
      <c r="O249" s="172"/>
    </row>
    <row r="250" spans="1:15" ht="15.75">
      <c r="A250" s="7"/>
      <c r="B250" s="9"/>
      <c r="C250" s="9"/>
      <c r="D250" s="9"/>
      <c r="E250" s="9"/>
      <c r="F250" s="182"/>
      <c r="G250" s="195"/>
      <c r="H250" s="40" t="s">
        <v>599</v>
      </c>
      <c r="I250" s="178" t="s">
        <v>600</v>
      </c>
      <c r="J250" s="169"/>
      <c r="K250" s="170"/>
      <c r="L250" s="170"/>
      <c r="M250" s="171"/>
      <c r="N250" s="170"/>
      <c r="O250" s="172"/>
    </row>
    <row r="251" spans="1:15" ht="15.75">
      <c r="A251" s="7"/>
      <c r="B251" s="9"/>
      <c r="C251" s="9"/>
      <c r="D251" s="9"/>
      <c r="E251" s="9"/>
      <c r="F251" s="182"/>
      <c r="G251" s="196"/>
      <c r="H251" s="40" t="s">
        <v>601</v>
      </c>
      <c r="I251" s="178" t="s">
        <v>602</v>
      </c>
      <c r="J251" s="169"/>
      <c r="K251" s="170"/>
      <c r="L251" s="170"/>
      <c r="M251" s="171"/>
      <c r="N251" s="170"/>
      <c r="O251" s="172"/>
    </row>
    <row r="252" spans="1:15" ht="15.75">
      <c r="A252" s="7"/>
      <c r="B252" s="9"/>
      <c r="C252" s="9"/>
      <c r="D252" s="9"/>
      <c r="E252" s="9"/>
      <c r="F252" s="182"/>
      <c r="G252" s="194" t="s">
        <v>603</v>
      </c>
      <c r="H252" s="47" t="s">
        <v>604</v>
      </c>
      <c r="I252" s="178" t="s">
        <v>605</v>
      </c>
      <c r="J252" s="169"/>
      <c r="K252" s="170"/>
      <c r="L252" s="170"/>
      <c r="M252" s="171"/>
      <c r="N252" s="170"/>
      <c r="O252" s="172"/>
    </row>
    <row r="253" spans="1:15" ht="15.75">
      <c r="A253" s="7"/>
      <c r="B253" s="9"/>
      <c r="C253" s="9"/>
      <c r="D253" s="9"/>
      <c r="E253" s="9"/>
      <c r="F253" s="182"/>
      <c r="G253" s="195"/>
      <c r="H253" s="47" t="s">
        <v>606</v>
      </c>
      <c r="I253" s="178" t="s">
        <v>607</v>
      </c>
      <c r="J253" s="169"/>
      <c r="K253" s="170"/>
      <c r="L253" s="170"/>
      <c r="M253" s="171"/>
      <c r="N253" s="170"/>
      <c r="O253" s="172"/>
    </row>
    <row r="254" spans="1:15" ht="15.75">
      <c r="A254" s="7"/>
      <c r="B254" s="9"/>
      <c r="C254" s="9"/>
      <c r="D254" s="9"/>
      <c r="E254" s="9"/>
      <c r="F254" s="182"/>
      <c r="G254" s="195"/>
      <c r="H254" s="47" t="s">
        <v>608</v>
      </c>
      <c r="I254" s="178" t="s">
        <v>609</v>
      </c>
      <c r="J254" s="169"/>
      <c r="K254" s="170"/>
      <c r="L254" s="170"/>
      <c r="M254" s="171"/>
      <c r="N254" s="170"/>
      <c r="O254" s="172"/>
    </row>
    <row r="255" spans="1:15" ht="15.75">
      <c r="A255" s="7"/>
      <c r="B255" s="9"/>
      <c r="C255" s="9"/>
      <c r="D255" s="9"/>
      <c r="E255" s="9"/>
      <c r="F255" s="182"/>
      <c r="G255" s="195"/>
      <c r="H255" s="47" t="s">
        <v>610</v>
      </c>
      <c r="I255" s="178" t="s">
        <v>611</v>
      </c>
      <c r="J255" s="169"/>
      <c r="K255" s="170"/>
      <c r="L255" s="170"/>
      <c r="M255" s="171"/>
      <c r="N255" s="170"/>
      <c r="O255" s="172"/>
    </row>
    <row r="256" spans="1:15" ht="15.75">
      <c r="A256" s="7"/>
      <c r="B256" s="9"/>
      <c r="C256" s="9"/>
      <c r="D256" s="9"/>
      <c r="E256" s="9"/>
      <c r="F256" s="182"/>
      <c r="G256" s="196"/>
      <c r="H256" s="47" t="s">
        <v>612</v>
      </c>
      <c r="I256" s="178" t="s">
        <v>613</v>
      </c>
      <c r="J256" s="169"/>
      <c r="K256" s="170"/>
      <c r="L256" s="170"/>
      <c r="M256" s="171"/>
      <c r="N256" s="170"/>
      <c r="O256" s="172"/>
    </row>
    <row r="257" spans="1:15" ht="15.75">
      <c r="A257" s="7"/>
      <c r="B257" s="9"/>
      <c r="C257" s="9"/>
      <c r="D257" s="9"/>
      <c r="E257" s="9"/>
      <c r="F257" s="182"/>
      <c r="G257" s="194" t="s">
        <v>614</v>
      </c>
      <c r="H257" s="40" t="s">
        <v>615</v>
      </c>
      <c r="I257" s="178" t="s">
        <v>616</v>
      </c>
      <c r="J257" s="169"/>
      <c r="K257" s="170"/>
      <c r="L257" s="170"/>
      <c r="M257" s="171"/>
      <c r="N257" s="170"/>
      <c r="O257" s="172"/>
    </row>
    <row r="258" spans="1:15" ht="15.75">
      <c r="A258" s="7"/>
      <c r="B258" s="9"/>
      <c r="C258" s="9"/>
      <c r="D258" s="9"/>
      <c r="E258" s="9"/>
      <c r="F258" s="182"/>
      <c r="G258" s="195"/>
      <c r="H258" s="40" t="s">
        <v>617</v>
      </c>
      <c r="I258" s="178" t="s">
        <v>618</v>
      </c>
      <c r="J258" s="169"/>
      <c r="K258" s="170"/>
      <c r="L258" s="170"/>
      <c r="M258" s="171"/>
      <c r="N258" s="170"/>
      <c r="O258" s="172"/>
    </row>
    <row r="259" spans="1:15" ht="15.75">
      <c r="A259" s="7"/>
      <c r="B259" s="9"/>
      <c r="C259" s="9"/>
      <c r="D259" s="9"/>
      <c r="E259" s="9"/>
      <c r="F259" s="182"/>
      <c r="G259" s="195"/>
      <c r="H259" s="40" t="s">
        <v>619</v>
      </c>
      <c r="I259" s="197" t="s">
        <v>620</v>
      </c>
      <c r="J259" s="169"/>
      <c r="K259" s="170"/>
      <c r="L259" s="170"/>
      <c r="M259" s="171"/>
      <c r="N259" s="170"/>
      <c r="O259" s="172"/>
    </row>
    <row r="260" spans="1:15" ht="15.75">
      <c r="A260" s="7"/>
      <c r="B260" s="9"/>
      <c r="C260" s="9"/>
      <c r="D260" s="9"/>
      <c r="E260" s="9"/>
      <c r="F260" s="182"/>
      <c r="G260" s="195"/>
      <c r="H260" s="40" t="s">
        <v>621</v>
      </c>
      <c r="I260" s="178" t="s">
        <v>622</v>
      </c>
      <c r="J260" s="169"/>
      <c r="K260" s="170"/>
      <c r="L260" s="170"/>
      <c r="M260" s="171"/>
      <c r="N260" s="170"/>
      <c r="O260" s="172"/>
    </row>
    <row r="261" spans="1:15" ht="30">
      <c r="A261" s="7"/>
      <c r="B261" s="9"/>
      <c r="C261" s="9"/>
      <c r="D261" s="9"/>
      <c r="E261" s="9"/>
      <c r="F261" s="182"/>
      <c r="G261" s="196"/>
      <c r="H261" s="40" t="s">
        <v>623</v>
      </c>
      <c r="I261" s="178" t="s">
        <v>624</v>
      </c>
      <c r="J261" s="169"/>
      <c r="K261" s="170"/>
      <c r="L261" s="170"/>
      <c r="M261" s="171"/>
      <c r="N261" s="170"/>
      <c r="O261" s="172"/>
    </row>
    <row r="262" spans="1:15" ht="15.75">
      <c r="A262" s="7"/>
      <c r="B262" s="9"/>
      <c r="C262" s="9"/>
      <c r="D262" s="9"/>
      <c r="E262" s="9"/>
      <c r="F262" s="182"/>
      <c r="G262" s="194" t="s">
        <v>625</v>
      </c>
      <c r="H262" s="47" t="s">
        <v>626</v>
      </c>
      <c r="I262" s="178" t="s">
        <v>627</v>
      </c>
      <c r="J262" s="169"/>
      <c r="K262" s="170"/>
      <c r="L262" s="170"/>
      <c r="M262" s="171"/>
      <c r="N262" s="170"/>
      <c r="O262" s="172"/>
    </row>
    <row r="263" spans="1:15" ht="15.75">
      <c r="A263" s="7"/>
      <c r="B263" s="9"/>
      <c r="C263" s="9"/>
      <c r="D263" s="9"/>
      <c r="E263" s="9"/>
      <c r="F263" s="182"/>
      <c r="G263" s="195"/>
      <c r="H263" s="47" t="s">
        <v>628</v>
      </c>
      <c r="I263" s="178" t="s">
        <v>629</v>
      </c>
      <c r="J263" s="169"/>
      <c r="K263" s="170"/>
      <c r="L263" s="170"/>
      <c r="M263" s="171"/>
      <c r="N263" s="170"/>
      <c r="O263" s="172"/>
    </row>
    <row r="264" spans="1:15" ht="15.75">
      <c r="A264" s="7"/>
      <c r="B264" s="9"/>
      <c r="C264" s="9"/>
      <c r="D264" s="9"/>
      <c r="E264" s="9"/>
      <c r="F264" s="182"/>
      <c r="G264" s="195"/>
      <c r="H264" s="47" t="s">
        <v>630</v>
      </c>
      <c r="I264" s="178" t="s">
        <v>631</v>
      </c>
      <c r="J264" s="169"/>
      <c r="K264" s="170"/>
      <c r="L264" s="170"/>
      <c r="M264" s="171"/>
      <c r="N264" s="170"/>
      <c r="O264" s="172"/>
    </row>
    <row r="265" spans="1:15" ht="15.75">
      <c r="A265" s="7"/>
      <c r="B265" s="9"/>
      <c r="C265" s="9"/>
      <c r="D265" s="9"/>
      <c r="E265" s="9"/>
      <c r="F265" s="182"/>
      <c r="G265" s="195"/>
      <c r="H265" s="47" t="s">
        <v>632</v>
      </c>
      <c r="I265" s="178" t="s">
        <v>633</v>
      </c>
      <c r="J265" s="169"/>
      <c r="K265" s="170"/>
      <c r="L265" s="170"/>
      <c r="M265" s="171"/>
      <c r="N265" s="170"/>
      <c r="O265" s="172"/>
    </row>
    <row r="266" spans="1:15" ht="15.75">
      <c r="A266" s="7"/>
      <c r="B266" s="9"/>
      <c r="C266" s="9"/>
      <c r="D266" s="9"/>
      <c r="E266" s="9"/>
      <c r="F266" s="182"/>
      <c r="G266" s="196"/>
      <c r="H266" s="47" t="s">
        <v>634</v>
      </c>
      <c r="I266" s="178" t="s">
        <v>635</v>
      </c>
      <c r="J266" s="169"/>
      <c r="K266" s="170"/>
      <c r="L266" s="170"/>
      <c r="M266" s="171"/>
      <c r="N266" s="170"/>
      <c r="O266" s="172"/>
    </row>
    <row r="267" spans="1:15" ht="15.75">
      <c r="A267" s="7"/>
      <c r="B267" s="10"/>
      <c r="C267" s="10"/>
      <c r="D267" s="10"/>
      <c r="E267" s="10"/>
      <c r="F267" s="189"/>
      <c r="G267" s="194" t="s">
        <v>636</v>
      </c>
      <c r="H267" s="40" t="s">
        <v>637</v>
      </c>
      <c r="I267" s="178" t="s">
        <v>638</v>
      </c>
      <c r="J267" s="169"/>
      <c r="K267" s="170"/>
      <c r="L267" s="170"/>
      <c r="M267" s="171"/>
      <c r="N267" s="170"/>
      <c r="O267" s="172"/>
    </row>
    <row r="268" spans="1:15" ht="15.75">
      <c r="A268" s="7"/>
      <c r="B268" s="11"/>
      <c r="C268" s="11"/>
      <c r="D268" s="11"/>
      <c r="E268" s="11"/>
      <c r="F268" s="190"/>
      <c r="G268" s="195"/>
      <c r="H268" s="40" t="s">
        <v>639</v>
      </c>
      <c r="I268" s="178" t="s">
        <v>640</v>
      </c>
      <c r="J268" s="169"/>
      <c r="K268" s="170"/>
      <c r="L268" s="170"/>
      <c r="M268" s="171"/>
      <c r="N268" s="170"/>
      <c r="O268" s="172"/>
    </row>
    <row r="269" spans="1:15" ht="15.75">
      <c r="A269" s="7"/>
      <c r="B269" s="11"/>
      <c r="C269" s="11"/>
      <c r="D269" s="11"/>
      <c r="E269" s="11"/>
      <c r="F269" s="190"/>
      <c r="G269" s="195"/>
      <c r="H269" s="40" t="s">
        <v>641</v>
      </c>
      <c r="I269" s="197" t="s">
        <v>642</v>
      </c>
      <c r="J269" s="169"/>
      <c r="K269" s="170"/>
      <c r="L269" s="170"/>
      <c r="M269" s="171"/>
      <c r="N269" s="170"/>
      <c r="O269" s="172"/>
    </row>
    <row r="270" spans="1:15" ht="15.75">
      <c r="A270" s="7"/>
      <c r="B270" s="11"/>
      <c r="C270" s="11"/>
      <c r="D270" s="11"/>
      <c r="E270" s="11"/>
      <c r="F270" s="190"/>
      <c r="G270" s="195"/>
      <c r="H270" s="40" t="s">
        <v>643</v>
      </c>
      <c r="I270" s="178" t="s">
        <v>644</v>
      </c>
      <c r="J270" s="169"/>
      <c r="K270" s="170"/>
      <c r="L270" s="170"/>
      <c r="M270" s="171"/>
      <c r="N270" s="170"/>
      <c r="O270" s="172"/>
    </row>
    <row r="271" spans="1:15" ht="15.75">
      <c r="A271" s="7"/>
      <c r="B271" s="11"/>
      <c r="C271" s="11"/>
      <c r="D271" s="11"/>
      <c r="E271" s="11"/>
      <c r="F271" s="190"/>
      <c r="G271" s="196"/>
      <c r="H271" s="40" t="s">
        <v>645</v>
      </c>
      <c r="I271" s="178" t="s">
        <v>646</v>
      </c>
      <c r="J271" s="169"/>
      <c r="K271" s="170"/>
      <c r="L271" s="170"/>
      <c r="M271" s="171"/>
      <c r="N271" s="170"/>
      <c r="O271" s="172"/>
    </row>
    <row r="272" spans="1:15" ht="15.75">
      <c r="A272" s="7"/>
      <c r="B272" s="8"/>
      <c r="C272" s="8"/>
      <c r="D272" s="8"/>
      <c r="E272" s="8"/>
      <c r="F272" s="180" t="s">
        <v>647</v>
      </c>
      <c r="G272" s="198" t="s">
        <v>648</v>
      </c>
      <c r="H272" s="47" t="s">
        <v>649</v>
      </c>
      <c r="I272" s="178" t="s">
        <v>650</v>
      </c>
      <c r="J272" s="169"/>
      <c r="K272" s="170"/>
      <c r="L272" s="170"/>
      <c r="M272" s="171"/>
      <c r="N272" s="170"/>
      <c r="O272" s="172"/>
    </row>
    <row r="273" spans="1:15" ht="15.75">
      <c r="A273" s="7"/>
      <c r="B273" s="9"/>
      <c r="C273" s="9"/>
      <c r="D273" s="9"/>
      <c r="E273" s="9"/>
      <c r="F273" s="182"/>
      <c r="G273" s="199"/>
      <c r="H273" s="47" t="s">
        <v>651</v>
      </c>
      <c r="I273" s="178" t="s">
        <v>652</v>
      </c>
      <c r="J273" s="169"/>
      <c r="K273" s="170"/>
      <c r="L273" s="170"/>
      <c r="M273" s="171"/>
      <c r="N273" s="170"/>
      <c r="O273" s="172"/>
    </row>
    <row r="274" spans="1:15" ht="15.75">
      <c r="A274" s="7"/>
      <c r="B274" s="9"/>
      <c r="C274" s="9"/>
      <c r="D274" s="9"/>
      <c r="E274" s="9"/>
      <c r="F274" s="182"/>
      <c r="G274" s="199"/>
      <c r="H274" s="47" t="s">
        <v>653</v>
      </c>
      <c r="I274" s="178" t="s">
        <v>654</v>
      </c>
      <c r="J274" s="169"/>
      <c r="K274" s="170"/>
      <c r="L274" s="170"/>
      <c r="M274" s="171"/>
      <c r="N274" s="170"/>
      <c r="O274" s="172"/>
    </row>
    <row r="275" spans="1:15" ht="15.75">
      <c r="A275" s="7"/>
      <c r="B275" s="9"/>
      <c r="C275" s="9"/>
      <c r="D275" s="9"/>
      <c r="E275" s="9"/>
      <c r="F275" s="182"/>
      <c r="G275" s="199"/>
      <c r="H275" s="47" t="s">
        <v>655</v>
      </c>
      <c r="I275" s="178" t="s">
        <v>656</v>
      </c>
      <c r="J275" s="169"/>
      <c r="K275" s="170"/>
      <c r="L275" s="170"/>
      <c r="M275" s="171"/>
      <c r="N275" s="170"/>
      <c r="O275" s="172"/>
    </row>
    <row r="276" spans="1:15" ht="15.75">
      <c r="A276" s="7"/>
      <c r="B276" s="9"/>
      <c r="C276" s="9"/>
      <c r="D276" s="9"/>
      <c r="E276" s="9"/>
      <c r="F276" s="182"/>
      <c r="G276" s="200"/>
      <c r="H276" s="47" t="s">
        <v>657</v>
      </c>
      <c r="I276" s="178" t="s">
        <v>658</v>
      </c>
      <c r="J276" s="169"/>
      <c r="K276" s="170"/>
      <c r="L276" s="170"/>
      <c r="M276" s="171"/>
      <c r="N276" s="170"/>
      <c r="O276" s="172"/>
    </row>
    <row r="277" spans="1:15" ht="15.75">
      <c r="A277" s="7"/>
      <c r="B277" s="9"/>
      <c r="C277" s="9"/>
      <c r="D277" s="9"/>
      <c r="E277" s="9"/>
      <c r="F277" s="182"/>
      <c r="G277" s="201" t="s">
        <v>659</v>
      </c>
      <c r="H277" s="40" t="s">
        <v>660</v>
      </c>
      <c r="I277" s="178" t="s">
        <v>661</v>
      </c>
      <c r="J277" s="169"/>
      <c r="K277" s="170"/>
      <c r="L277" s="170"/>
      <c r="M277" s="171"/>
      <c r="N277" s="170"/>
      <c r="O277" s="172"/>
    </row>
    <row r="278" spans="1:15" ht="15.75">
      <c r="A278" s="7"/>
      <c r="B278" s="9"/>
      <c r="C278" s="9"/>
      <c r="D278" s="9"/>
      <c r="E278" s="9"/>
      <c r="F278" s="182"/>
      <c r="G278" s="202"/>
      <c r="H278" s="40" t="s">
        <v>662</v>
      </c>
      <c r="I278" s="178" t="s">
        <v>663</v>
      </c>
      <c r="J278" s="169"/>
      <c r="K278" s="170"/>
      <c r="L278" s="170"/>
      <c r="M278" s="171"/>
      <c r="N278" s="170"/>
      <c r="O278" s="172"/>
    </row>
    <row r="279" spans="1:15" ht="15.75">
      <c r="A279" s="7"/>
      <c r="B279" s="9"/>
      <c r="C279" s="9"/>
      <c r="D279" s="9"/>
      <c r="E279" s="9"/>
      <c r="F279" s="182"/>
      <c r="G279" s="202"/>
      <c r="H279" s="40" t="s">
        <v>664</v>
      </c>
      <c r="I279" s="178" t="s">
        <v>665</v>
      </c>
      <c r="J279" s="169"/>
      <c r="K279" s="170"/>
      <c r="L279" s="170"/>
      <c r="M279" s="171"/>
      <c r="N279" s="170"/>
      <c r="O279" s="172"/>
    </row>
    <row r="280" spans="1:15" ht="15.75">
      <c r="A280" s="7"/>
      <c r="B280" s="9"/>
      <c r="C280" s="9"/>
      <c r="D280" s="9"/>
      <c r="E280" s="9"/>
      <c r="F280" s="182"/>
      <c r="G280" s="202"/>
      <c r="H280" s="40" t="s">
        <v>666</v>
      </c>
      <c r="I280" s="178" t="s">
        <v>667</v>
      </c>
      <c r="J280" s="169"/>
      <c r="K280" s="170"/>
      <c r="L280" s="170"/>
      <c r="M280" s="171"/>
      <c r="N280" s="170"/>
      <c r="O280" s="172"/>
    </row>
    <row r="281" spans="1:15" ht="15.75">
      <c r="A281" s="7"/>
      <c r="B281" s="9"/>
      <c r="C281" s="9"/>
      <c r="D281" s="9"/>
      <c r="E281" s="9"/>
      <c r="F281" s="182"/>
      <c r="G281" s="203"/>
      <c r="H281" s="40" t="s">
        <v>668</v>
      </c>
      <c r="I281" s="178" t="s">
        <v>669</v>
      </c>
      <c r="J281" s="169"/>
      <c r="K281" s="170"/>
      <c r="L281" s="170"/>
      <c r="M281" s="171"/>
      <c r="N281" s="170"/>
      <c r="O281" s="172"/>
    </row>
    <row r="282" spans="1:15" ht="15.75">
      <c r="A282" s="7"/>
      <c r="B282" s="9"/>
      <c r="C282" s="9"/>
      <c r="D282" s="9"/>
      <c r="E282" s="9"/>
      <c r="F282" s="182"/>
      <c r="G282" s="201" t="s">
        <v>670</v>
      </c>
      <c r="H282" s="47" t="s">
        <v>671</v>
      </c>
      <c r="I282" s="178" t="s">
        <v>672</v>
      </c>
      <c r="J282" s="169"/>
      <c r="K282" s="170"/>
      <c r="L282" s="170"/>
      <c r="M282" s="171"/>
      <c r="N282" s="170"/>
      <c r="O282" s="172"/>
    </row>
    <row r="283" spans="1:15" ht="30">
      <c r="A283" s="7"/>
      <c r="B283" s="9"/>
      <c r="C283" s="9"/>
      <c r="D283" s="9"/>
      <c r="E283" s="9"/>
      <c r="F283" s="182"/>
      <c r="G283" s="202"/>
      <c r="H283" s="47" t="s">
        <v>673</v>
      </c>
      <c r="I283" s="178" t="s">
        <v>674</v>
      </c>
      <c r="J283" s="169"/>
      <c r="K283" s="170"/>
      <c r="L283" s="170"/>
      <c r="M283" s="171"/>
      <c r="N283" s="170"/>
      <c r="O283" s="172"/>
    </row>
    <row r="284" spans="1:15" ht="15.75">
      <c r="A284" s="7"/>
      <c r="B284" s="9"/>
      <c r="C284" s="9"/>
      <c r="D284" s="9"/>
      <c r="E284" s="9"/>
      <c r="F284" s="182"/>
      <c r="G284" s="202"/>
      <c r="H284" s="47" t="s">
        <v>675</v>
      </c>
      <c r="I284" s="178" t="s">
        <v>676</v>
      </c>
      <c r="J284" s="169"/>
      <c r="K284" s="170"/>
      <c r="L284" s="170"/>
      <c r="M284" s="171"/>
      <c r="N284" s="170"/>
      <c r="O284" s="172"/>
    </row>
    <row r="285" spans="1:15" ht="15.75">
      <c r="A285" s="7"/>
      <c r="B285" s="9"/>
      <c r="C285" s="9"/>
      <c r="D285" s="9"/>
      <c r="E285" s="9"/>
      <c r="F285" s="182"/>
      <c r="G285" s="202"/>
      <c r="H285" s="47" t="s">
        <v>677</v>
      </c>
      <c r="I285" s="178" t="s">
        <v>678</v>
      </c>
      <c r="J285" s="169"/>
      <c r="K285" s="170"/>
      <c r="L285" s="170"/>
      <c r="M285" s="171"/>
      <c r="N285" s="170"/>
      <c r="O285" s="172"/>
    </row>
    <row r="286" spans="1:15" ht="15.75">
      <c r="A286" s="7"/>
      <c r="B286" s="9"/>
      <c r="C286" s="9"/>
      <c r="D286" s="9"/>
      <c r="E286" s="9"/>
      <c r="F286" s="182"/>
      <c r="G286" s="203"/>
      <c r="H286" s="47" t="s">
        <v>679</v>
      </c>
      <c r="I286" s="178" t="s">
        <v>680</v>
      </c>
      <c r="J286" s="169"/>
      <c r="K286" s="170"/>
      <c r="L286" s="170"/>
      <c r="M286" s="171"/>
      <c r="N286" s="170"/>
      <c r="O286" s="172"/>
    </row>
    <row r="287" spans="1:15" ht="15.75">
      <c r="A287" s="7"/>
      <c r="B287" s="9"/>
      <c r="C287" s="9"/>
      <c r="D287" s="9"/>
      <c r="E287" s="9"/>
      <c r="F287" s="182"/>
      <c r="G287" s="201" t="s">
        <v>681</v>
      </c>
      <c r="H287" s="40" t="s">
        <v>682</v>
      </c>
      <c r="I287" s="170" t="s">
        <v>683</v>
      </c>
      <c r="J287" s="169"/>
      <c r="K287" s="170"/>
      <c r="L287" s="170"/>
      <c r="M287" s="171"/>
      <c r="N287" s="170"/>
      <c r="O287" s="172"/>
    </row>
    <row r="288" spans="1:15" ht="15.75">
      <c r="A288" s="7"/>
      <c r="B288" s="9"/>
      <c r="C288" s="9"/>
      <c r="D288" s="9"/>
      <c r="E288" s="9"/>
      <c r="F288" s="182"/>
      <c r="G288" s="202"/>
      <c r="H288" s="40" t="s">
        <v>684</v>
      </c>
      <c r="I288" s="170" t="s">
        <v>685</v>
      </c>
      <c r="J288" s="169"/>
      <c r="K288" s="170"/>
      <c r="L288" s="170"/>
      <c r="M288" s="171"/>
      <c r="N288" s="170"/>
      <c r="O288" s="172"/>
    </row>
    <row r="289" spans="1:15" ht="15.75">
      <c r="A289" s="7"/>
      <c r="B289" s="9"/>
      <c r="C289" s="9"/>
      <c r="D289" s="9"/>
      <c r="E289" s="9"/>
      <c r="F289" s="182"/>
      <c r="G289" s="202"/>
      <c r="H289" s="40" t="s">
        <v>686</v>
      </c>
      <c r="I289" s="170" t="s">
        <v>687</v>
      </c>
      <c r="J289" s="169"/>
      <c r="K289" s="170"/>
      <c r="L289" s="170"/>
      <c r="M289" s="171"/>
      <c r="N289" s="170"/>
      <c r="O289" s="172"/>
    </row>
    <row r="290" spans="1:15" ht="15.75">
      <c r="A290" s="7"/>
      <c r="B290" s="9"/>
      <c r="C290" s="9"/>
      <c r="D290" s="9"/>
      <c r="E290" s="9"/>
      <c r="F290" s="182"/>
      <c r="G290" s="202"/>
      <c r="H290" s="40" t="s">
        <v>688</v>
      </c>
      <c r="I290" s="170" t="s">
        <v>689</v>
      </c>
      <c r="J290" s="169"/>
      <c r="K290" s="170"/>
      <c r="L290" s="170"/>
      <c r="M290" s="171"/>
      <c r="N290" s="170"/>
      <c r="O290" s="172"/>
    </row>
    <row r="291" spans="1:15" ht="15.75">
      <c r="A291" s="7"/>
      <c r="B291" s="9"/>
      <c r="C291" s="9"/>
      <c r="D291" s="9"/>
      <c r="E291" s="9"/>
      <c r="F291" s="182"/>
      <c r="G291" s="203"/>
      <c r="H291" s="40" t="s">
        <v>690</v>
      </c>
      <c r="I291" s="170" t="s">
        <v>691</v>
      </c>
      <c r="J291" s="169"/>
      <c r="K291" s="170"/>
      <c r="L291" s="170"/>
      <c r="M291" s="171"/>
      <c r="N291" s="170"/>
      <c r="O291" s="172"/>
    </row>
    <row r="292" spans="1:15" ht="15.75">
      <c r="A292" s="7"/>
      <c r="B292" s="9"/>
      <c r="C292" s="9"/>
      <c r="D292" s="9"/>
      <c r="E292" s="9"/>
      <c r="F292" s="182"/>
      <c r="G292" s="201" t="s">
        <v>692</v>
      </c>
      <c r="H292" s="47" t="s">
        <v>693</v>
      </c>
      <c r="I292" s="170" t="s">
        <v>694</v>
      </c>
      <c r="J292" s="169"/>
      <c r="K292" s="170"/>
      <c r="L292" s="170"/>
      <c r="M292" s="171"/>
      <c r="N292" s="170"/>
      <c r="O292" s="172"/>
    </row>
    <row r="293" spans="1:15" ht="15.75">
      <c r="A293" s="7"/>
      <c r="B293" s="9"/>
      <c r="C293" s="9"/>
      <c r="D293" s="9"/>
      <c r="E293" s="9"/>
      <c r="F293" s="182"/>
      <c r="G293" s="202"/>
      <c r="H293" s="47" t="s">
        <v>695</v>
      </c>
      <c r="I293" s="170" t="s">
        <v>696</v>
      </c>
      <c r="J293" s="169"/>
      <c r="K293" s="170"/>
      <c r="L293" s="170"/>
      <c r="M293" s="171"/>
      <c r="N293" s="170"/>
      <c r="O293" s="172"/>
    </row>
    <row r="294" spans="1:15" ht="15.75">
      <c r="A294" s="7"/>
      <c r="B294" s="9"/>
      <c r="C294" s="9"/>
      <c r="D294" s="9"/>
      <c r="E294" s="9"/>
      <c r="F294" s="182"/>
      <c r="G294" s="202"/>
      <c r="H294" s="47" t="s">
        <v>630</v>
      </c>
      <c r="I294" s="170" t="s">
        <v>631</v>
      </c>
      <c r="J294" s="169"/>
      <c r="K294" s="170"/>
      <c r="L294" s="170"/>
      <c r="M294" s="171"/>
      <c r="N294" s="170"/>
      <c r="O294" s="172"/>
    </row>
    <row r="295" spans="1:15" ht="15.75">
      <c r="A295" s="7"/>
      <c r="B295" s="9"/>
      <c r="C295" s="9"/>
      <c r="D295" s="9"/>
      <c r="E295" s="9"/>
      <c r="F295" s="182"/>
      <c r="G295" s="202"/>
      <c r="H295" s="47" t="s">
        <v>697</v>
      </c>
      <c r="I295" s="170" t="s">
        <v>698</v>
      </c>
      <c r="J295" s="169"/>
      <c r="K295" s="170"/>
      <c r="L295" s="170"/>
      <c r="M295" s="171"/>
      <c r="N295" s="170"/>
      <c r="O295" s="172"/>
    </row>
    <row r="296" spans="1:15" ht="15.75">
      <c r="A296" s="7"/>
      <c r="B296" s="9"/>
      <c r="C296" s="9"/>
      <c r="D296" s="9"/>
      <c r="E296" s="9"/>
      <c r="F296" s="182"/>
      <c r="G296" s="203"/>
      <c r="H296" s="47" t="s">
        <v>699</v>
      </c>
      <c r="I296" s="170" t="s">
        <v>700</v>
      </c>
      <c r="J296" s="169"/>
      <c r="K296" s="170"/>
      <c r="L296" s="170"/>
      <c r="M296" s="171"/>
      <c r="N296" s="170"/>
      <c r="O296" s="172"/>
    </row>
    <row r="297" spans="1:15" ht="15.75">
      <c r="A297" s="7"/>
      <c r="B297" s="10"/>
      <c r="C297" s="10"/>
      <c r="D297" s="10"/>
      <c r="E297" s="10"/>
      <c r="F297" s="189"/>
      <c r="G297" s="201" t="s">
        <v>701</v>
      </c>
      <c r="H297" s="40" t="s">
        <v>702</v>
      </c>
      <c r="I297" s="170" t="s">
        <v>703</v>
      </c>
      <c r="J297" s="169" t="s">
        <v>20</v>
      </c>
      <c r="K297" s="170" t="s">
        <v>704</v>
      </c>
      <c r="L297" s="170" t="s">
        <v>705</v>
      </c>
      <c r="M297" s="171" t="s">
        <v>94</v>
      </c>
      <c r="N297" s="170" t="s">
        <v>706</v>
      </c>
      <c r="O297" s="172"/>
    </row>
    <row r="298" spans="1:15" ht="15.75">
      <c r="A298" s="12"/>
      <c r="B298" s="11"/>
      <c r="C298" s="11"/>
      <c r="D298" s="11"/>
      <c r="E298" s="11"/>
      <c r="F298" s="190"/>
      <c r="G298" s="202"/>
      <c r="H298" s="40" t="s">
        <v>707</v>
      </c>
      <c r="I298" s="170" t="s">
        <v>708</v>
      </c>
      <c r="J298" s="169"/>
      <c r="K298" s="170"/>
      <c r="L298" s="170"/>
      <c r="M298" s="171"/>
      <c r="N298" s="170"/>
      <c r="O298" s="172"/>
    </row>
    <row r="299" spans="1:15" ht="15.75">
      <c r="A299" s="12"/>
      <c r="B299" s="11"/>
      <c r="C299" s="11"/>
      <c r="D299" s="11"/>
      <c r="E299" s="11"/>
      <c r="F299" s="190"/>
      <c r="G299" s="202"/>
      <c r="H299" s="40" t="s">
        <v>709</v>
      </c>
      <c r="I299" s="170" t="s">
        <v>710</v>
      </c>
      <c r="J299" s="169"/>
      <c r="K299" s="170"/>
      <c r="L299" s="170"/>
      <c r="M299" s="171"/>
      <c r="N299" s="170"/>
      <c r="O299" s="172"/>
    </row>
    <row r="300" spans="1:15" ht="15.75">
      <c r="A300" s="12"/>
      <c r="B300" s="11"/>
      <c r="C300" s="11"/>
      <c r="D300" s="11"/>
      <c r="E300" s="11"/>
      <c r="F300" s="190"/>
      <c r="G300" s="202"/>
      <c r="H300" s="40" t="s">
        <v>711</v>
      </c>
      <c r="I300" s="170" t="s">
        <v>712</v>
      </c>
      <c r="J300" s="169"/>
      <c r="K300" s="170"/>
      <c r="L300" s="170"/>
      <c r="M300" s="171"/>
      <c r="N300" s="170"/>
      <c r="O300" s="172"/>
    </row>
    <row r="301" spans="1:15" ht="15.75">
      <c r="A301" s="12"/>
      <c r="B301" s="11"/>
      <c r="C301" s="11"/>
      <c r="D301" s="11"/>
      <c r="E301" s="11"/>
      <c r="F301" s="190"/>
      <c r="G301" s="203"/>
      <c r="H301" s="40" t="s">
        <v>713</v>
      </c>
      <c r="I301" s="170" t="s">
        <v>714</v>
      </c>
      <c r="J301" s="169"/>
      <c r="K301" s="170"/>
      <c r="L301" s="170"/>
      <c r="M301" s="171"/>
      <c r="N301" s="170"/>
      <c r="O301" s="172"/>
    </row>
    <row r="302" spans="1:15" ht="15.75">
      <c r="A302" s="13" t="s">
        <v>715</v>
      </c>
      <c r="B302" s="14"/>
      <c r="C302" s="14"/>
      <c r="D302" s="14"/>
      <c r="E302" s="14"/>
      <c r="F302" s="124" t="s">
        <v>716</v>
      </c>
      <c r="G302" s="204" t="s">
        <v>717</v>
      </c>
      <c r="H302" s="47" t="s">
        <v>718</v>
      </c>
      <c r="I302" s="205" t="s">
        <v>719</v>
      </c>
      <c r="J302" s="206" t="s">
        <v>20</v>
      </c>
      <c r="K302" s="207" t="s">
        <v>720</v>
      </c>
      <c r="L302" s="207" t="s">
        <v>721</v>
      </c>
      <c r="M302" s="208" t="s">
        <v>94</v>
      </c>
      <c r="N302" s="207" t="s">
        <v>722</v>
      </c>
      <c r="O302" s="209"/>
    </row>
    <row r="303" spans="1:15" ht="15.75">
      <c r="A303" s="13"/>
      <c r="B303" s="15"/>
      <c r="C303" s="15"/>
      <c r="D303" s="15"/>
      <c r="E303" s="15"/>
      <c r="F303" s="126"/>
      <c r="G303" s="210"/>
      <c r="H303" s="47" t="s">
        <v>723</v>
      </c>
      <c r="I303" s="211" t="s">
        <v>724</v>
      </c>
      <c r="J303" s="206"/>
      <c r="K303" s="207"/>
      <c r="L303" s="207"/>
      <c r="M303" s="208"/>
      <c r="N303" s="207"/>
      <c r="O303" s="209"/>
    </row>
    <row r="304" spans="1:15" ht="15.75">
      <c r="A304" s="13"/>
      <c r="B304" s="15"/>
      <c r="C304" s="15"/>
      <c r="D304" s="15"/>
      <c r="E304" s="15"/>
      <c r="F304" s="126"/>
      <c r="G304" s="210"/>
      <c r="H304" s="47" t="s">
        <v>725</v>
      </c>
      <c r="I304" s="205" t="s">
        <v>726</v>
      </c>
      <c r="J304" s="206"/>
      <c r="K304" s="207"/>
      <c r="L304" s="207"/>
      <c r="M304" s="208"/>
      <c r="N304" s="207"/>
      <c r="O304" s="209"/>
    </row>
    <row r="305" spans="1:15" ht="15.75">
      <c r="A305" s="13"/>
      <c r="B305" s="15"/>
      <c r="C305" s="15"/>
      <c r="D305" s="15"/>
      <c r="E305" s="15"/>
      <c r="F305" s="126"/>
      <c r="G305" s="210"/>
      <c r="H305" s="47" t="s">
        <v>727</v>
      </c>
      <c r="I305" s="211" t="s">
        <v>728</v>
      </c>
      <c r="J305" s="206"/>
      <c r="K305" s="207"/>
      <c r="L305" s="207"/>
      <c r="M305" s="208"/>
      <c r="N305" s="207"/>
      <c r="O305" s="209"/>
    </row>
    <row r="306" spans="1:15" ht="15.75">
      <c r="A306" s="13"/>
      <c r="B306" s="15"/>
      <c r="C306" s="15"/>
      <c r="D306" s="15"/>
      <c r="E306" s="15"/>
      <c r="F306" s="126"/>
      <c r="G306" s="212"/>
      <c r="H306" s="47" t="s">
        <v>729</v>
      </c>
      <c r="I306" s="205" t="s">
        <v>730</v>
      </c>
      <c r="J306" s="206"/>
      <c r="K306" s="207"/>
      <c r="L306" s="207"/>
      <c r="M306" s="208"/>
      <c r="N306" s="207"/>
      <c r="O306" s="209"/>
    </row>
    <row r="307" spans="1:15" ht="15.75">
      <c r="A307" s="13"/>
      <c r="B307" s="15"/>
      <c r="C307" s="15"/>
      <c r="D307" s="15"/>
      <c r="E307" s="15"/>
      <c r="F307" s="126"/>
      <c r="G307" s="213" t="s">
        <v>731</v>
      </c>
      <c r="H307" s="40" t="s">
        <v>732</v>
      </c>
      <c r="I307" s="211" t="s">
        <v>733</v>
      </c>
      <c r="J307" s="206"/>
      <c r="K307" s="207"/>
      <c r="L307" s="207"/>
      <c r="M307" s="208"/>
      <c r="N307" s="207"/>
      <c r="O307" s="209"/>
    </row>
    <row r="308" spans="1:15" ht="15.75">
      <c r="A308" s="13"/>
      <c r="B308" s="15"/>
      <c r="C308" s="15"/>
      <c r="D308" s="15"/>
      <c r="E308" s="15"/>
      <c r="F308" s="126"/>
      <c r="G308" s="214"/>
      <c r="H308" s="40" t="s">
        <v>734</v>
      </c>
      <c r="I308" s="205" t="s">
        <v>735</v>
      </c>
      <c r="J308" s="206"/>
      <c r="K308" s="207"/>
      <c r="L308" s="207"/>
      <c r="M308" s="208"/>
      <c r="N308" s="207"/>
      <c r="O308" s="209"/>
    </row>
    <row r="309" spans="1:15" ht="15.75">
      <c r="A309" s="13"/>
      <c r="B309" s="15"/>
      <c r="C309" s="15"/>
      <c r="D309" s="15"/>
      <c r="E309" s="15"/>
      <c r="F309" s="126"/>
      <c r="G309" s="214"/>
      <c r="H309" s="40" t="s">
        <v>736</v>
      </c>
      <c r="I309" s="211" t="s">
        <v>737</v>
      </c>
      <c r="J309" s="206"/>
      <c r="K309" s="207"/>
      <c r="L309" s="207"/>
      <c r="M309" s="208"/>
      <c r="N309" s="207"/>
      <c r="O309" s="209"/>
    </row>
    <row r="310" spans="1:15" ht="15.75">
      <c r="A310" s="13"/>
      <c r="B310" s="15"/>
      <c r="C310" s="15"/>
      <c r="D310" s="15"/>
      <c r="E310" s="15"/>
      <c r="F310" s="126"/>
      <c r="G310" s="214"/>
      <c r="H310" s="40" t="s">
        <v>738</v>
      </c>
      <c r="I310" s="205" t="s">
        <v>739</v>
      </c>
      <c r="J310" s="206"/>
      <c r="K310" s="207"/>
      <c r="L310" s="207"/>
      <c r="M310" s="208"/>
      <c r="N310" s="207"/>
      <c r="O310" s="209"/>
    </row>
    <row r="311" spans="1:15" ht="15.75">
      <c r="A311" s="13"/>
      <c r="B311" s="15"/>
      <c r="C311" s="15"/>
      <c r="D311" s="15"/>
      <c r="E311" s="15"/>
      <c r="F311" s="126"/>
      <c r="G311" s="215"/>
      <c r="H311" s="40" t="s">
        <v>740</v>
      </c>
      <c r="I311" s="211" t="s">
        <v>741</v>
      </c>
      <c r="J311" s="206"/>
      <c r="K311" s="207"/>
      <c r="L311" s="207"/>
      <c r="M311" s="208"/>
      <c r="N311" s="207"/>
      <c r="O311" s="209"/>
    </row>
    <row r="312" spans="1:15" ht="15.75">
      <c r="A312" s="13"/>
      <c r="B312" s="15"/>
      <c r="C312" s="15"/>
      <c r="D312" s="15"/>
      <c r="E312" s="15"/>
      <c r="F312" s="126"/>
      <c r="G312" s="213" t="s">
        <v>742</v>
      </c>
      <c r="H312" s="47" t="s">
        <v>743</v>
      </c>
      <c r="I312" s="205" t="s">
        <v>744</v>
      </c>
      <c r="J312" s="206"/>
      <c r="K312" s="207"/>
      <c r="L312" s="207"/>
      <c r="M312" s="208"/>
      <c r="N312" s="207"/>
      <c r="O312" s="209"/>
    </row>
    <row r="313" spans="1:15" ht="15.75">
      <c r="A313" s="13"/>
      <c r="B313" s="15"/>
      <c r="C313" s="15"/>
      <c r="D313" s="15"/>
      <c r="E313" s="15"/>
      <c r="F313" s="126"/>
      <c r="G313" s="214"/>
      <c r="H313" s="47" t="s">
        <v>745</v>
      </c>
      <c r="I313" s="211" t="s">
        <v>746</v>
      </c>
      <c r="J313" s="206"/>
      <c r="K313" s="207"/>
      <c r="L313" s="207"/>
      <c r="M313" s="208"/>
      <c r="N313" s="207"/>
      <c r="O313" s="209"/>
    </row>
    <row r="314" spans="1:15" ht="15.75">
      <c r="A314" s="13"/>
      <c r="B314" s="15"/>
      <c r="C314" s="15"/>
      <c r="D314" s="15"/>
      <c r="E314" s="15"/>
      <c r="F314" s="126"/>
      <c r="G314" s="214"/>
      <c r="H314" s="47" t="s">
        <v>747</v>
      </c>
      <c r="I314" s="205" t="s">
        <v>748</v>
      </c>
      <c r="J314" s="206"/>
      <c r="K314" s="207"/>
      <c r="L314" s="207"/>
      <c r="M314" s="208"/>
      <c r="N314" s="207"/>
      <c r="O314" s="209"/>
    </row>
    <row r="315" spans="1:15" ht="15.75">
      <c r="A315" s="13"/>
      <c r="B315" s="15"/>
      <c r="C315" s="15"/>
      <c r="D315" s="15"/>
      <c r="E315" s="15"/>
      <c r="F315" s="126"/>
      <c r="G315" s="214"/>
      <c r="H315" s="47" t="s">
        <v>749</v>
      </c>
      <c r="I315" s="211" t="s">
        <v>750</v>
      </c>
      <c r="J315" s="206"/>
      <c r="K315" s="207"/>
      <c r="L315" s="207"/>
      <c r="M315" s="208"/>
      <c r="N315" s="207"/>
      <c r="O315" s="209"/>
    </row>
    <row r="316" spans="1:15" ht="15.75">
      <c r="A316" s="13"/>
      <c r="B316" s="15"/>
      <c r="C316" s="15"/>
      <c r="D316" s="15"/>
      <c r="E316" s="15"/>
      <c r="F316" s="126"/>
      <c r="G316" s="215"/>
      <c r="H316" s="47" t="s">
        <v>751</v>
      </c>
      <c r="I316" s="211" t="s">
        <v>752</v>
      </c>
      <c r="J316" s="206"/>
      <c r="K316" s="207"/>
      <c r="L316" s="207"/>
      <c r="M316" s="208"/>
      <c r="N316" s="207"/>
      <c r="O316" s="209"/>
    </row>
    <row r="317" spans="1:15" ht="15.75">
      <c r="A317" s="13"/>
      <c r="B317" s="15"/>
      <c r="C317" s="15"/>
      <c r="D317" s="15"/>
      <c r="E317" s="15"/>
      <c r="F317" s="126"/>
      <c r="G317" s="213" t="s">
        <v>753</v>
      </c>
      <c r="H317" s="40" t="s">
        <v>754</v>
      </c>
      <c r="I317" s="211" t="s">
        <v>755</v>
      </c>
      <c r="J317" s="206"/>
      <c r="K317" s="207"/>
      <c r="L317" s="207"/>
      <c r="M317" s="208"/>
      <c r="N317" s="207"/>
      <c r="O317" s="209"/>
    </row>
    <row r="318" spans="1:15" ht="15.75">
      <c r="A318" s="13"/>
      <c r="B318" s="15"/>
      <c r="C318" s="15"/>
      <c r="D318" s="15"/>
      <c r="E318" s="15"/>
      <c r="F318" s="126"/>
      <c r="G318" s="214"/>
      <c r="H318" s="40" t="s">
        <v>756</v>
      </c>
      <c r="I318" s="211" t="s">
        <v>757</v>
      </c>
      <c r="J318" s="206"/>
      <c r="K318" s="207"/>
      <c r="L318" s="207"/>
      <c r="M318" s="208"/>
      <c r="N318" s="207"/>
      <c r="O318" s="209"/>
    </row>
    <row r="319" spans="1:15" ht="15.75">
      <c r="A319" s="13"/>
      <c r="B319" s="15"/>
      <c r="C319" s="15"/>
      <c r="D319" s="15"/>
      <c r="E319" s="15"/>
      <c r="F319" s="126"/>
      <c r="G319" s="214"/>
      <c r="H319" s="40" t="s">
        <v>758</v>
      </c>
      <c r="I319" s="211" t="s">
        <v>759</v>
      </c>
      <c r="J319" s="206"/>
      <c r="K319" s="207"/>
      <c r="L319" s="207"/>
      <c r="M319" s="208"/>
      <c r="N319" s="207"/>
      <c r="O319" s="209"/>
    </row>
    <row r="320" spans="1:15" ht="15.75">
      <c r="A320" s="13"/>
      <c r="B320" s="15"/>
      <c r="C320" s="15"/>
      <c r="D320" s="15"/>
      <c r="E320" s="15"/>
      <c r="F320" s="126"/>
      <c r="G320" s="214"/>
      <c r="H320" s="40" t="s">
        <v>760</v>
      </c>
      <c r="I320" s="211" t="s">
        <v>761</v>
      </c>
      <c r="J320" s="206"/>
      <c r="K320" s="207"/>
      <c r="L320" s="207"/>
      <c r="M320" s="208"/>
      <c r="N320" s="207"/>
      <c r="O320" s="209"/>
    </row>
    <row r="321" spans="1:15" ht="15.75">
      <c r="A321" s="13"/>
      <c r="B321" s="15"/>
      <c r="C321" s="15"/>
      <c r="D321" s="15"/>
      <c r="E321" s="15"/>
      <c r="F321" s="126"/>
      <c r="G321" s="215"/>
      <c r="H321" s="40" t="s">
        <v>762</v>
      </c>
      <c r="I321" s="211" t="s">
        <v>763</v>
      </c>
      <c r="J321" s="206"/>
      <c r="K321" s="207"/>
      <c r="L321" s="207"/>
      <c r="M321" s="208"/>
      <c r="N321" s="207"/>
      <c r="O321" s="209"/>
    </row>
    <row r="322" spans="1:15" ht="15.75">
      <c r="A322" s="13"/>
      <c r="B322" s="15"/>
      <c r="C322" s="15"/>
      <c r="D322" s="15"/>
      <c r="E322" s="15"/>
      <c r="F322" s="126"/>
      <c r="G322" s="213" t="s">
        <v>764</v>
      </c>
      <c r="H322" s="47" t="s">
        <v>765</v>
      </c>
      <c r="I322" s="211" t="s">
        <v>766</v>
      </c>
      <c r="J322" s="206"/>
      <c r="K322" s="207"/>
      <c r="L322" s="207"/>
      <c r="M322" s="208"/>
      <c r="N322" s="207"/>
      <c r="O322" s="209"/>
    </row>
    <row r="323" spans="1:15" ht="15.75">
      <c r="A323" s="13"/>
      <c r="B323" s="15"/>
      <c r="C323" s="15"/>
      <c r="D323" s="15"/>
      <c r="E323" s="15"/>
      <c r="F323" s="126"/>
      <c r="G323" s="214"/>
      <c r="H323" s="47" t="s">
        <v>767</v>
      </c>
      <c r="I323" s="211" t="s">
        <v>768</v>
      </c>
      <c r="J323" s="206"/>
      <c r="K323" s="207"/>
      <c r="L323" s="207"/>
      <c r="M323" s="208"/>
      <c r="N323" s="207"/>
      <c r="O323" s="209"/>
    </row>
    <row r="324" spans="1:15" ht="15.75">
      <c r="A324" s="13"/>
      <c r="B324" s="15"/>
      <c r="C324" s="15"/>
      <c r="D324" s="15"/>
      <c r="E324" s="15"/>
      <c r="F324" s="126"/>
      <c r="G324" s="214"/>
      <c r="H324" s="47" t="s">
        <v>769</v>
      </c>
      <c r="I324" s="211" t="s">
        <v>770</v>
      </c>
      <c r="J324" s="206"/>
      <c r="K324" s="207"/>
      <c r="L324" s="207"/>
      <c r="M324" s="208"/>
      <c r="N324" s="207"/>
      <c r="O324" s="209"/>
    </row>
    <row r="325" spans="1:15" ht="15.75">
      <c r="A325" s="13"/>
      <c r="B325" s="15"/>
      <c r="C325" s="15"/>
      <c r="D325" s="15"/>
      <c r="E325" s="15"/>
      <c r="F325" s="126"/>
      <c r="G325" s="214"/>
      <c r="H325" s="47" t="s">
        <v>771</v>
      </c>
      <c r="I325" s="211" t="s">
        <v>772</v>
      </c>
      <c r="J325" s="206"/>
      <c r="K325" s="207"/>
      <c r="L325" s="207"/>
      <c r="M325" s="208"/>
      <c r="N325" s="207"/>
      <c r="O325" s="209"/>
    </row>
    <row r="326" spans="1:15" ht="15.75">
      <c r="A326" s="13"/>
      <c r="B326" s="15"/>
      <c r="C326" s="15"/>
      <c r="D326" s="15"/>
      <c r="E326" s="15"/>
      <c r="F326" s="126"/>
      <c r="G326" s="215"/>
      <c r="H326" s="47" t="s">
        <v>773</v>
      </c>
      <c r="I326" s="211" t="s">
        <v>774</v>
      </c>
      <c r="J326" s="206"/>
      <c r="K326" s="207"/>
      <c r="L326" s="207"/>
      <c r="M326" s="208"/>
      <c r="N326" s="207"/>
      <c r="O326" s="209"/>
    </row>
    <row r="327" spans="1:15" ht="15.75">
      <c r="A327" s="13"/>
      <c r="B327" s="16"/>
      <c r="C327" s="16"/>
      <c r="D327" s="16"/>
      <c r="E327" s="16"/>
      <c r="F327" s="127"/>
      <c r="G327" s="213" t="s">
        <v>775</v>
      </c>
      <c r="H327" s="40" t="s">
        <v>776</v>
      </c>
      <c r="I327" s="211" t="s">
        <v>777</v>
      </c>
      <c r="J327" s="206"/>
      <c r="K327" s="207"/>
      <c r="L327" s="207"/>
      <c r="M327" s="208"/>
      <c r="N327" s="207"/>
      <c r="O327" s="209"/>
    </row>
    <row r="328" spans="1:15" ht="15.75">
      <c r="A328" s="13"/>
      <c r="B328" s="17"/>
      <c r="C328" s="17"/>
      <c r="D328" s="17"/>
      <c r="E328" s="17"/>
      <c r="F328" s="216"/>
      <c r="G328" s="214"/>
      <c r="H328" s="40" t="s">
        <v>778</v>
      </c>
      <c r="I328" s="211" t="s">
        <v>779</v>
      </c>
      <c r="J328" s="206"/>
      <c r="K328" s="207"/>
      <c r="L328" s="207"/>
      <c r="M328" s="208"/>
      <c r="N328" s="207"/>
      <c r="O328" s="209"/>
    </row>
    <row r="329" spans="1:15" ht="15.75">
      <c r="A329" s="13"/>
      <c r="B329" s="17"/>
      <c r="C329" s="17"/>
      <c r="D329" s="17"/>
      <c r="E329" s="17"/>
      <c r="F329" s="216"/>
      <c r="G329" s="214"/>
      <c r="H329" s="40" t="s">
        <v>780</v>
      </c>
      <c r="I329" s="211" t="s">
        <v>781</v>
      </c>
      <c r="J329" s="206"/>
      <c r="K329" s="207"/>
      <c r="L329" s="207"/>
      <c r="M329" s="208"/>
      <c r="N329" s="207"/>
      <c r="O329" s="209"/>
    </row>
    <row r="330" spans="1:15" ht="15.75">
      <c r="A330" s="13"/>
      <c r="B330" s="17"/>
      <c r="C330" s="17"/>
      <c r="D330" s="17"/>
      <c r="E330" s="17"/>
      <c r="F330" s="216"/>
      <c r="G330" s="214"/>
      <c r="H330" s="40" t="s">
        <v>782</v>
      </c>
      <c r="I330" s="211" t="s">
        <v>783</v>
      </c>
      <c r="J330" s="206"/>
      <c r="K330" s="207"/>
      <c r="L330" s="207"/>
      <c r="M330" s="208"/>
      <c r="N330" s="207"/>
      <c r="O330" s="209"/>
    </row>
    <row r="331" spans="1:15" ht="15.75">
      <c r="A331" s="13"/>
      <c r="B331" s="17"/>
      <c r="C331" s="17"/>
      <c r="D331" s="17"/>
      <c r="E331" s="17"/>
      <c r="F331" s="216"/>
      <c r="G331" s="215"/>
      <c r="H331" s="40" t="s">
        <v>784</v>
      </c>
      <c r="I331" s="211" t="s">
        <v>785</v>
      </c>
      <c r="J331" s="206"/>
      <c r="K331" s="207"/>
      <c r="L331" s="207"/>
      <c r="M331" s="208"/>
      <c r="N331" s="207"/>
      <c r="O331" s="209"/>
    </row>
    <row r="332" spans="1:15" ht="15.75">
      <c r="A332" s="13"/>
      <c r="B332" s="14" t="s">
        <v>786</v>
      </c>
      <c r="C332" s="14"/>
      <c r="D332" s="14"/>
      <c r="E332" s="14"/>
      <c r="F332" s="124" t="s">
        <v>787</v>
      </c>
      <c r="G332" s="217" t="s">
        <v>788</v>
      </c>
      <c r="H332" s="47" t="s">
        <v>789</v>
      </c>
      <c r="I332" s="211" t="s">
        <v>790</v>
      </c>
      <c r="J332" s="206" t="s">
        <v>425</v>
      </c>
      <c r="K332" s="207" t="s">
        <v>791</v>
      </c>
      <c r="L332" s="207" t="s">
        <v>792</v>
      </c>
      <c r="M332" s="208" t="s">
        <v>94</v>
      </c>
      <c r="N332" s="207" t="s">
        <v>793</v>
      </c>
      <c r="O332" s="209"/>
    </row>
    <row r="333" spans="1:15" ht="15.75">
      <c r="A333" s="13"/>
      <c r="B333" s="15"/>
      <c r="C333" s="15"/>
      <c r="D333" s="15"/>
      <c r="E333" s="15"/>
      <c r="F333" s="126"/>
      <c r="G333" s="218"/>
      <c r="H333" s="47" t="s">
        <v>794</v>
      </c>
      <c r="I333" s="211" t="s">
        <v>795</v>
      </c>
      <c r="J333" s="206"/>
      <c r="K333" s="207"/>
      <c r="L333" s="207"/>
      <c r="M333" s="208"/>
      <c r="N333" s="207"/>
      <c r="O333" s="209"/>
    </row>
    <row r="334" spans="1:15" ht="15.75">
      <c r="A334" s="13"/>
      <c r="B334" s="15"/>
      <c r="C334" s="15"/>
      <c r="D334" s="15"/>
      <c r="E334" s="15"/>
      <c r="F334" s="126"/>
      <c r="G334" s="218"/>
      <c r="H334" s="47" t="s">
        <v>796</v>
      </c>
      <c r="I334" s="211" t="s">
        <v>797</v>
      </c>
      <c r="J334" s="206"/>
      <c r="K334" s="207"/>
      <c r="L334" s="207"/>
      <c r="M334" s="208"/>
      <c r="N334" s="207"/>
      <c r="O334" s="209"/>
    </row>
    <row r="335" spans="1:15" ht="15.75">
      <c r="A335" s="13"/>
      <c r="B335" s="15"/>
      <c r="C335" s="15"/>
      <c r="D335" s="15"/>
      <c r="E335" s="15"/>
      <c r="F335" s="126"/>
      <c r="G335" s="218"/>
      <c r="H335" s="47" t="s">
        <v>798</v>
      </c>
      <c r="I335" s="211" t="s">
        <v>799</v>
      </c>
      <c r="J335" s="206"/>
      <c r="K335" s="207"/>
      <c r="L335" s="207"/>
      <c r="M335" s="208"/>
      <c r="N335" s="207"/>
      <c r="O335" s="209"/>
    </row>
    <row r="336" spans="1:15" ht="15.75">
      <c r="A336" s="13"/>
      <c r="B336" s="15"/>
      <c r="C336" s="15"/>
      <c r="D336" s="15"/>
      <c r="E336" s="15"/>
      <c r="F336" s="126"/>
      <c r="G336" s="219"/>
      <c r="H336" s="47" t="s">
        <v>800</v>
      </c>
      <c r="I336" s="211" t="s">
        <v>801</v>
      </c>
      <c r="J336" s="206"/>
      <c r="K336" s="207"/>
      <c r="L336" s="207"/>
      <c r="M336" s="208"/>
      <c r="N336" s="207"/>
      <c r="O336" s="209"/>
    </row>
    <row r="337" spans="1:15" ht="15.75">
      <c r="A337" s="13"/>
      <c r="B337" s="15"/>
      <c r="C337" s="15"/>
      <c r="D337" s="15"/>
      <c r="E337" s="15"/>
      <c r="F337" s="126"/>
      <c r="G337" s="217" t="s">
        <v>802</v>
      </c>
      <c r="H337" s="40" t="s">
        <v>803</v>
      </c>
      <c r="I337" s="211" t="s">
        <v>804</v>
      </c>
      <c r="J337" s="206"/>
      <c r="K337" s="207"/>
      <c r="L337" s="207"/>
      <c r="M337" s="208"/>
      <c r="N337" s="207"/>
      <c r="O337" s="209"/>
    </row>
    <row r="338" spans="1:15" ht="15.75">
      <c r="A338" s="13"/>
      <c r="B338" s="15"/>
      <c r="C338" s="15"/>
      <c r="D338" s="15"/>
      <c r="E338" s="15"/>
      <c r="F338" s="126"/>
      <c r="G338" s="218"/>
      <c r="H338" s="40" t="s">
        <v>805</v>
      </c>
      <c r="I338" s="211" t="s">
        <v>806</v>
      </c>
      <c r="J338" s="206"/>
      <c r="K338" s="207"/>
      <c r="L338" s="207"/>
      <c r="M338" s="208"/>
      <c r="N338" s="207"/>
      <c r="O338" s="209"/>
    </row>
    <row r="339" spans="1:15" ht="15.75">
      <c r="A339" s="13"/>
      <c r="B339" s="15"/>
      <c r="C339" s="15"/>
      <c r="D339" s="15"/>
      <c r="E339" s="15"/>
      <c r="F339" s="126"/>
      <c r="G339" s="218"/>
      <c r="H339" s="40" t="s">
        <v>807</v>
      </c>
      <c r="I339" s="211" t="s">
        <v>808</v>
      </c>
      <c r="J339" s="206"/>
      <c r="K339" s="207"/>
      <c r="L339" s="207"/>
      <c r="M339" s="208"/>
      <c r="N339" s="207"/>
      <c r="O339" s="209"/>
    </row>
    <row r="340" spans="1:15" ht="15.75">
      <c r="A340" s="13"/>
      <c r="B340" s="15"/>
      <c r="C340" s="15"/>
      <c r="D340" s="15"/>
      <c r="E340" s="15"/>
      <c r="F340" s="126"/>
      <c r="G340" s="218"/>
      <c r="H340" s="40" t="s">
        <v>809</v>
      </c>
      <c r="I340" s="211" t="s">
        <v>810</v>
      </c>
      <c r="J340" s="206"/>
      <c r="K340" s="207"/>
      <c r="L340" s="207"/>
      <c r="M340" s="208"/>
      <c r="N340" s="207"/>
      <c r="O340" s="209"/>
    </row>
    <row r="341" spans="1:15" ht="15.75">
      <c r="A341" s="13"/>
      <c r="B341" s="15"/>
      <c r="C341" s="15"/>
      <c r="D341" s="15"/>
      <c r="E341" s="15"/>
      <c r="F341" s="126"/>
      <c r="G341" s="219"/>
      <c r="H341" s="40" t="s">
        <v>811</v>
      </c>
      <c r="I341" s="211" t="s">
        <v>812</v>
      </c>
      <c r="J341" s="206"/>
      <c r="K341" s="207"/>
      <c r="L341" s="207"/>
      <c r="M341" s="208"/>
      <c r="N341" s="207"/>
      <c r="O341" s="209"/>
    </row>
    <row r="342" spans="1:15" ht="15.75">
      <c r="A342" s="13"/>
      <c r="B342" s="15"/>
      <c r="C342" s="15"/>
      <c r="D342" s="15"/>
      <c r="E342" s="15"/>
      <c r="F342" s="126"/>
      <c r="G342" s="220" t="s">
        <v>813</v>
      </c>
      <c r="H342" s="47" t="s">
        <v>814</v>
      </c>
      <c r="I342" s="211" t="s">
        <v>815</v>
      </c>
      <c r="J342" s="206"/>
      <c r="K342" s="207"/>
      <c r="L342" s="207"/>
      <c r="M342" s="208"/>
      <c r="N342" s="207"/>
      <c r="O342" s="209"/>
    </row>
    <row r="343" spans="1:15" ht="15.75">
      <c r="A343" s="13"/>
      <c r="B343" s="15"/>
      <c r="C343" s="15"/>
      <c r="D343" s="15"/>
      <c r="E343" s="15"/>
      <c r="F343" s="126"/>
      <c r="G343" s="221"/>
      <c r="H343" s="47" t="s">
        <v>816</v>
      </c>
      <c r="I343" s="211" t="s">
        <v>817</v>
      </c>
      <c r="J343" s="206"/>
      <c r="K343" s="207"/>
      <c r="L343" s="207"/>
      <c r="M343" s="208"/>
      <c r="N343" s="207"/>
      <c r="O343" s="209"/>
    </row>
    <row r="344" spans="1:15" ht="15.75">
      <c r="A344" s="13"/>
      <c r="B344" s="15"/>
      <c r="C344" s="15"/>
      <c r="D344" s="15"/>
      <c r="E344" s="15"/>
      <c r="F344" s="126"/>
      <c r="G344" s="221"/>
      <c r="H344" s="47" t="s">
        <v>818</v>
      </c>
      <c r="I344" s="211" t="s">
        <v>819</v>
      </c>
      <c r="J344" s="206"/>
      <c r="K344" s="207"/>
      <c r="L344" s="207"/>
      <c r="M344" s="208"/>
      <c r="N344" s="207"/>
      <c r="O344" s="209"/>
    </row>
    <row r="345" spans="1:15" ht="15.75">
      <c r="A345" s="13"/>
      <c r="B345" s="15"/>
      <c r="C345" s="15"/>
      <c r="D345" s="15"/>
      <c r="E345" s="15"/>
      <c r="F345" s="126"/>
      <c r="G345" s="221"/>
      <c r="H345" s="47" t="s">
        <v>820</v>
      </c>
      <c r="I345" s="211" t="s">
        <v>821</v>
      </c>
      <c r="J345" s="206"/>
      <c r="K345" s="207"/>
      <c r="L345" s="207"/>
      <c r="M345" s="208"/>
      <c r="N345" s="207"/>
      <c r="O345" s="209"/>
    </row>
    <row r="346" spans="1:15" ht="15.75">
      <c r="A346" s="13"/>
      <c r="B346" s="15"/>
      <c r="C346" s="15"/>
      <c r="D346" s="15"/>
      <c r="E346" s="15"/>
      <c r="F346" s="126"/>
      <c r="G346" s="222"/>
      <c r="H346" s="47" t="s">
        <v>822</v>
      </c>
      <c r="I346" s="211" t="s">
        <v>823</v>
      </c>
      <c r="J346" s="206"/>
      <c r="K346" s="207"/>
      <c r="L346" s="207"/>
      <c r="M346" s="208"/>
      <c r="N346" s="207"/>
      <c r="O346" s="209"/>
    </row>
    <row r="347" spans="1:15" ht="15.75">
      <c r="A347" s="13"/>
      <c r="B347" s="15"/>
      <c r="C347" s="15"/>
      <c r="D347" s="15"/>
      <c r="E347" s="15"/>
      <c r="F347" s="126"/>
      <c r="G347" s="220" t="s">
        <v>824</v>
      </c>
      <c r="H347" s="40" t="s">
        <v>825</v>
      </c>
      <c r="I347" s="211" t="s">
        <v>826</v>
      </c>
      <c r="J347" s="206"/>
      <c r="K347" s="207"/>
      <c r="L347" s="207"/>
      <c r="M347" s="208"/>
      <c r="N347" s="207"/>
      <c r="O347" s="209"/>
    </row>
    <row r="348" spans="1:15" ht="15.75">
      <c r="A348" s="13"/>
      <c r="B348" s="15"/>
      <c r="C348" s="15"/>
      <c r="D348" s="15"/>
      <c r="E348" s="15"/>
      <c r="F348" s="126"/>
      <c r="G348" s="221"/>
      <c r="H348" s="40" t="s">
        <v>827</v>
      </c>
      <c r="I348" s="211" t="s">
        <v>828</v>
      </c>
      <c r="J348" s="206"/>
      <c r="K348" s="207"/>
      <c r="L348" s="207"/>
      <c r="M348" s="208"/>
      <c r="N348" s="207"/>
      <c r="O348" s="209"/>
    </row>
    <row r="349" spans="1:15" ht="15.75">
      <c r="A349" s="13"/>
      <c r="B349" s="15"/>
      <c r="C349" s="15"/>
      <c r="D349" s="15"/>
      <c r="E349" s="15"/>
      <c r="F349" s="126"/>
      <c r="G349" s="221"/>
      <c r="H349" s="40" t="s">
        <v>829</v>
      </c>
      <c r="I349" s="207" t="s">
        <v>830</v>
      </c>
      <c r="J349" s="206"/>
      <c r="K349" s="207"/>
      <c r="L349" s="207"/>
      <c r="M349" s="208"/>
      <c r="N349" s="207"/>
      <c r="O349" s="209"/>
    </row>
    <row r="350" spans="1:15" ht="15.75">
      <c r="A350" s="13"/>
      <c r="B350" s="15"/>
      <c r="C350" s="15"/>
      <c r="D350" s="15"/>
      <c r="E350" s="15"/>
      <c r="F350" s="126"/>
      <c r="G350" s="221"/>
      <c r="H350" s="40" t="s">
        <v>831</v>
      </c>
      <c r="I350" s="207" t="s">
        <v>832</v>
      </c>
      <c r="J350" s="206"/>
      <c r="K350" s="207"/>
      <c r="L350" s="207"/>
      <c r="M350" s="208"/>
      <c r="N350" s="207"/>
      <c r="O350" s="209"/>
    </row>
    <row r="351" spans="1:15" ht="15.75">
      <c r="A351" s="13"/>
      <c r="B351" s="15"/>
      <c r="C351" s="15"/>
      <c r="D351" s="15"/>
      <c r="E351" s="15"/>
      <c r="F351" s="126"/>
      <c r="G351" s="222"/>
      <c r="H351" s="40" t="s">
        <v>833</v>
      </c>
      <c r="I351" s="207" t="s">
        <v>834</v>
      </c>
      <c r="J351" s="206"/>
      <c r="K351" s="207"/>
      <c r="L351" s="207"/>
      <c r="M351" s="208"/>
      <c r="N351" s="207"/>
      <c r="O351" s="209"/>
    </row>
    <row r="352" spans="1:15" ht="15.75">
      <c r="A352" s="13"/>
      <c r="B352" s="15"/>
      <c r="C352" s="15"/>
      <c r="D352" s="15"/>
      <c r="E352" s="15"/>
      <c r="F352" s="126"/>
      <c r="G352" s="220" t="s">
        <v>835</v>
      </c>
      <c r="H352" s="47" t="s">
        <v>836</v>
      </c>
      <c r="I352" s="207" t="s">
        <v>837</v>
      </c>
      <c r="J352" s="206"/>
      <c r="K352" s="207"/>
      <c r="L352" s="207"/>
      <c r="M352" s="208"/>
      <c r="N352" s="207"/>
      <c r="O352" s="209"/>
    </row>
    <row r="353" spans="1:15" ht="15.75">
      <c r="A353" s="13"/>
      <c r="B353" s="15"/>
      <c r="C353" s="15"/>
      <c r="D353" s="15"/>
      <c r="E353" s="15"/>
      <c r="F353" s="126"/>
      <c r="G353" s="221"/>
      <c r="H353" s="47" t="s">
        <v>838</v>
      </c>
      <c r="I353" s="207" t="s">
        <v>839</v>
      </c>
      <c r="J353" s="206"/>
      <c r="K353" s="207"/>
      <c r="L353" s="207"/>
      <c r="M353" s="208"/>
      <c r="N353" s="207"/>
      <c r="O353" s="209"/>
    </row>
    <row r="354" spans="1:15" ht="15.75">
      <c r="A354" s="13"/>
      <c r="B354" s="15"/>
      <c r="C354" s="15"/>
      <c r="D354" s="15"/>
      <c r="E354" s="15"/>
      <c r="F354" s="126"/>
      <c r="G354" s="221"/>
      <c r="H354" s="47" t="s">
        <v>840</v>
      </c>
      <c r="I354" s="207" t="s">
        <v>841</v>
      </c>
      <c r="J354" s="206"/>
      <c r="K354" s="207"/>
      <c r="L354" s="207"/>
      <c r="M354" s="208"/>
      <c r="N354" s="207"/>
      <c r="O354" s="209"/>
    </row>
    <row r="355" spans="1:15" ht="15.75">
      <c r="A355" s="13"/>
      <c r="B355" s="15"/>
      <c r="C355" s="15"/>
      <c r="D355" s="15"/>
      <c r="E355" s="15"/>
      <c r="F355" s="126"/>
      <c r="G355" s="221"/>
      <c r="H355" s="47" t="s">
        <v>842</v>
      </c>
      <c r="I355" s="207" t="s">
        <v>843</v>
      </c>
      <c r="J355" s="206"/>
      <c r="K355" s="207"/>
      <c r="L355" s="207"/>
      <c r="M355" s="208"/>
      <c r="N355" s="207"/>
      <c r="O355" s="209"/>
    </row>
    <row r="356" spans="1:15" ht="15.75">
      <c r="A356" s="13"/>
      <c r="B356" s="15"/>
      <c r="C356" s="15"/>
      <c r="D356" s="15"/>
      <c r="E356" s="15"/>
      <c r="F356" s="126"/>
      <c r="G356" s="222"/>
      <c r="H356" s="47" t="s">
        <v>844</v>
      </c>
      <c r="I356" s="207" t="s">
        <v>845</v>
      </c>
      <c r="J356" s="206"/>
      <c r="K356" s="207"/>
      <c r="L356" s="207"/>
      <c r="M356" s="208"/>
      <c r="N356" s="207"/>
      <c r="O356" s="209"/>
    </row>
    <row r="357" spans="1:15" ht="15.75">
      <c r="A357" s="13"/>
      <c r="B357" s="16"/>
      <c r="C357" s="16"/>
      <c r="D357" s="16"/>
      <c r="E357" s="16"/>
      <c r="F357" s="127"/>
      <c r="G357" s="220" t="s">
        <v>846</v>
      </c>
      <c r="H357" s="47" t="s">
        <v>847</v>
      </c>
      <c r="I357" s="207" t="s">
        <v>848</v>
      </c>
      <c r="J357" s="206"/>
      <c r="K357" s="207"/>
      <c r="L357" s="207"/>
      <c r="M357" s="208"/>
      <c r="N357" s="207"/>
      <c r="O357" s="209"/>
    </row>
    <row r="358" spans="1:15" ht="15.75">
      <c r="A358" s="13"/>
      <c r="B358" s="17"/>
      <c r="C358" s="17"/>
      <c r="D358" s="17"/>
      <c r="E358" s="17"/>
      <c r="F358" s="216"/>
      <c r="G358" s="221"/>
      <c r="H358" s="47" t="s">
        <v>849</v>
      </c>
      <c r="I358" s="207" t="s">
        <v>850</v>
      </c>
      <c r="J358" s="206"/>
      <c r="K358" s="207"/>
      <c r="L358" s="207"/>
      <c r="M358" s="208"/>
      <c r="N358" s="207"/>
      <c r="O358" s="209"/>
    </row>
    <row r="359" spans="1:15" ht="15.75">
      <c r="A359" s="13"/>
      <c r="B359" s="17"/>
      <c r="C359" s="17"/>
      <c r="D359" s="17"/>
      <c r="E359" s="17"/>
      <c r="F359" s="216"/>
      <c r="G359" s="221"/>
      <c r="H359" s="47" t="s">
        <v>851</v>
      </c>
      <c r="I359" s="207" t="s">
        <v>852</v>
      </c>
      <c r="J359" s="206"/>
      <c r="K359" s="207"/>
      <c r="L359" s="207"/>
      <c r="M359" s="208"/>
      <c r="N359" s="207"/>
      <c r="O359" s="209"/>
    </row>
    <row r="360" spans="1:15" ht="30.75">
      <c r="A360" s="13"/>
      <c r="B360" s="17"/>
      <c r="C360" s="17"/>
      <c r="D360" s="17"/>
      <c r="E360" s="17"/>
      <c r="F360" s="216"/>
      <c r="G360" s="221"/>
      <c r="H360" s="47" t="s">
        <v>853</v>
      </c>
      <c r="I360" s="207" t="s">
        <v>854</v>
      </c>
      <c r="J360" s="206"/>
      <c r="K360" s="207"/>
      <c r="L360" s="207"/>
      <c r="M360" s="208"/>
      <c r="N360" s="207"/>
      <c r="O360" s="209"/>
    </row>
    <row r="361" spans="1:15" ht="15.75">
      <c r="A361" s="13"/>
      <c r="B361" s="17"/>
      <c r="C361" s="17"/>
      <c r="D361" s="17"/>
      <c r="E361" s="17"/>
      <c r="F361" s="216"/>
      <c r="G361" s="222"/>
      <c r="H361" s="47" t="s">
        <v>855</v>
      </c>
      <c r="I361" s="207" t="s">
        <v>856</v>
      </c>
      <c r="J361" s="206"/>
      <c r="K361" s="207"/>
      <c r="L361" s="207"/>
      <c r="M361" s="208"/>
      <c r="N361" s="207"/>
      <c r="O361" s="209"/>
    </row>
    <row r="362" spans="1:15" ht="31.5">
      <c r="A362" s="13"/>
      <c r="B362" s="14"/>
      <c r="C362" s="14"/>
      <c r="D362" s="14"/>
      <c r="E362" s="14"/>
      <c r="F362" s="124" t="s">
        <v>857</v>
      </c>
      <c r="G362" s="132" t="s">
        <v>858</v>
      </c>
      <c r="H362" s="40" t="s">
        <v>859</v>
      </c>
      <c r="I362" s="207" t="s">
        <v>860</v>
      </c>
      <c r="J362" s="206"/>
      <c r="K362" s="207"/>
      <c r="L362" s="207"/>
      <c r="M362" s="208"/>
      <c r="N362" s="207"/>
      <c r="O362" s="209"/>
    </row>
    <row r="363" spans="1:15" ht="15.75">
      <c r="A363" s="13"/>
      <c r="B363" s="15"/>
      <c r="C363" s="15"/>
      <c r="D363" s="15"/>
      <c r="E363" s="15"/>
      <c r="F363" s="126"/>
      <c r="G363" s="133"/>
      <c r="H363" s="40" t="s">
        <v>861</v>
      </c>
      <c r="I363" s="207" t="s">
        <v>862</v>
      </c>
      <c r="J363" s="206"/>
      <c r="K363" s="207"/>
      <c r="L363" s="207"/>
      <c r="M363" s="208"/>
      <c r="N363" s="207"/>
      <c r="O363" s="209"/>
    </row>
    <row r="364" spans="1:15" ht="15.75">
      <c r="A364" s="13"/>
      <c r="B364" s="15"/>
      <c r="C364" s="15"/>
      <c r="D364" s="15"/>
      <c r="E364" s="15"/>
      <c r="F364" s="126"/>
      <c r="G364" s="133"/>
      <c r="H364" s="40" t="s">
        <v>863</v>
      </c>
      <c r="I364" s="207" t="s">
        <v>864</v>
      </c>
      <c r="J364" s="206"/>
      <c r="K364" s="207"/>
      <c r="L364" s="207"/>
      <c r="M364" s="208"/>
      <c r="N364" s="207"/>
      <c r="O364" s="209"/>
    </row>
    <row r="365" spans="1:15" ht="15.75">
      <c r="A365" s="13"/>
      <c r="B365" s="15"/>
      <c r="C365" s="15"/>
      <c r="D365" s="15"/>
      <c r="E365" s="15"/>
      <c r="F365" s="126"/>
      <c r="G365" s="133"/>
      <c r="H365" s="40" t="s">
        <v>865</v>
      </c>
      <c r="I365" s="207" t="s">
        <v>866</v>
      </c>
      <c r="J365" s="206"/>
      <c r="K365" s="207"/>
      <c r="L365" s="207"/>
      <c r="M365" s="208"/>
      <c r="N365" s="207"/>
      <c r="O365" s="209"/>
    </row>
    <row r="366" spans="1:15" ht="15.75">
      <c r="A366" s="13"/>
      <c r="B366" s="15"/>
      <c r="C366" s="15"/>
      <c r="D366" s="15"/>
      <c r="E366" s="15"/>
      <c r="F366" s="126"/>
      <c r="G366" s="134"/>
      <c r="H366" s="40" t="s">
        <v>867</v>
      </c>
      <c r="I366" s="207" t="s">
        <v>868</v>
      </c>
      <c r="J366" s="206"/>
      <c r="K366" s="207"/>
      <c r="L366" s="207"/>
      <c r="M366" s="208"/>
      <c r="N366" s="207"/>
      <c r="O366" s="209"/>
    </row>
    <row r="367" spans="1:15" ht="15.75">
      <c r="A367" s="13"/>
      <c r="B367" s="15"/>
      <c r="C367" s="15"/>
      <c r="D367" s="15"/>
      <c r="E367" s="15"/>
      <c r="F367" s="126"/>
      <c r="G367" s="135" t="s">
        <v>869</v>
      </c>
      <c r="H367" s="47" t="s">
        <v>870</v>
      </c>
      <c r="I367" s="207" t="s">
        <v>871</v>
      </c>
      <c r="J367" s="206"/>
      <c r="K367" s="207"/>
      <c r="L367" s="207"/>
      <c r="M367" s="208"/>
      <c r="N367" s="207"/>
      <c r="O367" s="209"/>
    </row>
    <row r="368" spans="1:15" ht="30.75">
      <c r="A368" s="13"/>
      <c r="B368" s="15"/>
      <c r="C368" s="15"/>
      <c r="D368" s="15"/>
      <c r="E368" s="15"/>
      <c r="F368" s="126"/>
      <c r="G368" s="136"/>
      <c r="H368" s="47" t="s">
        <v>872</v>
      </c>
      <c r="I368" s="207" t="s">
        <v>873</v>
      </c>
      <c r="J368" s="206"/>
      <c r="K368" s="207"/>
      <c r="L368" s="207"/>
      <c r="M368" s="208"/>
      <c r="N368" s="207"/>
      <c r="O368" s="209"/>
    </row>
    <row r="369" spans="1:15" ht="15.75">
      <c r="A369" s="13"/>
      <c r="B369" s="15"/>
      <c r="C369" s="15"/>
      <c r="D369" s="15"/>
      <c r="E369" s="15"/>
      <c r="F369" s="126"/>
      <c r="G369" s="136"/>
      <c r="H369" s="47" t="s">
        <v>874</v>
      </c>
      <c r="I369" s="207" t="s">
        <v>875</v>
      </c>
      <c r="J369" s="206"/>
      <c r="K369" s="207"/>
      <c r="L369" s="207"/>
      <c r="M369" s="208"/>
      <c r="N369" s="207"/>
      <c r="O369" s="209"/>
    </row>
    <row r="370" spans="1:15" ht="15.75">
      <c r="A370" s="13"/>
      <c r="B370" s="15"/>
      <c r="C370" s="15"/>
      <c r="D370" s="15"/>
      <c r="E370" s="15"/>
      <c r="F370" s="126"/>
      <c r="G370" s="136"/>
      <c r="H370" s="47" t="s">
        <v>876</v>
      </c>
      <c r="I370" s="207" t="s">
        <v>877</v>
      </c>
      <c r="J370" s="206"/>
      <c r="K370" s="207"/>
      <c r="L370" s="207"/>
      <c r="M370" s="208"/>
      <c r="N370" s="207"/>
      <c r="O370" s="209"/>
    </row>
    <row r="371" spans="1:15" ht="15.75">
      <c r="A371" s="13"/>
      <c r="B371" s="15"/>
      <c r="C371" s="15"/>
      <c r="D371" s="15"/>
      <c r="E371" s="15"/>
      <c r="F371" s="126"/>
      <c r="G371" s="138"/>
      <c r="H371" s="47" t="s">
        <v>878</v>
      </c>
      <c r="I371" s="207" t="s">
        <v>879</v>
      </c>
      <c r="J371" s="206"/>
      <c r="K371" s="207"/>
      <c r="L371" s="207"/>
      <c r="M371" s="208"/>
      <c r="N371" s="207"/>
      <c r="O371" s="209"/>
    </row>
    <row r="372" spans="1:15" ht="15.75">
      <c r="A372" s="13"/>
      <c r="B372" s="15"/>
      <c r="C372" s="15"/>
      <c r="D372" s="15"/>
      <c r="E372" s="15"/>
      <c r="F372" s="126"/>
      <c r="G372" s="135" t="s">
        <v>880</v>
      </c>
      <c r="H372" s="40" t="s">
        <v>881</v>
      </c>
      <c r="I372" s="207" t="s">
        <v>882</v>
      </c>
      <c r="J372" s="206"/>
      <c r="K372" s="207"/>
      <c r="L372" s="207"/>
      <c r="M372" s="208"/>
      <c r="N372" s="207"/>
      <c r="O372" s="209"/>
    </row>
    <row r="373" spans="1:15" ht="15.75">
      <c r="A373" s="13"/>
      <c r="B373" s="15"/>
      <c r="C373" s="15"/>
      <c r="D373" s="15"/>
      <c r="E373" s="15"/>
      <c r="F373" s="126"/>
      <c r="G373" s="136"/>
      <c r="H373" s="40" t="s">
        <v>883</v>
      </c>
      <c r="I373" s="207" t="s">
        <v>884</v>
      </c>
      <c r="J373" s="206"/>
      <c r="K373" s="207"/>
      <c r="L373" s="207"/>
      <c r="M373" s="208"/>
      <c r="N373" s="207"/>
      <c r="O373" s="209"/>
    </row>
    <row r="374" spans="1:15" ht="15.75">
      <c r="A374" s="13"/>
      <c r="B374" s="15"/>
      <c r="C374" s="15"/>
      <c r="D374" s="15"/>
      <c r="E374" s="15"/>
      <c r="F374" s="126"/>
      <c r="G374" s="136"/>
      <c r="H374" s="40" t="s">
        <v>885</v>
      </c>
      <c r="I374" s="207" t="s">
        <v>886</v>
      </c>
      <c r="J374" s="206"/>
      <c r="K374" s="207"/>
      <c r="L374" s="207"/>
      <c r="M374" s="208"/>
      <c r="N374" s="207"/>
      <c r="O374" s="209"/>
    </row>
    <row r="375" spans="1:15" ht="15.75">
      <c r="A375" s="13"/>
      <c r="B375" s="15"/>
      <c r="C375" s="15"/>
      <c r="D375" s="15"/>
      <c r="E375" s="15"/>
      <c r="F375" s="126"/>
      <c r="G375" s="136"/>
      <c r="H375" s="40" t="s">
        <v>887</v>
      </c>
      <c r="I375" s="207" t="s">
        <v>888</v>
      </c>
      <c r="J375" s="206"/>
      <c r="K375" s="207"/>
      <c r="L375" s="207"/>
      <c r="M375" s="208"/>
      <c r="N375" s="207"/>
      <c r="O375" s="209"/>
    </row>
    <row r="376" spans="1:15" ht="15.75">
      <c r="A376" s="13"/>
      <c r="B376" s="15"/>
      <c r="C376" s="15"/>
      <c r="D376" s="15"/>
      <c r="E376" s="15"/>
      <c r="F376" s="126"/>
      <c r="G376" s="138"/>
      <c r="H376" s="40" t="s">
        <v>889</v>
      </c>
      <c r="I376" s="207" t="s">
        <v>890</v>
      </c>
      <c r="J376" s="206"/>
      <c r="K376" s="207"/>
      <c r="L376" s="207"/>
      <c r="M376" s="208"/>
      <c r="N376" s="207"/>
      <c r="O376" s="209"/>
    </row>
    <row r="377" spans="1:15" ht="15.75">
      <c r="A377" s="13"/>
      <c r="B377" s="15"/>
      <c r="C377" s="15"/>
      <c r="D377" s="15"/>
      <c r="E377" s="15"/>
      <c r="F377" s="126"/>
      <c r="G377" s="135" t="s">
        <v>891</v>
      </c>
      <c r="H377" s="47" t="s">
        <v>892</v>
      </c>
      <c r="I377" s="207" t="s">
        <v>893</v>
      </c>
      <c r="J377" s="206"/>
      <c r="K377" s="207"/>
      <c r="L377" s="207"/>
      <c r="M377" s="208"/>
      <c r="N377" s="207"/>
      <c r="O377" s="209"/>
    </row>
    <row r="378" spans="1:15" ht="15.75">
      <c r="A378" s="13"/>
      <c r="B378" s="15"/>
      <c r="C378" s="15"/>
      <c r="D378" s="15"/>
      <c r="E378" s="15"/>
      <c r="F378" s="126"/>
      <c r="G378" s="136"/>
      <c r="H378" s="47" t="s">
        <v>894</v>
      </c>
      <c r="I378" s="207" t="s">
        <v>895</v>
      </c>
      <c r="J378" s="206"/>
      <c r="K378" s="207"/>
      <c r="L378" s="207"/>
      <c r="M378" s="208"/>
      <c r="N378" s="207"/>
      <c r="O378" s="209"/>
    </row>
    <row r="379" spans="1:15" ht="15.75">
      <c r="A379" s="13"/>
      <c r="B379" s="15"/>
      <c r="C379" s="15"/>
      <c r="D379" s="15"/>
      <c r="E379" s="15"/>
      <c r="F379" s="126"/>
      <c r="G379" s="136"/>
      <c r="H379" s="47" t="s">
        <v>896</v>
      </c>
      <c r="I379" s="207" t="s">
        <v>897</v>
      </c>
      <c r="J379" s="206"/>
      <c r="K379" s="207"/>
      <c r="L379" s="207"/>
      <c r="M379" s="208"/>
      <c r="N379" s="207"/>
      <c r="O379" s="209"/>
    </row>
    <row r="380" spans="1:15" ht="15.75">
      <c r="A380" s="13"/>
      <c r="B380" s="15"/>
      <c r="C380" s="15"/>
      <c r="D380" s="15"/>
      <c r="E380" s="15"/>
      <c r="F380" s="126"/>
      <c r="G380" s="136"/>
      <c r="H380" s="47" t="s">
        <v>898</v>
      </c>
      <c r="I380" s="207" t="s">
        <v>899</v>
      </c>
      <c r="J380" s="206"/>
      <c r="K380" s="207"/>
      <c r="L380" s="207"/>
      <c r="M380" s="208"/>
      <c r="N380" s="207"/>
      <c r="O380" s="209"/>
    </row>
    <row r="381" spans="1:15" ht="15.75">
      <c r="A381" s="13"/>
      <c r="B381" s="15"/>
      <c r="C381" s="15"/>
      <c r="D381" s="15"/>
      <c r="E381" s="15"/>
      <c r="F381" s="126"/>
      <c r="G381" s="138"/>
      <c r="H381" s="47" t="s">
        <v>900</v>
      </c>
      <c r="I381" s="207" t="s">
        <v>901</v>
      </c>
      <c r="J381" s="206"/>
      <c r="K381" s="207"/>
      <c r="L381" s="207"/>
      <c r="M381" s="208"/>
      <c r="N381" s="207"/>
      <c r="O381" s="209"/>
    </row>
    <row r="382" spans="1:15" ht="15.75">
      <c r="A382" s="13"/>
      <c r="B382" s="15"/>
      <c r="C382" s="15"/>
      <c r="D382" s="15"/>
      <c r="E382" s="15"/>
      <c r="F382" s="126"/>
      <c r="G382" s="135" t="s">
        <v>902</v>
      </c>
      <c r="H382" s="40" t="s">
        <v>903</v>
      </c>
      <c r="I382" s="207" t="s">
        <v>904</v>
      </c>
      <c r="J382" s="206"/>
      <c r="K382" s="207"/>
      <c r="L382" s="207"/>
      <c r="M382" s="208"/>
      <c r="N382" s="207"/>
      <c r="O382" s="209"/>
    </row>
    <row r="383" spans="1:15" ht="15.75">
      <c r="A383" s="13"/>
      <c r="B383" s="15"/>
      <c r="C383" s="15"/>
      <c r="D383" s="15"/>
      <c r="E383" s="15"/>
      <c r="F383" s="126"/>
      <c r="G383" s="136"/>
      <c r="H383" s="40" t="s">
        <v>905</v>
      </c>
      <c r="I383" s="207" t="s">
        <v>906</v>
      </c>
      <c r="J383" s="206"/>
      <c r="K383" s="207"/>
      <c r="L383" s="207"/>
      <c r="M383" s="208"/>
      <c r="N383" s="207"/>
      <c r="O383" s="209"/>
    </row>
    <row r="384" spans="1:15" ht="15.75">
      <c r="A384" s="13"/>
      <c r="B384" s="15"/>
      <c r="C384" s="15"/>
      <c r="D384" s="15"/>
      <c r="E384" s="15"/>
      <c r="F384" s="126"/>
      <c r="G384" s="136"/>
      <c r="H384" s="40" t="s">
        <v>907</v>
      </c>
      <c r="I384" s="207" t="s">
        <v>908</v>
      </c>
      <c r="J384" s="206"/>
      <c r="K384" s="207"/>
      <c r="L384" s="207"/>
      <c r="M384" s="208"/>
      <c r="N384" s="207"/>
      <c r="O384" s="209"/>
    </row>
    <row r="385" spans="1:15" ht="15.75">
      <c r="A385" s="13"/>
      <c r="B385" s="15"/>
      <c r="C385" s="15"/>
      <c r="D385" s="15"/>
      <c r="E385" s="15"/>
      <c r="F385" s="126"/>
      <c r="G385" s="136"/>
      <c r="H385" s="40" t="s">
        <v>909</v>
      </c>
      <c r="I385" s="207" t="s">
        <v>910</v>
      </c>
      <c r="J385" s="206"/>
      <c r="K385" s="207"/>
      <c r="L385" s="207"/>
      <c r="M385" s="208"/>
      <c r="N385" s="207"/>
      <c r="O385" s="209"/>
    </row>
    <row r="386" spans="1:15" ht="15.75">
      <c r="A386" s="13"/>
      <c r="B386" s="15"/>
      <c r="C386" s="15"/>
      <c r="D386" s="15"/>
      <c r="E386" s="15"/>
      <c r="F386" s="126"/>
      <c r="G386" s="138"/>
      <c r="H386" s="40" t="s">
        <v>911</v>
      </c>
      <c r="I386" s="223" t="s">
        <v>912</v>
      </c>
      <c r="J386" s="206"/>
      <c r="K386" s="207"/>
      <c r="L386" s="207"/>
      <c r="M386" s="208"/>
      <c r="N386" s="207"/>
      <c r="O386" s="209"/>
    </row>
    <row r="387" spans="1:15" ht="15.75">
      <c r="A387" s="13"/>
      <c r="B387" s="16"/>
      <c r="C387" s="16"/>
      <c r="D387" s="16"/>
      <c r="E387" s="16"/>
      <c r="F387" s="127"/>
      <c r="G387" s="135" t="s">
        <v>913</v>
      </c>
      <c r="H387" s="47" t="s">
        <v>914</v>
      </c>
      <c r="I387" s="223" t="s">
        <v>915</v>
      </c>
      <c r="J387" s="206" t="s">
        <v>20</v>
      </c>
      <c r="K387" s="207" t="s">
        <v>916</v>
      </c>
      <c r="L387" s="207" t="s">
        <v>917</v>
      </c>
      <c r="M387" s="208" t="s">
        <v>23</v>
      </c>
      <c r="N387" s="207" t="s">
        <v>918</v>
      </c>
      <c r="O387" s="209"/>
    </row>
    <row r="388" spans="1:15" ht="15.75">
      <c r="A388" s="18"/>
      <c r="B388" s="17"/>
      <c r="C388" s="17"/>
      <c r="D388" s="17"/>
      <c r="E388" s="17"/>
      <c r="F388" s="216"/>
      <c r="G388" s="136"/>
      <c r="H388" s="47" t="s">
        <v>919</v>
      </c>
      <c r="I388" s="223" t="s">
        <v>920</v>
      </c>
      <c r="J388" s="206"/>
      <c r="K388" s="207"/>
      <c r="L388" s="207"/>
      <c r="M388" s="208"/>
      <c r="N388" s="207"/>
      <c r="O388" s="209"/>
    </row>
    <row r="389" spans="1:15" ht="15.75">
      <c r="A389" s="18"/>
      <c r="B389" s="17"/>
      <c r="C389" s="17"/>
      <c r="D389" s="17"/>
      <c r="E389" s="17"/>
      <c r="F389" s="216"/>
      <c r="G389" s="136"/>
      <c r="H389" s="47" t="s">
        <v>921</v>
      </c>
      <c r="I389" s="223" t="s">
        <v>922</v>
      </c>
      <c r="J389" s="206"/>
      <c r="K389" s="207"/>
      <c r="L389" s="207"/>
      <c r="M389" s="208"/>
      <c r="N389" s="207"/>
      <c r="O389" s="209"/>
    </row>
    <row r="390" spans="1:15" ht="15.75">
      <c r="A390" s="18"/>
      <c r="B390" s="17"/>
      <c r="C390" s="17"/>
      <c r="D390" s="17"/>
      <c r="E390" s="17"/>
      <c r="F390" s="216"/>
      <c r="G390" s="136"/>
      <c r="H390" s="47" t="s">
        <v>923</v>
      </c>
      <c r="I390" s="223" t="s">
        <v>924</v>
      </c>
      <c r="J390" s="206"/>
      <c r="K390" s="207"/>
      <c r="L390" s="207"/>
      <c r="M390" s="208"/>
      <c r="N390" s="207"/>
      <c r="O390" s="209"/>
    </row>
    <row r="391" spans="1:15" ht="15.75">
      <c r="A391" s="18"/>
      <c r="B391" s="17"/>
      <c r="C391" s="17"/>
      <c r="D391" s="17"/>
      <c r="E391" s="17"/>
      <c r="F391" s="216"/>
      <c r="G391" s="138"/>
      <c r="H391" s="47" t="s">
        <v>925</v>
      </c>
      <c r="I391" s="223" t="s">
        <v>926</v>
      </c>
      <c r="J391" s="206"/>
      <c r="K391" s="207"/>
      <c r="L391" s="207"/>
      <c r="M391" s="208"/>
      <c r="N391" s="207"/>
      <c r="O391" s="209"/>
    </row>
    <row r="392" spans="1:15" ht="30.75">
      <c r="A392" s="224" t="s">
        <v>927</v>
      </c>
      <c r="B392" s="33" t="s">
        <v>786</v>
      </c>
      <c r="C392" s="33"/>
      <c r="D392" s="33"/>
      <c r="E392" s="33"/>
      <c r="F392" s="204" t="s">
        <v>928</v>
      </c>
      <c r="G392" s="19" t="s">
        <v>929</v>
      </c>
      <c r="H392" s="40" t="s">
        <v>930</v>
      </c>
      <c r="I392" s="223" t="s">
        <v>931</v>
      </c>
      <c r="J392" s="225" t="s">
        <v>20</v>
      </c>
      <c r="K392" s="223" t="s">
        <v>932</v>
      </c>
      <c r="L392" s="223" t="s">
        <v>933</v>
      </c>
      <c r="M392" s="226" t="s">
        <v>23</v>
      </c>
      <c r="N392" s="223" t="s">
        <v>934</v>
      </c>
      <c r="O392" s="227"/>
    </row>
    <row r="393" spans="1:15" ht="15.75">
      <c r="A393" s="224"/>
      <c r="B393" s="35"/>
      <c r="C393" s="35"/>
      <c r="D393" s="35"/>
      <c r="E393" s="35"/>
      <c r="F393" s="210"/>
      <c r="G393" s="20"/>
      <c r="H393" s="40" t="s">
        <v>935</v>
      </c>
      <c r="I393" s="223" t="s">
        <v>936</v>
      </c>
      <c r="J393" s="225"/>
      <c r="K393" s="223"/>
      <c r="L393" s="223"/>
      <c r="M393" s="226"/>
      <c r="N393" s="223"/>
      <c r="O393" s="227"/>
    </row>
    <row r="394" spans="1:15" ht="15.75">
      <c r="A394" s="224"/>
      <c r="B394" s="35"/>
      <c r="C394" s="35"/>
      <c r="D394" s="35"/>
      <c r="E394" s="35"/>
      <c r="F394" s="210"/>
      <c r="G394" s="20"/>
      <c r="H394" s="40" t="s">
        <v>937</v>
      </c>
      <c r="I394" s="223" t="s">
        <v>938</v>
      </c>
      <c r="J394" s="225"/>
      <c r="K394" s="223"/>
      <c r="L394" s="223"/>
      <c r="M394" s="226"/>
      <c r="N394" s="223"/>
      <c r="O394" s="227"/>
    </row>
    <row r="395" spans="1:15" ht="15.75">
      <c r="A395" s="224"/>
      <c r="B395" s="35"/>
      <c r="C395" s="35"/>
      <c r="D395" s="35"/>
      <c r="E395" s="35"/>
      <c r="F395" s="210"/>
      <c r="G395" s="20"/>
      <c r="H395" s="40" t="s">
        <v>939</v>
      </c>
      <c r="I395" s="223" t="s">
        <v>940</v>
      </c>
      <c r="J395" s="225"/>
      <c r="K395" s="223"/>
      <c r="L395" s="223"/>
      <c r="M395" s="226"/>
      <c r="N395" s="223"/>
      <c r="O395" s="227"/>
    </row>
    <row r="396" spans="1:15" ht="15.75">
      <c r="A396" s="224"/>
      <c r="B396" s="35"/>
      <c r="C396" s="35"/>
      <c r="D396" s="35"/>
      <c r="E396" s="35"/>
      <c r="F396" s="210"/>
      <c r="G396" s="21"/>
      <c r="H396" s="40" t="s">
        <v>941</v>
      </c>
      <c r="I396" s="223" t="s">
        <v>942</v>
      </c>
      <c r="J396" s="225"/>
      <c r="K396" s="223"/>
      <c r="L396" s="223"/>
      <c r="M396" s="226"/>
      <c r="N396" s="223"/>
      <c r="O396" s="227"/>
    </row>
    <row r="397" spans="1:15" ht="31.5">
      <c r="A397" s="224"/>
      <c r="B397" s="35"/>
      <c r="C397" s="35"/>
      <c r="D397" s="35"/>
      <c r="E397" s="35"/>
      <c r="F397" s="210"/>
      <c r="G397" s="22" t="s">
        <v>943</v>
      </c>
      <c r="H397" s="47" t="s">
        <v>944</v>
      </c>
      <c r="I397" s="223" t="s">
        <v>945</v>
      </c>
      <c r="J397" s="225"/>
      <c r="K397" s="223"/>
      <c r="L397" s="223"/>
      <c r="M397" s="226"/>
      <c r="N397" s="223"/>
      <c r="O397" s="227"/>
    </row>
    <row r="398" spans="1:15" ht="15.75">
      <c r="A398" s="224"/>
      <c r="B398" s="35"/>
      <c r="C398" s="35"/>
      <c r="D398" s="35"/>
      <c r="E398" s="35"/>
      <c r="F398" s="210"/>
      <c r="G398" s="23"/>
      <c r="H398" s="47" t="s">
        <v>946</v>
      </c>
      <c r="I398" s="223" t="s">
        <v>947</v>
      </c>
      <c r="J398" s="225"/>
      <c r="K398" s="223"/>
      <c r="L398" s="223"/>
      <c r="M398" s="226"/>
      <c r="N398" s="223"/>
      <c r="O398" s="227"/>
    </row>
    <row r="399" spans="1:15" ht="15.75">
      <c r="A399" s="224"/>
      <c r="B399" s="35"/>
      <c r="C399" s="35"/>
      <c r="D399" s="35"/>
      <c r="E399" s="35"/>
      <c r="F399" s="210"/>
      <c r="G399" s="23"/>
      <c r="H399" s="47" t="s">
        <v>948</v>
      </c>
      <c r="I399" s="223" t="s">
        <v>949</v>
      </c>
      <c r="J399" s="225"/>
      <c r="K399" s="223"/>
      <c r="L399" s="223"/>
      <c r="M399" s="226"/>
      <c r="N399" s="223"/>
      <c r="O399" s="227"/>
    </row>
    <row r="400" spans="1:15" ht="15.75">
      <c r="A400" s="224"/>
      <c r="B400" s="35"/>
      <c r="C400" s="35"/>
      <c r="D400" s="35"/>
      <c r="E400" s="35"/>
      <c r="F400" s="210"/>
      <c r="G400" s="23"/>
      <c r="H400" s="47" t="s">
        <v>950</v>
      </c>
      <c r="I400" s="223" t="s">
        <v>951</v>
      </c>
      <c r="J400" s="225"/>
      <c r="K400" s="223"/>
      <c r="L400" s="223"/>
      <c r="M400" s="226"/>
      <c r="N400" s="223"/>
      <c r="O400" s="227"/>
    </row>
    <row r="401" spans="1:15" ht="15.75">
      <c r="A401" s="224"/>
      <c r="B401" s="35"/>
      <c r="C401" s="35"/>
      <c r="D401" s="35"/>
      <c r="E401" s="35"/>
      <c r="F401" s="210"/>
      <c r="G401" s="24"/>
      <c r="H401" s="47" t="s">
        <v>952</v>
      </c>
      <c r="I401" s="223" t="s">
        <v>953</v>
      </c>
      <c r="J401" s="225"/>
      <c r="K401" s="223"/>
      <c r="L401" s="223"/>
      <c r="M401" s="226"/>
      <c r="N401" s="223"/>
      <c r="O401" s="227"/>
    </row>
    <row r="402" spans="1:15" ht="15.75">
      <c r="A402" s="224"/>
      <c r="B402" s="35"/>
      <c r="C402" s="35"/>
      <c r="D402" s="35"/>
      <c r="E402" s="35"/>
      <c r="F402" s="210"/>
      <c r="G402" s="22" t="s">
        <v>954</v>
      </c>
      <c r="H402" s="40" t="s">
        <v>955</v>
      </c>
      <c r="I402" s="223" t="s">
        <v>956</v>
      </c>
      <c r="J402" s="225"/>
      <c r="K402" s="223"/>
      <c r="L402" s="223"/>
      <c r="M402" s="226"/>
      <c r="N402" s="223"/>
      <c r="O402" s="227"/>
    </row>
    <row r="403" spans="1:15" ht="15.75">
      <c r="A403" s="224"/>
      <c r="B403" s="35"/>
      <c r="C403" s="35"/>
      <c r="D403" s="35"/>
      <c r="E403" s="35"/>
      <c r="F403" s="210"/>
      <c r="G403" s="23"/>
      <c r="H403" s="40" t="s">
        <v>957</v>
      </c>
      <c r="I403" s="223" t="s">
        <v>958</v>
      </c>
      <c r="J403" s="225"/>
      <c r="K403" s="223"/>
      <c r="L403" s="223"/>
      <c r="M403" s="226"/>
      <c r="N403" s="223"/>
      <c r="O403" s="227"/>
    </row>
    <row r="404" spans="1:15" ht="15.75">
      <c r="A404" s="224"/>
      <c r="B404" s="35"/>
      <c r="C404" s="35"/>
      <c r="D404" s="35"/>
      <c r="E404" s="35"/>
      <c r="F404" s="210"/>
      <c r="G404" s="23"/>
      <c r="H404" s="40" t="s">
        <v>959</v>
      </c>
      <c r="I404" s="223" t="s">
        <v>960</v>
      </c>
      <c r="J404" s="225"/>
      <c r="K404" s="223"/>
      <c r="L404" s="223"/>
      <c r="M404" s="226"/>
      <c r="N404" s="223"/>
      <c r="O404" s="227"/>
    </row>
    <row r="405" spans="1:15" ht="15.75">
      <c r="A405" s="224"/>
      <c r="B405" s="35"/>
      <c r="C405" s="35"/>
      <c r="D405" s="35"/>
      <c r="E405" s="35"/>
      <c r="F405" s="210"/>
      <c r="G405" s="23"/>
      <c r="H405" s="40" t="s">
        <v>961</v>
      </c>
      <c r="I405" s="223" t="s">
        <v>962</v>
      </c>
      <c r="J405" s="225"/>
      <c r="K405" s="223"/>
      <c r="L405" s="223"/>
      <c r="M405" s="226"/>
      <c r="N405" s="223"/>
      <c r="O405" s="227"/>
    </row>
    <row r="406" spans="1:15" ht="15.75">
      <c r="A406" s="224"/>
      <c r="B406" s="35"/>
      <c r="C406" s="35"/>
      <c r="D406" s="35"/>
      <c r="E406" s="35"/>
      <c r="F406" s="210"/>
      <c r="G406" s="24"/>
      <c r="H406" s="40" t="s">
        <v>963</v>
      </c>
      <c r="I406" s="223" t="s">
        <v>964</v>
      </c>
      <c r="J406" s="225"/>
      <c r="K406" s="223"/>
      <c r="L406" s="223"/>
      <c r="M406" s="226"/>
      <c r="N406" s="223"/>
      <c r="O406" s="227"/>
    </row>
    <row r="407" spans="1:15" ht="15.75">
      <c r="A407" s="224"/>
      <c r="B407" s="35"/>
      <c r="C407" s="35"/>
      <c r="D407" s="35"/>
      <c r="E407" s="35"/>
      <c r="F407" s="210"/>
      <c r="G407" s="22" t="s">
        <v>965</v>
      </c>
      <c r="H407" s="47" t="s">
        <v>966</v>
      </c>
      <c r="I407" s="223" t="s">
        <v>967</v>
      </c>
      <c r="J407" s="225"/>
      <c r="K407" s="223"/>
      <c r="L407" s="223"/>
      <c r="M407" s="226"/>
      <c r="N407" s="223"/>
      <c r="O407" s="227"/>
    </row>
    <row r="408" spans="1:15" ht="15.75">
      <c r="A408" s="224"/>
      <c r="B408" s="35"/>
      <c r="C408" s="35"/>
      <c r="D408" s="35"/>
      <c r="E408" s="35"/>
      <c r="F408" s="210"/>
      <c r="G408" s="23"/>
      <c r="H408" s="47" t="s">
        <v>968</v>
      </c>
      <c r="I408" s="223" t="s">
        <v>969</v>
      </c>
      <c r="J408" s="225"/>
      <c r="K408" s="223"/>
      <c r="L408" s="223"/>
      <c r="M408" s="226"/>
      <c r="N408" s="223"/>
      <c r="O408" s="227"/>
    </row>
    <row r="409" spans="1:15" ht="15.75">
      <c r="A409" s="224"/>
      <c r="B409" s="35"/>
      <c r="C409" s="35"/>
      <c r="D409" s="35"/>
      <c r="E409" s="35"/>
      <c r="F409" s="210"/>
      <c r="G409" s="23"/>
      <c r="H409" s="47" t="s">
        <v>970</v>
      </c>
      <c r="I409" s="223" t="s">
        <v>971</v>
      </c>
      <c r="J409" s="225"/>
      <c r="K409" s="223"/>
      <c r="L409" s="223"/>
      <c r="M409" s="226"/>
      <c r="N409" s="223"/>
      <c r="O409" s="227"/>
    </row>
    <row r="410" spans="1:15" ht="15.75">
      <c r="A410" s="224"/>
      <c r="B410" s="35"/>
      <c r="C410" s="35"/>
      <c r="D410" s="35"/>
      <c r="E410" s="35"/>
      <c r="F410" s="210"/>
      <c r="G410" s="23"/>
      <c r="H410" s="47" t="s">
        <v>972</v>
      </c>
      <c r="I410" s="223" t="s">
        <v>973</v>
      </c>
      <c r="J410" s="225"/>
      <c r="K410" s="223"/>
      <c r="L410" s="223"/>
      <c r="M410" s="226"/>
      <c r="N410" s="223"/>
      <c r="O410" s="227"/>
    </row>
    <row r="411" spans="1:15" ht="15.75">
      <c r="A411" s="224"/>
      <c r="B411" s="35"/>
      <c r="C411" s="35"/>
      <c r="D411" s="35"/>
      <c r="E411" s="35"/>
      <c r="F411" s="210"/>
      <c r="G411" s="24"/>
      <c r="H411" s="47" t="s">
        <v>974</v>
      </c>
      <c r="I411" s="223" t="s">
        <v>975</v>
      </c>
      <c r="J411" s="225"/>
      <c r="K411" s="223"/>
      <c r="L411" s="223"/>
      <c r="M411" s="226"/>
      <c r="N411" s="223"/>
      <c r="O411" s="227"/>
    </row>
    <row r="412" spans="1:15" ht="15.75">
      <c r="A412" s="224"/>
      <c r="B412" s="35"/>
      <c r="C412" s="35"/>
      <c r="D412" s="35"/>
      <c r="E412" s="35"/>
      <c r="F412" s="210"/>
      <c r="G412" s="22" t="s">
        <v>976</v>
      </c>
      <c r="H412" s="40" t="s">
        <v>977</v>
      </c>
      <c r="I412" s="223" t="s">
        <v>978</v>
      </c>
      <c r="J412" s="225"/>
      <c r="K412" s="223"/>
      <c r="L412" s="223"/>
      <c r="M412" s="226"/>
      <c r="N412" s="223"/>
      <c r="O412" s="227"/>
    </row>
    <row r="413" spans="1:15" ht="15.75">
      <c r="A413" s="224"/>
      <c r="B413" s="35"/>
      <c r="C413" s="35"/>
      <c r="D413" s="35"/>
      <c r="E413" s="35"/>
      <c r="F413" s="210"/>
      <c r="G413" s="23"/>
      <c r="H413" s="40" t="s">
        <v>979</v>
      </c>
      <c r="I413" s="223" t="s">
        <v>980</v>
      </c>
      <c r="J413" s="225"/>
      <c r="K413" s="223"/>
      <c r="L413" s="223"/>
      <c r="M413" s="226"/>
      <c r="N413" s="223"/>
      <c r="O413" s="227"/>
    </row>
    <row r="414" spans="1:15" ht="30.75">
      <c r="A414" s="224"/>
      <c r="B414" s="35"/>
      <c r="C414" s="35"/>
      <c r="D414" s="35"/>
      <c r="E414" s="35"/>
      <c r="F414" s="210"/>
      <c r="G414" s="23"/>
      <c r="H414" s="40" t="s">
        <v>981</v>
      </c>
      <c r="I414" s="223" t="s">
        <v>982</v>
      </c>
      <c r="J414" s="225"/>
      <c r="K414" s="223"/>
      <c r="L414" s="223"/>
      <c r="M414" s="226"/>
      <c r="N414" s="223"/>
      <c r="O414" s="227"/>
    </row>
    <row r="415" spans="1:15" ht="15.75">
      <c r="A415" s="224"/>
      <c r="B415" s="35"/>
      <c r="C415" s="35"/>
      <c r="D415" s="35"/>
      <c r="E415" s="35"/>
      <c r="F415" s="210"/>
      <c r="G415" s="23"/>
      <c r="H415" s="40" t="s">
        <v>983</v>
      </c>
      <c r="I415" s="223" t="s">
        <v>984</v>
      </c>
      <c r="J415" s="225"/>
      <c r="K415" s="223"/>
      <c r="L415" s="223"/>
      <c r="M415" s="226"/>
      <c r="N415" s="223"/>
      <c r="O415" s="227"/>
    </row>
    <row r="416" spans="1:15" ht="15.75">
      <c r="A416" s="224"/>
      <c r="B416" s="35"/>
      <c r="C416" s="35"/>
      <c r="D416" s="35"/>
      <c r="E416" s="35"/>
      <c r="F416" s="210"/>
      <c r="G416" s="24"/>
      <c r="H416" s="40" t="s">
        <v>985</v>
      </c>
      <c r="I416" s="223" t="s">
        <v>986</v>
      </c>
      <c r="J416" s="225"/>
      <c r="K416" s="223"/>
      <c r="L416" s="223"/>
      <c r="M416" s="226"/>
      <c r="N416" s="223"/>
      <c r="O416" s="227"/>
    </row>
    <row r="417" spans="1:15" ht="15.75">
      <c r="A417" s="224"/>
      <c r="B417" s="36"/>
      <c r="C417" s="36"/>
      <c r="D417" s="36"/>
      <c r="E417" s="36"/>
      <c r="F417" s="212"/>
      <c r="G417" s="22" t="s">
        <v>987</v>
      </c>
      <c r="H417" s="47" t="s">
        <v>988</v>
      </c>
      <c r="I417" s="223" t="s">
        <v>989</v>
      </c>
      <c r="J417" s="225"/>
      <c r="K417" s="223"/>
      <c r="L417" s="223"/>
      <c r="M417" s="226"/>
      <c r="N417" s="223"/>
      <c r="O417" s="227"/>
    </row>
    <row r="418" spans="1:15" ht="30.75">
      <c r="A418" s="224"/>
      <c r="B418" s="228"/>
      <c r="C418" s="228"/>
      <c r="D418" s="228"/>
      <c r="E418" s="228"/>
      <c r="F418" s="229"/>
      <c r="G418" s="23"/>
      <c r="H418" s="47" t="s">
        <v>990</v>
      </c>
      <c r="I418" s="223" t="s">
        <v>991</v>
      </c>
      <c r="J418" s="225"/>
      <c r="K418" s="223"/>
      <c r="L418" s="223"/>
      <c r="M418" s="226"/>
      <c r="N418" s="223"/>
      <c r="O418" s="227"/>
    </row>
    <row r="419" spans="1:15" ht="15.75">
      <c r="A419" s="224"/>
      <c r="B419" s="228"/>
      <c r="C419" s="228"/>
      <c r="D419" s="228"/>
      <c r="E419" s="228"/>
      <c r="F419" s="229"/>
      <c r="G419" s="23"/>
      <c r="H419" s="47" t="s">
        <v>992</v>
      </c>
      <c r="I419" s="223" t="s">
        <v>993</v>
      </c>
      <c r="J419" s="225"/>
      <c r="K419" s="223"/>
      <c r="L419" s="223"/>
      <c r="M419" s="226"/>
      <c r="N419" s="223"/>
      <c r="O419" s="227"/>
    </row>
    <row r="420" spans="1:15" ht="15.75">
      <c r="A420" s="224"/>
      <c r="B420" s="228"/>
      <c r="C420" s="228"/>
      <c r="D420" s="228"/>
      <c r="E420" s="228"/>
      <c r="F420" s="229"/>
      <c r="G420" s="23"/>
      <c r="H420" s="47" t="s">
        <v>994</v>
      </c>
      <c r="I420" s="223" t="s">
        <v>995</v>
      </c>
      <c r="J420" s="225"/>
      <c r="K420" s="223"/>
      <c r="L420" s="223"/>
      <c r="M420" s="226"/>
      <c r="N420" s="223"/>
      <c r="O420" s="227"/>
    </row>
    <row r="421" spans="1:15" ht="15.75">
      <c r="A421" s="224"/>
      <c r="B421" s="228"/>
      <c r="C421" s="228"/>
      <c r="D421" s="228"/>
      <c r="E421" s="228"/>
      <c r="F421" s="229"/>
      <c r="G421" s="24"/>
      <c r="H421" s="47" t="s">
        <v>996</v>
      </c>
      <c r="I421" s="223" t="s">
        <v>997</v>
      </c>
      <c r="J421" s="225"/>
      <c r="K421" s="223"/>
      <c r="L421" s="223"/>
      <c r="M421" s="226"/>
      <c r="N421" s="223"/>
      <c r="O421" s="227"/>
    </row>
    <row r="422" spans="1:15" ht="15.75">
      <c r="A422" s="224"/>
      <c r="B422" s="33"/>
      <c r="C422" s="33"/>
      <c r="D422" s="33"/>
      <c r="E422" s="33"/>
      <c r="F422" s="204" t="s">
        <v>998</v>
      </c>
      <c r="G422" s="25" t="s">
        <v>999</v>
      </c>
      <c r="H422" s="40" t="s">
        <v>1000</v>
      </c>
      <c r="I422" s="223" t="s">
        <v>1001</v>
      </c>
      <c r="J422" s="225"/>
      <c r="K422" s="223"/>
      <c r="L422" s="223"/>
      <c r="M422" s="226"/>
      <c r="N422" s="223"/>
      <c r="O422" s="227"/>
    </row>
    <row r="423" spans="1:15" ht="15.75">
      <c r="A423" s="224"/>
      <c r="B423" s="35"/>
      <c r="C423" s="35"/>
      <c r="D423" s="35"/>
      <c r="E423" s="35"/>
      <c r="F423" s="210"/>
      <c r="G423" s="26"/>
      <c r="H423" s="40" t="s">
        <v>1002</v>
      </c>
      <c r="I423" s="223" t="s">
        <v>1003</v>
      </c>
      <c r="J423" s="225"/>
      <c r="K423" s="223"/>
      <c r="L423" s="223"/>
      <c r="M423" s="226"/>
      <c r="N423" s="223"/>
      <c r="O423" s="227"/>
    </row>
    <row r="424" spans="1:15" ht="30.75">
      <c r="A424" s="224"/>
      <c r="B424" s="35"/>
      <c r="C424" s="35"/>
      <c r="D424" s="35"/>
      <c r="E424" s="35"/>
      <c r="F424" s="210"/>
      <c r="G424" s="26"/>
      <c r="H424" s="40" t="s">
        <v>1004</v>
      </c>
      <c r="I424" s="223" t="s">
        <v>1005</v>
      </c>
      <c r="J424" s="225"/>
      <c r="K424" s="223"/>
      <c r="L424" s="223"/>
      <c r="M424" s="226"/>
      <c r="N424" s="223"/>
      <c r="O424" s="227"/>
    </row>
    <row r="425" spans="1:15" ht="15.75">
      <c r="A425" s="224"/>
      <c r="B425" s="35"/>
      <c r="C425" s="35"/>
      <c r="D425" s="35"/>
      <c r="E425" s="35"/>
      <c r="F425" s="210"/>
      <c r="G425" s="26"/>
      <c r="H425" s="40" t="s">
        <v>1006</v>
      </c>
      <c r="I425" s="223" t="s">
        <v>1003</v>
      </c>
      <c r="J425" s="225"/>
      <c r="K425" s="223"/>
      <c r="L425" s="223"/>
      <c r="M425" s="226"/>
      <c r="N425" s="223"/>
      <c r="O425" s="227"/>
    </row>
    <row r="426" spans="1:15" ht="15.75">
      <c r="A426" s="224"/>
      <c r="B426" s="35"/>
      <c r="C426" s="35"/>
      <c r="D426" s="35"/>
      <c r="E426" s="35"/>
      <c r="F426" s="210"/>
      <c r="G426" s="27"/>
      <c r="H426" s="40" t="s">
        <v>1007</v>
      </c>
      <c r="I426" s="223" t="s">
        <v>1008</v>
      </c>
      <c r="J426" s="225"/>
      <c r="K426" s="223"/>
      <c r="L426" s="223"/>
      <c r="M426" s="226"/>
      <c r="N426" s="223"/>
      <c r="O426" s="227"/>
    </row>
    <row r="427" spans="1:15" ht="30.75">
      <c r="A427" s="224"/>
      <c r="B427" s="35"/>
      <c r="C427" s="35"/>
      <c r="D427" s="35"/>
      <c r="E427" s="35"/>
      <c r="F427" s="210"/>
      <c r="G427" s="28" t="s">
        <v>1009</v>
      </c>
      <c r="H427" s="47" t="s">
        <v>1010</v>
      </c>
      <c r="I427" s="223" t="s">
        <v>1011</v>
      </c>
      <c r="J427" s="225"/>
      <c r="K427" s="223"/>
      <c r="L427" s="223"/>
      <c r="M427" s="226"/>
      <c r="N427" s="223"/>
      <c r="O427" s="227"/>
    </row>
    <row r="428" spans="1:15" ht="15.75">
      <c r="A428" s="224"/>
      <c r="B428" s="35"/>
      <c r="C428" s="35"/>
      <c r="D428" s="35"/>
      <c r="E428" s="35"/>
      <c r="F428" s="210"/>
      <c r="G428" s="29"/>
      <c r="H428" s="47" t="s">
        <v>1012</v>
      </c>
      <c r="I428" s="223" t="s">
        <v>1013</v>
      </c>
      <c r="J428" s="225"/>
      <c r="K428" s="223"/>
      <c r="L428" s="223"/>
      <c r="M428" s="226"/>
      <c r="N428" s="223"/>
      <c r="O428" s="227"/>
    </row>
    <row r="429" spans="1:15" ht="15.75">
      <c r="A429" s="224"/>
      <c r="B429" s="35"/>
      <c r="C429" s="35"/>
      <c r="D429" s="35"/>
      <c r="E429" s="35"/>
      <c r="F429" s="210"/>
      <c r="G429" s="29"/>
      <c r="H429" s="47" t="s">
        <v>1014</v>
      </c>
      <c r="I429" s="223" t="s">
        <v>1015</v>
      </c>
      <c r="J429" s="225"/>
      <c r="K429" s="223"/>
      <c r="L429" s="223"/>
      <c r="M429" s="226"/>
      <c r="N429" s="223"/>
      <c r="O429" s="227"/>
    </row>
    <row r="430" spans="1:15" ht="15.75">
      <c r="A430" s="224"/>
      <c r="B430" s="35"/>
      <c r="C430" s="35"/>
      <c r="D430" s="35"/>
      <c r="E430" s="35"/>
      <c r="F430" s="210"/>
      <c r="G430" s="29"/>
      <c r="H430" s="47" t="s">
        <v>1016</v>
      </c>
      <c r="I430" s="223" t="s">
        <v>1017</v>
      </c>
      <c r="J430" s="225"/>
      <c r="K430" s="223"/>
      <c r="L430" s="223"/>
      <c r="M430" s="226"/>
      <c r="N430" s="223"/>
      <c r="O430" s="227"/>
    </row>
    <row r="431" spans="1:15" ht="15.75">
      <c r="A431" s="224"/>
      <c r="B431" s="35"/>
      <c r="C431" s="35"/>
      <c r="D431" s="35"/>
      <c r="E431" s="35"/>
      <c r="F431" s="210"/>
      <c r="G431" s="30"/>
      <c r="H431" s="47" t="s">
        <v>1018</v>
      </c>
      <c r="I431" s="223" t="s">
        <v>1019</v>
      </c>
      <c r="J431" s="225"/>
      <c r="K431" s="223"/>
      <c r="L431" s="223"/>
      <c r="M431" s="226"/>
      <c r="N431" s="223"/>
      <c r="O431" s="227"/>
    </row>
    <row r="432" spans="1:15" ht="15.75">
      <c r="A432" s="224"/>
      <c r="B432" s="35"/>
      <c r="C432" s="35"/>
      <c r="D432" s="35"/>
      <c r="E432" s="35"/>
      <c r="F432" s="210"/>
      <c r="G432" s="28" t="s">
        <v>1020</v>
      </c>
      <c r="H432" s="40" t="s">
        <v>1021</v>
      </c>
      <c r="I432" s="223" t="s">
        <v>1022</v>
      </c>
      <c r="J432" s="225"/>
      <c r="K432" s="223"/>
      <c r="L432" s="223"/>
      <c r="M432" s="226"/>
      <c r="N432" s="223"/>
      <c r="O432" s="227"/>
    </row>
    <row r="433" spans="1:15" ht="30.75">
      <c r="A433" s="224"/>
      <c r="B433" s="35"/>
      <c r="C433" s="35"/>
      <c r="D433" s="35"/>
      <c r="E433" s="35"/>
      <c r="F433" s="210"/>
      <c r="G433" s="29"/>
      <c r="H433" s="40" t="s">
        <v>1023</v>
      </c>
      <c r="I433" s="223" t="s">
        <v>1024</v>
      </c>
      <c r="J433" s="225"/>
      <c r="K433" s="223"/>
      <c r="L433" s="223"/>
      <c r="M433" s="226"/>
      <c r="N433" s="223"/>
      <c r="O433" s="227"/>
    </row>
    <row r="434" spans="1:15" ht="15.75">
      <c r="A434" s="224"/>
      <c r="B434" s="35"/>
      <c r="C434" s="35"/>
      <c r="D434" s="35"/>
      <c r="E434" s="35"/>
      <c r="F434" s="210"/>
      <c r="G434" s="29"/>
      <c r="H434" s="40" t="s">
        <v>1025</v>
      </c>
      <c r="I434" s="223" t="s">
        <v>1026</v>
      </c>
      <c r="J434" s="225"/>
      <c r="K434" s="223"/>
      <c r="L434" s="223"/>
      <c r="M434" s="226"/>
      <c r="N434" s="223"/>
      <c r="O434" s="227"/>
    </row>
    <row r="435" spans="1:15" ht="15.75">
      <c r="A435" s="224"/>
      <c r="B435" s="35"/>
      <c r="C435" s="35"/>
      <c r="D435" s="35"/>
      <c r="E435" s="35"/>
      <c r="F435" s="210"/>
      <c r="G435" s="29"/>
      <c r="H435" s="40" t="s">
        <v>1027</v>
      </c>
      <c r="I435" s="223" t="s">
        <v>1028</v>
      </c>
      <c r="J435" s="225"/>
      <c r="K435" s="223"/>
      <c r="L435" s="223"/>
      <c r="M435" s="226"/>
      <c r="N435" s="223"/>
      <c r="O435" s="227"/>
    </row>
    <row r="436" spans="1:15" ht="15.75">
      <c r="A436" s="224"/>
      <c r="B436" s="35"/>
      <c r="C436" s="35"/>
      <c r="D436" s="35"/>
      <c r="E436" s="35"/>
      <c r="F436" s="210"/>
      <c r="G436" s="30"/>
      <c r="H436" s="40" t="s">
        <v>1029</v>
      </c>
      <c r="I436" s="223" t="s">
        <v>1030</v>
      </c>
      <c r="J436" s="225"/>
      <c r="K436" s="223"/>
      <c r="L436" s="223"/>
      <c r="M436" s="226"/>
      <c r="N436" s="223"/>
      <c r="O436" s="227"/>
    </row>
    <row r="437" spans="1:15" ht="15.75">
      <c r="A437" s="224"/>
      <c r="B437" s="35"/>
      <c r="C437" s="35"/>
      <c r="D437" s="35"/>
      <c r="E437" s="35"/>
      <c r="F437" s="210"/>
      <c r="G437" s="28" t="s">
        <v>1031</v>
      </c>
      <c r="H437" s="47" t="s">
        <v>1032</v>
      </c>
      <c r="I437" s="223" t="s">
        <v>1033</v>
      </c>
      <c r="J437" s="225"/>
      <c r="K437" s="223"/>
      <c r="L437" s="223"/>
      <c r="M437" s="226"/>
      <c r="N437" s="223"/>
      <c r="O437" s="227"/>
    </row>
    <row r="438" spans="1:15" ht="15.75">
      <c r="A438" s="224"/>
      <c r="B438" s="35"/>
      <c r="C438" s="35"/>
      <c r="D438" s="35"/>
      <c r="E438" s="35"/>
      <c r="F438" s="210"/>
      <c r="G438" s="29"/>
      <c r="H438" s="47" t="s">
        <v>1034</v>
      </c>
      <c r="I438" s="223" t="s">
        <v>1035</v>
      </c>
      <c r="J438" s="225"/>
      <c r="K438" s="223"/>
      <c r="L438" s="223"/>
      <c r="M438" s="226"/>
      <c r="N438" s="223"/>
      <c r="O438" s="227"/>
    </row>
    <row r="439" spans="1:15" ht="15.75">
      <c r="A439" s="224"/>
      <c r="B439" s="35"/>
      <c r="C439" s="35"/>
      <c r="D439" s="35"/>
      <c r="E439" s="35"/>
      <c r="F439" s="210"/>
      <c r="G439" s="29"/>
      <c r="H439" s="47" t="s">
        <v>1036</v>
      </c>
      <c r="I439" s="223" t="s">
        <v>1037</v>
      </c>
      <c r="J439" s="225"/>
      <c r="K439" s="223"/>
      <c r="L439" s="223"/>
      <c r="M439" s="226"/>
      <c r="N439" s="223"/>
      <c r="O439" s="227"/>
    </row>
    <row r="440" spans="1:15" ht="15.75">
      <c r="A440" s="224"/>
      <c r="B440" s="35"/>
      <c r="C440" s="35"/>
      <c r="D440" s="35"/>
      <c r="E440" s="35"/>
      <c r="F440" s="210"/>
      <c r="G440" s="29"/>
      <c r="H440" s="47" t="s">
        <v>1038</v>
      </c>
      <c r="I440" s="223" t="s">
        <v>1039</v>
      </c>
      <c r="J440" s="225"/>
      <c r="K440" s="223"/>
      <c r="L440" s="223"/>
      <c r="M440" s="226"/>
      <c r="N440" s="223"/>
      <c r="O440" s="227"/>
    </row>
    <row r="441" spans="1:15" ht="30.75">
      <c r="A441" s="224"/>
      <c r="B441" s="35"/>
      <c r="C441" s="35"/>
      <c r="D441" s="35"/>
      <c r="E441" s="35"/>
      <c r="F441" s="210"/>
      <c r="G441" s="30"/>
      <c r="H441" s="47" t="s">
        <v>1040</v>
      </c>
      <c r="I441" s="223" t="s">
        <v>1041</v>
      </c>
      <c r="J441" s="225"/>
      <c r="K441" s="223"/>
      <c r="L441" s="223"/>
      <c r="M441" s="226"/>
      <c r="N441" s="223"/>
      <c r="O441" s="227"/>
    </row>
    <row r="442" spans="1:15" ht="15.75">
      <c r="A442" s="224"/>
      <c r="B442" s="35"/>
      <c r="C442" s="35"/>
      <c r="D442" s="35"/>
      <c r="E442" s="35"/>
      <c r="F442" s="210"/>
      <c r="G442" s="28" t="s">
        <v>1042</v>
      </c>
      <c r="H442" s="40" t="s">
        <v>1043</v>
      </c>
      <c r="I442" s="223" t="s">
        <v>1044</v>
      </c>
      <c r="J442" s="225"/>
      <c r="K442" s="223"/>
      <c r="L442" s="223"/>
      <c r="M442" s="226"/>
      <c r="N442" s="223"/>
      <c r="O442" s="227"/>
    </row>
    <row r="443" spans="1:15" ht="30.75">
      <c r="A443" s="224"/>
      <c r="B443" s="35"/>
      <c r="C443" s="35"/>
      <c r="D443" s="35"/>
      <c r="E443" s="35"/>
      <c r="F443" s="210"/>
      <c r="G443" s="29"/>
      <c r="H443" s="40" t="s">
        <v>1045</v>
      </c>
      <c r="I443" s="223" t="s">
        <v>1046</v>
      </c>
      <c r="J443" s="225"/>
      <c r="K443" s="223"/>
      <c r="L443" s="223"/>
      <c r="M443" s="226"/>
      <c r="N443" s="223"/>
      <c r="O443" s="227"/>
    </row>
    <row r="444" spans="1:15" ht="15.75">
      <c r="A444" s="224"/>
      <c r="B444" s="35"/>
      <c r="C444" s="35"/>
      <c r="D444" s="35"/>
      <c r="E444" s="35"/>
      <c r="F444" s="210"/>
      <c r="G444" s="29"/>
      <c r="H444" s="40" t="s">
        <v>1047</v>
      </c>
      <c r="I444" s="223" t="s">
        <v>1048</v>
      </c>
      <c r="J444" s="225"/>
      <c r="K444" s="223"/>
      <c r="L444" s="223"/>
      <c r="M444" s="226"/>
      <c r="N444" s="223"/>
      <c r="O444" s="227"/>
    </row>
    <row r="445" spans="1:15" ht="15.75">
      <c r="A445" s="224"/>
      <c r="B445" s="35"/>
      <c r="C445" s="35"/>
      <c r="D445" s="35"/>
      <c r="E445" s="35"/>
      <c r="F445" s="210"/>
      <c r="G445" s="29"/>
      <c r="H445" s="40" t="s">
        <v>1049</v>
      </c>
      <c r="I445" s="223" t="s">
        <v>1050</v>
      </c>
      <c r="J445" s="225"/>
      <c r="K445" s="223"/>
      <c r="L445" s="223"/>
      <c r="M445" s="226"/>
      <c r="N445" s="223"/>
      <c r="O445" s="227"/>
    </row>
    <row r="446" spans="1:15" ht="15.75">
      <c r="A446" s="224"/>
      <c r="B446" s="35"/>
      <c r="C446" s="35"/>
      <c r="D446" s="35"/>
      <c r="E446" s="35"/>
      <c r="F446" s="210"/>
      <c r="G446" s="30"/>
      <c r="H446" s="40" t="s">
        <v>1051</v>
      </c>
      <c r="I446" s="223" t="s">
        <v>1052</v>
      </c>
      <c r="J446" s="225"/>
      <c r="K446" s="223"/>
      <c r="L446" s="223"/>
      <c r="M446" s="226"/>
      <c r="N446" s="223"/>
      <c r="O446" s="227"/>
    </row>
    <row r="447" spans="1:15" ht="30.75">
      <c r="A447" s="224"/>
      <c r="B447" s="36"/>
      <c r="C447" s="36"/>
      <c r="D447" s="36"/>
      <c r="E447" s="36"/>
      <c r="F447" s="212"/>
      <c r="G447" s="28" t="s">
        <v>1053</v>
      </c>
      <c r="H447" s="151" t="s">
        <v>1054</v>
      </c>
      <c r="I447" s="223" t="s">
        <v>1055</v>
      </c>
      <c r="J447" s="225" t="s">
        <v>20</v>
      </c>
      <c r="K447" s="223" t="s">
        <v>1056</v>
      </c>
      <c r="L447" s="223" t="s">
        <v>1057</v>
      </c>
      <c r="M447" s="226" t="s">
        <v>94</v>
      </c>
      <c r="N447" s="223" t="s">
        <v>1058</v>
      </c>
      <c r="O447" s="227"/>
    </row>
    <row r="448" spans="1:15" ht="15.75">
      <c r="A448" s="230"/>
      <c r="B448" s="228"/>
      <c r="C448" s="228"/>
      <c r="D448" s="228"/>
      <c r="E448" s="228"/>
      <c r="F448" s="229"/>
      <c r="G448" s="29"/>
      <c r="H448" s="47" t="s">
        <v>1059</v>
      </c>
      <c r="I448" s="223" t="s">
        <v>1060</v>
      </c>
      <c r="J448" s="225"/>
      <c r="K448" s="223"/>
      <c r="L448" s="223"/>
      <c r="M448" s="226"/>
      <c r="N448" s="223"/>
      <c r="O448" s="227"/>
    </row>
    <row r="449" spans="1:15" ht="30.75">
      <c r="A449" s="230"/>
      <c r="B449" s="228"/>
      <c r="C449" s="228"/>
      <c r="D449" s="228"/>
      <c r="E449" s="228"/>
      <c r="F449" s="229"/>
      <c r="G449" s="29"/>
      <c r="H449" s="47" t="s">
        <v>1061</v>
      </c>
      <c r="I449" s="223" t="s">
        <v>1062</v>
      </c>
      <c r="J449" s="225"/>
      <c r="K449" s="223"/>
      <c r="L449" s="223"/>
      <c r="M449" s="226"/>
      <c r="N449" s="223"/>
      <c r="O449" s="227"/>
    </row>
    <row r="450" spans="1:15" ht="15.75">
      <c r="A450" s="230"/>
      <c r="B450" s="228"/>
      <c r="C450" s="228"/>
      <c r="D450" s="228"/>
      <c r="E450" s="228"/>
      <c r="F450" s="229"/>
      <c r="G450" s="29"/>
      <c r="H450" s="47" t="s">
        <v>1063</v>
      </c>
      <c r="I450" s="223" t="s">
        <v>1064</v>
      </c>
      <c r="J450" s="225"/>
      <c r="K450" s="223"/>
      <c r="L450" s="223"/>
      <c r="M450" s="226"/>
      <c r="N450" s="223"/>
      <c r="O450" s="227"/>
    </row>
    <row r="451" spans="1:15" ht="30.75">
      <c r="A451" s="230"/>
      <c r="B451" s="228"/>
      <c r="C451" s="228"/>
      <c r="D451" s="228"/>
      <c r="E451" s="228"/>
      <c r="F451" s="229"/>
      <c r="G451" s="30"/>
      <c r="H451" s="47" t="s">
        <v>1065</v>
      </c>
      <c r="I451" s="223" t="s">
        <v>1066</v>
      </c>
      <c r="J451" s="225"/>
      <c r="K451" s="223"/>
      <c r="L451" s="223"/>
      <c r="M451" s="226"/>
      <c r="N451" s="223"/>
      <c r="O451" s="227"/>
    </row>
    <row r="452" spans="1:15" ht="30.75">
      <c r="A452" s="31" t="s">
        <v>1067</v>
      </c>
      <c r="B452" s="32"/>
      <c r="C452" s="32"/>
      <c r="D452" s="32"/>
      <c r="E452" s="32"/>
      <c r="F452" s="231" t="s">
        <v>1068</v>
      </c>
      <c r="G452" s="33" t="s">
        <v>1069</v>
      </c>
      <c r="H452" s="165" t="s">
        <v>1070</v>
      </c>
      <c r="I452" s="232" t="s">
        <v>1071</v>
      </c>
      <c r="J452" s="233" t="s">
        <v>20</v>
      </c>
      <c r="K452" s="234" t="s">
        <v>1072</v>
      </c>
      <c r="L452" s="234" t="s">
        <v>1073</v>
      </c>
      <c r="M452" s="235" t="s">
        <v>94</v>
      </c>
      <c r="N452" s="234" t="s">
        <v>1074</v>
      </c>
      <c r="O452" s="236"/>
    </row>
    <row r="453" spans="1:15" ht="15.75">
      <c r="A453" s="31"/>
      <c r="B453" s="34"/>
      <c r="C453" s="34"/>
      <c r="D453" s="34"/>
      <c r="E453" s="34"/>
      <c r="F453" s="237"/>
      <c r="G453" s="35"/>
      <c r="H453" s="40" t="s">
        <v>1075</v>
      </c>
      <c r="I453" s="232" t="s">
        <v>1076</v>
      </c>
      <c r="J453" s="233"/>
      <c r="K453" s="234"/>
      <c r="L453" s="234"/>
      <c r="M453" s="235"/>
      <c r="N453" s="234"/>
      <c r="O453" s="236"/>
    </row>
    <row r="454" spans="1:15" ht="15.75">
      <c r="A454" s="31"/>
      <c r="B454" s="34"/>
      <c r="C454" s="34"/>
      <c r="D454" s="34"/>
      <c r="E454" s="34"/>
      <c r="F454" s="237"/>
      <c r="G454" s="35"/>
      <c r="H454" s="40" t="s">
        <v>1077</v>
      </c>
      <c r="I454" s="232" t="s">
        <v>1078</v>
      </c>
      <c r="J454" s="233"/>
      <c r="K454" s="234"/>
      <c r="L454" s="234"/>
      <c r="M454" s="235"/>
      <c r="N454" s="234"/>
      <c r="O454" s="236"/>
    </row>
    <row r="455" spans="1:15" ht="15.75">
      <c r="A455" s="31"/>
      <c r="B455" s="34"/>
      <c r="C455" s="34"/>
      <c r="D455" s="34"/>
      <c r="E455" s="34"/>
      <c r="F455" s="237"/>
      <c r="G455" s="35"/>
      <c r="H455" s="40" t="s">
        <v>1079</v>
      </c>
      <c r="I455" s="232" t="s">
        <v>1080</v>
      </c>
      <c r="J455" s="233"/>
      <c r="K455" s="234"/>
      <c r="L455" s="234"/>
      <c r="M455" s="235"/>
      <c r="N455" s="234"/>
      <c r="O455" s="236"/>
    </row>
    <row r="456" spans="1:15" ht="30.75">
      <c r="A456" s="31"/>
      <c r="B456" s="34"/>
      <c r="C456" s="34"/>
      <c r="D456" s="34"/>
      <c r="E456" s="34"/>
      <c r="F456" s="237"/>
      <c r="G456" s="36"/>
      <c r="H456" s="40" t="s">
        <v>1081</v>
      </c>
      <c r="I456" s="232" t="s">
        <v>1082</v>
      </c>
      <c r="J456" s="233"/>
      <c r="K456" s="234"/>
      <c r="L456" s="234"/>
      <c r="M456" s="235"/>
      <c r="N456" s="234"/>
      <c r="O456" s="236"/>
    </row>
    <row r="457" spans="1:15" ht="31.5">
      <c r="A457" s="31"/>
      <c r="B457" s="34"/>
      <c r="C457" s="34"/>
      <c r="D457" s="34"/>
      <c r="E457" s="34"/>
      <c r="F457" s="237"/>
      <c r="G457" s="37" t="s">
        <v>1083</v>
      </c>
      <c r="H457" s="47" t="s">
        <v>1084</v>
      </c>
      <c r="I457" s="232" t="s">
        <v>1085</v>
      </c>
      <c r="J457" s="233"/>
      <c r="K457" s="234"/>
      <c r="L457" s="234"/>
      <c r="M457" s="235"/>
      <c r="N457" s="234"/>
      <c r="O457" s="236"/>
    </row>
    <row r="458" spans="1:15" ht="15.75">
      <c r="A458" s="31"/>
      <c r="B458" s="34"/>
      <c r="C458" s="34"/>
      <c r="D458" s="34"/>
      <c r="E458" s="34"/>
      <c r="F458" s="237"/>
      <c r="G458" s="38"/>
      <c r="H458" s="47" t="s">
        <v>1086</v>
      </c>
      <c r="I458" s="232" t="s">
        <v>1087</v>
      </c>
      <c r="J458" s="233"/>
      <c r="K458" s="234"/>
      <c r="L458" s="234"/>
      <c r="M458" s="235"/>
      <c r="N458" s="234"/>
      <c r="O458" s="236"/>
    </row>
    <row r="459" spans="1:15" ht="15.75">
      <c r="A459" s="31"/>
      <c r="B459" s="34"/>
      <c r="C459" s="34"/>
      <c r="D459" s="34"/>
      <c r="E459" s="34"/>
      <c r="F459" s="237"/>
      <c r="G459" s="38"/>
      <c r="H459" s="47" t="s">
        <v>1088</v>
      </c>
      <c r="I459" s="232" t="s">
        <v>1089</v>
      </c>
      <c r="J459" s="233"/>
      <c r="K459" s="234"/>
      <c r="L459" s="234"/>
      <c r="M459" s="235"/>
      <c r="N459" s="234"/>
      <c r="O459" s="236"/>
    </row>
    <row r="460" spans="1:15" ht="15.75">
      <c r="A460" s="31"/>
      <c r="B460" s="34"/>
      <c r="C460" s="34"/>
      <c r="D460" s="34"/>
      <c r="E460" s="34"/>
      <c r="F460" s="237"/>
      <c r="G460" s="38"/>
      <c r="H460" s="47" t="s">
        <v>1090</v>
      </c>
      <c r="I460" s="232" t="s">
        <v>1091</v>
      </c>
      <c r="J460" s="233"/>
      <c r="K460" s="234"/>
      <c r="L460" s="234"/>
      <c r="M460" s="235"/>
      <c r="N460" s="234"/>
      <c r="O460" s="236"/>
    </row>
    <row r="461" spans="1:15" ht="30.75">
      <c r="A461" s="31"/>
      <c r="B461" s="34"/>
      <c r="C461" s="34"/>
      <c r="D461" s="34"/>
      <c r="E461" s="34"/>
      <c r="F461" s="237"/>
      <c r="G461" s="39"/>
      <c r="H461" s="47" t="s">
        <v>1092</v>
      </c>
      <c r="I461" s="232" t="s">
        <v>1093</v>
      </c>
      <c r="J461" s="233"/>
      <c r="K461" s="234"/>
      <c r="L461" s="234"/>
      <c r="M461" s="235"/>
      <c r="N461" s="234"/>
      <c r="O461" s="236"/>
    </row>
    <row r="462" spans="1:15" ht="31.5">
      <c r="A462" s="31"/>
      <c r="B462" s="34"/>
      <c r="C462" s="34"/>
      <c r="D462" s="34"/>
      <c r="E462" s="34"/>
      <c r="F462" s="237"/>
      <c r="G462" s="37" t="s">
        <v>1094</v>
      </c>
      <c r="H462" s="40" t="s">
        <v>1095</v>
      </c>
      <c r="I462" s="232" t="s">
        <v>1096</v>
      </c>
      <c r="J462" s="233"/>
      <c r="K462" s="234"/>
      <c r="L462" s="234"/>
      <c r="M462" s="235"/>
      <c r="N462" s="234"/>
      <c r="O462" s="236"/>
    </row>
    <row r="463" spans="1:15" ht="15.75">
      <c r="A463" s="31"/>
      <c r="B463" s="34"/>
      <c r="C463" s="34"/>
      <c r="D463" s="34"/>
      <c r="E463" s="34"/>
      <c r="F463" s="237"/>
      <c r="G463" s="38"/>
      <c r="H463" s="40" t="s">
        <v>1097</v>
      </c>
      <c r="I463" s="232" t="s">
        <v>1098</v>
      </c>
      <c r="J463" s="233"/>
      <c r="K463" s="234"/>
      <c r="L463" s="234"/>
      <c r="M463" s="235"/>
      <c r="N463" s="234"/>
      <c r="O463" s="236"/>
    </row>
    <row r="464" spans="1:15" ht="15.75">
      <c r="A464" s="31"/>
      <c r="B464" s="34"/>
      <c r="C464" s="34"/>
      <c r="D464" s="34"/>
      <c r="E464" s="34"/>
      <c r="F464" s="237"/>
      <c r="G464" s="38"/>
      <c r="H464" s="40" t="s">
        <v>1099</v>
      </c>
      <c r="I464" s="232" t="s">
        <v>1100</v>
      </c>
      <c r="J464" s="233"/>
      <c r="K464" s="234"/>
      <c r="L464" s="234"/>
      <c r="M464" s="235"/>
      <c r="N464" s="234"/>
      <c r="O464" s="236"/>
    </row>
    <row r="465" spans="1:15" ht="15.75">
      <c r="A465" s="31"/>
      <c r="B465" s="34"/>
      <c r="C465" s="34"/>
      <c r="D465" s="34"/>
      <c r="E465" s="34"/>
      <c r="F465" s="237"/>
      <c r="G465" s="38"/>
      <c r="H465" s="40" t="s">
        <v>887</v>
      </c>
      <c r="I465" s="232" t="s">
        <v>1101</v>
      </c>
      <c r="J465" s="233"/>
      <c r="K465" s="234"/>
      <c r="L465" s="234"/>
      <c r="M465" s="235"/>
      <c r="N465" s="234"/>
      <c r="O465" s="236"/>
    </row>
    <row r="466" spans="1:15" ht="15.75">
      <c r="A466" s="31"/>
      <c r="B466" s="34"/>
      <c r="C466" s="34"/>
      <c r="D466" s="34"/>
      <c r="E466" s="34"/>
      <c r="F466" s="237"/>
      <c r="G466" s="39"/>
      <c r="H466" s="40" t="s">
        <v>1102</v>
      </c>
      <c r="I466" s="232" t="s">
        <v>1103</v>
      </c>
      <c r="J466" s="233"/>
      <c r="K466" s="234"/>
      <c r="L466" s="234"/>
      <c r="M466" s="235"/>
      <c r="N466" s="234"/>
      <c r="O466" s="236"/>
    </row>
    <row r="467" spans="1:15" ht="15.75">
      <c r="A467" s="31"/>
      <c r="B467" s="34"/>
      <c r="C467" s="34"/>
      <c r="D467" s="34"/>
      <c r="E467" s="34"/>
      <c r="F467" s="237"/>
      <c r="G467" s="37" t="s">
        <v>1104</v>
      </c>
      <c r="H467" s="47" t="s">
        <v>1105</v>
      </c>
      <c r="I467" s="238" t="s">
        <v>1106</v>
      </c>
      <c r="J467" s="233"/>
      <c r="K467" s="234"/>
      <c r="L467" s="234"/>
      <c r="M467" s="235"/>
      <c r="N467" s="234"/>
      <c r="O467" s="236"/>
    </row>
    <row r="468" spans="1:15" ht="15.75">
      <c r="A468" s="31"/>
      <c r="B468" s="34"/>
      <c r="C468" s="34"/>
      <c r="D468" s="34"/>
      <c r="E468" s="34"/>
      <c r="F468" s="237"/>
      <c r="G468" s="38"/>
      <c r="H468" s="47" t="s">
        <v>1107</v>
      </c>
      <c r="I468" s="238" t="s">
        <v>1108</v>
      </c>
      <c r="J468" s="233"/>
      <c r="K468" s="234"/>
      <c r="L468" s="234"/>
      <c r="M468" s="235"/>
      <c r="N468" s="234"/>
      <c r="O468" s="236"/>
    </row>
    <row r="469" spans="1:15" ht="15.75">
      <c r="A469" s="31"/>
      <c r="B469" s="34"/>
      <c r="C469" s="34"/>
      <c r="D469" s="34"/>
      <c r="E469" s="34"/>
      <c r="F469" s="237"/>
      <c r="G469" s="38"/>
      <c r="H469" s="47" t="s">
        <v>1109</v>
      </c>
      <c r="I469" s="238" t="s">
        <v>1110</v>
      </c>
      <c r="J469" s="233"/>
      <c r="K469" s="234"/>
      <c r="L469" s="234"/>
      <c r="M469" s="235"/>
      <c r="N469" s="234"/>
      <c r="O469" s="236"/>
    </row>
    <row r="470" spans="1:15" ht="15.75">
      <c r="A470" s="31"/>
      <c r="B470" s="34"/>
      <c r="C470" s="34"/>
      <c r="D470" s="34"/>
      <c r="E470" s="34"/>
      <c r="F470" s="237"/>
      <c r="G470" s="38"/>
      <c r="H470" s="47" t="s">
        <v>1111</v>
      </c>
      <c r="I470" s="238" t="s">
        <v>1112</v>
      </c>
      <c r="J470" s="233"/>
      <c r="K470" s="234"/>
      <c r="L470" s="234"/>
      <c r="M470" s="235"/>
      <c r="N470" s="234"/>
      <c r="O470" s="236"/>
    </row>
    <row r="471" spans="1:15" ht="15.75">
      <c r="A471" s="31"/>
      <c r="B471" s="34"/>
      <c r="C471" s="34"/>
      <c r="D471" s="34"/>
      <c r="E471" s="34"/>
      <c r="F471" s="237"/>
      <c r="G471" s="39"/>
      <c r="H471" s="47" t="s">
        <v>1113</v>
      </c>
      <c r="I471" s="238" t="s">
        <v>1114</v>
      </c>
      <c r="J471" s="233"/>
      <c r="K471" s="234"/>
      <c r="L471" s="234"/>
      <c r="M471" s="235"/>
      <c r="N471" s="234"/>
      <c r="O471" s="236"/>
    </row>
    <row r="472" spans="1:15" ht="15.75">
      <c r="A472" s="31"/>
      <c r="B472" s="34"/>
      <c r="C472" s="34"/>
      <c r="D472" s="34"/>
      <c r="E472" s="34"/>
      <c r="F472" s="237"/>
      <c r="G472" s="37" t="s">
        <v>1115</v>
      </c>
      <c r="H472" s="40" t="s">
        <v>1116</v>
      </c>
      <c r="I472" s="238" t="s">
        <v>1117</v>
      </c>
      <c r="J472" s="233"/>
      <c r="K472" s="234"/>
      <c r="L472" s="234"/>
      <c r="M472" s="235"/>
      <c r="N472" s="234"/>
      <c r="O472" s="236"/>
    </row>
    <row r="473" spans="1:15" ht="31.5">
      <c r="A473" s="31"/>
      <c r="B473" s="34"/>
      <c r="C473" s="34"/>
      <c r="D473" s="34"/>
      <c r="E473" s="34"/>
      <c r="F473" s="237"/>
      <c r="G473" s="38"/>
      <c r="H473" s="40" t="s">
        <v>1118</v>
      </c>
      <c r="I473" s="238" t="s">
        <v>1119</v>
      </c>
      <c r="J473" s="233"/>
      <c r="K473" s="234"/>
      <c r="L473" s="234"/>
      <c r="M473" s="235"/>
      <c r="N473" s="234"/>
      <c r="O473" s="236"/>
    </row>
    <row r="474" spans="1:15" ht="15.75">
      <c r="A474" s="31"/>
      <c r="B474" s="34"/>
      <c r="C474" s="34"/>
      <c r="D474" s="34"/>
      <c r="E474" s="34"/>
      <c r="F474" s="237"/>
      <c r="G474" s="38"/>
      <c r="H474" s="40" t="s">
        <v>1120</v>
      </c>
      <c r="I474" s="238" t="s">
        <v>1121</v>
      </c>
      <c r="J474" s="233"/>
      <c r="K474" s="234"/>
      <c r="L474" s="234"/>
      <c r="M474" s="235"/>
      <c r="N474" s="234"/>
      <c r="O474" s="236"/>
    </row>
    <row r="475" spans="1:15" ht="15.75">
      <c r="A475" s="31"/>
      <c r="B475" s="34"/>
      <c r="C475" s="34"/>
      <c r="D475" s="34"/>
      <c r="E475" s="34"/>
      <c r="F475" s="237"/>
      <c r="G475" s="38"/>
      <c r="H475" s="40" t="s">
        <v>1122</v>
      </c>
      <c r="I475" s="238" t="s">
        <v>1123</v>
      </c>
      <c r="J475" s="233"/>
      <c r="K475" s="234"/>
      <c r="L475" s="234"/>
      <c r="M475" s="235"/>
      <c r="N475" s="234"/>
      <c r="O475" s="236"/>
    </row>
    <row r="476" spans="1:15" ht="15.75">
      <c r="A476" s="31"/>
      <c r="B476" s="34"/>
      <c r="C476" s="34"/>
      <c r="D476" s="34"/>
      <c r="E476" s="34"/>
      <c r="F476" s="237"/>
      <c r="G476" s="39"/>
      <c r="H476" s="40" t="s">
        <v>1124</v>
      </c>
      <c r="I476" s="238" t="s">
        <v>1125</v>
      </c>
      <c r="J476" s="233"/>
      <c r="K476" s="234"/>
      <c r="L476" s="234"/>
      <c r="M476" s="235"/>
      <c r="N476" s="234"/>
      <c r="O476" s="236"/>
    </row>
    <row r="477" spans="1:15" ht="15.75">
      <c r="A477" s="31"/>
      <c r="B477" s="41"/>
      <c r="C477" s="41"/>
      <c r="D477" s="41"/>
      <c r="E477" s="41"/>
      <c r="F477" s="239"/>
      <c r="G477" s="37" t="s">
        <v>1126</v>
      </c>
      <c r="H477" s="47" t="s">
        <v>1127</v>
      </c>
      <c r="I477" s="238" t="s">
        <v>1128</v>
      </c>
      <c r="J477" s="233"/>
      <c r="K477" s="234"/>
      <c r="L477" s="234"/>
      <c r="M477" s="235"/>
      <c r="N477" s="234"/>
      <c r="O477" s="236"/>
    </row>
    <row r="478" spans="1:15" ht="31.5">
      <c r="A478" s="31"/>
      <c r="B478" s="42"/>
      <c r="C478" s="42"/>
      <c r="D478" s="42"/>
      <c r="E478" s="42"/>
      <c r="F478" s="240"/>
      <c r="G478" s="38"/>
      <c r="H478" s="47" t="s">
        <v>1129</v>
      </c>
      <c r="I478" s="238" t="s">
        <v>1130</v>
      </c>
      <c r="J478" s="233"/>
      <c r="K478" s="234"/>
      <c r="L478" s="234"/>
      <c r="M478" s="235"/>
      <c r="N478" s="234"/>
      <c r="O478" s="236"/>
    </row>
    <row r="479" spans="1:15" ht="15.75">
      <c r="A479" s="31"/>
      <c r="B479" s="42"/>
      <c r="C479" s="42"/>
      <c r="D479" s="42"/>
      <c r="E479" s="42"/>
      <c r="F479" s="240"/>
      <c r="G479" s="38"/>
      <c r="H479" s="47" t="s">
        <v>1131</v>
      </c>
      <c r="I479" s="238" t="s">
        <v>1132</v>
      </c>
      <c r="J479" s="233"/>
      <c r="K479" s="234"/>
      <c r="L479" s="234"/>
      <c r="M479" s="235"/>
      <c r="N479" s="234"/>
      <c r="O479" s="236"/>
    </row>
    <row r="480" spans="1:15" ht="15.75">
      <c r="A480" s="31"/>
      <c r="B480" s="42"/>
      <c r="C480" s="42"/>
      <c r="D480" s="42"/>
      <c r="E480" s="42"/>
      <c r="F480" s="240"/>
      <c r="G480" s="38"/>
      <c r="H480" s="47" t="s">
        <v>1133</v>
      </c>
      <c r="I480" s="238" t="s">
        <v>1134</v>
      </c>
      <c r="J480" s="233"/>
      <c r="K480" s="234"/>
      <c r="L480" s="234"/>
      <c r="M480" s="235"/>
      <c r="N480" s="234"/>
      <c r="O480" s="236"/>
    </row>
    <row r="481" spans="1:15" ht="15.75">
      <c r="A481" s="31"/>
      <c r="B481" s="42"/>
      <c r="C481" s="42"/>
      <c r="D481" s="42"/>
      <c r="E481" s="42"/>
      <c r="F481" s="240"/>
      <c r="G481" s="39"/>
      <c r="H481" s="47" t="s">
        <v>1135</v>
      </c>
      <c r="I481" s="238" t="s">
        <v>1136</v>
      </c>
      <c r="J481" s="233"/>
      <c r="K481" s="234"/>
      <c r="L481" s="234"/>
      <c r="M481" s="235"/>
      <c r="N481" s="234"/>
      <c r="O481" s="236"/>
    </row>
    <row r="482" spans="1:15" ht="30.75">
      <c r="A482" s="31"/>
      <c r="B482" s="32" t="s">
        <v>296</v>
      </c>
      <c r="C482" s="32"/>
      <c r="D482" s="32"/>
      <c r="E482" s="32"/>
      <c r="F482" s="231" t="s">
        <v>1137</v>
      </c>
      <c r="G482" s="43" t="s">
        <v>1138</v>
      </c>
      <c r="H482" s="165" t="s">
        <v>1139</v>
      </c>
      <c r="I482" s="238" t="s">
        <v>1140</v>
      </c>
      <c r="J482" s="233" t="s">
        <v>229</v>
      </c>
      <c r="K482" s="234" t="s">
        <v>1141</v>
      </c>
      <c r="L482" s="234" t="s">
        <v>1142</v>
      </c>
      <c r="M482" s="235" t="s">
        <v>23</v>
      </c>
      <c r="N482" s="234" t="s">
        <v>1143</v>
      </c>
      <c r="O482" s="236"/>
    </row>
    <row r="483" spans="1:15" ht="31.5">
      <c r="A483" s="31"/>
      <c r="B483" s="34"/>
      <c r="C483" s="34"/>
      <c r="D483" s="34"/>
      <c r="E483" s="34"/>
      <c r="F483" s="237"/>
      <c r="G483" s="44"/>
      <c r="H483" s="40" t="s">
        <v>1144</v>
      </c>
      <c r="I483" s="238" t="s">
        <v>1145</v>
      </c>
      <c r="J483" s="233"/>
      <c r="K483" s="234"/>
      <c r="L483" s="234"/>
      <c r="M483" s="235"/>
      <c r="N483" s="234"/>
      <c r="O483" s="236"/>
    </row>
    <row r="484" spans="1:15" ht="15.75">
      <c r="A484" s="31"/>
      <c r="B484" s="34"/>
      <c r="C484" s="34"/>
      <c r="D484" s="34"/>
      <c r="E484" s="34"/>
      <c r="F484" s="237"/>
      <c r="G484" s="44"/>
      <c r="H484" s="40" t="s">
        <v>1146</v>
      </c>
      <c r="I484" s="238" t="s">
        <v>1147</v>
      </c>
      <c r="J484" s="233"/>
      <c r="K484" s="234"/>
      <c r="L484" s="234"/>
      <c r="M484" s="235"/>
      <c r="N484" s="234"/>
      <c r="O484" s="236"/>
    </row>
    <row r="485" spans="1:15" ht="15.75">
      <c r="A485" s="31"/>
      <c r="B485" s="34"/>
      <c r="C485" s="34"/>
      <c r="D485" s="34"/>
      <c r="E485" s="34"/>
      <c r="F485" s="237"/>
      <c r="G485" s="44"/>
      <c r="H485" s="40" t="s">
        <v>1148</v>
      </c>
      <c r="I485" s="238" t="s">
        <v>1149</v>
      </c>
      <c r="J485" s="233"/>
      <c r="K485" s="234"/>
      <c r="L485" s="234"/>
      <c r="M485" s="235"/>
      <c r="N485" s="234"/>
      <c r="O485" s="236"/>
    </row>
    <row r="486" spans="1:15" ht="15.75">
      <c r="A486" s="31"/>
      <c r="B486" s="34"/>
      <c r="C486" s="34"/>
      <c r="D486" s="34"/>
      <c r="E486" s="34"/>
      <c r="F486" s="237"/>
      <c r="G486" s="45"/>
      <c r="H486" s="40" t="s">
        <v>1150</v>
      </c>
      <c r="I486" s="238" t="s">
        <v>1151</v>
      </c>
      <c r="J486" s="233"/>
      <c r="K486" s="234"/>
      <c r="L486" s="234"/>
      <c r="M486" s="235"/>
      <c r="N486" s="234"/>
      <c r="O486" s="236"/>
    </row>
    <row r="487" spans="1:15" ht="31.5">
      <c r="A487" s="31"/>
      <c r="B487" s="34"/>
      <c r="C487" s="34"/>
      <c r="D487" s="34"/>
      <c r="E487" s="34"/>
      <c r="F487" s="237"/>
      <c r="G487" s="46" t="s">
        <v>1152</v>
      </c>
      <c r="H487" s="47" t="s">
        <v>1153</v>
      </c>
      <c r="I487" s="232" t="s">
        <v>1154</v>
      </c>
      <c r="J487" s="233"/>
      <c r="K487" s="234"/>
      <c r="L487" s="234"/>
      <c r="M487" s="235"/>
      <c r="N487" s="234"/>
      <c r="O487" s="236"/>
    </row>
    <row r="488" spans="1:15" ht="15.75">
      <c r="A488" s="31"/>
      <c r="B488" s="34"/>
      <c r="C488" s="34"/>
      <c r="D488" s="34"/>
      <c r="E488" s="34"/>
      <c r="F488" s="237"/>
      <c r="G488" s="48"/>
      <c r="H488" s="47" t="s">
        <v>1155</v>
      </c>
      <c r="I488" s="232" t="s">
        <v>1156</v>
      </c>
      <c r="J488" s="233"/>
      <c r="K488" s="234"/>
      <c r="L488" s="234"/>
      <c r="M488" s="235"/>
      <c r="N488" s="234"/>
      <c r="O488" s="236"/>
    </row>
    <row r="489" spans="1:15" ht="15.75">
      <c r="A489" s="31"/>
      <c r="B489" s="34"/>
      <c r="C489" s="34"/>
      <c r="D489" s="34"/>
      <c r="E489" s="34"/>
      <c r="F489" s="237"/>
      <c r="G489" s="48"/>
      <c r="H489" s="47" t="s">
        <v>1157</v>
      </c>
      <c r="I489" s="232" t="s">
        <v>1158</v>
      </c>
      <c r="J489" s="233"/>
      <c r="K489" s="234"/>
      <c r="L489" s="234"/>
      <c r="M489" s="235"/>
      <c r="N489" s="234"/>
      <c r="O489" s="236"/>
    </row>
    <row r="490" spans="1:15" ht="15.75">
      <c r="A490" s="31"/>
      <c r="B490" s="34"/>
      <c r="C490" s="34"/>
      <c r="D490" s="34"/>
      <c r="E490" s="34"/>
      <c r="F490" s="237"/>
      <c r="G490" s="48"/>
      <c r="H490" s="47" t="s">
        <v>1159</v>
      </c>
      <c r="I490" s="232" t="s">
        <v>1160</v>
      </c>
      <c r="J490" s="233"/>
      <c r="K490" s="234"/>
      <c r="L490" s="234"/>
      <c r="M490" s="235"/>
      <c r="N490" s="234"/>
      <c r="O490" s="236"/>
    </row>
    <row r="491" spans="1:15" ht="15.75">
      <c r="A491" s="31"/>
      <c r="B491" s="34"/>
      <c r="C491" s="34"/>
      <c r="D491" s="34"/>
      <c r="E491" s="34"/>
      <c r="F491" s="237"/>
      <c r="G491" s="49"/>
      <c r="H491" s="47" t="s">
        <v>1161</v>
      </c>
      <c r="I491" s="232" t="s">
        <v>1162</v>
      </c>
      <c r="J491" s="233"/>
      <c r="K491" s="234"/>
      <c r="L491" s="234"/>
      <c r="M491" s="235"/>
      <c r="N491" s="234"/>
      <c r="O491" s="236"/>
    </row>
    <row r="492" spans="1:15" ht="15.75">
      <c r="A492" s="31"/>
      <c r="B492" s="34"/>
      <c r="C492" s="34"/>
      <c r="D492" s="34"/>
      <c r="E492" s="34"/>
      <c r="F492" s="237"/>
      <c r="G492" s="46" t="s">
        <v>1163</v>
      </c>
      <c r="H492" s="40" t="s">
        <v>1164</v>
      </c>
      <c r="I492" s="232" t="s">
        <v>1165</v>
      </c>
      <c r="J492" s="233"/>
      <c r="K492" s="234"/>
      <c r="L492" s="234"/>
      <c r="M492" s="235"/>
      <c r="N492" s="234"/>
      <c r="O492" s="236"/>
    </row>
    <row r="493" spans="1:15" ht="15.75">
      <c r="A493" s="31"/>
      <c r="B493" s="34"/>
      <c r="C493" s="34"/>
      <c r="D493" s="34"/>
      <c r="E493" s="34"/>
      <c r="F493" s="237"/>
      <c r="G493" s="48"/>
      <c r="H493" s="40" t="s">
        <v>1166</v>
      </c>
      <c r="I493" s="232" t="s">
        <v>1167</v>
      </c>
      <c r="J493" s="233"/>
      <c r="K493" s="234"/>
      <c r="L493" s="234"/>
      <c r="M493" s="235"/>
      <c r="N493" s="234"/>
      <c r="O493" s="236"/>
    </row>
    <row r="494" spans="1:15" ht="15.75">
      <c r="A494" s="31"/>
      <c r="B494" s="34"/>
      <c r="C494" s="34"/>
      <c r="D494" s="34"/>
      <c r="E494" s="34"/>
      <c r="F494" s="237"/>
      <c r="G494" s="48"/>
      <c r="H494" s="40" t="s">
        <v>1168</v>
      </c>
      <c r="I494" s="232" t="s">
        <v>1169</v>
      </c>
      <c r="J494" s="233"/>
      <c r="K494" s="234"/>
      <c r="L494" s="234"/>
      <c r="M494" s="235"/>
      <c r="N494" s="234"/>
      <c r="O494" s="236"/>
    </row>
    <row r="495" spans="1:15" ht="15.75">
      <c r="A495" s="31"/>
      <c r="B495" s="34"/>
      <c r="C495" s="34"/>
      <c r="D495" s="34"/>
      <c r="E495" s="34"/>
      <c r="F495" s="237"/>
      <c r="G495" s="48"/>
      <c r="H495" s="40" t="s">
        <v>1170</v>
      </c>
      <c r="I495" s="232" t="s">
        <v>1171</v>
      </c>
      <c r="J495" s="233"/>
      <c r="K495" s="234"/>
      <c r="L495" s="234"/>
      <c r="M495" s="235"/>
      <c r="N495" s="234"/>
      <c r="O495" s="236"/>
    </row>
    <row r="496" spans="1:15" ht="15.75">
      <c r="A496" s="31"/>
      <c r="B496" s="34"/>
      <c r="C496" s="34"/>
      <c r="D496" s="34"/>
      <c r="E496" s="34"/>
      <c r="F496" s="237"/>
      <c r="G496" s="49"/>
      <c r="H496" s="40" t="s">
        <v>1172</v>
      </c>
      <c r="I496" s="232" t="s">
        <v>1173</v>
      </c>
      <c r="J496" s="233"/>
      <c r="K496" s="234"/>
      <c r="L496" s="234"/>
      <c r="M496" s="235"/>
      <c r="N496" s="234"/>
      <c r="O496" s="236"/>
    </row>
    <row r="497" spans="1:15" ht="31.5">
      <c r="A497" s="31"/>
      <c r="B497" s="34"/>
      <c r="C497" s="34"/>
      <c r="D497" s="34"/>
      <c r="E497" s="34"/>
      <c r="F497" s="237"/>
      <c r="G497" s="46" t="s">
        <v>1174</v>
      </c>
      <c r="H497" s="47" t="s">
        <v>1175</v>
      </c>
      <c r="I497" s="234" t="s">
        <v>1176</v>
      </c>
      <c r="J497" s="233"/>
      <c r="K497" s="234"/>
      <c r="L497" s="234"/>
      <c r="M497" s="235"/>
      <c r="N497" s="234"/>
      <c r="O497" s="236"/>
    </row>
    <row r="498" spans="1:15" ht="31.5">
      <c r="A498" s="31"/>
      <c r="B498" s="34"/>
      <c r="C498" s="34"/>
      <c r="D498" s="34"/>
      <c r="E498" s="34"/>
      <c r="F498" s="237"/>
      <c r="G498" s="48"/>
      <c r="H498" s="47" t="s">
        <v>1177</v>
      </c>
      <c r="I498" s="234" t="s">
        <v>1178</v>
      </c>
      <c r="J498" s="233"/>
      <c r="K498" s="234"/>
      <c r="L498" s="234"/>
      <c r="M498" s="235"/>
      <c r="N498" s="234"/>
      <c r="O498" s="236"/>
    </row>
    <row r="499" spans="1:15" ht="30.75">
      <c r="A499" s="31"/>
      <c r="B499" s="34"/>
      <c r="C499" s="34"/>
      <c r="D499" s="34"/>
      <c r="E499" s="34"/>
      <c r="F499" s="237"/>
      <c r="G499" s="48"/>
      <c r="H499" s="47" t="s">
        <v>1179</v>
      </c>
      <c r="I499" s="234" t="s">
        <v>1180</v>
      </c>
      <c r="J499" s="233"/>
      <c r="K499" s="234"/>
      <c r="L499" s="234"/>
      <c r="M499" s="235"/>
      <c r="N499" s="234"/>
      <c r="O499" s="236"/>
    </row>
    <row r="500" spans="1:15" ht="15.75">
      <c r="A500" s="31"/>
      <c r="B500" s="34"/>
      <c r="C500" s="34"/>
      <c r="D500" s="34"/>
      <c r="E500" s="34"/>
      <c r="F500" s="237"/>
      <c r="G500" s="48"/>
      <c r="H500" s="47" t="s">
        <v>1181</v>
      </c>
      <c r="I500" s="234" t="s">
        <v>1182</v>
      </c>
      <c r="J500" s="233"/>
      <c r="K500" s="234"/>
      <c r="L500" s="234"/>
      <c r="M500" s="235"/>
      <c r="N500" s="234"/>
      <c r="O500" s="236"/>
    </row>
    <row r="501" spans="1:15" ht="15.75">
      <c r="A501" s="31"/>
      <c r="B501" s="34"/>
      <c r="C501" s="34"/>
      <c r="D501" s="34"/>
      <c r="E501" s="34"/>
      <c r="F501" s="237"/>
      <c r="G501" s="49"/>
      <c r="H501" s="47" t="s">
        <v>1183</v>
      </c>
      <c r="I501" s="234" t="s">
        <v>1184</v>
      </c>
      <c r="J501" s="233"/>
      <c r="K501" s="234"/>
      <c r="L501" s="234"/>
      <c r="M501" s="235"/>
      <c r="N501" s="234"/>
      <c r="O501" s="236"/>
    </row>
    <row r="502" spans="1:15" ht="30.75">
      <c r="A502" s="31"/>
      <c r="B502" s="34"/>
      <c r="C502" s="34"/>
      <c r="D502" s="34"/>
      <c r="E502" s="34"/>
      <c r="F502" s="237"/>
      <c r="G502" s="46" t="s">
        <v>1185</v>
      </c>
      <c r="H502" s="40" t="s">
        <v>1186</v>
      </c>
      <c r="I502" s="234" t="s">
        <v>1187</v>
      </c>
      <c r="J502" s="233"/>
      <c r="K502" s="234"/>
      <c r="L502" s="234"/>
      <c r="M502" s="235"/>
      <c r="N502" s="234"/>
      <c r="O502" s="236"/>
    </row>
    <row r="503" spans="1:15" ht="15.75">
      <c r="A503" s="31"/>
      <c r="B503" s="34"/>
      <c r="C503" s="34"/>
      <c r="D503" s="34"/>
      <c r="E503" s="34"/>
      <c r="F503" s="237"/>
      <c r="G503" s="48"/>
      <c r="H503" s="40" t="s">
        <v>1188</v>
      </c>
      <c r="I503" s="234" t="s">
        <v>1189</v>
      </c>
      <c r="J503" s="233"/>
      <c r="K503" s="234"/>
      <c r="L503" s="234"/>
      <c r="M503" s="235"/>
      <c r="N503" s="234"/>
      <c r="O503" s="236"/>
    </row>
    <row r="504" spans="1:15" ht="15.75">
      <c r="A504" s="31"/>
      <c r="B504" s="34"/>
      <c r="C504" s="34"/>
      <c r="D504" s="34"/>
      <c r="E504" s="34"/>
      <c r="F504" s="237"/>
      <c r="G504" s="48"/>
      <c r="H504" s="40" t="s">
        <v>1190</v>
      </c>
      <c r="I504" s="234" t="s">
        <v>1191</v>
      </c>
      <c r="J504" s="233"/>
      <c r="K504" s="234"/>
      <c r="L504" s="234"/>
      <c r="M504" s="235"/>
      <c r="N504" s="234"/>
      <c r="O504" s="236"/>
    </row>
    <row r="505" spans="1:15" ht="30.75">
      <c r="A505" s="31"/>
      <c r="B505" s="34"/>
      <c r="C505" s="34"/>
      <c r="D505" s="34"/>
      <c r="E505" s="34"/>
      <c r="F505" s="237"/>
      <c r="G505" s="48"/>
      <c r="H505" s="40" t="s">
        <v>1192</v>
      </c>
      <c r="I505" s="234" t="s">
        <v>1193</v>
      </c>
      <c r="J505" s="233"/>
      <c r="K505" s="234"/>
      <c r="L505" s="234"/>
      <c r="M505" s="235"/>
      <c r="N505" s="234"/>
      <c r="O505" s="236"/>
    </row>
    <row r="506" spans="1:15" ht="30.75">
      <c r="A506" s="31"/>
      <c r="B506" s="34"/>
      <c r="C506" s="34"/>
      <c r="D506" s="34"/>
      <c r="E506" s="34"/>
      <c r="F506" s="237"/>
      <c r="G506" s="49"/>
      <c r="H506" s="40" t="s">
        <v>1194</v>
      </c>
      <c r="I506" s="234" t="s">
        <v>1195</v>
      </c>
      <c r="J506" s="233"/>
      <c r="K506" s="234"/>
      <c r="L506" s="234"/>
      <c r="M506" s="235"/>
      <c r="N506" s="234"/>
      <c r="O506" s="236"/>
    </row>
    <row r="507" spans="1:15" ht="15.75">
      <c r="A507" s="31"/>
      <c r="B507" s="41"/>
      <c r="C507" s="41"/>
      <c r="D507" s="41"/>
      <c r="E507" s="41"/>
      <c r="F507" s="239"/>
      <c r="G507" s="46" t="s">
        <v>1196</v>
      </c>
      <c r="H507" s="47" t="s">
        <v>1197</v>
      </c>
      <c r="I507" s="234" t="s">
        <v>1198</v>
      </c>
      <c r="J507" s="233"/>
      <c r="K507" s="234"/>
      <c r="L507" s="234"/>
      <c r="M507" s="235"/>
      <c r="N507" s="234"/>
      <c r="O507" s="236"/>
    </row>
    <row r="508" spans="1:15" ht="15.75">
      <c r="A508" s="31"/>
      <c r="B508" s="42"/>
      <c r="C508" s="42"/>
      <c r="D508" s="42"/>
      <c r="E508" s="42"/>
      <c r="F508" s="240"/>
      <c r="G508" s="48"/>
      <c r="H508" s="47" t="s">
        <v>1199</v>
      </c>
      <c r="I508" s="234" t="s">
        <v>1200</v>
      </c>
      <c r="J508" s="233"/>
      <c r="K508" s="234"/>
      <c r="L508" s="234"/>
      <c r="M508" s="235"/>
      <c r="N508" s="234"/>
      <c r="O508" s="236"/>
    </row>
    <row r="509" spans="1:15" ht="15.75">
      <c r="A509" s="31"/>
      <c r="B509" s="42"/>
      <c r="C509" s="42"/>
      <c r="D509" s="42"/>
      <c r="E509" s="42"/>
      <c r="F509" s="240"/>
      <c r="G509" s="48"/>
      <c r="H509" s="47" t="s">
        <v>1201</v>
      </c>
      <c r="I509" s="234" t="s">
        <v>1202</v>
      </c>
      <c r="J509" s="233"/>
      <c r="K509" s="234"/>
      <c r="L509" s="234"/>
      <c r="M509" s="235"/>
      <c r="N509" s="234"/>
      <c r="O509" s="236"/>
    </row>
    <row r="510" spans="1:15" ht="15.75">
      <c r="A510" s="31"/>
      <c r="B510" s="42"/>
      <c r="C510" s="42"/>
      <c r="D510" s="42"/>
      <c r="E510" s="42"/>
      <c r="F510" s="240"/>
      <c r="G510" s="48"/>
      <c r="H510" s="47" t="s">
        <v>1203</v>
      </c>
      <c r="I510" s="234" t="s">
        <v>1204</v>
      </c>
      <c r="J510" s="233"/>
      <c r="K510" s="234"/>
      <c r="L510" s="234"/>
      <c r="M510" s="235"/>
      <c r="N510" s="234"/>
      <c r="O510" s="236"/>
    </row>
    <row r="511" spans="1:15" ht="15.75">
      <c r="A511" s="31"/>
      <c r="B511" s="42"/>
      <c r="C511" s="42"/>
      <c r="D511" s="42"/>
      <c r="E511" s="42"/>
      <c r="F511" s="240"/>
      <c r="G511" s="49"/>
      <c r="H511" s="47" t="s">
        <v>1205</v>
      </c>
      <c r="I511" s="234" t="s">
        <v>1206</v>
      </c>
      <c r="J511" s="233"/>
      <c r="K511" s="234"/>
      <c r="L511" s="234"/>
      <c r="M511" s="235"/>
      <c r="N511" s="234"/>
      <c r="O511" s="236"/>
    </row>
    <row r="512" spans="1:15" ht="30.75">
      <c r="A512" s="31"/>
      <c r="B512" s="32"/>
      <c r="C512" s="32"/>
      <c r="D512" s="32"/>
      <c r="E512" s="32"/>
      <c r="F512" s="231" t="s">
        <v>1207</v>
      </c>
      <c r="G512" s="50" t="s">
        <v>1208</v>
      </c>
      <c r="H512" s="165" t="s">
        <v>1209</v>
      </c>
      <c r="I512" s="234" t="s">
        <v>1210</v>
      </c>
      <c r="J512" s="233" t="s">
        <v>20</v>
      </c>
      <c r="K512" s="234" t="s">
        <v>1211</v>
      </c>
      <c r="L512" s="234" t="s">
        <v>1212</v>
      </c>
      <c r="M512" s="235" t="s">
        <v>23</v>
      </c>
      <c r="N512" s="234" t="s">
        <v>1213</v>
      </c>
      <c r="O512" s="236"/>
    </row>
    <row r="513" spans="1:15" ht="30.75">
      <c r="A513" s="31"/>
      <c r="B513" s="34"/>
      <c r="C513" s="34"/>
      <c r="D513" s="34"/>
      <c r="E513" s="34"/>
      <c r="F513" s="237"/>
      <c r="G513" s="51"/>
      <c r="H513" s="40" t="s">
        <v>1214</v>
      </c>
      <c r="I513" s="234" t="s">
        <v>1215</v>
      </c>
      <c r="J513" s="233"/>
      <c r="K513" s="234"/>
      <c r="L513" s="234"/>
      <c r="M513" s="235"/>
      <c r="N513" s="234"/>
      <c r="O513" s="236"/>
    </row>
    <row r="514" spans="1:15" ht="15.75">
      <c r="A514" s="31"/>
      <c r="B514" s="34"/>
      <c r="C514" s="34"/>
      <c r="D514" s="34"/>
      <c r="E514" s="34"/>
      <c r="F514" s="237"/>
      <c r="G514" s="51"/>
      <c r="H514" s="40" t="s">
        <v>1216</v>
      </c>
      <c r="I514" s="234" t="s">
        <v>1217</v>
      </c>
      <c r="J514" s="233"/>
      <c r="K514" s="234"/>
      <c r="L514" s="234"/>
      <c r="M514" s="235"/>
      <c r="N514" s="234"/>
      <c r="O514" s="236"/>
    </row>
    <row r="515" spans="1:15" ht="15.75">
      <c r="A515" s="31"/>
      <c r="B515" s="34"/>
      <c r="C515" s="34"/>
      <c r="D515" s="34"/>
      <c r="E515" s="34"/>
      <c r="F515" s="237"/>
      <c r="G515" s="51"/>
      <c r="H515" s="40" t="s">
        <v>1218</v>
      </c>
      <c r="I515" s="234" t="s">
        <v>1219</v>
      </c>
      <c r="J515" s="233"/>
      <c r="K515" s="234"/>
      <c r="L515" s="234"/>
      <c r="M515" s="235"/>
      <c r="N515" s="234"/>
      <c r="O515" s="236"/>
    </row>
    <row r="516" spans="1:15" ht="15.75">
      <c r="A516" s="31"/>
      <c r="B516" s="34"/>
      <c r="C516" s="34"/>
      <c r="D516" s="34"/>
      <c r="E516" s="34"/>
      <c r="F516" s="237"/>
      <c r="G516" s="52"/>
      <c r="H516" s="40" t="s">
        <v>1220</v>
      </c>
      <c r="I516" s="234" t="s">
        <v>1221</v>
      </c>
      <c r="J516" s="233"/>
      <c r="K516" s="234"/>
      <c r="L516" s="234"/>
      <c r="M516" s="235"/>
      <c r="N516" s="234"/>
      <c r="O516" s="236"/>
    </row>
    <row r="517" spans="1:15" ht="15.75">
      <c r="A517" s="31"/>
      <c r="B517" s="34"/>
      <c r="C517" s="34"/>
      <c r="D517" s="34"/>
      <c r="E517" s="34"/>
      <c r="F517" s="237"/>
      <c r="G517" s="53" t="s">
        <v>1222</v>
      </c>
      <c r="H517" s="47" t="s">
        <v>1223</v>
      </c>
      <c r="I517" s="232" t="s">
        <v>1224</v>
      </c>
      <c r="J517" s="233"/>
      <c r="K517" s="234"/>
      <c r="L517" s="234"/>
      <c r="M517" s="235"/>
      <c r="N517" s="234"/>
      <c r="O517" s="236"/>
    </row>
    <row r="518" spans="1:15" ht="15.75">
      <c r="A518" s="31"/>
      <c r="B518" s="34"/>
      <c r="C518" s="34"/>
      <c r="D518" s="34"/>
      <c r="E518" s="34"/>
      <c r="F518" s="237"/>
      <c r="G518" s="54"/>
      <c r="H518" s="47" t="s">
        <v>1012</v>
      </c>
      <c r="I518" s="232" t="s">
        <v>1225</v>
      </c>
      <c r="J518" s="233"/>
      <c r="K518" s="234"/>
      <c r="L518" s="234"/>
      <c r="M518" s="235"/>
      <c r="N518" s="234"/>
      <c r="O518" s="236"/>
    </row>
    <row r="519" spans="1:15" ht="15.75">
      <c r="A519" s="31"/>
      <c r="B519" s="34"/>
      <c r="C519" s="34"/>
      <c r="D519" s="34"/>
      <c r="E519" s="34"/>
      <c r="F519" s="237"/>
      <c r="G519" s="54"/>
      <c r="H519" s="47" t="s">
        <v>1226</v>
      </c>
      <c r="I519" s="232" t="s">
        <v>1227</v>
      </c>
      <c r="J519" s="233"/>
      <c r="K519" s="234"/>
      <c r="L519" s="234"/>
      <c r="M519" s="235"/>
      <c r="N519" s="234"/>
      <c r="O519" s="236"/>
    </row>
    <row r="520" spans="1:15" ht="15.75">
      <c r="A520" s="31"/>
      <c r="B520" s="34"/>
      <c r="C520" s="34"/>
      <c r="D520" s="34"/>
      <c r="E520" s="34"/>
      <c r="F520" s="237"/>
      <c r="G520" s="54"/>
      <c r="H520" s="47" t="s">
        <v>1228</v>
      </c>
      <c r="I520" s="232" t="s">
        <v>1229</v>
      </c>
      <c r="J520" s="233"/>
      <c r="K520" s="234"/>
      <c r="L520" s="234"/>
      <c r="M520" s="235"/>
      <c r="N520" s="234"/>
      <c r="O520" s="236"/>
    </row>
    <row r="521" spans="1:15" ht="15.75">
      <c r="A521" s="31"/>
      <c r="B521" s="34"/>
      <c r="C521" s="34"/>
      <c r="D521" s="34"/>
      <c r="E521" s="34"/>
      <c r="F521" s="237"/>
      <c r="G521" s="55"/>
      <c r="H521" s="47" t="s">
        <v>1230</v>
      </c>
      <c r="I521" s="232" t="s">
        <v>1231</v>
      </c>
      <c r="J521" s="233"/>
      <c r="K521" s="234"/>
      <c r="L521" s="234"/>
      <c r="M521" s="235"/>
      <c r="N521" s="234"/>
      <c r="O521" s="236"/>
    </row>
    <row r="522" spans="1:15" ht="15.75">
      <c r="A522" s="31"/>
      <c r="B522" s="34"/>
      <c r="C522" s="34"/>
      <c r="D522" s="34"/>
      <c r="E522" s="34"/>
      <c r="F522" s="237"/>
      <c r="G522" s="53" t="s">
        <v>1232</v>
      </c>
      <c r="H522" s="40" t="s">
        <v>1233</v>
      </c>
      <c r="I522" s="232" t="s">
        <v>1234</v>
      </c>
      <c r="J522" s="233"/>
      <c r="K522" s="234"/>
      <c r="L522" s="234"/>
      <c r="M522" s="235"/>
      <c r="N522" s="234"/>
      <c r="O522" s="236"/>
    </row>
    <row r="523" spans="1:15" ht="15.75">
      <c r="A523" s="31"/>
      <c r="B523" s="34"/>
      <c r="C523" s="34"/>
      <c r="D523" s="34"/>
      <c r="E523" s="34"/>
      <c r="F523" s="237"/>
      <c r="G523" s="54"/>
      <c r="H523" s="40" t="s">
        <v>1235</v>
      </c>
      <c r="I523" s="232" t="s">
        <v>1236</v>
      </c>
      <c r="J523" s="233"/>
      <c r="K523" s="234"/>
      <c r="L523" s="234"/>
      <c r="M523" s="235"/>
      <c r="N523" s="234"/>
      <c r="O523" s="236"/>
    </row>
    <row r="524" spans="1:15" ht="30.75">
      <c r="A524" s="31"/>
      <c r="B524" s="34"/>
      <c r="C524" s="34"/>
      <c r="D524" s="34"/>
      <c r="E524" s="34"/>
      <c r="F524" s="237"/>
      <c r="G524" s="54"/>
      <c r="H524" s="40" t="s">
        <v>1237</v>
      </c>
      <c r="I524" s="232" t="s">
        <v>1238</v>
      </c>
      <c r="J524" s="233"/>
      <c r="K524" s="234"/>
      <c r="L524" s="234"/>
      <c r="M524" s="235"/>
      <c r="N524" s="234"/>
      <c r="O524" s="236"/>
    </row>
    <row r="525" spans="1:15" ht="15.75">
      <c r="A525" s="31"/>
      <c r="B525" s="34"/>
      <c r="C525" s="34"/>
      <c r="D525" s="34"/>
      <c r="E525" s="34"/>
      <c r="F525" s="237"/>
      <c r="G525" s="54"/>
      <c r="H525" s="40" t="s">
        <v>1239</v>
      </c>
      <c r="I525" s="232" t="s">
        <v>1240</v>
      </c>
      <c r="J525" s="233"/>
      <c r="K525" s="234"/>
      <c r="L525" s="234"/>
      <c r="M525" s="235"/>
      <c r="N525" s="234"/>
      <c r="O525" s="236"/>
    </row>
    <row r="526" spans="1:15" ht="30.75">
      <c r="A526" s="31"/>
      <c r="B526" s="34"/>
      <c r="C526" s="34"/>
      <c r="D526" s="34"/>
      <c r="E526" s="34"/>
      <c r="F526" s="237"/>
      <c r="G526" s="55"/>
      <c r="H526" s="40" t="s">
        <v>1241</v>
      </c>
      <c r="I526" s="232" t="s">
        <v>1242</v>
      </c>
      <c r="J526" s="233"/>
      <c r="K526" s="234"/>
      <c r="L526" s="234"/>
      <c r="M526" s="235"/>
      <c r="N526" s="234"/>
      <c r="O526" s="236"/>
    </row>
    <row r="527" spans="1:15" ht="31.5">
      <c r="A527" s="31"/>
      <c r="B527" s="34"/>
      <c r="C527" s="34"/>
      <c r="D527" s="34"/>
      <c r="E527" s="34"/>
      <c r="F527" s="237"/>
      <c r="G527" s="53" t="s">
        <v>1243</v>
      </c>
      <c r="H527" s="47" t="s">
        <v>1244</v>
      </c>
      <c r="I527" s="232" t="s">
        <v>1245</v>
      </c>
      <c r="J527" s="233"/>
      <c r="K527" s="234"/>
      <c r="L527" s="234"/>
      <c r="M527" s="235"/>
      <c r="N527" s="234"/>
      <c r="O527" s="236"/>
    </row>
    <row r="528" spans="1:15" ht="15.75">
      <c r="A528" s="31"/>
      <c r="B528" s="34"/>
      <c r="C528" s="34"/>
      <c r="D528" s="34"/>
      <c r="E528" s="34"/>
      <c r="F528" s="237"/>
      <c r="G528" s="54"/>
      <c r="H528" s="47" t="s">
        <v>1246</v>
      </c>
      <c r="I528" s="232" t="s">
        <v>1247</v>
      </c>
      <c r="J528" s="233"/>
      <c r="K528" s="234"/>
      <c r="L528" s="234"/>
      <c r="M528" s="235"/>
      <c r="N528" s="234"/>
      <c r="O528" s="236"/>
    </row>
    <row r="529" spans="1:15" ht="15.75">
      <c r="A529" s="31"/>
      <c r="B529" s="34"/>
      <c r="C529" s="34"/>
      <c r="D529" s="34"/>
      <c r="E529" s="34"/>
      <c r="F529" s="237"/>
      <c r="G529" s="54"/>
      <c r="H529" s="47" t="s">
        <v>1248</v>
      </c>
      <c r="I529" s="232" t="s">
        <v>1249</v>
      </c>
      <c r="J529" s="233"/>
      <c r="K529" s="234"/>
      <c r="L529" s="234"/>
      <c r="M529" s="235"/>
      <c r="N529" s="234"/>
      <c r="O529" s="236"/>
    </row>
    <row r="530" spans="1:15" ht="15.75">
      <c r="A530" s="31"/>
      <c r="B530" s="34"/>
      <c r="C530" s="34"/>
      <c r="D530" s="34"/>
      <c r="E530" s="34"/>
      <c r="F530" s="237"/>
      <c r="G530" s="54"/>
      <c r="H530" s="47" t="s">
        <v>1250</v>
      </c>
      <c r="I530" s="232" t="s">
        <v>1251</v>
      </c>
      <c r="J530" s="233"/>
      <c r="K530" s="234"/>
      <c r="L530" s="234"/>
      <c r="M530" s="235"/>
      <c r="N530" s="234"/>
      <c r="O530" s="236"/>
    </row>
    <row r="531" spans="1:15" ht="15.75">
      <c r="A531" s="31"/>
      <c r="B531" s="34"/>
      <c r="C531" s="34"/>
      <c r="D531" s="34"/>
      <c r="E531" s="34"/>
      <c r="F531" s="237"/>
      <c r="G531" s="55"/>
      <c r="H531" s="47" t="s">
        <v>1252</v>
      </c>
      <c r="I531" s="232" t="s">
        <v>1253</v>
      </c>
      <c r="J531" s="233"/>
      <c r="K531" s="234"/>
      <c r="L531" s="234"/>
      <c r="M531" s="235"/>
      <c r="N531" s="234"/>
      <c r="O531" s="236"/>
    </row>
    <row r="532" spans="1:15" ht="15.75">
      <c r="A532" s="31"/>
      <c r="B532" s="34"/>
      <c r="C532" s="34"/>
      <c r="D532" s="34"/>
      <c r="E532" s="34"/>
      <c r="F532" s="237"/>
      <c r="G532" s="53" t="s">
        <v>1254</v>
      </c>
      <c r="H532" s="40" t="s">
        <v>1255</v>
      </c>
      <c r="I532" s="232" t="s">
        <v>1256</v>
      </c>
      <c r="J532" s="233"/>
      <c r="K532" s="234"/>
      <c r="L532" s="234"/>
      <c r="M532" s="235"/>
      <c r="N532" s="234"/>
      <c r="O532" s="236"/>
    </row>
    <row r="533" spans="1:15" ht="15.75">
      <c r="A533" s="31"/>
      <c r="B533" s="34"/>
      <c r="C533" s="34"/>
      <c r="D533" s="34"/>
      <c r="E533" s="34"/>
      <c r="F533" s="237"/>
      <c r="G533" s="54"/>
      <c r="H533" s="40" t="s">
        <v>1257</v>
      </c>
      <c r="I533" s="232" t="s">
        <v>1258</v>
      </c>
      <c r="J533" s="233"/>
      <c r="K533" s="234"/>
      <c r="L533" s="234"/>
      <c r="M533" s="235"/>
      <c r="N533" s="234"/>
      <c r="O533" s="236"/>
    </row>
    <row r="534" spans="1:15" ht="15.75">
      <c r="A534" s="31"/>
      <c r="B534" s="34"/>
      <c r="C534" s="34"/>
      <c r="D534" s="34"/>
      <c r="E534" s="34"/>
      <c r="F534" s="237"/>
      <c r="G534" s="54"/>
      <c r="H534" s="40" t="s">
        <v>1259</v>
      </c>
      <c r="I534" s="232" t="s">
        <v>1260</v>
      </c>
      <c r="J534" s="233"/>
      <c r="K534" s="234"/>
      <c r="L534" s="234"/>
      <c r="M534" s="235"/>
      <c r="N534" s="234"/>
      <c r="O534" s="236"/>
    </row>
    <row r="535" spans="1:15" ht="15.75">
      <c r="A535" s="31"/>
      <c r="B535" s="34"/>
      <c r="C535" s="34"/>
      <c r="D535" s="34"/>
      <c r="E535" s="34"/>
      <c r="F535" s="237"/>
      <c r="G535" s="54"/>
      <c r="H535" s="40" t="s">
        <v>1261</v>
      </c>
      <c r="I535" s="232" t="s">
        <v>1262</v>
      </c>
      <c r="J535" s="233"/>
      <c r="K535" s="234"/>
      <c r="L535" s="234"/>
      <c r="M535" s="235"/>
      <c r="N535" s="234"/>
      <c r="O535" s="236"/>
    </row>
    <row r="536" spans="1:15" ht="15.75">
      <c r="A536" s="31"/>
      <c r="B536" s="34"/>
      <c r="C536" s="34"/>
      <c r="D536" s="34"/>
      <c r="E536" s="34"/>
      <c r="F536" s="237"/>
      <c r="G536" s="55"/>
      <c r="H536" s="40" t="s">
        <v>1263</v>
      </c>
      <c r="I536" s="232" t="s">
        <v>1264</v>
      </c>
      <c r="J536" s="233"/>
      <c r="K536" s="234"/>
      <c r="L536" s="234"/>
      <c r="M536" s="235"/>
      <c r="N536" s="234"/>
      <c r="O536" s="236"/>
    </row>
    <row r="537" spans="1:15" ht="15.75">
      <c r="A537" s="31"/>
      <c r="B537" s="41"/>
      <c r="C537" s="41"/>
      <c r="D537" s="41"/>
      <c r="E537" s="41"/>
      <c r="F537" s="239"/>
      <c r="G537" s="53" t="s">
        <v>1265</v>
      </c>
      <c r="H537" s="47" t="s">
        <v>1266</v>
      </c>
      <c r="I537" s="238" t="s">
        <v>1258</v>
      </c>
      <c r="J537" s="233"/>
      <c r="K537" s="234"/>
      <c r="L537" s="234"/>
      <c r="M537" s="235"/>
      <c r="N537" s="234"/>
      <c r="O537" s="236"/>
    </row>
    <row r="538" spans="1:15" ht="15.75">
      <c r="A538" s="31"/>
      <c r="B538" s="42"/>
      <c r="C538" s="42"/>
      <c r="D538" s="42"/>
      <c r="E538" s="42"/>
      <c r="F538" s="240"/>
      <c r="G538" s="54"/>
      <c r="H538" s="47" t="s">
        <v>1267</v>
      </c>
      <c r="I538" s="238" t="s">
        <v>1260</v>
      </c>
      <c r="J538" s="233"/>
      <c r="K538" s="234"/>
      <c r="L538" s="234"/>
      <c r="M538" s="235"/>
      <c r="N538" s="234"/>
      <c r="O538" s="236"/>
    </row>
    <row r="539" spans="1:15" ht="15.75">
      <c r="A539" s="31"/>
      <c r="B539" s="42"/>
      <c r="C539" s="42"/>
      <c r="D539" s="42"/>
      <c r="E539" s="42"/>
      <c r="F539" s="240"/>
      <c r="G539" s="54"/>
      <c r="H539" s="47" t="s">
        <v>1268</v>
      </c>
      <c r="I539" s="238" t="s">
        <v>1262</v>
      </c>
      <c r="J539" s="233"/>
      <c r="K539" s="234"/>
      <c r="L539" s="234"/>
      <c r="M539" s="235"/>
      <c r="N539" s="234"/>
      <c r="O539" s="236"/>
    </row>
    <row r="540" spans="1:15" ht="15.75">
      <c r="A540" s="31"/>
      <c r="B540" s="42"/>
      <c r="C540" s="42"/>
      <c r="D540" s="42"/>
      <c r="E540" s="42"/>
      <c r="F540" s="240"/>
      <c r="G540" s="54"/>
      <c r="H540" s="47" t="s">
        <v>909</v>
      </c>
      <c r="I540" s="238" t="s">
        <v>1264</v>
      </c>
      <c r="J540" s="233"/>
      <c r="K540" s="234"/>
      <c r="L540" s="234"/>
      <c r="M540" s="235"/>
      <c r="N540" s="234"/>
      <c r="O540" s="236"/>
    </row>
    <row r="541" spans="1:15" ht="15.75">
      <c r="A541" s="31"/>
      <c r="B541" s="42"/>
      <c r="C541" s="42"/>
      <c r="D541" s="42"/>
      <c r="E541" s="42"/>
      <c r="F541" s="240"/>
      <c r="G541" s="55"/>
      <c r="H541" s="47" t="s">
        <v>1269</v>
      </c>
      <c r="I541" s="238" t="s">
        <v>1270</v>
      </c>
      <c r="J541" s="233"/>
      <c r="K541" s="234"/>
      <c r="L541" s="234"/>
      <c r="M541" s="235"/>
      <c r="N541" s="234"/>
      <c r="O541" s="236"/>
    </row>
    <row r="542" spans="1:15" ht="15.75">
      <c r="A542" s="31"/>
      <c r="B542" s="32"/>
      <c r="C542" s="32"/>
      <c r="D542" s="32"/>
      <c r="E542" s="32"/>
      <c r="F542" s="231" t="s">
        <v>1271</v>
      </c>
      <c r="G542" s="56" t="s">
        <v>1272</v>
      </c>
      <c r="H542" s="40" t="s">
        <v>1273</v>
      </c>
      <c r="I542" s="238" t="s">
        <v>1274</v>
      </c>
      <c r="J542" s="233"/>
      <c r="K542" s="234"/>
      <c r="L542" s="234"/>
      <c r="M542" s="235"/>
      <c r="N542" s="234"/>
      <c r="O542" s="236"/>
    </row>
    <row r="543" spans="1:15" ht="31.5">
      <c r="A543" s="31"/>
      <c r="B543" s="34"/>
      <c r="C543" s="34"/>
      <c r="D543" s="34"/>
      <c r="E543" s="34"/>
      <c r="F543" s="237"/>
      <c r="G543" s="57"/>
      <c r="H543" s="40" t="s">
        <v>1275</v>
      </c>
      <c r="I543" s="238" t="s">
        <v>1276</v>
      </c>
      <c r="J543" s="233"/>
      <c r="K543" s="234"/>
      <c r="L543" s="234"/>
      <c r="M543" s="235"/>
      <c r="N543" s="234"/>
      <c r="O543" s="236"/>
    </row>
    <row r="544" spans="1:15" ht="15.75">
      <c r="A544" s="31"/>
      <c r="B544" s="34"/>
      <c r="C544" s="34"/>
      <c r="D544" s="34"/>
      <c r="E544" s="34"/>
      <c r="F544" s="237"/>
      <c r="G544" s="57"/>
      <c r="H544" s="40" t="s">
        <v>1277</v>
      </c>
      <c r="I544" s="238" t="s">
        <v>1278</v>
      </c>
      <c r="J544" s="233"/>
      <c r="K544" s="234"/>
      <c r="L544" s="234"/>
      <c r="M544" s="235"/>
      <c r="N544" s="234"/>
      <c r="O544" s="236"/>
    </row>
    <row r="545" spans="1:15" ht="15.75">
      <c r="A545" s="31"/>
      <c r="B545" s="34"/>
      <c r="C545" s="34"/>
      <c r="D545" s="34"/>
      <c r="E545" s="34"/>
      <c r="F545" s="237"/>
      <c r="G545" s="57"/>
      <c r="H545" s="40" t="s">
        <v>1279</v>
      </c>
      <c r="I545" s="238" t="s">
        <v>1280</v>
      </c>
      <c r="J545" s="233"/>
      <c r="K545" s="234"/>
      <c r="L545" s="234"/>
      <c r="M545" s="235"/>
      <c r="N545" s="234"/>
      <c r="O545" s="236"/>
    </row>
    <row r="546" spans="1:15" ht="15.75">
      <c r="A546" s="31"/>
      <c r="B546" s="34"/>
      <c r="C546" s="34"/>
      <c r="D546" s="34"/>
      <c r="E546" s="34"/>
      <c r="F546" s="237"/>
      <c r="G546" s="58"/>
      <c r="H546" s="40" t="s">
        <v>1281</v>
      </c>
      <c r="I546" s="238" t="s">
        <v>1282</v>
      </c>
      <c r="J546" s="233"/>
      <c r="K546" s="234"/>
      <c r="L546" s="234"/>
      <c r="M546" s="235"/>
      <c r="N546" s="234"/>
      <c r="O546" s="236"/>
    </row>
    <row r="547" spans="1:15" ht="15.75">
      <c r="A547" s="31"/>
      <c r="B547" s="34"/>
      <c r="C547" s="34"/>
      <c r="D547" s="34"/>
      <c r="E547" s="34"/>
      <c r="F547" s="237"/>
      <c r="G547" s="59" t="s">
        <v>1283</v>
      </c>
      <c r="H547" s="47" t="s">
        <v>1284</v>
      </c>
      <c r="I547" s="238" t="s">
        <v>1285</v>
      </c>
      <c r="J547" s="233"/>
      <c r="K547" s="234"/>
      <c r="L547" s="234"/>
      <c r="M547" s="235"/>
      <c r="N547" s="234"/>
      <c r="O547" s="236"/>
    </row>
    <row r="548" spans="1:15" ht="15.75">
      <c r="A548" s="31"/>
      <c r="B548" s="34"/>
      <c r="C548" s="34"/>
      <c r="D548" s="34"/>
      <c r="E548" s="34"/>
      <c r="F548" s="237"/>
      <c r="G548" s="60"/>
      <c r="H548" s="47" t="s">
        <v>1286</v>
      </c>
      <c r="I548" s="238" t="s">
        <v>1287</v>
      </c>
      <c r="J548" s="233"/>
      <c r="K548" s="234"/>
      <c r="L548" s="234"/>
      <c r="M548" s="235"/>
      <c r="N548" s="234"/>
      <c r="O548" s="236"/>
    </row>
    <row r="549" spans="1:15" ht="15.75">
      <c r="A549" s="31"/>
      <c r="B549" s="34"/>
      <c r="C549" s="34"/>
      <c r="D549" s="34"/>
      <c r="E549" s="34"/>
      <c r="F549" s="237"/>
      <c r="G549" s="60"/>
      <c r="H549" s="47" t="s">
        <v>1288</v>
      </c>
      <c r="I549" s="238" t="s">
        <v>1289</v>
      </c>
      <c r="J549" s="233"/>
      <c r="K549" s="234"/>
      <c r="L549" s="234"/>
      <c r="M549" s="235"/>
      <c r="N549" s="234"/>
      <c r="O549" s="236"/>
    </row>
    <row r="550" spans="1:15" ht="15.75">
      <c r="A550" s="31"/>
      <c r="B550" s="34"/>
      <c r="C550" s="34"/>
      <c r="D550" s="34"/>
      <c r="E550" s="34"/>
      <c r="F550" s="237"/>
      <c r="G550" s="60"/>
      <c r="H550" s="47" t="s">
        <v>1290</v>
      </c>
      <c r="I550" s="238" t="s">
        <v>1291</v>
      </c>
      <c r="J550" s="233"/>
      <c r="K550" s="234"/>
      <c r="L550" s="234"/>
      <c r="M550" s="235"/>
      <c r="N550" s="234"/>
      <c r="O550" s="236"/>
    </row>
    <row r="551" spans="1:15" ht="31.5">
      <c r="A551" s="31"/>
      <c r="B551" s="34"/>
      <c r="C551" s="34"/>
      <c r="D551" s="34"/>
      <c r="E551" s="34"/>
      <c r="F551" s="237"/>
      <c r="G551" s="61"/>
      <c r="H551" s="47" t="s">
        <v>1292</v>
      </c>
      <c r="I551" s="238" t="s">
        <v>1293</v>
      </c>
      <c r="J551" s="233"/>
      <c r="K551" s="234"/>
      <c r="L551" s="234"/>
      <c r="M551" s="235"/>
      <c r="N551" s="234"/>
      <c r="O551" s="236"/>
    </row>
    <row r="552" spans="1:15" ht="31.5">
      <c r="A552" s="31"/>
      <c r="B552" s="34"/>
      <c r="C552" s="34"/>
      <c r="D552" s="34"/>
      <c r="E552" s="34"/>
      <c r="F552" s="237"/>
      <c r="G552" s="59" t="s">
        <v>1294</v>
      </c>
      <c r="H552" s="40" t="s">
        <v>1295</v>
      </c>
      <c r="I552" s="238" t="s">
        <v>1296</v>
      </c>
      <c r="J552" s="233"/>
      <c r="K552" s="234"/>
      <c r="L552" s="234"/>
      <c r="M552" s="235"/>
      <c r="N552" s="234"/>
      <c r="O552" s="236"/>
    </row>
    <row r="553" spans="1:15" ht="15.75">
      <c r="A553" s="31"/>
      <c r="B553" s="34"/>
      <c r="C553" s="34"/>
      <c r="D553" s="34"/>
      <c r="E553" s="34"/>
      <c r="F553" s="237"/>
      <c r="G553" s="60"/>
      <c r="H553" s="40" t="s">
        <v>1297</v>
      </c>
      <c r="I553" s="238" t="s">
        <v>1298</v>
      </c>
      <c r="J553" s="233"/>
      <c r="K553" s="234"/>
      <c r="L553" s="234"/>
      <c r="M553" s="235"/>
      <c r="N553" s="234"/>
      <c r="O553" s="236"/>
    </row>
    <row r="554" spans="1:15" ht="31.5">
      <c r="A554" s="31"/>
      <c r="B554" s="34"/>
      <c r="C554" s="34"/>
      <c r="D554" s="34"/>
      <c r="E554" s="34"/>
      <c r="F554" s="237"/>
      <c r="G554" s="60"/>
      <c r="H554" s="40" t="s">
        <v>1299</v>
      </c>
      <c r="I554" s="238" t="s">
        <v>1300</v>
      </c>
      <c r="J554" s="233"/>
      <c r="K554" s="234"/>
      <c r="L554" s="234"/>
      <c r="M554" s="235"/>
      <c r="N554" s="234"/>
      <c r="O554" s="236"/>
    </row>
    <row r="555" spans="1:15" ht="15.75">
      <c r="A555" s="31"/>
      <c r="B555" s="34"/>
      <c r="C555" s="34"/>
      <c r="D555" s="34"/>
      <c r="E555" s="34"/>
      <c r="F555" s="237"/>
      <c r="G555" s="60"/>
      <c r="H555" s="40" t="s">
        <v>1301</v>
      </c>
      <c r="I555" s="40" t="s">
        <v>1302</v>
      </c>
      <c r="J555" s="233"/>
      <c r="K555" s="234"/>
      <c r="L555" s="234"/>
      <c r="M555" s="235"/>
      <c r="N555" s="234"/>
      <c r="O555" s="236"/>
    </row>
    <row r="556" spans="1:15" ht="15.75">
      <c r="A556" s="31"/>
      <c r="B556" s="34"/>
      <c r="C556" s="34"/>
      <c r="D556" s="34"/>
      <c r="E556" s="34"/>
      <c r="F556" s="237"/>
      <c r="G556" s="61"/>
      <c r="H556" s="40" t="s">
        <v>1303</v>
      </c>
      <c r="I556" s="40" t="s">
        <v>1304</v>
      </c>
      <c r="J556" s="233"/>
      <c r="K556" s="234"/>
      <c r="L556" s="234"/>
      <c r="M556" s="235"/>
      <c r="N556" s="234"/>
      <c r="O556" s="236"/>
    </row>
    <row r="557" spans="1:15" ht="31.5">
      <c r="A557" s="31"/>
      <c r="B557" s="34"/>
      <c r="C557" s="34"/>
      <c r="D557" s="34"/>
      <c r="E557" s="34"/>
      <c r="F557" s="237"/>
      <c r="G557" s="59" t="s">
        <v>1305</v>
      </c>
      <c r="H557" s="47" t="s">
        <v>1306</v>
      </c>
      <c r="I557" s="40" t="s">
        <v>1307</v>
      </c>
      <c r="J557" s="233"/>
      <c r="K557" s="234"/>
      <c r="L557" s="234"/>
      <c r="M557" s="235"/>
      <c r="N557" s="234"/>
      <c r="O557" s="236"/>
    </row>
    <row r="558" spans="1:15" ht="15.75">
      <c r="A558" s="31"/>
      <c r="B558" s="34"/>
      <c r="C558" s="34"/>
      <c r="D558" s="34"/>
      <c r="E558" s="34"/>
      <c r="F558" s="237"/>
      <c r="G558" s="60"/>
      <c r="H558" s="47" t="s">
        <v>1308</v>
      </c>
      <c r="I558" s="40" t="s">
        <v>1309</v>
      </c>
      <c r="J558" s="233"/>
      <c r="K558" s="234"/>
      <c r="L558" s="234"/>
      <c r="M558" s="235"/>
      <c r="N558" s="234"/>
      <c r="O558" s="236"/>
    </row>
    <row r="559" spans="1:15" ht="31.5">
      <c r="A559" s="31"/>
      <c r="B559" s="34"/>
      <c r="C559" s="34"/>
      <c r="D559" s="34"/>
      <c r="E559" s="34"/>
      <c r="F559" s="237"/>
      <c r="G559" s="60"/>
      <c r="H559" s="47" t="s">
        <v>1310</v>
      </c>
      <c r="I559" s="40" t="s">
        <v>1311</v>
      </c>
      <c r="J559" s="233"/>
      <c r="K559" s="234"/>
      <c r="L559" s="234"/>
      <c r="M559" s="235"/>
      <c r="N559" s="234"/>
      <c r="O559" s="236"/>
    </row>
    <row r="560" spans="1:15" ht="15.75">
      <c r="A560" s="31"/>
      <c r="B560" s="34"/>
      <c r="C560" s="34"/>
      <c r="D560" s="34"/>
      <c r="E560" s="34"/>
      <c r="F560" s="237"/>
      <c r="G560" s="60"/>
      <c r="H560" s="47" t="s">
        <v>1312</v>
      </c>
      <c r="I560" s="40" t="s">
        <v>1313</v>
      </c>
      <c r="J560" s="233"/>
      <c r="K560" s="234"/>
      <c r="L560" s="234"/>
      <c r="M560" s="235"/>
      <c r="N560" s="234"/>
      <c r="O560" s="236"/>
    </row>
    <row r="561" spans="1:15" ht="15.75">
      <c r="A561" s="31"/>
      <c r="B561" s="34"/>
      <c r="C561" s="34"/>
      <c r="D561" s="34"/>
      <c r="E561" s="34"/>
      <c r="F561" s="237"/>
      <c r="G561" s="61"/>
      <c r="H561" s="47" t="s">
        <v>1314</v>
      </c>
      <c r="I561" s="40" t="s">
        <v>1315</v>
      </c>
      <c r="J561" s="233"/>
      <c r="K561" s="234"/>
      <c r="L561" s="234"/>
      <c r="M561" s="235"/>
      <c r="N561" s="234"/>
      <c r="O561" s="236"/>
    </row>
    <row r="562" spans="1:15" ht="15.75">
      <c r="A562" s="31"/>
      <c r="B562" s="34"/>
      <c r="C562" s="34"/>
      <c r="D562" s="34"/>
      <c r="E562" s="34"/>
      <c r="F562" s="237"/>
      <c r="G562" s="59" t="s">
        <v>1316</v>
      </c>
      <c r="H562" s="40" t="s">
        <v>1317</v>
      </c>
      <c r="I562" s="40" t="s">
        <v>1318</v>
      </c>
      <c r="J562" s="233"/>
      <c r="K562" s="234"/>
      <c r="L562" s="234"/>
      <c r="M562" s="235"/>
      <c r="N562" s="234"/>
      <c r="O562" s="236"/>
    </row>
    <row r="563" spans="1:15" ht="15.75">
      <c r="A563" s="31"/>
      <c r="B563" s="34"/>
      <c r="C563" s="34"/>
      <c r="D563" s="34"/>
      <c r="E563" s="34"/>
      <c r="F563" s="237"/>
      <c r="G563" s="60"/>
      <c r="H563" s="40" t="s">
        <v>1319</v>
      </c>
      <c r="I563" s="40" t="s">
        <v>1320</v>
      </c>
      <c r="J563" s="233"/>
      <c r="K563" s="234"/>
      <c r="L563" s="234"/>
      <c r="M563" s="235"/>
      <c r="N563" s="234"/>
      <c r="O563" s="236"/>
    </row>
    <row r="564" spans="1:15" ht="15.75">
      <c r="A564" s="31"/>
      <c r="B564" s="34"/>
      <c r="C564" s="34"/>
      <c r="D564" s="34"/>
      <c r="E564" s="34"/>
      <c r="F564" s="237"/>
      <c r="G564" s="60"/>
      <c r="H564" s="40" t="s">
        <v>1321</v>
      </c>
      <c r="I564" s="40" t="s">
        <v>1322</v>
      </c>
      <c r="J564" s="233"/>
      <c r="K564" s="234"/>
      <c r="L564" s="234"/>
      <c r="M564" s="235"/>
      <c r="N564" s="234"/>
      <c r="O564" s="236"/>
    </row>
    <row r="565" spans="1:15" ht="15.75">
      <c r="A565" s="31"/>
      <c r="B565" s="34"/>
      <c r="C565" s="34"/>
      <c r="D565" s="34"/>
      <c r="E565" s="34"/>
      <c r="F565" s="237"/>
      <c r="G565" s="60"/>
      <c r="H565" s="40" t="s">
        <v>1323</v>
      </c>
      <c r="I565" s="40" t="s">
        <v>1324</v>
      </c>
      <c r="J565" s="233"/>
      <c r="K565" s="234"/>
      <c r="L565" s="234"/>
      <c r="M565" s="235"/>
      <c r="N565" s="234"/>
      <c r="O565" s="236"/>
    </row>
    <row r="566" spans="1:15" ht="31.5">
      <c r="A566" s="31"/>
      <c r="B566" s="34"/>
      <c r="C566" s="34"/>
      <c r="D566" s="34"/>
      <c r="E566" s="34"/>
      <c r="F566" s="237"/>
      <c r="G566" s="61"/>
      <c r="H566" s="40" t="s">
        <v>1325</v>
      </c>
      <c r="I566" s="40" t="s">
        <v>1326</v>
      </c>
      <c r="J566" s="233"/>
      <c r="K566" s="234"/>
      <c r="L566" s="234"/>
      <c r="M566" s="235"/>
      <c r="N566" s="234"/>
      <c r="O566" s="236"/>
    </row>
    <row r="567" spans="1:15" ht="30.75">
      <c r="A567" s="31"/>
      <c r="B567" s="41"/>
      <c r="C567" s="41"/>
      <c r="D567" s="41"/>
      <c r="E567" s="41"/>
      <c r="F567" s="239"/>
      <c r="G567" s="59" t="s">
        <v>1327</v>
      </c>
      <c r="H567" s="151" t="s">
        <v>1328</v>
      </c>
      <c r="I567" s="40" t="s">
        <v>1329</v>
      </c>
      <c r="J567" s="233" t="s">
        <v>20</v>
      </c>
      <c r="K567" s="234" t="s">
        <v>1330</v>
      </c>
      <c r="L567" s="234" t="s">
        <v>1331</v>
      </c>
      <c r="M567" s="235" t="s">
        <v>94</v>
      </c>
      <c r="N567" s="234" t="s">
        <v>1332</v>
      </c>
      <c r="O567" s="236"/>
    </row>
    <row r="568" spans="1:15" ht="15.75">
      <c r="A568" s="62"/>
      <c r="B568" s="42"/>
      <c r="C568" s="42"/>
      <c r="D568" s="42"/>
      <c r="E568" s="42"/>
      <c r="F568" s="240"/>
      <c r="G568" s="60"/>
      <c r="H568" s="47" t="s">
        <v>1333</v>
      </c>
      <c r="I568" s="40" t="s">
        <v>1334</v>
      </c>
      <c r="J568" s="233"/>
      <c r="K568" s="234"/>
      <c r="L568" s="234"/>
      <c r="M568" s="235"/>
      <c r="N568" s="234"/>
      <c r="O568" s="236"/>
    </row>
    <row r="569" spans="1:15" ht="15.75">
      <c r="A569" s="62"/>
      <c r="B569" s="42"/>
      <c r="C569" s="42"/>
      <c r="D569" s="42"/>
      <c r="E569" s="42"/>
      <c r="F569" s="240"/>
      <c r="G569" s="60"/>
      <c r="H569" s="47" t="s">
        <v>1335</v>
      </c>
      <c r="I569" s="40" t="s">
        <v>1336</v>
      </c>
      <c r="J569" s="233"/>
      <c r="K569" s="234"/>
      <c r="L569" s="234"/>
      <c r="M569" s="235"/>
      <c r="N569" s="234"/>
      <c r="O569" s="236"/>
    </row>
    <row r="570" spans="1:15" ht="15.75">
      <c r="A570" s="62"/>
      <c r="B570" s="42"/>
      <c r="C570" s="42"/>
      <c r="D570" s="42"/>
      <c r="E570" s="42"/>
      <c r="F570" s="240"/>
      <c r="G570" s="60"/>
      <c r="H570" s="47" t="s">
        <v>1337</v>
      </c>
      <c r="I570" s="40" t="s">
        <v>1338</v>
      </c>
      <c r="J570" s="233"/>
      <c r="K570" s="234"/>
      <c r="L570" s="234"/>
      <c r="M570" s="235"/>
      <c r="N570" s="234"/>
      <c r="O570" s="236"/>
    </row>
    <row r="571" spans="1:15" ht="31.5">
      <c r="A571" s="62"/>
      <c r="B571" s="42"/>
      <c r="C571" s="42"/>
      <c r="D571" s="42"/>
      <c r="E571" s="42"/>
      <c r="F571" s="240"/>
      <c r="G571" s="61"/>
      <c r="H571" s="47" t="s">
        <v>1339</v>
      </c>
      <c r="I571" s="40" t="s">
        <v>1340</v>
      </c>
      <c r="J571" s="233"/>
      <c r="K571" s="234"/>
      <c r="L571" s="234"/>
      <c r="M571" s="235"/>
      <c r="N571" s="234"/>
      <c r="O571" s="236"/>
    </row>
    <row r="572" spans="1:15" ht="30.75">
      <c r="A572" s="63" t="s">
        <v>1341</v>
      </c>
      <c r="B572" s="64" t="s">
        <v>508</v>
      </c>
      <c r="C572" s="64"/>
      <c r="D572" s="64"/>
      <c r="E572" s="64"/>
      <c r="F572" s="33" t="s">
        <v>1342</v>
      </c>
      <c r="G572" s="65" t="s">
        <v>1343</v>
      </c>
      <c r="H572" s="241" t="s">
        <v>1344</v>
      </c>
      <c r="I572" s="242" t="s">
        <v>1345</v>
      </c>
      <c r="J572" s="243" t="s">
        <v>20</v>
      </c>
      <c r="K572" s="242" t="s">
        <v>1346</v>
      </c>
      <c r="L572" s="242" t="s">
        <v>1347</v>
      </c>
      <c r="M572" s="244" t="s">
        <v>23</v>
      </c>
      <c r="N572" s="242" t="s">
        <v>1348</v>
      </c>
      <c r="O572" s="245"/>
    </row>
    <row r="573" spans="1:15" ht="15.75">
      <c r="A573" s="63"/>
      <c r="B573" s="66"/>
      <c r="C573" s="66"/>
      <c r="D573" s="66"/>
      <c r="E573" s="66"/>
      <c r="F573" s="35"/>
      <c r="G573" s="67"/>
      <c r="H573" s="40" t="s">
        <v>1349</v>
      </c>
      <c r="I573" s="242" t="s">
        <v>1350</v>
      </c>
      <c r="J573" s="243"/>
      <c r="K573" s="242"/>
      <c r="L573" s="242"/>
      <c r="M573" s="244"/>
      <c r="N573" s="242"/>
      <c r="O573" s="245"/>
    </row>
    <row r="574" spans="1:15" ht="15.75">
      <c r="A574" s="63"/>
      <c r="B574" s="66"/>
      <c r="C574" s="66"/>
      <c r="D574" s="66"/>
      <c r="E574" s="66"/>
      <c r="F574" s="35"/>
      <c r="G574" s="67"/>
      <c r="H574" s="40" t="s">
        <v>1351</v>
      </c>
      <c r="I574" s="242" t="s">
        <v>1352</v>
      </c>
      <c r="J574" s="243"/>
      <c r="K574" s="242"/>
      <c r="L574" s="242"/>
      <c r="M574" s="244"/>
      <c r="N574" s="242"/>
      <c r="O574" s="245"/>
    </row>
    <row r="575" spans="1:15" ht="15.75">
      <c r="A575" s="63"/>
      <c r="B575" s="66"/>
      <c r="C575" s="66"/>
      <c r="D575" s="66"/>
      <c r="E575" s="66"/>
      <c r="F575" s="35"/>
      <c r="G575" s="67"/>
      <c r="H575" s="40" t="s">
        <v>1353</v>
      </c>
      <c r="I575" s="242" t="s">
        <v>1354</v>
      </c>
      <c r="J575" s="243"/>
      <c r="K575" s="242"/>
      <c r="L575" s="242"/>
      <c r="M575" s="244"/>
      <c r="N575" s="242"/>
      <c r="O575" s="245"/>
    </row>
    <row r="576" spans="1:15" ht="30.75">
      <c r="A576" s="63"/>
      <c r="B576" s="66"/>
      <c r="C576" s="66"/>
      <c r="D576" s="66"/>
      <c r="E576" s="66"/>
      <c r="F576" s="35"/>
      <c r="G576" s="68"/>
      <c r="H576" s="40" t="s">
        <v>1355</v>
      </c>
      <c r="I576" s="242" t="s">
        <v>1356</v>
      </c>
      <c r="J576" s="243"/>
      <c r="K576" s="242"/>
      <c r="L576" s="242"/>
      <c r="M576" s="244"/>
      <c r="N576" s="242"/>
      <c r="O576" s="245"/>
    </row>
    <row r="577" spans="1:15" ht="31.5">
      <c r="A577" s="63"/>
      <c r="B577" s="66"/>
      <c r="C577" s="66"/>
      <c r="D577" s="66"/>
      <c r="E577" s="66"/>
      <c r="F577" s="35"/>
      <c r="G577" s="69" t="s">
        <v>1357</v>
      </c>
      <c r="H577" s="47" t="s">
        <v>1358</v>
      </c>
      <c r="I577" s="242" t="s">
        <v>1359</v>
      </c>
      <c r="J577" s="243"/>
      <c r="K577" s="242"/>
      <c r="L577" s="242"/>
      <c r="M577" s="244"/>
      <c r="N577" s="242"/>
      <c r="O577" s="245"/>
    </row>
    <row r="578" spans="1:15" ht="30.75">
      <c r="A578" s="63"/>
      <c r="B578" s="66"/>
      <c r="C578" s="66"/>
      <c r="D578" s="66"/>
      <c r="E578" s="66"/>
      <c r="F578" s="35"/>
      <c r="G578" s="70"/>
      <c r="H578" s="47" t="s">
        <v>1360</v>
      </c>
      <c r="I578" s="242" t="s">
        <v>1361</v>
      </c>
      <c r="J578" s="243"/>
      <c r="K578" s="242"/>
      <c r="L578" s="242"/>
      <c r="M578" s="244"/>
      <c r="N578" s="242"/>
      <c r="O578" s="245"/>
    </row>
    <row r="579" spans="1:15" ht="15.75">
      <c r="A579" s="63"/>
      <c r="B579" s="66"/>
      <c r="C579" s="66"/>
      <c r="D579" s="66"/>
      <c r="E579" s="66"/>
      <c r="F579" s="35"/>
      <c r="G579" s="70"/>
      <c r="H579" s="47" t="s">
        <v>1362</v>
      </c>
      <c r="I579" s="242" t="s">
        <v>1363</v>
      </c>
      <c r="J579" s="243"/>
      <c r="K579" s="242"/>
      <c r="L579" s="242"/>
      <c r="M579" s="244"/>
      <c r="N579" s="242"/>
      <c r="O579" s="245"/>
    </row>
    <row r="580" spans="1:15" ht="30.75">
      <c r="A580" s="63"/>
      <c r="B580" s="66"/>
      <c r="C580" s="66"/>
      <c r="D580" s="66"/>
      <c r="E580" s="66"/>
      <c r="F580" s="35"/>
      <c r="G580" s="70"/>
      <c r="H580" s="47" t="s">
        <v>1364</v>
      </c>
      <c r="I580" s="242" t="s">
        <v>1365</v>
      </c>
      <c r="J580" s="243"/>
      <c r="K580" s="242"/>
      <c r="L580" s="242"/>
      <c r="M580" s="244"/>
      <c r="N580" s="242"/>
      <c r="O580" s="245"/>
    </row>
    <row r="581" spans="1:15" ht="15.75">
      <c r="A581" s="63"/>
      <c r="B581" s="66"/>
      <c r="C581" s="66"/>
      <c r="D581" s="66"/>
      <c r="E581" s="66"/>
      <c r="F581" s="35"/>
      <c r="G581" s="71"/>
      <c r="H581" s="47" t="s">
        <v>1366</v>
      </c>
      <c r="I581" s="242" t="s">
        <v>1367</v>
      </c>
      <c r="J581" s="243"/>
      <c r="K581" s="242"/>
      <c r="L581" s="242"/>
      <c r="M581" s="244"/>
      <c r="N581" s="242"/>
      <c r="O581" s="245"/>
    </row>
    <row r="582" spans="1:15" ht="15.75">
      <c r="A582" s="63"/>
      <c r="B582" s="66"/>
      <c r="C582" s="66"/>
      <c r="D582" s="66"/>
      <c r="E582" s="66"/>
      <c r="F582" s="35"/>
      <c r="G582" s="69" t="s">
        <v>1368</v>
      </c>
      <c r="H582" s="40" t="s">
        <v>1369</v>
      </c>
      <c r="I582" s="242" t="s">
        <v>1370</v>
      </c>
      <c r="J582" s="243"/>
      <c r="K582" s="242"/>
      <c r="L582" s="242"/>
      <c r="M582" s="244"/>
      <c r="N582" s="242"/>
      <c r="O582" s="245"/>
    </row>
    <row r="583" spans="1:15" ht="15.75">
      <c r="A583" s="63"/>
      <c r="B583" s="66"/>
      <c r="C583" s="66"/>
      <c r="D583" s="66"/>
      <c r="E583" s="66"/>
      <c r="F583" s="35"/>
      <c r="G583" s="70"/>
      <c r="H583" s="40" t="s">
        <v>1371</v>
      </c>
      <c r="I583" s="242" t="s">
        <v>1372</v>
      </c>
      <c r="J583" s="243"/>
      <c r="K583" s="242"/>
      <c r="L583" s="242"/>
      <c r="M583" s="244"/>
      <c r="N583" s="242"/>
      <c r="O583" s="245"/>
    </row>
    <row r="584" spans="1:15" ht="15.75">
      <c r="A584" s="63"/>
      <c r="B584" s="66"/>
      <c r="C584" s="66"/>
      <c r="D584" s="66"/>
      <c r="E584" s="66"/>
      <c r="F584" s="35"/>
      <c r="G584" s="70"/>
      <c r="H584" s="40" t="s">
        <v>1373</v>
      </c>
      <c r="I584" s="242" t="s">
        <v>1374</v>
      </c>
      <c r="J584" s="243"/>
      <c r="K584" s="242"/>
      <c r="L584" s="242"/>
      <c r="M584" s="244"/>
      <c r="N584" s="242"/>
      <c r="O584" s="245"/>
    </row>
    <row r="585" spans="1:15" ht="30.75">
      <c r="A585" s="63"/>
      <c r="B585" s="66"/>
      <c r="C585" s="66"/>
      <c r="D585" s="66"/>
      <c r="E585" s="66"/>
      <c r="F585" s="35"/>
      <c r="G585" s="70"/>
      <c r="H585" s="40" t="s">
        <v>1375</v>
      </c>
      <c r="I585" s="246" t="s">
        <v>1376</v>
      </c>
      <c r="J585" s="243"/>
      <c r="K585" s="242"/>
      <c r="L585" s="242"/>
      <c r="M585" s="244"/>
      <c r="N585" s="242"/>
      <c r="O585" s="245"/>
    </row>
    <row r="586" spans="1:15" ht="15.75">
      <c r="A586" s="63"/>
      <c r="B586" s="66"/>
      <c r="C586" s="66"/>
      <c r="D586" s="66"/>
      <c r="E586" s="66"/>
      <c r="F586" s="35"/>
      <c r="G586" s="71"/>
      <c r="H586" s="40" t="s">
        <v>1377</v>
      </c>
      <c r="I586" s="246" t="s">
        <v>1378</v>
      </c>
      <c r="J586" s="243"/>
      <c r="K586" s="242"/>
      <c r="L586" s="242"/>
      <c r="M586" s="244"/>
      <c r="N586" s="242"/>
      <c r="O586" s="245"/>
    </row>
    <row r="587" spans="1:15" ht="15.75">
      <c r="A587" s="63"/>
      <c r="B587" s="66"/>
      <c r="C587" s="66"/>
      <c r="D587" s="66"/>
      <c r="E587" s="66"/>
      <c r="F587" s="35"/>
      <c r="G587" s="69" t="s">
        <v>1379</v>
      </c>
      <c r="H587" s="47" t="s">
        <v>1380</v>
      </c>
      <c r="I587" s="246" t="s">
        <v>1381</v>
      </c>
      <c r="J587" s="243"/>
      <c r="K587" s="242"/>
      <c r="L587" s="242"/>
      <c r="M587" s="244"/>
      <c r="N587" s="242"/>
      <c r="O587" s="245"/>
    </row>
    <row r="588" spans="1:15" ht="15.75">
      <c r="A588" s="63"/>
      <c r="B588" s="66"/>
      <c r="C588" s="66"/>
      <c r="D588" s="66"/>
      <c r="E588" s="66"/>
      <c r="F588" s="35"/>
      <c r="G588" s="70"/>
      <c r="H588" s="47" t="s">
        <v>1382</v>
      </c>
      <c r="I588" s="246" t="s">
        <v>1383</v>
      </c>
      <c r="J588" s="243"/>
      <c r="K588" s="242"/>
      <c r="L588" s="242"/>
      <c r="M588" s="244"/>
      <c r="N588" s="242"/>
      <c r="O588" s="245"/>
    </row>
    <row r="589" spans="1:15" ht="30.75">
      <c r="A589" s="63"/>
      <c r="B589" s="66"/>
      <c r="C589" s="66"/>
      <c r="D589" s="66"/>
      <c r="E589" s="66"/>
      <c r="F589" s="35"/>
      <c r="G589" s="70"/>
      <c r="H589" s="47" t="s">
        <v>1384</v>
      </c>
      <c r="I589" s="246" t="s">
        <v>1385</v>
      </c>
      <c r="J589" s="243"/>
      <c r="K589" s="242"/>
      <c r="L589" s="242"/>
      <c r="M589" s="244"/>
      <c r="N589" s="242"/>
      <c r="O589" s="245"/>
    </row>
    <row r="590" spans="1:15" ht="15.75">
      <c r="A590" s="63"/>
      <c r="B590" s="66"/>
      <c r="C590" s="66"/>
      <c r="D590" s="66"/>
      <c r="E590" s="66"/>
      <c r="F590" s="35"/>
      <c r="G590" s="70"/>
      <c r="H590" s="47" t="s">
        <v>1386</v>
      </c>
      <c r="I590" s="246" t="s">
        <v>1387</v>
      </c>
      <c r="J590" s="243"/>
      <c r="K590" s="242"/>
      <c r="L590" s="242"/>
      <c r="M590" s="244"/>
      <c r="N590" s="242"/>
      <c r="O590" s="245"/>
    </row>
    <row r="591" spans="1:15" ht="15.75">
      <c r="A591" s="63"/>
      <c r="B591" s="66"/>
      <c r="C591" s="66"/>
      <c r="D591" s="66"/>
      <c r="E591" s="66"/>
      <c r="F591" s="35"/>
      <c r="G591" s="71"/>
      <c r="H591" s="47" t="s">
        <v>1388</v>
      </c>
      <c r="I591" s="246" t="s">
        <v>1389</v>
      </c>
      <c r="J591" s="243"/>
      <c r="K591" s="242"/>
      <c r="L591" s="242"/>
      <c r="M591" s="244"/>
      <c r="N591" s="242"/>
      <c r="O591" s="245"/>
    </row>
    <row r="592" spans="1:15" ht="30.75">
      <c r="A592" s="63"/>
      <c r="B592" s="66"/>
      <c r="C592" s="66"/>
      <c r="D592" s="66"/>
      <c r="E592" s="66"/>
      <c r="F592" s="35"/>
      <c r="G592" s="69" t="s">
        <v>1390</v>
      </c>
      <c r="H592" s="40" t="s">
        <v>1391</v>
      </c>
      <c r="I592" s="246" t="s">
        <v>1392</v>
      </c>
      <c r="J592" s="243"/>
      <c r="K592" s="242"/>
      <c r="L592" s="242"/>
      <c r="M592" s="244"/>
      <c r="N592" s="242"/>
      <c r="O592" s="245"/>
    </row>
    <row r="593" spans="1:15" ht="15.75">
      <c r="A593" s="63"/>
      <c r="B593" s="66"/>
      <c r="C593" s="66"/>
      <c r="D593" s="66"/>
      <c r="E593" s="66"/>
      <c r="F593" s="35"/>
      <c r="G593" s="70"/>
      <c r="H593" s="40" t="s">
        <v>1393</v>
      </c>
      <c r="I593" s="246" t="s">
        <v>1394</v>
      </c>
      <c r="J593" s="243"/>
      <c r="K593" s="242"/>
      <c r="L593" s="242"/>
      <c r="M593" s="244"/>
      <c r="N593" s="242"/>
      <c r="O593" s="245"/>
    </row>
    <row r="594" spans="1:15" ht="15.75">
      <c r="A594" s="63"/>
      <c r="B594" s="66"/>
      <c r="C594" s="66"/>
      <c r="D594" s="66"/>
      <c r="E594" s="66"/>
      <c r="F594" s="35"/>
      <c r="G594" s="70"/>
      <c r="H594" s="40" t="s">
        <v>1395</v>
      </c>
      <c r="I594" s="242" t="s">
        <v>1370</v>
      </c>
      <c r="J594" s="243"/>
      <c r="K594" s="242"/>
      <c r="L594" s="242"/>
      <c r="M594" s="244"/>
      <c r="N594" s="242"/>
      <c r="O594" s="245"/>
    </row>
    <row r="595" spans="1:15" ht="15.75">
      <c r="A595" s="63"/>
      <c r="B595" s="66"/>
      <c r="C595" s="66"/>
      <c r="D595" s="66"/>
      <c r="E595" s="66"/>
      <c r="F595" s="35"/>
      <c r="G595" s="70"/>
      <c r="H595" s="40" t="s">
        <v>1396</v>
      </c>
      <c r="I595" s="242" t="s">
        <v>1397</v>
      </c>
      <c r="J595" s="243"/>
      <c r="K595" s="242"/>
      <c r="L595" s="242"/>
      <c r="M595" s="244"/>
      <c r="N595" s="242"/>
      <c r="O595" s="245"/>
    </row>
    <row r="596" spans="1:15" ht="15.75">
      <c r="A596" s="63"/>
      <c r="B596" s="66"/>
      <c r="C596" s="66"/>
      <c r="D596" s="66"/>
      <c r="E596" s="66"/>
      <c r="F596" s="35"/>
      <c r="G596" s="71"/>
      <c r="H596" s="40" t="s">
        <v>1398</v>
      </c>
      <c r="I596" s="242" t="s">
        <v>1399</v>
      </c>
      <c r="J596" s="243"/>
      <c r="K596" s="242"/>
      <c r="L596" s="242"/>
      <c r="M596" s="244"/>
      <c r="N596" s="242"/>
      <c r="O596" s="245"/>
    </row>
    <row r="597" spans="1:15" ht="15.75">
      <c r="A597" s="63"/>
      <c r="B597" s="72"/>
      <c r="C597" s="72"/>
      <c r="D597" s="72"/>
      <c r="E597" s="72"/>
      <c r="F597" s="36"/>
      <c r="G597" s="69" t="s">
        <v>1400</v>
      </c>
      <c r="H597" s="247" t="s">
        <v>1401</v>
      </c>
      <c r="I597" s="242" t="s">
        <v>1399</v>
      </c>
      <c r="J597" s="243"/>
      <c r="K597" s="242"/>
      <c r="L597" s="242"/>
      <c r="M597" s="244"/>
      <c r="N597" s="242"/>
      <c r="O597" s="245"/>
    </row>
    <row r="598" spans="1:15" ht="15.75">
      <c r="A598" s="63"/>
      <c r="B598" s="73"/>
      <c r="C598" s="73"/>
      <c r="D598" s="73"/>
      <c r="E598" s="73"/>
      <c r="F598" s="228"/>
      <c r="G598" s="70"/>
      <c r="H598" s="247" t="s">
        <v>1402</v>
      </c>
      <c r="I598" s="242" t="s">
        <v>1374</v>
      </c>
      <c r="J598" s="243"/>
      <c r="K598" s="242"/>
      <c r="L598" s="242"/>
      <c r="M598" s="244"/>
      <c r="N598" s="242"/>
      <c r="O598" s="245"/>
    </row>
    <row r="599" spans="1:15" ht="15.75">
      <c r="A599" s="63"/>
      <c r="B599" s="73"/>
      <c r="C599" s="73"/>
      <c r="D599" s="73"/>
      <c r="E599" s="73"/>
      <c r="F599" s="228"/>
      <c r="G599" s="70"/>
      <c r="H599" s="247" t="s">
        <v>1403</v>
      </c>
      <c r="I599" s="242" t="s">
        <v>1374</v>
      </c>
      <c r="J599" s="243"/>
      <c r="K599" s="242"/>
      <c r="L599" s="242"/>
      <c r="M599" s="244"/>
      <c r="N599" s="242"/>
      <c r="O599" s="245"/>
    </row>
    <row r="600" spans="1:15" ht="30.75">
      <c r="A600" s="63"/>
      <c r="B600" s="73"/>
      <c r="C600" s="73"/>
      <c r="D600" s="73"/>
      <c r="E600" s="73"/>
      <c r="F600" s="228"/>
      <c r="G600" s="70"/>
      <c r="H600" s="247" t="s">
        <v>1404</v>
      </c>
      <c r="I600" s="242" t="s">
        <v>1376</v>
      </c>
      <c r="J600" s="243"/>
      <c r="K600" s="242"/>
      <c r="L600" s="242"/>
      <c r="M600" s="244"/>
      <c r="N600" s="242"/>
      <c r="O600" s="245"/>
    </row>
    <row r="601" spans="1:15" ht="15.75">
      <c r="A601" s="63"/>
      <c r="B601" s="73"/>
      <c r="C601" s="73"/>
      <c r="D601" s="73"/>
      <c r="E601" s="73"/>
      <c r="F601" s="228"/>
      <c r="G601" s="71"/>
      <c r="H601" s="247" t="s">
        <v>1405</v>
      </c>
      <c r="I601" s="242" t="s">
        <v>1406</v>
      </c>
      <c r="J601" s="243"/>
      <c r="K601" s="242"/>
      <c r="L601" s="242"/>
      <c r="M601" s="244"/>
      <c r="N601" s="242"/>
      <c r="O601" s="245"/>
    </row>
    <row r="602" spans="1:15" ht="15.75">
      <c r="A602" s="63"/>
      <c r="B602" s="64"/>
      <c r="C602" s="64"/>
      <c r="D602" s="64"/>
      <c r="E602" s="64"/>
      <c r="F602" s="33" t="s">
        <v>1407</v>
      </c>
      <c r="G602" s="74" t="s">
        <v>1408</v>
      </c>
      <c r="H602" s="40" t="s">
        <v>1409</v>
      </c>
      <c r="I602" s="242" t="s">
        <v>1410</v>
      </c>
      <c r="J602" s="243"/>
      <c r="K602" s="242"/>
      <c r="L602" s="242"/>
      <c r="M602" s="244"/>
      <c r="N602" s="242"/>
      <c r="O602" s="245"/>
    </row>
    <row r="603" spans="1:15" ht="15.75">
      <c r="A603" s="63"/>
      <c r="B603" s="66"/>
      <c r="C603" s="66"/>
      <c r="D603" s="66"/>
      <c r="E603" s="66"/>
      <c r="F603" s="35"/>
      <c r="G603" s="75"/>
      <c r="H603" s="40" t="s">
        <v>1411</v>
      </c>
      <c r="I603" s="242" t="s">
        <v>1383</v>
      </c>
      <c r="J603" s="243"/>
      <c r="K603" s="242"/>
      <c r="L603" s="242"/>
      <c r="M603" s="244"/>
      <c r="N603" s="242"/>
      <c r="O603" s="245"/>
    </row>
    <row r="604" spans="1:15" ht="15.75">
      <c r="A604" s="63"/>
      <c r="B604" s="66"/>
      <c r="C604" s="66"/>
      <c r="D604" s="66"/>
      <c r="E604" s="66"/>
      <c r="F604" s="35"/>
      <c r="G604" s="75"/>
      <c r="H604" s="40" t="s">
        <v>1412</v>
      </c>
      <c r="I604" s="242" t="s">
        <v>1413</v>
      </c>
      <c r="J604" s="243"/>
      <c r="K604" s="242"/>
      <c r="L604" s="242"/>
      <c r="M604" s="244"/>
      <c r="N604" s="242"/>
      <c r="O604" s="245"/>
    </row>
    <row r="605" spans="1:15" ht="15.75">
      <c r="A605" s="63"/>
      <c r="B605" s="66"/>
      <c r="C605" s="66"/>
      <c r="D605" s="66"/>
      <c r="E605" s="66"/>
      <c r="F605" s="35"/>
      <c r="G605" s="75"/>
      <c r="H605" s="40" t="s">
        <v>1414</v>
      </c>
      <c r="I605" s="242" t="s">
        <v>1415</v>
      </c>
      <c r="J605" s="243"/>
      <c r="K605" s="242"/>
      <c r="L605" s="242"/>
      <c r="M605" s="244"/>
      <c r="N605" s="242"/>
      <c r="O605" s="245"/>
    </row>
    <row r="606" spans="1:15" ht="15.75">
      <c r="A606" s="63"/>
      <c r="B606" s="66"/>
      <c r="C606" s="66"/>
      <c r="D606" s="66"/>
      <c r="E606" s="66"/>
      <c r="F606" s="35"/>
      <c r="G606" s="76"/>
      <c r="H606" s="40" t="s">
        <v>1416</v>
      </c>
      <c r="I606" s="242" t="s">
        <v>1417</v>
      </c>
      <c r="J606" s="243"/>
      <c r="K606" s="242"/>
      <c r="L606" s="242"/>
      <c r="M606" s="244"/>
      <c r="N606" s="242"/>
      <c r="O606" s="245"/>
    </row>
    <row r="607" spans="1:15" ht="31.5">
      <c r="A607" s="63"/>
      <c r="B607" s="66"/>
      <c r="C607" s="66"/>
      <c r="D607" s="66"/>
      <c r="E607" s="66"/>
      <c r="F607" s="35"/>
      <c r="G607" s="77" t="s">
        <v>1418</v>
      </c>
      <c r="H607" s="47" t="s">
        <v>1419</v>
      </c>
      <c r="I607" s="242" t="s">
        <v>1420</v>
      </c>
      <c r="J607" s="243"/>
      <c r="K607" s="242"/>
      <c r="L607" s="242"/>
      <c r="M607" s="244"/>
      <c r="N607" s="242"/>
      <c r="O607" s="245"/>
    </row>
    <row r="608" spans="1:15" ht="15.75">
      <c r="A608" s="63"/>
      <c r="B608" s="66"/>
      <c r="C608" s="66"/>
      <c r="D608" s="66"/>
      <c r="E608" s="66"/>
      <c r="F608" s="35"/>
      <c r="G608" s="78"/>
      <c r="H608" s="47" t="s">
        <v>1421</v>
      </c>
      <c r="I608" s="242" t="s">
        <v>1422</v>
      </c>
      <c r="J608" s="243"/>
      <c r="K608" s="242"/>
      <c r="L608" s="242"/>
      <c r="M608" s="244"/>
      <c r="N608" s="242"/>
      <c r="O608" s="245"/>
    </row>
    <row r="609" spans="1:15" ht="30.75">
      <c r="A609" s="63"/>
      <c r="B609" s="66"/>
      <c r="C609" s="66"/>
      <c r="D609" s="66"/>
      <c r="E609" s="66"/>
      <c r="F609" s="35"/>
      <c r="G609" s="78"/>
      <c r="H609" s="47" t="s">
        <v>1423</v>
      </c>
      <c r="I609" s="242" t="s">
        <v>1424</v>
      </c>
      <c r="J609" s="243"/>
      <c r="K609" s="242"/>
      <c r="L609" s="242"/>
      <c r="M609" s="244"/>
      <c r="N609" s="242"/>
      <c r="O609" s="245"/>
    </row>
    <row r="610" spans="1:15" ht="30.75">
      <c r="A610" s="63"/>
      <c r="B610" s="66"/>
      <c r="C610" s="66"/>
      <c r="D610" s="66"/>
      <c r="E610" s="66"/>
      <c r="F610" s="35"/>
      <c r="G610" s="78"/>
      <c r="H610" s="47" t="s">
        <v>1425</v>
      </c>
      <c r="I610" s="242" t="s">
        <v>1426</v>
      </c>
      <c r="J610" s="243"/>
      <c r="K610" s="242"/>
      <c r="L610" s="242"/>
      <c r="M610" s="244"/>
      <c r="N610" s="242"/>
      <c r="O610" s="245"/>
    </row>
    <row r="611" spans="1:15" ht="15.75">
      <c r="A611" s="63"/>
      <c r="B611" s="66"/>
      <c r="C611" s="66"/>
      <c r="D611" s="66"/>
      <c r="E611" s="66"/>
      <c r="F611" s="35"/>
      <c r="G611" s="79"/>
      <c r="H611" s="47" t="s">
        <v>1427</v>
      </c>
      <c r="I611" s="242" t="s">
        <v>1428</v>
      </c>
      <c r="J611" s="243"/>
      <c r="K611" s="242"/>
      <c r="L611" s="242"/>
      <c r="M611" s="244"/>
      <c r="N611" s="242"/>
      <c r="O611" s="245"/>
    </row>
    <row r="612" spans="1:15" ht="31.5">
      <c r="A612" s="63"/>
      <c r="B612" s="66"/>
      <c r="C612" s="66"/>
      <c r="D612" s="66"/>
      <c r="E612" s="66"/>
      <c r="F612" s="35"/>
      <c r="G612" s="77" t="s">
        <v>1429</v>
      </c>
      <c r="H612" s="40" t="s">
        <v>1430</v>
      </c>
      <c r="I612" s="242" t="s">
        <v>1431</v>
      </c>
      <c r="J612" s="243"/>
      <c r="K612" s="242"/>
      <c r="L612" s="242"/>
      <c r="M612" s="244"/>
      <c r="N612" s="242"/>
      <c r="O612" s="245"/>
    </row>
    <row r="613" spans="1:15" ht="30.75">
      <c r="A613" s="63"/>
      <c r="B613" s="66"/>
      <c r="C613" s="66"/>
      <c r="D613" s="66"/>
      <c r="E613" s="66"/>
      <c r="F613" s="35"/>
      <c r="G613" s="78"/>
      <c r="H613" s="40" t="s">
        <v>1432</v>
      </c>
      <c r="I613" s="242" t="s">
        <v>1433</v>
      </c>
      <c r="J613" s="243"/>
      <c r="K613" s="242"/>
      <c r="L613" s="242"/>
      <c r="M613" s="244"/>
      <c r="N613" s="242"/>
      <c r="O613" s="245"/>
    </row>
    <row r="614" spans="1:15" ht="15.75">
      <c r="A614" s="63"/>
      <c r="B614" s="66"/>
      <c r="C614" s="66"/>
      <c r="D614" s="66"/>
      <c r="E614" s="66"/>
      <c r="F614" s="35"/>
      <c r="G614" s="78"/>
      <c r="H614" s="40" t="s">
        <v>1434</v>
      </c>
      <c r="I614" s="242" t="s">
        <v>1435</v>
      </c>
      <c r="J614" s="243"/>
      <c r="K614" s="242"/>
      <c r="L614" s="242"/>
      <c r="M614" s="244"/>
      <c r="N614" s="242"/>
      <c r="O614" s="245"/>
    </row>
    <row r="615" spans="1:15" ht="15.75">
      <c r="A615" s="63"/>
      <c r="B615" s="66"/>
      <c r="C615" s="66"/>
      <c r="D615" s="66"/>
      <c r="E615" s="66"/>
      <c r="F615" s="35"/>
      <c r="G615" s="78"/>
      <c r="H615" s="40" t="s">
        <v>1375</v>
      </c>
      <c r="I615" s="246" t="s">
        <v>1436</v>
      </c>
      <c r="J615" s="243"/>
      <c r="K615" s="242"/>
      <c r="L615" s="242"/>
      <c r="M615" s="244"/>
      <c r="N615" s="242"/>
      <c r="O615" s="245"/>
    </row>
    <row r="616" spans="1:15" ht="30.75">
      <c r="A616" s="63"/>
      <c r="B616" s="66"/>
      <c r="C616" s="66"/>
      <c r="D616" s="66"/>
      <c r="E616" s="66"/>
      <c r="F616" s="35"/>
      <c r="G616" s="79"/>
      <c r="H616" s="40" t="s">
        <v>1437</v>
      </c>
      <c r="I616" s="246" t="s">
        <v>1438</v>
      </c>
      <c r="J616" s="243"/>
      <c r="K616" s="242"/>
      <c r="L616" s="242"/>
      <c r="M616" s="244"/>
      <c r="N616" s="242"/>
      <c r="O616" s="245"/>
    </row>
    <row r="617" spans="1:15" ht="15.75">
      <c r="A617" s="63"/>
      <c r="B617" s="66"/>
      <c r="C617" s="66"/>
      <c r="D617" s="66"/>
      <c r="E617" s="66"/>
      <c r="F617" s="35"/>
      <c r="G617" s="77" t="s">
        <v>1439</v>
      </c>
      <c r="H617" s="47" t="s">
        <v>1440</v>
      </c>
      <c r="I617" s="246" t="s">
        <v>1441</v>
      </c>
      <c r="J617" s="243"/>
      <c r="K617" s="242"/>
      <c r="L617" s="242"/>
      <c r="M617" s="244"/>
      <c r="N617" s="242"/>
      <c r="O617" s="245"/>
    </row>
    <row r="618" spans="1:15" ht="15.75">
      <c r="A618" s="63"/>
      <c r="B618" s="66"/>
      <c r="C618" s="66"/>
      <c r="D618" s="66"/>
      <c r="E618" s="66"/>
      <c r="F618" s="35"/>
      <c r="G618" s="78"/>
      <c r="H618" s="47" t="s">
        <v>1442</v>
      </c>
      <c r="I618" s="246" t="s">
        <v>1443</v>
      </c>
      <c r="J618" s="243"/>
      <c r="K618" s="242"/>
      <c r="L618" s="242"/>
      <c r="M618" s="244"/>
      <c r="N618" s="242"/>
      <c r="O618" s="245"/>
    </row>
    <row r="619" spans="1:15" ht="15.75">
      <c r="A619" s="63"/>
      <c r="B619" s="66"/>
      <c r="C619" s="66"/>
      <c r="D619" s="66"/>
      <c r="E619" s="66"/>
      <c r="F619" s="35"/>
      <c r="G619" s="78"/>
      <c r="H619" s="47" t="s">
        <v>1444</v>
      </c>
      <c r="I619" s="246" t="s">
        <v>1445</v>
      </c>
      <c r="J619" s="243"/>
      <c r="K619" s="242"/>
      <c r="L619" s="242"/>
      <c r="M619" s="244"/>
      <c r="N619" s="242"/>
      <c r="O619" s="245"/>
    </row>
    <row r="620" spans="1:15" ht="15.75">
      <c r="A620" s="63"/>
      <c r="B620" s="66"/>
      <c r="C620" s="66"/>
      <c r="D620" s="66"/>
      <c r="E620" s="66"/>
      <c r="F620" s="35"/>
      <c r="G620" s="78"/>
      <c r="H620" s="47" t="s">
        <v>1446</v>
      </c>
      <c r="I620" s="246" t="s">
        <v>1447</v>
      </c>
      <c r="J620" s="243"/>
      <c r="K620" s="242"/>
      <c r="L620" s="242"/>
      <c r="M620" s="244"/>
      <c r="N620" s="242"/>
      <c r="O620" s="245"/>
    </row>
    <row r="621" spans="1:15" ht="15.75">
      <c r="A621" s="63"/>
      <c r="B621" s="66"/>
      <c r="C621" s="66"/>
      <c r="D621" s="66"/>
      <c r="E621" s="66"/>
      <c r="F621" s="35"/>
      <c r="G621" s="79"/>
      <c r="H621" s="47" t="s">
        <v>1448</v>
      </c>
      <c r="I621" s="246" t="s">
        <v>1449</v>
      </c>
      <c r="J621" s="243"/>
      <c r="K621" s="242"/>
      <c r="L621" s="242"/>
      <c r="M621" s="244"/>
      <c r="N621" s="242"/>
      <c r="O621" s="245"/>
    </row>
    <row r="622" spans="1:15" ht="15.75">
      <c r="A622" s="63"/>
      <c r="B622" s="66"/>
      <c r="C622" s="66"/>
      <c r="D622" s="66"/>
      <c r="E622" s="66"/>
      <c r="F622" s="35"/>
      <c r="G622" s="77" t="s">
        <v>1450</v>
      </c>
      <c r="H622" s="40" t="s">
        <v>1451</v>
      </c>
      <c r="I622" s="246" t="s">
        <v>1452</v>
      </c>
      <c r="J622" s="243"/>
      <c r="K622" s="242"/>
      <c r="L622" s="242"/>
      <c r="M622" s="244"/>
      <c r="N622" s="242"/>
      <c r="O622" s="245"/>
    </row>
    <row r="623" spans="1:15" ht="15.75">
      <c r="A623" s="63"/>
      <c r="B623" s="66"/>
      <c r="C623" s="66"/>
      <c r="D623" s="66"/>
      <c r="E623" s="66"/>
      <c r="F623" s="35"/>
      <c r="G623" s="78"/>
      <c r="H623" s="40" t="s">
        <v>1453</v>
      </c>
      <c r="I623" s="246" t="s">
        <v>1454</v>
      </c>
      <c r="J623" s="243"/>
      <c r="K623" s="242"/>
      <c r="L623" s="242"/>
      <c r="M623" s="244"/>
      <c r="N623" s="242"/>
      <c r="O623" s="245"/>
    </row>
    <row r="624" spans="1:15" ht="15.75">
      <c r="A624" s="63"/>
      <c r="B624" s="66"/>
      <c r="C624" s="66"/>
      <c r="D624" s="66"/>
      <c r="E624" s="66"/>
      <c r="F624" s="35"/>
      <c r="G624" s="78"/>
      <c r="H624" s="40" t="s">
        <v>1455</v>
      </c>
      <c r="I624" s="246" t="s">
        <v>1383</v>
      </c>
      <c r="J624" s="243"/>
      <c r="K624" s="242"/>
      <c r="L624" s="242"/>
      <c r="M624" s="244"/>
      <c r="N624" s="242"/>
      <c r="O624" s="245"/>
    </row>
    <row r="625" spans="1:15" ht="15.75">
      <c r="A625" s="63"/>
      <c r="B625" s="66"/>
      <c r="C625" s="66"/>
      <c r="D625" s="66"/>
      <c r="E625" s="66"/>
      <c r="F625" s="35"/>
      <c r="G625" s="78"/>
      <c r="H625" s="40" t="s">
        <v>1456</v>
      </c>
      <c r="I625" s="246" t="s">
        <v>1457</v>
      </c>
      <c r="J625" s="243"/>
      <c r="K625" s="242"/>
      <c r="L625" s="242"/>
      <c r="M625" s="244"/>
      <c r="N625" s="242"/>
      <c r="O625" s="245"/>
    </row>
    <row r="626" spans="1:15" ht="15.75">
      <c r="A626" s="63"/>
      <c r="B626" s="66"/>
      <c r="C626" s="66"/>
      <c r="D626" s="66"/>
      <c r="E626" s="66"/>
      <c r="F626" s="35"/>
      <c r="G626" s="79"/>
      <c r="H626" s="40" t="s">
        <v>1405</v>
      </c>
      <c r="I626" s="246" t="s">
        <v>1458</v>
      </c>
      <c r="J626" s="243"/>
      <c r="K626" s="242"/>
      <c r="L626" s="242"/>
      <c r="M626" s="244"/>
      <c r="N626" s="242"/>
      <c r="O626" s="245"/>
    </row>
    <row r="627" spans="1:15" ht="15.75">
      <c r="A627" s="63"/>
      <c r="B627" s="72"/>
      <c r="C627" s="72"/>
      <c r="D627" s="72"/>
      <c r="E627" s="72"/>
      <c r="F627" s="36"/>
      <c r="G627" s="77" t="s">
        <v>1459</v>
      </c>
      <c r="H627" s="151" t="s">
        <v>1460</v>
      </c>
      <c r="I627" s="246" t="s">
        <v>1461</v>
      </c>
      <c r="J627" s="243" t="s">
        <v>20</v>
      </c>
      <c r="K627" s="242" t="s">
        <v>1462</v>
      </c>
      <c r="L627" s="242" t="s">
        <v>1463</v>
      </c>
      <c r="M627" s="244" t="s">
        <v>23</v>
      </c>
      <c r="N627" s="242" t="s">
        <v>1464</v>
      </c>
      <c r="O627" s="245"/>
    </row>
    <row r="628" spans="1:15" ht="15.75">
      <c r="A628" s="80"/>
      <c r="B628" s="73"/>
      <c r="C628" s="73"/>
      <c r="D628" s="73"/>
      <c r="E628" s="73"/>
      <c r="F628" s="228"/>
      <c r="G628" s="78"/>
      <c r="H628" s="47" t="s">
        <v>1465</v>
      </c>
      <c r="I628" s="246" t="s">
        <v>1466</v>
      </c>
      <c r="J628" s="243"/>
      <c r="K628" s="242"/>
      <c r="L628" s="242"/>
      <c r="M628" s="244"/>
      <c r="N628" s="242"/>
      <c r="O628" s="245"/>
    </row>
    <row r="629" spans="1:15" ht="15.75">
      <c r="A629" s="80"/>
      <c r="B629" s="73"/>
      <c r="C629" s="73"/>
      <c r="D629" s="73"/>
      <c r="E629" s="73"/>
      <c r="F629" s="228"/>
      <c r="G629" s="78"/>
      <c r="H629" s="47" t="s">
        <v>1467</v>
      </c>
      <c r="I629" s="246" t="s">
        <v>1468</v>
      </c>
      <c r="J629" s="243"/>
      <c r="K629" s="242"/>
      <c r="L629" s="242"/>
      <c r="M629" s="244"/>
      <c r="N629" s="242"/>
      <c r="O629" s="245"/>
    </row>
    <row r="630" spans="1:15" ht="15.75">
      <c r="A630" s="80"/>
      <c r="B630" s="73"/>
      <c r="C630" s="73"/>
      <c r="D630" s="73"/>
      <c r="E630" s="73"/>
      <c r="F630" s="228"/>
      <c r="G630" s="78"/>
      <c r="H630" s="47" t="s">
        <v>1469</v>
      </c>
      <c r="I630" s="246" t="s">
        <v>1470</v>
      </c>
      <c r="J630" s="243"/>
      <c r="K630" s="242"/>
      <c r="L630" s="242"/>
      <c r="M630" s="244"/>
      <c r="N630" s="242"/>
      <c r="O630" s="245"/>
    </row>
    <row r="631" spans="1:15" ht="30.75">
      <c r="A631" s="80"/>
      <c r="B631" s="73"/>
      <c r="C631" s="73"/>
      <c r="D631" s="73"/>
      <c r="E631" s="73"/>
      <c r="F631" s="228"/>
      <c r="G631" s="79"/>
      <c r="H631" s="47" t="s">
        <v>1471</v>
      </c>
      <c r="I631" s="246" t="s">
        <v>1472</v>
      </c>
      <c r="J631" s="243"/>
      <c r="K631" s="242"/>
      <c r="L631" s="242"/>
      <c r="M631" s="244"/>
      <c r="N631" s="242"/>
      <c r="O631" s="245"/>
    </row>
    <row r="632" spans="1:15" ht="15.75">
      <c r="A632" s="81" t="s">
        <v>1473</v>
      </c>
      <c r="B632" s="82" t="s">
        <v>159</v>
      </c>
      <c r="C632" s="82"/>
      <c r="D632" s="82"/>
      <c r="E632" s="82"/>
      <c r="F632" s="94" t="s">
        <v>1474</v>
      </c>
      <c r="G632" s="83" t="s">
        <v>1475</v>
      </c>
      <c r="H632" s="165" t="s">
        <v>1476</v>
      </c>
      <c r="I632" s="246" t="s">
        <v>1477</v>
      </c>
      <c r="J632" s="248" t="s">
        <v>20</v>
      </c>
      <c r="K632" s="246" t="s">
        <v>1478</v>
      </c>
      <c r="L632" s="246" t="s">
        <v>1479</v>
      </c>
      <c r="M632" s="249" t="s">
        <v>23</v>
      </c>
      <c r="N632" s="246" t="s">
        <v>1480</v>
      </c>
      <c r="O632" s="125"/>
    </row>
    <row r="633" spans="1:15" ht="15.75">
      <c r="A633" s="81"/>
      <c r="B633" s="86"/>
      <c r="C633" s="86"/>
      <c r="D633" s="86"/>
      <c r="E633" s="86"/>
      <c r="F633" s="96"/>
      <c r="G633" s="87"/>
      <c r="H633" s="40" t="s">
        <v>1481</v>
      </c>
      <c r="I633" s="246" t="s">
        <v>1482</v>
      </c>
      <c r="J633" s="248"/>
      <c r="K633" s="246"/>
      <c r="L633" s="246"/>
      <c r="M633" s="249"/>
      <c r="N633" s="246"/>
      <c r="O633" s="125"/>
    </row>
    <row r="634" spans="1:15" ht="15.75">
      <c r="A634" s="81"/>
      <c r="B634" s="86"/>
      <c r="C634" s="86"/>
      <c r="D634" s="86"/>
      <c r="E634" s="86"/>
      <c r="F634" s="96"/>
      <c r="G634" s="87"/>
      <c r="H634" s="40" t="s">
        <v>1483</v>
      </c>
      <c r="I634" s="246" t="s">
        <v>1484</v>
      </c>
      <c r="J634" s="248"/>
      <c r="K634" s="246"/>
      <c r="L634" s="246"/>
      <c r="M634" s="249"/>
      <c r="N634" s="246"/>
      <c r="O634" s="125"/>
    </row>
    <row r="635" spans="1:15" ht="15.75">
      <c r="A635" s="81"/>
      <c r="B635" s="86"/>
      <c r="C635" s="86"/>
      <c r="D635" s="86"/>
      <c r="E635" s="86"/>
      <c r="F635" s="96"/>
      <c r="G635" s="87"/>
      <c r="H635" s="40" t="s">
        <v>1485</v>
      </c>
      <c r="I635" s="246" t="s">
        <v>1486</v>
      </c>
      <c r="J635" s="248"/>
      <c r="K635" s="246"/>
      <c r="L635" s="246"/>
      <c r="M635" s="249"/>
      <c r="N635" s="246"/>
      <c r="O635" s="125"/>
    </row>
    <row r="636" spans="1:15" ht="15.75">
      <c r="A636" s="81"/>
      <c r="B636" s="86"/>
      <c r="C636" s="86"/>
      <c r="D636" s="86"/>
      <c r="E636" s="86"/>
      <c r="F636" s="96"/>
      <c r="G636" s="88"/>
      <c r="H636" s="40" t="s">
        <v>1487</v>
      </c>
      <c r="I636" s="246" t="s">
        <v>1488</v>
      </c>
      <c r="J636" s="248"/>
      <c r="K636" s="246"/>
      <c r="L636" s="246"/>
      <c r="M636" s="249"/>
      <c r="N636" s="246"/>
      <c r="O636" s="125"/>
    </row>
    <row r="637" spans="1:15" ht="15.75">
      <c r="A637" s="81"/>
      <c r="B637" s="86"/>
      <c r="C637" s="86"/>
      <c r="D637" s="86"/>
      <c r="E637" s="86"/>
      <c r="F637" s="96"/>
      <c r="G637" s="89" t="s">
        <v>1489</v>
      </c>
      <c r="H637" s="47" t="s">
        <v>1490</v>
      </c>
      <c r="I637" s="246" t="s">
        <v>1491</v>
      </c>
      <c r="J637" s="248"/>
      <c r="K637" s="246"/>
      <c r="L637" s="246"/>
      <c r="M637" s="249"/>
      <c r="N637" s="246"/>
      <c r="O637" s="125"/>
    </row>
    <row r="638" spans="1:15" ht="15.75">
      <c r="A638" s="81"/>
      <c r="B638" s="86"/>
      <c r="C638" s="86"/>
      <c r="D638" s="86"/>
      <c r="E638" s="86"/>
      <c r="F638" s="96"/>
      <c r="G638" s="90"/>
      <c r="H638" s="47" t="s">
        <v>1492</v>
      </c>
      <c r="I638" s="246" t="s">
        <v>1482</v>
      </c>
      <c r="J638" s="248"/>
      <c r="K638" s="246"/>
      <c r="L638" s="246"/>
      <c r="M638" s="249"/>
      <c r="N638" s="246"/>
      <c r="O638" s="125"/>
    </row>
    <row r="639" spans="1:15" ht="15.75">
      <c r="A639" s="81"/>
      <c r="B639" s="86"/>
      <c r="C639" s="86"/>
      <c r="D639" s="86"/>
      <c r="E639" s="86"/>
      <c r="F639" s="96"/>
      <c r="G639" s="90"/>
      <c r="H639" s="47" t="s">
        <v>1493</v>
      </c>
      <c r="I639" s="246" t="s">
        <v>1494</v>
      </c>
      <c r="J639" s="248"/>
      <c r="K639" s="246"/>
      <c r="L639" s="246"/>
      <c r="M639" s="249"/>
      <c r="N639" s="246"/>
      <c r="O639" s="125"/>
    </row>
    <row r="640" spans="1:15" ht="15.75">
      <c r="A640" s="81"/>
      <c r="B640" s="86"/>
      <c r="C640" s="86"/>
      <c r="D640" s="86"/>
      <c r="E640" s="86"/>
      <c r="F640" s="96"/>
      <c r="G640" s="90"/>
      <c r="H640" s="47" t="s">
        <v>1485</v>
      </c>
      <c r="I640" s="246" t="s">
        <v>1495</v>
      </c>
      <c r="J640" s="248"/>
      <c r="K640" s="246"/>
      <c r="L640" s="246"/>
      <c r="M640" s="249"/>
      <c r="N640" s="246"/>
      <c r="O640" s="125"/>
    </row>
    <row r="641" spans="1:15" ht="30.75">
      <c r="A641" s="81"/>
      <c r="B641" s="86"/>
      <c r="C641" s="86"/>
      <c r="D641" s="86"/>
      <c r="E641" s="86"/>
      <c r="F641" s="96"/>
      <c r="G641" s="91"/>
      <c r="H641" s="47" t="s">
        <v>1496</v>
      </c>
      <c r="I641" s="246" t="s">
        <v>1497</v>
      </c>
      <c r="J641" s="248"/>
      <c r="K641" s="246"/>
      <c r="L641" s="246"/>
      <c r="M641" s="249"/>
      <c r="N641" s="246"/>
      <c r="O641" s="125"/>
    </row>
    <row r="642" spans="1:15" ht="15.75">
      <c r="A642" s="81"/>
      <c r="B642" s="86"/>
      <c r="C642" s="86"/>
      <c r="D642" s="86"/>
      <c r="E642" s="86"/>
      <c r="F642" s="96"/>
      <c r="G642" s="89" t="s">
        <v>1498</v>
      </c>
      <c r="H642" s="40" t="s">
        <v>1499</v>
      </c>
      <c r="I642" s="246" t="s">
        <v>1500</v>
      </c>
      <c r="J642" s="248"/>
      <c r="K642" s="246"/>
      <c r="L642" s="246"/>
      <c r="M642" s="249"/>
      <c r="N642" s="246"/>
      <c r="O642" s="125"/>
    </row>
    <row r="643" spans="1:15" ht="31.5">
      <c r="A643" s="81"/>
      <c r="B643" s="86"/>
      <c r="C643" s="86"/>
      <c r="D643" s="86"/>
      <c r="E643" s="86"/>
      <c r="F643" s="96"/>
      <c r="G643" s="90"/>
      <c r="H643" s="40" t="s">
        <v>1501</v>
      </c>
      <c r="I643" s="246" t="s">
        <v>1502</v>
      </c>
      <c r="J643" s="248"/>
      <c r="K643" s="246"/>
      <c r="L643" s="246"/>
      <c r="M643" s="249"/>
      <c r="N643" s="246"/>
      <c r="O643" s="125"/>
    </row>
    <row r="644" spans="1:15" ht="15.75">
      <c r="A644" s="81"/>
      <c r="B644" s="86"/>
      <c r="C644" s="86"/>
      <c r="D644" s="86"/>
      <c r="E644" s="86"/>
      <c r="F644" s="96"/>
      <c r="G644" s="90"/>
      <c r="H644" s="40" t="s">
        <v>1503</v>
      </c>
      <c r="I644" s="246" t="s">
        <v>1504</v>
      </c>
      <c r="J644" s="248"/>
      <c r="K644" s="246"/>
      <c r="L644" s="246"/>
      <c r="M644" s="249"/>
      <c r="N644" s="246"/>
      <c r="O644" s="125"/>
    </row>
    <row r="645" spans="1:15" ht="30.75">
      <c r="A645" s="81"/>
      <c r="B645" s="86"/>
      <c r="C645" s="86"/>
      <c r="D645" s="86"/>
      <c r="E645" s="86"/>
      <c r="F645" s="96"/>
      <c r="G645" s="90"/>
      <c r="H645" s="40" t="s">
        <v>1505</v>
      </c>
      <c r="I645" s="246" t="s">
        <v>1506</v>
      </c>
      <c r="J645" s="248"/>
      <c r="K645" s="246"/>
      <c r="L645" s="246"/>
      <c r="M645" s="249"/>
      <c r="N645" s="246"/>
      <c r="O645" s="125"/>
    </row>
    <row r="646" spans="1:15" ht="15.75">
      <c r="A646" s="81"/>
      <c r="B646" s="86"/>
      <c r="C646" s="86"/>
      <c r="D646" s="86"/>
      <c r="E646" s="86"/>
      <c r="F646" s="96"/>
      <c r="G646" s="91"/>
      <c r="H646" s="40" t="s">
        <v>1507</v>
      </c>
      <c r="I646" s="246" t="s">
        <v>1508</v>
      </c>
      <c r="J646" s="248"/>
      <c r="K646" s="246"/>
      <c r="L646" s="246"/>
      <c r="M646" s="249"/>
      <c r="N646" s="246"/>
      <c r="O646" s="125"/>
    </row>
    <row r="647" spans="1:15" ht="31.5">
      <c r="A647" s="81"/>
      <c r="B647" s="86"/>
      <c r="C647" s="86"/>
      <c r="D647" s="86"/>
      <c r="E647" s="86"/>
      <c r="F647" s="96"/>
      <c r="G647" s="89" t="s">
        <v>1509</v>
      </c>
      <c r="H647" s="47" t="s">
        <v>1510</v>
      </c>
      <c r="I647" s="246" t="s">
        <v>1511</v>
      </c>
      <c r="J647" s="248"/>
      <c r="K647" s="246"/>
      <c r="L647" s="246"/>
      <c r="M647" s="249"/>
      <c r="N647" s="246"/>
      <c r="O647" s="125"/>
    </row>
    <row r="648" spans="1:15" ht="15.75">
      <c r="A648" s="81"/>
      <c r="B648" s="86"/>
      <c r="C648" s="86"/>
      <c r="D648" s="86"/>
      <c r="E648" s="86"/>
      <c r="F648" s="96"/>
      <c r="G648" s="90"/>
      <c r="H648" s="47" t="s">
        <v>1512</v>
      </c>
      <c r="I648" s="246" t="s">
        <v>1350</v>
      </c>
      <c r="J648" s="248"/>
      <c r="K648" s="246"/>
      <c r="L648" s="246"/>
      <c r="M648" s="249"/>
      <c r="N648" s="246"/>
      <c r="O648" s="125"/>
    </row>
    <row r="649" spans="1:15" ht="15.75">
      <c r="A649" s="81"/>
      <c r="B649" s="86"/>
      <c r="C649" s="86"/>
      <c r="D649" s="86"/>
      <c r="E649" s="86"/>
      <c r="F649" s="96"/>
      <c r="G649" s="90"/>
      <c r="H649" s="47" t="s">
        <v>1513</v>
      </c>
      <c r="I649" s="246" t="s">
        <v>1514</v>
      </c>
      <c r="J649" s="248"/>
      <c r="K649" s="246"/>
      <c r="L649" s="246"/>
      <c r="M649" s="249"/>
      <c r="N649" s="246"/>
      <c r="O649" s="125"/>
    </row>
    <row r="650" spans="1:15" ht="15.75">
      <c r="A650" s="81"/>
      <c r="B650" s="86"/>
      <c r="C650" s="86"/>
      <c r="D650" s="86"/>
      <c r="E650" s="86"/>
      <c r="F650" s="96"/>
      <c r="G650" s="90"/>
      <c r="H650" s="47" t="s">
        <v>1515</v>
      </c>
      <c r="I650" s="246" t="s">
        <v>1516</v>
      </c>
      <c r="J650" s="248"/>
      <c r="K650" s="246"/>
      <c r="L650" s="246"/>
      <c r="M650" s="249"/>
      <c r="N650" s="246"/>
      <c r="O650" s="125"/>
    </row>
    <row r="651" spans="1:15" ht="15.75">
      <c r="A651" s="81"/>
      <c r="B651" s="86"/>
      <c r="C651" s="86"/>
      <c r="D651" s="86"/>
      <c r="E651" s="86"/>
      <c r="F651" s="96"/>
      <c r="G651" s="91"/>
      <c r="H651" s="47" t="s">
        <v>1517</v>
      </c>
      <c r="I651" s="246" t="s">
        <v>1518</v>
      </c>
      <c r="J651" s="248"/>
      <c r="K651" s="246"/>
      <c r="L651" s="246"/>
      <c r="M651" s="249"/>
      <c r="N651" s="246"/>
      <c r="O651" s="125"/>
    </row>
    <row r="652" spans="1:15" ht="15.75">
      <c r="A652" s="81"/>
      <c r="B652" s="86"/>
      <c r="C652" s="86"/>
      <c r="D652" s="86"/>
      <c r="E652" s="86"/>
      <c r="F652" s="96"/>
      <c r="G652" s="89" t="s">
        <v>1519</v>
      </c>
      <c r="H652" s="40" t="s">
        <v>1520</v>
      </c>
      <c r="I652" s="40" t="s">
        <v>1521</v>
      </c>
      <c r="J652" s="248"/>
      <c r="K652" s="246"/>
      <c r="L652" s="246"/>
      <c r="M652" s="249"/>
      <c r="N652" s="246"/>
      <c r="O652" s="125"/>
    </row>
    <row r="653" spans="1:15" ht="15.75">
      <c r="A653" s="81"/>
      <c r="B653" s="86"/>
      <c r="C653" s="86"/>
      <c r="D653" s="86"/>
      <c r="E653" s="86"/>
      <c r="F653" s="96"/>
      <c r="G653" s="90"/>
      <c r="H653" s="40" t="s">
        <v>1522</v>
      </c>
      <c r="I653" s="40" t="s">
        <v>1523</v>
      </c>
      <c r="J653" s="248"/>
      <c r="K653" s="246"/>
      <c r="L653" s="246"/>
      <c r="M653" s="249"/>
      <c r="N653" s="246"/>
      <c r="O653" s="125"/>
    </row>
    <row r="654" spans="1:15" ht="15.75">
      <c r="A654" s="81"/>
      <c r="B654" s="86"/>
      <c r="C654" s="86"/>
      <c r="D654" s="86"/>
      <c r="E654" s="86"/>
      <c r="F654" s="96"/>
      <c r="G654" s="90"/>
      <c r="H654" s="40" t="s">
        <v>1524</v>
      </c>
      <c r="I654" s="40" t="s">
        <v>1525</v>
      </c>
      <c r="J654" s="248"/>
      <c r="K654" s="246"/>
      <c r="L654" s="246"/>
      <c r="M654" s="249"/>
      <c r="N654" s="246"/>
      <c r="O654" s="125"/>
    </row>
    <row r="655" spans="1:15" ht="15.75">
      <c r="A655" s="81"/>
      <c r="B655" s="86"/>
      <c r="C655" s="86"/>
      <c r="D655" s="86"/>
      <c r="E655" s="86"/>
      <c r="F655" s="96"/>
      <c r="G655" s="90"/>
      <c r="H655" s="40" t="s">
        <v>1526</v>
      </c>
      <c r="I655" s="40" t="s">
        <v>1527</v>
      </c>
      <c r="J655" s="248"/>
      <c r="K655" s="246"/>
      <c r="L655" s="246"/>
      <c r="M655" s="249"/>
      <c r="N655" s="246"/>
      <c r="O655" s="125"/>
    </row>
    <row r="656" spans="1:15" ht="15.75">
      <c r="A656" s="81"/>
      <c r="B656" s="86"/>
      <c r="C656" s="86"/>
      <c r="D656" s="86"/>
      <c r="E656" s="86"/>
      <c r="F656" s="96"/>
      <c r="G656" s="91"/>
      <c r="H656" s="40" t="s">
        <v>1528</v>
      </c>
      <c r="I656" s="40" t="s">
        <v>1529</v>
      </c>
      <c r="J656" s="248"/>
      <c r="K656" s="246"/>
      <c r="L656" s="246"/>
      <c r="M656" s="249"/>
      <c r="N656" s="246"/>
      <c r="O656" s="125"/>
    </row>
    <row r="657" spans="1:15" ht="15.75">
      <c r="A657" s="81"/>
      <c r="B657" s="92"/>
      <c r="C657" s="92"/>
      <c r="D657" s="92"/>
      <c r="E657" s="92"/>
      <c r="F657" s="97"/>
      <c r="G657" s="89" t="s">
        <v>1530</v>
      </c>
      <c r="H657" s="47" t="s">
        <v>1531</v>
      </c>
      <c r="I657" s="40" t="s">
        <v>1532</v>
      </c>
      <c r="J657" s="248"/>
      <c r="K657" s="246"/>
      <c r="L657" s="246"/>
      <c r="M657" s="249"/>
      <c r="N657" s="246"/>
      <c r="O657" s="125"/>
    </row>
    <row r="658" spans="1:15" ht="15.75">
      <c r="A658" s="81"/>
      <c r="B658" s="93"/>
      <c r="C658" s="93"/>
      <c r="D658" s="93"/>
      <c r="E658" s="93"/>
      <c r="F658" s="250"/>
      <c r="G658" s="90"/>
      <c r="H658" s="47" t="s">
        <v>1533</v>
      </c>
      <c r="I658" s="40" t="s">
        <v>1534</v>
      </c>
      <c r="J658" s="248"/>
      <c r="K658" s="246"/>
      <c r="L658" s="246"/>
      <c r="M658" s="249"/>
      <c r="N658" s="246"/>
      <c r="O658" s="125"/>
    </row>
    <row r="659" spans="1:15" ht="15.75">
      <c r="A659" s="81"/>
      <c r="B659" s="93"/>
      <c r="C659" s="93"/>
      <c r="D659" s="93"/>
      <c r="E659" s="93"/>
      <c r="F659" s="250"/>
      <c r="G659" s="90"/>
      <c r="H659" s="47" t="s">
        <v>1535</v>
      </c>
      <c r="I659" s="40" t="s">
        <v>1536</v>
      </c>
      <c r="J659" s="248"/>
      <c r="K659" s="246"/>
      <c r="L659" s="246"/>
      <c r="M659" s="249"/>
      <c r="N659" s="246"/>
      <c r="O659" s="125"/>
    </row>
    <row r="660" spans="1:15" ht="15.75">
      <c r="A660" s="81"/>
      <c r="B660" s="93"/>
      <c r="C660" s="93"/>
      <c r="D660" s="93"/>
      <c r="E660" s="93"/>
      <c r="F660" s="250"/>
      <c r="G660" s="90"/>
      <c r="H660" s="47" t="s">
        <v>1261</v>
      </c>
      <c r="I660" s="40" t="s">
        <v>1537</v>
      </c>
      <c r="J660" s="248"/>
      <c r="K660" s="246"/>
      <c r="L660" s="246"/>
      <c r="M660" s="249"/>
      <c r="N660" s="246"/>
      <c r="O660" s="125"/>
    </row>
    <row r="661" spans="1:15" ht="15.75">
      <c r="A661" s="81"/>
      <c r="B661" s="93"/>
      <c r="C661" s="93"/>
      <c r="D661" s="93"/>
      <c r="E661" s="93"/>
      <c r="F661" s="250"/>
      <c r="G661" s="91"/>
      <c r="H661" s="47" t="s">
        <v>1538</v>
      </c>
      <c r="I661" s="40" t="s">
        <v>1539</v>
      </c>
      <c r="J661" s="248"/>
      <c r="K661" s="246"/>
      <c r="L661" s="246"/>
      <c r="M661" s="249"/>
      <c r="N661" s="246"/>
      <c r="O661" s="125"/>
    </row>
    <row r="662" spans="1:15" ht="15.75">
      <c r="A662" s="81"/>
      <c r="B662" s="82"/>
      <c r="C662" s="82"/>
      <c r="D662" s="82"/>
      <c r="E662" s="82"/>
      <c r="F662" s="94" t="s">
        <v>1540</v>
      </c>
      <c r="G662" s="94" t="s">
        <v>1541</v>
      </c>
      <c r="H662" s="165" t="s">
        <v>1542</v>
      </c>
      <c r="I662" s="40" t="s">
        <v>1543</v>
      </c>
      <c r="J662" s="248" t="s">
        <v>425</v>
      </c>
      <c r="K662" s="246" t="s">
        <v>1544</v>
      </c>
      <c r="L662" s="246" t="s">
        <v>1545</v>
      </c>
      <c r="M662" s="249" t="s">
        <v>23</v>
      </c>
      <c r="N662" s="246" t="s">
        <v>1546</v>
      </c>
      <c r="O662" s="125"/>
    </row>
    <row r="663" spans="1:15" ht="15.75">
      <c r="A663" s="95"/>
      <c r="B663" s="86"/>
      <c r="C663" s="86"/>
      <c r="D663" s="86"/>
      <c r="E663" s="86"/>
      <c r="F663" s="96"/>
      <c r="G663" s="96"/>
      <c r="H663" s="40" t="s">
        <v>1547</v>
      </c>
      <c r="I663" s="40" t="s">
        <v>1548</v>
      </c>
      <c r="J663" s="251"/>
      <c r="K663" s="252"/>
      <c r="L663" s="252"/>
      <c r="M663" s="253"/>
      <c r="N663" s="252"/>
      <c r="O663" s="254"/>
    </row>
    <row r="664" spans="1:15" ht="15.75">
      <c r="A664" s="95"/>
      <c r="B664" s="86"/>
      <c r="C664" s="86"/>
      <c r="D664" s="86"/>
      <c r="E664" s="86"/>
      <c r="F664" s="96"/>
      <c r="G664" s="96"/>
      <c r="H664" s="40" t="s">
        <v>1373</v>
      </c>
      <c r="I664" s="40" t="s">
        <v>1549</v>
      </c>
      <c r="J664" s="251"/>
      <c r="K664" s="252"/>
      <c r="L664" s="252"/>
      <c r="M664" s="253"/>
      <c r="N664" s="252"/>
      <c r="O664" s="254"/>
    </row>
    <row r="665" spans="1:15" ht="15.75">
      <c r="A665" s="95"/>
      <c r="B665" s="86"/>
      <c r="C665" s="86"/>
      <c r="D665" s="86"/>
      <c r="E665" s="86"/>
      <c r="F665" s="96"/>
      <c r="G665" s="96"/>
      <c r="H665" s="40" t="s">
        <v>1550</v>
      </c>
      <c r="I665" s="40" t="s">
        <v>1551</v>
      </c>
      <c r="J665" s="251"/>
      <c r="K665" s="252"/>
      <c r="L665" s="252"/>
      <c r="M665" s="253"/>
      <c r="N665" s="252"/>
      <c r="O665" s="254"/>
    </row>
    <row r="666" spans="1:15" ht="15.75">
      <c r="A666" s="95"/>
      <c r="B666" s="86"/>
      <c r="C666" s="86"/>
      <c r="D666" s="86"/>
      <c r="E666" s="86"/>
      <c r="F666" s="96"/>
      <c r="G666" s="97"/>
      <c r="H666" s="40" t="s">
        <v>1552</v>
      </c>
      <c r="I666" s="40" t="s">
        <v>1553</v>
      </c>
      <c r="J666" s="251"/>
      <c r="K666" s="252"/>
      <c r="L666" s="252"/>
      <c r="M666" s="253"/>
      <c r="N666" s="252"/>
      <c r="O666" s="254"/>
    </row>
    <row r="667" spans="1:15" ht="31.5">
      <c r="A667" s="95"/>
      <c r="B667" s="86"/>
      <c r="C667" s="86"/>
      <c r="D667" s="86"/>
      <c r="E667" s="86"/>
      <c r="F667" s="96"/>
      <c r="G667" s="94" t="s">
        <v>1554</v>
      </c>
      <c r="H667" s="47" t="s">
        <v>1555</v>
      </c>
      <c r="I667" s="40" t="s">
        <v>1556</v>
      </c>
      <c r="J667" s="251"/>
      <c r="K667" s="252"/>
      <c r="L667" s="252"/>
      <c r="M667" s="253"/>
      <c r="N667" s="252"/>
      <c r="O667" s="254"/>
    </row>
    <row r="668" spans="1:15" ht="15.75">
      <c r="A668" s="95"/>
      <c r="B668" s="86"/>
      <c r="C668" s="86"/>
      <c r="D668" s="86"/>
      <c r="E668" s="86"/>
      <c r="F668" s="96"/>
      <c r="G668" s="96"/>
      <c r="H668" s="47" t="s">
        <v>1557</v>
      </c>
      <c r="I668" s="40" t="s">
        <v>1558</v>
      </c>
      <c r="J668" s="251"/>
      <c r="K668" s="252"/>
      <c r="L668" s="252"/>
      <c r="M668" s="253"/>
      <c r="N668" s="252"/>
      <c r="O668" s="254"/>
    </row>
    <row r="669" spans="1:15" ht="15.75">
      <c r="A669" s="95"/>
      <c r="B669" s="86"/>
      <c r="C669" s="86"/>
      <c r="D669" s="86"/>
      <c r="E669" s="86"/>
      <c r="F669" s="96"/>
      <c r="G669" s="96"/>
      <c r="H669" s="47" t="s">
        <v>1559</v>
      </c>
      <c r="I669" s="40" t="s">
        <v>1560</v>
      </c>
      <c r="J669" s="251"/>
      <c r="K669" s="252"/>
      <c r="L669" s="252"/>
      <c r="M669" s="253"/>
      <c r="N669" s="252"/>
      <c r="O669" s="254"/>
    </row>
    <row r="670" spans="1:15" ht="15.75">
      <c r="A670" s="95"/>
      <c r="B670" s="86"/>
      <c r="C670" s="86"/>
      <c r="D670" s="86"/>
      <c r="E670" s="86"/>
      <c r="F670" s="96"/>
      <c r="G670" s="96"/>
      <c r="H670" s="47" t="s">
        <v>1561</v>
      </c>
      <c r="I670" s="40" t="s">
        <v>1562</v>
      </c>
      <c r="J670" s="251"/>
      <c r="K670" s="252"/>
      <c r="L670" s="252"/>
      <c r="M670" s="253"/>
      <c r="N670" s="252"/>
      <c r="O670" s="254"/>
    </row>
    <row r="671" spans="1:15" ht="15.75">
      <c r="A671" s="95"/>
      <c r="B671" s="86"/>
      <c r="C671" s="86"/>
      <c r="D671" s="86"/>
      <c r="E671" s="86"/>
      <c r="F671" s="96"/>
      <c r="G671" s="97"/>
      <c r="H671" s="47" t="s">
        <v>1563</v>
      </c>
      <c r="I671" s="40" t="s">
        <v>1564</v>
      </c>
      <c r="J671" s="251"/>
      <c r="K671" s="252"/>
      <c r="L671" s="252"/>
      <c r="M671" s="253"/>
      <c r="N671" s="252"/>
      <c r="O671" s="254"/>
    </row>
    <row r="672" spans="1:15" ht="15.75">
      <c r="A672" s="95"/>
      <c r="B672" s="86"/>
      <c r="C672" s="86"/>
      <c r="D672" s="86"/>
      <c r="E672" s="86"/>
      <c r="F672" s="96"/>
      <c r="G672" s="94" t="s">
        <v>1565</v>
      </c>
      <c r="H672" s="40" t="s">
        <v>1566</v>
      </c>
      <c r="I672" s="40" t="s">
        <v>1567</v>
      </c>
      <c r="J672" s="251"/>
      <c r="K672" s="252"/>
      <c r="L672" s="252"/>
      <c r="M672" s="253"/>
      <c r="N672" s="252"/>
      <c r="O672" s="254"/>
    </row>
    <row r="673" spans="1:15" ht="15.75">
      <c r="A673" s="95"/>
      <c r="B673" s="86"/>
      <c r="C673" s="86"/>
      <c r="D673" s="86"/>
      <c r="E673" s="86"/>
      <c r="F673" s="96"/>
      <c r="G673" s="96"/>
      <c r="H673" s="40" t="s">
        <v>1568</v>
      </c>
      <c r="I673" s="40" t="s">
        <v>1569</v>
      </c>
      <c r="J673" s="251"/>
      <c r="K673" s="252"/>
      <c r="L673" s="252"/>
      <c r="M673" s="253"/>
      <c r="N673" s="252"/>
      <c r="O673" s="254"/>
    </row>
    <row r="674" spans="1:15" ht="15.75">
      <c r="A674" s="95"/>
      <c r="B674" s="86"/>
      <c r="C674" s="86"/>
      <c r="D674" s="86"/>
      <c r="E674" s="86"/>
      <c r="F674" s="96"/>
      <c r="G674" s="96"/>
      <c r="H674" s="40" t="s">
        <v>1570</v>
      </c>
      <c r="I674" s="40" t="s">
        <v>1571</v>
      </c>
      <c r="J674" s="251"/>
      <c r="K674" s="252"/>
      <c r="L674" s="252"/>
      <c r="M674" s="253"/>
      <c r="N674" s="252"/>
      <c r="O674" s="254"/>
    </row>
    <row r="675" spans="1:15" ht="15.75">
      <c r="A675" s="95"/>
      <c r="B675" s="86"/>
      <c r="C675" s="86"/>
      <c r="D675" s="86"/>
      <c r="E675" s="86"/>
      <c r="F675" s="96"/>
      <c r="G675" s="96"/>
      <c r="H675" s="40" t="s">
        <v>1550</v>
      </c>
      <c r="I675" s="40" t="s">
        <v>1572</v>
      </c>
      <c r="J675" s="251"/>
      <c r="K675" s="252"/>
      <c r="L675" s="252"/>
      <c r="M675" s="253"/>
      <c r="N675" s="252"/>
      <c r="O675" s="254"/>
    </row>
    <row r="676" spans="1:15" ht="15.75">
      <c r="A676" s="95"/>
      <c r="B676" s="86"/>
      <c r="C676" s="86"/>
      <c r="D676" s="86"/>
      <c r="E676" s="86"/>
      <c r="F676" s="96"/>
      <c r="G676" s="97"/>
      <c r="H676" s="40" t="s">
        <v>1573</v>
      </c>
      <c r="I676" s="40" t="s">
        <v>1574</v>
      </c>
      <c r="J676" s="251"/>
      <c r="K676" s="252"/>
      <c r="L676" s="252"/>
      <c r="M676" s="253"/>
      <c r="N676" s="252"/>
      <c r="O676" s="254"/>
    </row>
    <row r="677" spans="1:15" ht="15.75">
      <c r="A677" s="95"/>
      <c r="B677" s="86"/>
      <c r="C677" s="86"/>
      <c r="D677" s="86"/>
      <c r="E677" s="86"/>
      <c r="F677" s="96"/>
      <c r="G677" s="94" t="s">
        <v>1575</v>
      </c>
      <c r="H677" s="47" t="s">
        <v>1576</v>
      </c>
      <c r="I677" s="246" t="s">
        <v>1577</v>
      </c>
      <c r="J677" s="251"/>
      <c r="K677" s="252"/>
      <c r="L677" s="252"/>
      <c r="M677" s="253"/>
      <c r="N677" s="252"/>
      <c r="O677" s="254"/>
    </row>
    <row r="678" spans="1:15" ht="30.75">
      <c r="A678" s="95"/>
      <c r="B678" s="86"/>
      <c r="C678" s="86"/>
      <c r="D678" s="86"/>
      <c r="E678" s="86"/>
      <c r="F678" s="96"/>
      <c r="G678" s="96"/>
      <c r="H678" s="47" t="s">
        <v>1578</v>
      </c>
      <c r="I678" s="246" t="s">
        <v>1579</v>
      </c>
      <c r="J678" s="251"/>
      <c r="K678" s="252"/>
      <c r="L678" s="252"/>
      <c r="M678" s="253"/>
      <c r="N678" s="252"/>
      <c r="O678" s="254"/>
    </row>
    <row r="679" spans="1:15" ht="15.75">
      <c r="A679" s="95"/>
      <c r="B679" s="86"/>
      <c r="C679" s="86"/>
      <c r="D679" s="86"/>
      <c r="E679" s="86"/>
      <c r="F679" s="96"/>
      <c r="G679" s="96"/>
      <c r="H679" s="47" t="s">
        <v>1580</v>
      </c>
      <c r="I679" s="246" t="s">
        <v>1581</v>
      </c>
      <c r="J679" s="251"/>
      <c r="K679" s="252"/>
      <c r="L679" s="252"/>
      <c r="M679" s="253"/>
      <c r="N679" s="252"/>
      <c r="O679" s="254"/>
    </row>
    <row r="680" spans="1:15" ht="15.75">
      <c r="A680" s="95"/>
      <c r="B680" s="86"/>
      <c r="C680" s="86"/>
      <c r="D680" s="86"/>
      <c r="E680" s="86"/>
      <c r="F680" s="96"/>
      <c r="G680" s="96"/>
      <c r="H680" s="47" t="s">
        <v>1582</v>
      </c>
      <c r="I680" s="246" t="s">
        <v>1583</v>
      </c>
      <c r="J680" s="251"/>
      <c r="K680" s="252"/>
      <c r="L680" s="252"/>
      <c r="M680" s="253"/>
      <c r="N680" s="252"/>
      <c r="O680" s="254"/>
    </row>
    <row r="681" spans="1:15" ht="15.75">
      <c r="A681" s="95"/>
      <c r="B681" s="86"/>
      <c r="C681" s="86"/>
      <c r="D681" s="86"/>
      <c r="E681" s="86"/>
      <c r="F681" s="96"/>
      <c r="G681" s="97"/>
      <c r="H681" s="47" t="s">
        <v>1584</v>
      </c>
      <c r="I681" s="246" t="s">
        <v>1585</v>
      </c>
      <c r="J681" s="251"/>
      <c r="K681" s="252"/>
      <c r="L681" s="252"/>
      <c r="M681" s="253"/>
      <c r="N681" s="252"/>
      <c r="O681" s="254"/>
    </row>
    <row r="682" spans="1:15" ht="15.75">
      <c r="A682" s="95"/>
      <c r="B682" s="86"/>
      <c r="C682" s="86"/>
      <c r="D682" s="86"/>
      <c r="E682" s="86"/>
      <c r="F682" s="96"/>
      <c r="G682" s="94" t="s">
        <v>1586</v>
      </c>
      <c r="H682" s="40" t="s">
        <v>1587</v>
      </c>
      <c r="I682" s="246" t="s">
        <v>1588</v>
      </c>
      <c r="J682" s="251"/>
      <c r="K682" s="252"/>
      <c r="L682" s="252"/>
      <c r="M682" s="253"/>
      <c r="N682" s="252"/>
      <c r="O682" s="254"/>
    </row>
    <row r="683" spans="1:15" ht="15.75">
      <c r="A683" s="95"/>
      <c r="B683" s="86"/>
      <c r="C683" s="86"/>
      <c r="D683" s="86"/>
      <c r="E683" s="86"/>
      <c r="F683" s="96"/>
      <c r="G683" s="96"/>
      <c r="H683" s="40" t="s">
        <v>1589</v>
      </c>
      <c r="I683" s="246" t="s">
        <v>1590</v>
      </c>
      <c r="J683" s="251"/>
      <c r="K683" s="252"/>
      <c r="L683" s="252"/>
      <c r="M683" s="253"/>
      <c r="N683" s="252"/>
      <c r="O683" s="254"/>
    </row>
    <row r="684" spans="1:15" ht="15.75">
      <c r="A684" s="95"/>
      <c r="B684" s="86"/>
      <c r="C684" s="86"/>
      <c r="D684" s="86"/>
      <c r="E684" s="86"/>
      <c r="F684" s="96"/>
      <c r="G684" s="96"/>
      <c r="H684" s="40" t="s">
        <v>1591</v>
      </c>
      <c r="I684" s="246" t="s">
        <v>1592</v>
      </c>
      <c r="J684" s="251"/>
      <c r="K684" s="252"/>
      <c r="L684" s="252"/>
      <c r="M684" s="253"/>
      <c r="N684" s="252"/>
      <c r="O684" s="254"/>
    </row>
    <row r="685" spans="1:15" ht="15.75">
      <c r="A685" s="95"/>
      <c r="B685" s="86"/>
      <c r="C685" s="86"/>
      <c r="D685" s="86"/>
      <c r="E685" s="86"/>
      <c r="F685" s="96"/>
      <c r="G685" s="96"/>
      <c r="H685" s="40" t="s">
        <v>1593</v>
      </c>
      <c r="I685" s="246" t="s">
        <v>1594</v>
      </c>
      <c r="J685" s="251"/>
      <c r="K685" s="252"/>
      <c r="L685" s="252"/>
      <c r="M685" s="253"/>
      <c r="N685" s="252"/>
      <c r="O685" s="254"/>
    </row>
    <row r="686" spans="1:15" ht="15.75">
      <c r="A686" s="95"/>
      <c r="B686" s="86"/>
      <c r="C686" s="86"/>
      <c r="D686" s="86"/>
      <c r="E686" s="86"/>
      <c r="F686" s="96"/>
      <c r="G686" s="97"/>
      <c r="H686" s="40" t="s">
        <v>1595</v>
      </c>
      <c r="I686" s="246" t="s">
        <v>1596</v>
      </c>
      <c r="J686" s="251"/>
      <c r="K686" s="252"/>
      <c r="L686" s="252"/>
      <c r="M686" s="253"/>
      <c r="N686" s="252"/>
      <c r="O686" s="254"/>
    </row>
    <row r="687" spans="1:15" ht="15.75">
      <c r="A687" s="95"/>
      <c r="B687" s="92"/>
      <c r="C687" s="92"/>
      <c r="D687" s="92"/>
      <c r="E687" s="92"/>
      <c r="F687" s="97"/>
      <c r="G687" s="94" t="s">
        <v>1597</v>
      </c>
      <c r="H687" s="47" t="s">
        <v>1598</v>
      </c>
      <c r="I687" s="40" t="s">
        <v>1599</v>
      </c>
      <c r="J687" s="251"/>
      <c r="K687" s="252"/>
      <c r="L687" s="252"/>
      <c r="M687" s="253"/>
      <c r="N687" s="252"/>
      <c r="O687" s="254"/>
    </row>
    <row r="688" spans="1:15" ht="15.75">
      <c r="A688" s="95"/>
      <c r="B688" s="93"/>
      <c r="C688" s="93"/>
      <c r="D688" s="93"/>
      <c r="E688" s="93"/>
      <c r="F688" s="250"/>
      <c r="G688" s="96"/>
      <c r="H688" s="47" t="s">
        <v>1600</v>
      </c>
      <c r="I688" s="40" t="s">
        <v>1601</v>
      </c>
      <c r="J688" s="251"/>
      <c r="K688" s="252"/>
      <c r="L688" s="252"/>
      <c r="M688" s="253"/>
      <c r="N688" s="252"/>
      <c r="O688" s="254"/>
    </row>
    <row r="689" spans="1:15" ht="15.75">
      <c r="A689" s="95"/>
      <c r="B689" s="93"/>
      <c r="C689" s="93"/>
      <c r="D689" s="93"/>
      <c r="E689" s="93"/>
      <c r="F689" s="250"/>
      <c r="G689" s="96"/>
      <c r="H689" s="47" t="s">
        <v>1384</v>
      </c>
      <c r="I689" s="40" t="s">
        <v>1602</v>
      </c>
      <c r="J689" s="251"/>
      <c r="K689" s="252"/>
      <c r="L689" s="252"/>
      <c r="M689" s="253"/>
      <c r="N689" s="252"/>
      <c r="O689" s="254"/>
    </row>
    <row r="690" spans="1:15" ht="15.75">
      <c r="A690" s="95"/>
      <c r="B690" s="93"/>
      <c r="C690" s="93"/>
      <c r="D690" s="93"/>
      <c r="E690" s="93"/>
      <c r="F690" s="250"/>
      <c r="G690" s="96"/>
      <c r="H690" s="47" t="s">
        <v>1526</v>
      </c>
      <c r="I690" s="40" t="s">
        <v>1603</v>
      </c>
      <c r="J690" s="251"/>
      <c r="K690" s="252"/>
      <c r="L690" s="252"/>
      <c r="M690" s="253"/>
      <c r="N690" s="252"/>
      <c r="O690" s="254"/>
    </row>
    <row r="691" spans="1:15" ht="15.75">
      <c r="A691" s="95"/>
      <c r="B691" s="93"/>
      <c r="C691" s="93"/>
      <c r="D691" s="93"/>
      <c r="E691" s="93"/>
      <c r="F691" s="250"/>
      <c r="G691" s="97"/>
      <c r="H691" s="47" t="s">
        <v>1604</v>
      </c>
      <c r="I691" s="246" t="s">
        <v>1605</v>
      </c>
      <c r="J691" s="251"/>
      <c r="K691" s="252"/>
      <c r="L691" s="252"/>
      <c r="M691" s="253"/>
      <c r="N691" s="252"/>
      <c r="O691" s="254"/>
    </row>
    <row r="692" spans="1:15" ht="31.5">
      <c r="A692" s="95"/>
      <c r="B692" s="82"/>
      <c r="C692" s="82"/>
      <c r="D692" s="82"/>
      <c r="E692" s="82"/>
      <c r="F692" s="94" t="s">
        <v>1606</v>
      </c>
      <c r="G692" s="98" t="s">
        <v>1607</v>
      </c>
      <c r="H692" s="40" t="s">
        <v>1608</v>
      </c>
      <c r="I692" s="40" t="s">
        <v>1609</v>
      </c>
      <c r="J692" s="251"/>
      <c r="K692" s="252"/>
      <c r="L692" s="252"/>
      <c r="M692" s="253"/>
      <c r="N692" s="252"/>
      <c r="O692" s="254"/>
    </row>
    <row r="693" spans="1:15" ht="15.75">
      <c r="A693" s="95"/>
      <c r="B693" s="86"/>
      <c r="C693" s="86"/>
      <c r="D693" s="86"/>
      <c r="E693" s="86"/>
      <c r="F693" s="96"/>
      <c r="G693" s="99"/>
      <c r="H693" s="40" t="s">
        <v>1610</v>
      </c>
      <c r="I693" s="40" t="s">
        <v>1611</v>
      </c>
      <c r="J693" s="251"/>
      <c r="K693" s="252"/>
      <c r="L693" s="252"/>
      <c r="M693" s="253"/>
      <c r="N693" s="252"/>
      <c r="O693" s="254"/>
    </row>
    <row r="694" spans="1:15" ht="15.75">
      <c r="A694" s="95"/>
      <c r="B694" s="86"/>
      <c r="C694" s="86"/>
      <c r="D694" s="86"/>
      <c r="E694" s="86"/>
      <c r="F694" s="96"/>
      <c r="G694" s="99"/>
      <c r="H694" s="40" t="s">
        <v>1612</v>
      </c>
      <c r="I694" s="40" t="s">
        <v>1613</v>
      </c>
      <c r="J694" s="251"/>
      <c r="K694" s="252"/>
      <c r="L694" s="252"/>
      <c r="M694" s="253"/>
      <c r="N694" s="252"/>
      <c r="O694" s="254"/>
    </row>
    <row r="695" spans="1:15" ht="15.75">
      <c r="A695" s="95"/>
      <c r="B695" s="86"/>
      <c r="C695" s="86"/>
      <c r="D695" s="86"/>
      <c r="E695" s="86"/>
      <c r="F695" s="96"/>
      <c r="G695" s="99"/>
      <c r="H695" s="40" t="s">
        <v>1614</v>
      </c>
      <c r="I695" s="40" t="s">
        <v>1615</v>
      </c>
      <c r="J695" s="251"/>
      <c r="K695" s="252"/>
      <c r="L695" s="252"/>
      <c r="M695" s="253"/>
      <c r="N695" s="252"/>
      <c r="O695" s="254"/>
    </row>
    <row r="696" spans="1:15" ht="15.75">
      <c r="A696" s="95"/>
      <c r="B696" s="86"/>
      <c r="C696" s="86"/>
      <c r="D696" s="86"/>
      <c r="E696" s="86"/>
      <c r="F696" s="96"/>
      <c r="G696" s="100"/>
      <c r="H696" s="40" t="s">
        <v>1616</v>
      </c>
      <c r="I696" s="40" t="s">
        <v>1617</v>
      </c>
      <c r="J696" s="251"/>
      <c r="K696" s="252"/>
      <c r="L696" s="252"/>
      <c r="M696" s="253"/>
      <c r="N696" s="252"/>
      <c r="O696" s="254"/>
    </row>
    <row r="697" spans="1:15" ht="31.5">
      <c r="A697" s="95"/>
      <c r="B697" s="86"/>
      <c r="C697" s="86"/>
      <c r="D697" s="86"/>
      <c r="E697" s="86"/>
      <c r="F697" s="96"/>
      <c r="G697" s="98" t="s">
        <v>1618</v>
      </c>
      <c r="H697" s="47" t="s">
        <v>1619</v>
      </c>
      <c r="I697" s="40" t="s">
        <v>1620</v>
      </c>
      <c r="J697" s="251"/>
      <c r="K697" s="252"/>
      <c r="L697" s="252"/>
      <c r="M697" s="253"/>
      <c r="N697" s="252"/>
      <c r="O697" s="254"/>
    </row>
    <row r="698" spans="1:15" ht="15.75">
      <c r="A698" s="95"/>
      <c r="B698" s="86"/>
      <c r="C698" s="86"/>
      <c r="D698" s="86"/>
      <c r="E698" s="86"/>
      <c r="F698" s="96"/>
      <c r="G698" s="99"/>
      <c r="H698" s="47" t="s">
        <v>1621</v>
      </c>
      <c r="I698" s="40" t="s">
        <v>1622</v>
      </c>
      <c r="J698" s="251"/>
      <c r="K698" s="252"/>
      <c r="L698" s="252"/>
      <c r="M698" s="253"/>
      <c r="N698" s="252"/>
      <c r="O698" s="254"/>
    </row>
    <row r="699" spans="1:15" ht="15.75">
      <c r="A699" s="95"/>
      <c r="B699" s="86"/>
      <c r="C699" s="86"/>
      <c r="D699" s="86"/>
      <c r="E699" s="86"/>
      <c r="F699" s="96"/>
      <c r="G699" s="99"/>
      <c r="H699" s="47" t="s">
        <v>1623</v>
      </c>
      <c r="I699" s="40" t="s">
        <v>1624</v>
      </c>
      <c r="J699" s="251"/>
      <c r="K699" s="252"/>
      <c r="L699" s="252"/>
      <c r="M699" s="253"/>
      <c r="N699" s="252"/>
      <c r="O699" s="254"/>
    </row>
    <row r="700" spans="1:15" ht="15.75">
      <c r="A700" s="95"/>
      <c r="B700" s="86"/>
      <c r="C700" s="86"/>
      <c r="D700" s="86"/>
      <c r="E700" s="86"/>
      <c r="F700" s="96"/>
      <c r="G700" s="99"/>
      <c r="H700" s="47" t="s">
        <v>1625</v>
      </c>
      <c r="I700" s="40" t="s">
        <v>1615</v>
      </c>
      <c r="J700" s="251"/>
      <c r="K700" s="252"/>
      <c r="L700" s="252"/>
      <c r="M700" s="253"/>
      <c r="N700" s="252"/>
      <c r="O700" s="254"/>
    </row>
    <row r="701" spans="1:15" ht="15.75">
      <c r="A701" s="95"/>
      <c r="B701" s="86"/>
      <c r="C701" s="86"/>
      <c r="D701" s="86"/>
      <c r="E701" s="86"/>
      <c r="F701" s="96"/>
      <c r="G701" s="100"/>
      <c r="H701" s="47" t="s">
        <v>1626</v>
      </c>
      <c r="I701" s="40" t="s">
        <v>1627</v>
      </c>
      <c r="J701" s="251"/>
      <c r="K701" s="252"/>
      <c r="L701" s="252"/>
      <c r="M701" s="253"/>
      <c r="N701" s="252"/>
      <c r="O701" s="254"/>
    </row>
    <row r="702" spans="1:15" ht="15.75">
      <c r="A702" s="95"/>
      <c r="B702" s="86"/>
      <c r="C702" s="86"/>
      <c r="D702" s="86"/>
      <c r="E702" s="86"/>
      <c r="F702" s="96"/>
      <c r="G702" s="98" t="s">
        <v>1628</v>
      </c>
      <c r="H702" s="40" t="s">
        <v>1629</v>
      </c>
      <c r="I702" s="40" t="s">
        <v>1630</v>
      </c>
      <c r="J702" s="251"/>
      <c r="K702" s="252"/>
      <c r="L702" s="252"/>
      <c r="M702" s="253"/>
      <c r="N702" s="252"/>
      <c r="O702" s="254"/>
    </row>
    <row r="703" spans="1:15" ht="15.75">
      <c r="A703" s="95"/>
      <c r="B703" s="86"/>
      <c r="C703" s="86"/>
      <c r="D703" s="86"/>
      <c r="E703" s="86"/>
      <c r="F703" s="96"/>
      <c r="G703" s="99"/>
      <c r="H703" s="40" t="s">
        <v>1631</v>
      </c>
      <c r="I703" s="40" t="s">
        <v>1632</v>
      </c>
      <c r="J703" s="251"/>
      <c r="K703" s="252"/>
      <c r="L703" s="252"/>
      <c r="M703" s="253"/>
      <c r="N703" s="252"/>
      <c r="O703" s="254"/>
    </row>
    <row r="704" spans="1:15" ht="15.75">
      <c r="A704" s="95"/>
      <c r="B704" s="86"/>
      <c r="C704" s="86"/>
      <c r="D704" s="86"/>
      <c r="E704" s="86"/>
      <c r="F704" s="96"/>
      <c r="G704" s="99"/>
      <c r="H704" s="40" t="s">
        <v>1612</v>
      </c>
      <c r="I704" s="40" t="s">
        <v>1613</v>
      </c>
      <c r="J704" s="251"/>
      <c r="K704" s="252"/>
      <c r="L704" s="252"/>
      <c r="M704" s="253"/>
      <c r="N704" s="252"/>
      <c r="O704" s="254"/>
    </row>
    <row r="705" spans="1:15" ht="15.75">
      <c r="A705" s="95"/>
      <c r="B705" s="86"/>
      <c r="C705" s="86"/>
      <c r="D705" s="86"/>
      <c r="E705" s="86"/>
      <c r="F705" s="96"/>
      <c r="G705" s="99"/>
      <c r="H705" s="40" t="s">
        <v>1633</v>
      </c>
      <c r="I705" s="40" t="s">
        <v>1634</v>
      </c>
      <c r="J705" s="251"/>
      <c r="K705" s="252"/>
      <c r="L705" s="252"/>
      <c r="M705" s="253"/>
      <c r="N705" s="252"/>
      <c r="O705" s="254"/>
    </row>
    <row r="706" spans="1:15" ht="15.75">
      <c r="A706" s="95"/>
      <c r="B706" s="86"/>
      <c r="C706" s="86"/>
      <c r="D706" s="86"/>
      <c r="E706" s="86"/>
      <c r="F706" s="96"/>
      <c r="G706" s="100"/>
      <c r="H706" s="40" t="s">
        <v>1635</v>
      </c>
      <c r="I706" s="40" t="s">
        <v>1636</v>
      </c>
      <c r="J706" s="251"/>
      <c r="K706" s="252"/>
      <c r="L706" s="252"/>
      <c r="M706" s="253"/>
      <c r="N706" s="252"/>
      <c r="O706" s="254"/>
    </row>
    <row r="707" spans="1:15" ht="15.75">
      <c r="A707" s="95"/>
      <c r="B707" s="86"/>
      <c r="C707" s="86"/>
      <c r="D707" s="86"/>
      <c r="E707" s="86"/>
      <c r="F707" s="96"/>
      <c r="G707" s="98" t="s">
        <v>1637</v>
      </c>
      <c r="H707" s="47" t="s">
        <v>1638</v>
      </c>
      <c r="I707" s="40" t="s">
        <v>1639</v>
      </c>
      <c r="J707" s="251"/>
      <c r="K707" s="252"/>
      <c r="L707" s="252"/>
      <c r="M707" s="253"/>
      <c r="N707" s="252"/>
      <c r="O707" s="254"/>
    </row>
    <row r="708" spans="1:15" ht="31.5">
      <c r="A708" s="95"/>
      <c r="B708" s="86"/>
      <c r="C708" s="86"/>
      <c r="D708" s="86"/>
      <c r="E708" s="86"/>
      <c r="F708" s="96"/>
      <c r="G708" s="99"/>
      <c r="H708" s="47" t="s">
        <v>1640</v>
      </c>
      <c r="I708" s="40" t="s">
        <v>1641</v>
      </c>
      <c r="J708" s="251"/>
      <c r="K708" s="252"/>
      <c r="L708" s="252"/>
      <c r="M708" s="253"/>
      <c r="N708" s="252"/>
      <c r="O708" s="254"/>
    </row>
    <row r="709" spans="1:15" ht="15.75">
      <c r="A709" s="95"/>
      <c r="B709" s="86"/>
      <c r="C709" s="86"/>
      <c r="D709" s="86"/>
      <c r="E709" s="86"/>
      <c r="F709" s="96"/>
      <c r="G709" s="99"/>
      <c r="H709" s="47" t="s">
        <v>1642</v>
      </c>
      <c r="I709" s="40" t="s">
        <v>1643</v>
      </c>
      <c r="J709" s="251"/>
      <c r="K709" s="252"/>
      <c r="L709" s="252"/>
      <c r="M709" s="253"/>
      <c r="N709" s="252"/>
      <c r="O709" s="254"/>
    </row>
    <row r="710" spans="1:15" ht="15.75">
      <c r="A710" s="95"/>
      <c r="B710" s="86"/>
      <c r="C710" s="86"/>
      <c r="D710" s="86"/>
      <c r="E710" s="86"/>
      <c r="F710" s="96"/>
      <c r="G710" s="99"/>
      <c r="H710" s="47" t="s">
        <v>1644</v>
      </c>
      <c r="I710" s="40" t="s">
        <v>1645</v>
      </c>
      <c r="J710" s="251"/>
      <c r="K710" s="252"/>
      <c r="L710" s="252"/>
      <c r="M710" s="253"/>
      <c r="N710" s="252"/>
      <c r="O710" s="254"/>
    </row>
    <row r="711" spans="1:15" ht="31.5">
      <c r="A711" s="95"/>
      <c r="B711" s="86"/>
      <c r="C711" s="86"/>
      <c r="D711" s="86"/>
      <c r="E711" s="86"/>
      <c r="F711" s="96"/>
      <c r="G711" s="100"/>
      <c r="H711" s="47" t="s">
        <v>1646</v>
      </c>
      <c r="I711" s="40" t="s">
        <v>1647</v>
      </c>
      <c r="J711" s="251"/>
      <c r="K711" s="252"/>
      <c r="L711" s="252"/>
      <c r="M711" s="253"/>
      <c r="N711" s="252"/>
      <c r="O711" s="254"/>
    </row>
    <row r="712" spans="1:15" ht="15.75">
      <c r="A712" s="95"/>
      <c r="B712" s="86"/>
      <c r="C712" s="86"/>
      <c r="D712" s="86"/>
      <c r="E712" s="86"/>
      <c r="F712" s="96"/>
      <c r="G712" s="98" t="s">
        <v>1648</v>
      </c>
      <c r="H712" s="40" t="s">
        <v>1649</v>
      </c>
      <c r="I712" s="40" t="s">
        <v>1650</v>
      </c>
      <c r="J712" s="251"/>
      <c r="K712" s="252"/>
      <c r="L712" s="252"/>
      <c r="M712" s="253"/>
      <c r="N712" s="252"/>
      <c r="O712" s="254"/>
    </row>
    <row r="713" spans="1:15" ht="15.75">
      <c r="A713" s="95"/>
      <c r="B713" s="86"/>
      <c r="C713" s="86"/>
      <c r="D713" s="86"/>
      <c r="E713" s="86"/>
      <c r="F713" s="96"/>
      <c r="G713" s="99"/>
      <c r="H713" s="40" t="s">
        <v>1651</v>
      </c>
      <c r="I713" s="40" t="s">
        <v>1652</v>
      </c>
      <c r="J713" s="251"/>
      <c r="K713" s="252"/>
      <c r="L713" s="252"/>
      <c r="M713" s="253"/>
      <c r="N713" s="252"/>
      <c r="O713" s="254"/>
    </row>
    <row r="714" spans="1:15" ht="15.75">
      <c r="A714" s="95"/>
      <c r="B714" s="86"/>
      <c r="C714" s="86"/>
      <c r="D714" s="86"/>
      <c r="E714" s="86"/>
      <c r="F714" s="96"/>
      <c r="G714" s="99"/>
      <c r="H714" s="40" t="s">
        <v>1653</v>
      </c>
      <c r="I714" s="40" t="s">
        <v>1654</v>
      </c>
      <c r="J714" s="251"/>
      <c r="K714" s="252"/>
      <c r="L714" s="252"/>
      <c r="M714" s="253"/>
      <c r="N714" s="252"/>
      <c r="O714" s="254"/>
    </row>
    <row r="715" spans="1:15" ht="31.5">
      <c r="A715" s="95"/>
      <c r="B715" s="86"/>
      <c r="C715" s="86"/>
      <c r="D715" s="86"/>
      <c r="E715" s="86"/>
      <c r="F715" s="96"/>
      <c r="G715" s="99"/>
      <c r="H715" s="40" t="s">
        <v>1655</v>
      </c>
      <c r="I715" s="40" t="s">
        <v>1656</v>
      </c>
      <c r="J715" s="251"/>
      <c r="K715" s="252"/>
      <c r="L715" s="252"/>
      <c r="M715" s="253"/>
      <c r="N715" s="252"/>
      <c r="O715" s="254"/>
    </row>
    <row r="716" spans="1:15" ht="15.75">
      <c r="A716" s="95"/>
      <c r="B716" s="86"/>
      <c r="C716" s="86"/>
      <c r="D716" s="86"/>
      <c r="E716" s="86"/>
      <c r="F716" s="96"/>
      <c r="G716" s="100"/>
      <c r="H716" s="40" t="s">
        <v>1657</v>
      </c>
      <c r="I716" s="40" t="s">
        <v>1658</v>
      </c>
      <c r="J716" s="251"/>
      <c r="K716" s="252"/>
      <c r="L716" s="252"/>
      <c r="M716" s="253"/>
      <c r="N716" s="252"/>
      <c r="O716" s="254"/>
    </row>
    <row r="717" spans="1:15" ht="15.75">
      <c r="A717" s="95"/>
      <c r="B717" s="86"/>
      <c r="C717" s="86"/>
      <c r="D717" s="86"/>
      <c r="E717" s="86"/>
      <c r="F717" s="96"/>
      <c r="G717" s="98" t="s">
        <v>1659</v>
      </c>
      <c r="H717" s="47" t="s">
        <v>1660</v>
      </c>
      <c r="I717" s="40" t="s">
        <v>1661</v>
      </c>
      <c r="J717" s="251"/>
      <c r="K717" s="252"/>
      <c r="L717" s="252"/>
      <c r="M717" s="253"/>
      <c r="N717" s="252"/>
      <c r="O717" s="254"/>
    </row>
    <row r="718" spans="1:15" ht="15.75">
      <c r="A718" s="95"/>
      <c r="B718" s="86"/>
      <c r="C718" s="86"/>
      <c r="D718" s="86"/>
      <c r="E718" s="86"/>
      <c r="F718" s="96"/>
      <c r="G718" s="99"/>
      <c r="H718" s="47" t="s">
        <v>1662</v>
      </c>
      <c r="I718" s="40" t="s">
        <v>1663</v>
      </c>
      <c r="J718" s="251"/>
      <c r="K718" s="252"/>
      <c r="L718" s="252"/>
      <c r="M718" s="253"/>
      <c r="N718" s="252"/>
      <c r="O718" s="254"/>
    </row>
    <row r="719" spans="1:15" ht="31.5">
      <c r="A719" s="95"/>
      <c r="B719" s="86"/>
      <c r="C719" s="86"/>
      <c r="D719" s="86"/>
      <c r="E719" s="86"/>
      <c r="F719" s="96"/>
      <c r="G719" s="99"/>
      <c r="H719" s="47" t="s">
        <v>1664</v>
      </c>
      <c r="I719" s="40" t="s">
        <v>1665</v>
      </c>
      <c r="J719" s="251"/>
      <c r="K719" s="252"/>
      <c r="L719" s="252"/>
      <c r="M719" s="253"/>
      <c r="N719" s="252"/>
      <c r="O719" s="254"/>
    </row>
    <row r="720" spans="1:15" ht="15.75">
      <c r="A720" s="95"/>
      <c r="B720" s="86"/>
      <c r="C720" s="86"/>
      <c r="D720" s="86"/>
      <c r="E720" s="86"/>
      <c r="F720" s="96"/>
      <c r="G720" s="99"/>
      <c r="H720" s="47" t="s">
        <v>1666</v>
      </c>
      <c r="I720" s="40" t="s">
        <v>1667</v>
      </c>
      <c r="J720" s="251"/>
      <c r="K720" s="252"/>
      <c r="L720" s="252"/>
      <c r="M720" s="253"/>
      <c r="N720" s="252"/>
      <c r="O720" s="254"/>
    </row>
    <row r="721" spans="1:15" ht="32.25" thickBot="1">
      <c r="A721" s="101"/>
      <c r="B721" s="102"/>
      <c r="C721" s="102"/>
      <c r="D721" s="102"/>
      <c r="E721" s="102"/>
      <c r="F721" s="255"/>
      <c r="G721" s="103"/>
      <c r="H721" s="151" t="s">
        <v>1668</v>
      </c>
      <c r="I721" s="40" t="s">
        <v>1669</v>
      </c>
      <c r="J721" s="256" t="s">
        <v>20</v>
      </c>
      <c r="K721" s="257" t="s">
        <v>1670</v>
      </c>
      <c r="L721" s="257" t="s">
        <v>1671</v>
      </c>
      <c r="M721" s="258" t="s">
        <v>94</v>
      </c>
      <c r="N721" s="257" t="s">
        <v>1672</v>
      </c>
      <c r="O721" s="259"/>
    </row>
  </sheetData>
  <mergeCells count="272">
    <mergeCell ref="G717:G721"/>
    <mergeCell ref="B692:B721"/>
    <mergeCell ref="C692:C721"/>
    <mergeCell ref="D692:D721"/>
    <mergeCell ref="E692:E721"/>
    <mergeCell ref="F692:F721"/>
    <mergeCell ref="G692:G696"/>
    <mergeCell ref="G697:G701"/>
    <mergeCell ref="G702:G706"/>
    <mergeCell ref="G707:G711"/>
    <mergeCell ref="G712:G716"/>
    <mergeCell ref="F662:F687"/>
    <mergeCell ref="G662:G666"/>
    <mergeCell ref="G667:G671"/>
    <mergeCell ref="G672:G676"/>
    <mergeCell ref="G677:G681"/>
    <mergeCell ref="G682:G686"/>
    <mergeCell ref="G687:G691"/>
    <mergeCell ref="G632:G636"/>
    <mergeCell ref="G637:G641"/>
    <mergeCell ref="G642:G646"/>
    <mergeCell ref="G647:G651"/>
    <mergeCell ref="G652:G656"/>
    <mergeCell ref="G657:G661"/>
    <mergeCell ref="A632:A721"/>
    <mergeCell ref="B632:B657"/>
    <mergeCell ref="C632:C657"/>
    <mergeCell ref="D632:D657"/>
    <mergeCell ref="E632:E657"/>
    <mergeCell ref="F632:F657"/>
    <mergeCell ref="B662:B687"/>
    <mergeCell ref="C662:C687"/>
    <mergeCell ref="D662:D687"/>
    <mergeCell ref="E662:E687"/>
    <mergeCell ref="G602:G606"/>
    <mergeCell ref="G607:G611"/>
    <mergeCell ref="G612:G616"/>
    <mergeCell ref="G617:G621"/>
    <mergeCell ref="G622:G626"/>
    <mergeCell ref="G627:G631"/>
    <mergeCell ref="G577:G581"/>
    <mergeCell ref="G582:G586"/>
    <mergeCell ref="G587:G591"/>
    <mergeCell ref="G592:G596"/>
    <mergeCell ref="G597:G601"/>
    <mergeCell ref="B602:B627"/>
    <mergeCell ref="C602:C627"/>
    <mergeCell ref="D602:D627"/>
    <mergeCell ref="E602:E627"/>
    <mergeCell ref="F602:F627"/>
    <mergeCell ref="G557:G561"/>
    <mergeCell ref="G562:G566"/>
    <mergeCell ref="G567:G571"/>
    <mergeCell ref="A572:A627"/>
    <mergeCell ref="B572:B597"/>
    <mergeCell ref="C572:C597"/>
    <mergeCell ref="D572:D597"/>
    <mergeCell ref="E572:E597"/>
    <mergeCell ref="F572:F597"/>
    <mergeCell ref="G572:G576"/>
    <mergeCell ref="G532:G536"/>
    <mergeCell ref="G537:G541"/>
    <mergeCell ref="B542:B567"/>
    <mergeCell ref="C542:C567"/>
    <mergeCell ref="D542:D567"/>
    <mergeCell ref="E542:E567"/>
    <mergeCell ref="F542:F567"/>
    <mergeCell ref="G542:G546"/>
    <mergeCell ref="G547:G551"/>
    <mergeCell ref="G552:G556"/>
    <mergeCell ref="G507:G511"/>
    <mergeCell ref="B512:B537"/>
    <mergeCell ref="C512:C537"/>
    <mergeCell ref="D512:D537"/>
    <mergeCell ref="E512:E537"/>
    <mergeCell ref="F512:F537"/>
    <mergeCell ref="G512:G516"/>
    <mergeCell ref="G517:G521"/>
    <mergeCell ref="G522:G526"/>
    <mergeCell ref="G527:G531"/>
    <mergeCell ref="B482:B507"/>
    <mergeCell ref="C482:C507"/>
    <mergeCell ref="D482:D507"/>
    <mergeCell ref="E482:E507"/>
    <mergeCell ref="F482:F507"/>
    <mergeCell ref="G482:G486"/>
    <mergeCell ref="G487:G491"/>
    <mergeCell ref="G492:G496"/>
    <mergeCell ref="G497:G501"/>
    <mergeCell ref="G502:G506"/>
    <mergeCell ref="G452:G456"/>
    <mergeCell ref="G457:G461"/>
    <mergeCell ref="G462:G466"/>
    <mergeCell ref="G467:G471"/>
    <mergeCell ref="G472:G476"/>
    <mergeCell ref="G477:G481"/>
    <mergeCell ref="G432:G436"/>
    <mergeCell ref="G437:G441"/>
    <mergeCell ref="G442:G446"/>
    <mergeCell ref="G447:G451"/>
    <mergeCell ref="A452:A567"/>
    <mergeCell ref="B452:B477"/>
    <mergeCell ref="C452:C477"/>
    <mergeCell ref="D452:D477"/>
    <mergeCell ref="E452:E477"/>
    <mergeCell ref="F452:F477"/>
    <mergeCell ref="G407:G411"/>
    <mergeCell ref="G412:G416"/>
    <mergeCell ref="G417:G421"/>
    <mergeCell ref="B422:B447"/>
    <mergeCell ref="C422:C447"/>
    <mergeCell ref="D422:D447"/>
    <mergeCell ref="E422:E447"/>
    <mergeCell ref="F422:F447"/>
    <mergeCell ref="G422:G426"/>
    <mergeCell ref="G427:G431"/>
    <mergeCell ref="G387:G391"/>
    <mergeCell ref="A392:A447"/>
    <mergeCell ref="B392:B417"/>
    <mergeCell ref="C392:C417"/>
    <mergeCell ref="D392:D417"/>
    <mergeCell ref="E392:E417"/>
    <mergeCell ref="F392:F417"/>
    <mergeCell ref="G392:G396"/>
    <mergeCell ref="G397:G401"/>
    <mergeCell ref="G402:G406"/>
    <mergeCell ref="B362:B387"/>
    <mergeCell ref="C362:C387"/>
    <mergeCell ref="D362:D387"/>
    <mergeCell ref="E362:E387"/>
    <mergeCell ref="F362:F387"/>
    <mergeCell ref="G362:G366"/>
    <mergeCell ref="G367:G371"/>
    <mergeCell ref="G372:G376"/>
    <mergeCell ref="G377:G381"/>
    <mergeCell ref="G382:G386"/>
    <mergeCell ref="G332:G336"/>
    <mergeCell ref="G337:G341"/>
    <mergeCell ref="G342:G346"/>
    <mergeCell ref="G347:G351"/>
    <mergeCell ref="G352:G356"/>
    <mergeCell ref="G357:G361"/>
    <mergeCell ref="G307:G311"/>
    <mergeCell ref="G312:G316"/>
    <mergeCell ref="G317:G321"/>
    <mergeCell ref="G322:G326"/>
    <mergeCell ref="G327:G331"/>
    <mergeCell ref="B332:B357"/>
    <mergeCell ref="C332:C357"/>
    <mergeCell ref="D332:D357"/>
    <mergeCell ref="E332:E357"/>
    <mergeCell ref="F332:F357"/>
    <mergeCell ref="G287:G291"/>
    <mergeCell ref="G292:G296"/>
    <mergeCell ref="G297:G301"/>
    <mergeCell ref="A302:A387"/>
    <mergeCell ref="B302:B327"/>
    <mergeCell ref="C302:C327"/>
    <mergeCell ref="D302:D327"/>
    <mergeCell ref="E302:E327"/>
    <mergeCell ref="F302:F327"/>
    <mergeCell ref="G302:G306"/>
    <mergeCell ref="G262:G266"/>
    <mergeCell ref="G267:G271"/>
    <mergeCell ref="B272:B297"/>
    <mergeCell ref="C272:C297"/>
    <mergeCell ref="D272:D297"/>
    <mergeCell ref="E272:E297"/>
    <mergeCell ref="F272:F297"/>
    <mergeCell ref="G272:G276"/>
    <mergeCell ref="G277:G281"/>
    <mergeCell ref="G282:G286"/>
    <mergeCell ref="G237:G241"/>
    <mergeCell ref="B242:B267"/>
    <mergeCell ref="C242:C267"/>
    <mergeCell ref="D242:D267"/>
    <mergeCell ref="E242:E267"/>
    <mergeCell ref="F242:F267"/>
    <mergeCell ref="G242:G246"/>
    <mergeCell ref="G247:G251"/>
    <mergeCell ref="G252:G256"/>
    <mergeCell ref="G257:G261"/>
    <mergeCell ref="B212:B237"/>
    <mergeCell ref="C212:C237"/>
    <mergeCell ref="D212:D237"/>
    <mergeCell ref="E212:E237"/>
    <mergeCell ref="F212:F237"/>
    <mergeCell ref="G212:G216"/>
    <mergeCell ref="G217:G221"/>
    <mergeCell ref="G222:G226"/>
    <mergeCell ref="G227:G231"/>
    <mergeCell ref="G232:G236"/>
    <mergeCell ref="F182:F207"/>
    <mergeCell ref="G182:G186"/>
    <mergeCell ref="G187:G191"/>
    <mergeCell ref="G192:G196"/>
    <mergeCell ref="G197:G201"/>
    <mergeCell ref="G202:G206"/>
    <mergeCell ref="G207:G211"/>
    <mergeCell ref="G157:G161"/>
    <mergeCell ref="G162:G166"/>
    <mergeCell ref="G167:G171"/>
    <mergeCell ref="G172:G176"/>
    <mergeCell ref="G177:G181"/>
    <mergeCell ref="A182:A297"/>
    <mergeCell ref="B182:B207"/>
    <mergeCell ref="C182:C207"/>
    <mergeCell ref="D182:D207"/>
    <mergeCell ref="E182:E207"/>
    <mergeCell ref="G132:G136"/>
    <mergeCell ref="G137:G141"/>
    <mergeCell ref="G142:G146"/>
    <mergeCell ref="G147:G151"/>
    <mergeCell ref="B152:B177"/>
    <mergeCell ref="C152:C177"/>
    <mergeCell ref="D152:D177"/>
    <mergeCell ref="E152:E177"/>
    <mergeCell ref="F152:F177"/>
    <mergeCell ref="G152:G156"/>
    <mergeCell ref="G107:G111"/>
    <mergeCell ref="G112:G116"/>
    <mergeCell ref="G117:G121"/>
    <mergeCell ref="B122:B147"/>
    <mergeCell ref="C122:C147"/>
    <mergeCell ref="D122:D147"/>
    <mergeCell ref="E122:E147"/>
    <mergeCell ref="F122:F147"/>
    <mergeCell ref="G122:G126"/>
    <mergeCell ref="G127:G131"/>
    <mergeCell ref="G87:G91"/>
    <mergeCell ref="A92:A177"/>
    <mergeCell ref="B92:B117"/>
    <mergeCell ref="C92:C117"/>
    <mergeCell ref="D92:D117"/>
    <mergeCell ref="E92:E117"/>
    <mergeCell ref="F92:F117"/>
    <mergeCell ref="G92:G96"/>
    <mergeCell ref="G97:G101"/>
    <mergeCell ref="G102:G106"/>
    <mergeCell ref="B62:B87"/>
    <mergeCell ref="C62:C87"/>
    <mergeCell ref="D62:D87"/>
    <mergeCell ref="E62:E87"/>
    <mergeCell ref="F62:F87"/>
    <mergeCell ref="G62:G66"/>
    <mergeCell ref="G67:G71"/>
    <mergeCell ref="G72:G76"/>
    <mergeCell ref="G77:G81"/>
    <mergeCell ref="G82:G86"/>
    <mergeCell ref="F32:F61"/>
    <mergeCell ref="G32:G36"/>
    <mergeCell ref="G37:G41"/>
    <mergeCell ref="G42:G46"/>
    <mergeCell ref="G47:G51"/>
    <mergeCell ref="G52:G56"/>
    <mergeCell ref="G57:G61"/>
    <mergeCell ref="G2:G6"/>
    <mergeCell ref="G7:G11"/>
    <mergeCell ref="G12:G16"/>
    <mergeCell ref="G17:G21"/>
    <mergeCell ref="G22:G26"/>
    <mergeCell ref="G27:G31"/>
    <mergeCell ref="A2:A87"/>
    <mergeCell ref="B2:B31"/>
    <mergeCell ref="C2:C31"/>
    <mergeCell ref="D2:D31"/>
    <mergeCell ref="E2:E31"/>
    <mergeCell ref="F2:F31"/>
    <mergeCell ref="B32:B61"/>
    <mergeCell ref="C32:C61"/>
    <mergeCell ref="D32:D61"/>
    <mergeCell ref="E32:E61"/>
  </mergeCells>
  <conditionalFormatting sqref="M2:M721">
    <cfRule type="containsText" dxfId="41" priority="1" operator="containsText" text="Faible">
      <formula>NOT(ISERROR(SEARCH("Faible",M2)))</formula>
    </cfRule>
    <cfRule type="containsText" dxfId="40" priority="2" operator="containsText" text="Elevée">
      <formula>NOT(ISERROR(SEARCH("Elevée",M2)))</formula>
    </cfRule>
    <cfRule type="containsText" dxfId="39" priority="3" operator="containsText" text="Moyenne">
      <formula>NOT(ISERROR(SEARCH("Moyenne",M2)))</formula>
    </cfRule>
  </conditionalFormatting>
  <dataValidations count="2">
    <dataValidation type="list" allowBlank="1" showInputMessage="1" showErrorMessage="1" sqref="M2:M721">
      <formula1>"Elevée,Moyenne,Faible"</formula1>
    </dataValidation>
    <dataValidation type="list" allowBlank="1" showInputMessage="1" showErrorMessage="1" sqref="J2:J721">
      <formula1>"OUI,NON,PAS"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opLeftCell="E149" workbookViewId="0">
      <selection activeCell="F1" sqref="F1:F1048576"/>
    </sheetView>
  </sheetViews>
  <sheetFormatPr baseColWidth="10" defaultRowHeight="15"/>
  <cols>
    <col min="1" max="1" width="24.5703125" bestFit="1" customWidth="1"/>
    <col min="2" max="2" width="43.7109375" bestFit="1" customWidth="1"/>
    <col min="3" max="3" width="135.7109375" bestFit="1" customWidth="1"/>
    <col min="4" max="4" width="133.140625" bestFit="1" customWidth="1"/>
    <col min="5" max="5" width="137.140625" bestFit="1" customWidth="1"/>
    <col min="6" max="6" width="14.140625" style="361" customWidth="1"/>
    <col min="7" max="7" width="106" bestFit="1" customWidth="1"/>
    <col min="8" max="8" width="79.28515625" bestFit="1" customWidth="1"/>
    <col min="9" max="9" width="14.28515625" bestFit="1" customWidth="1"/>
    <col min="10" max="10" width="83.85546875" bestFit="1" customWidth="1"/>
    <col min="11" max="11" width="94.85546875" bestFit="1" customWidth="1"/>
  </cols>
  <sheetData>
    <row r="1" spans="1:11" ht="16.5" thickBot="1">
      <c r="A1" s="260" t="s">
        <v>1677</v>
      </c>
      <c r="B1" s="261" t="s">
        <v>5</v>
      </c>
      <c r="C1" s="262" t="s">
        <v>6</v>
      </c>
      <c r="D1" s="263" t="s">
        <v>7</v>
      </c>
      <c r="E1" s="263" t="s">
        <v>8</v>
      </c>
      <c r="F1" s="262" t="s">
        <v>9</v>
      </c>
      <c r="G1" s="263" t="s">
        <v>10</v>
      </c>
      <c r="H1" s="263" t="s">
        <v>11</v>
      </c>
      <c r="I1" s="262" t="s">
        <v>12</v>
      </c>
      <c r="J1" s="263" t="s">
        <v>13</v>
      </c>
      <c r="K1" s="263" t="s">
        <v>1678</v>
      </c>
    </row>
    <row r="2" spans="1:11" ht="16.5" thickBot="1">
      <c r="A2" s="264" t="s">
        <v>1679</v>
      </c>
      <c r="B2" s="265" t="s">
        <v>1680</v>
      </c>
      <c r="C2" s="265" t="s">
        <v>1681</v>
      </c>
      <c r="D2" s="266" t="s">
        <v>1682</v>
      </c>
      <c r="E2" s="267" t="s">
        <v>1683</v>
      </c>
      <c r="F2" s="434" t="s">
        <v>20</v>
      </c>
      <c r="G2" s="267" t="s">
        <v>1684</v>
      </c>
      <c r="H2" s="267" t="s">
        <v>1685</v>
      </c>
      <c r="I2" s="268" t="s">
        <v>1686</v>
      </c>
      <c r="J2" s="269" t="s">
        <v>1687</v>
      </c>
      <c r="K2" s="269" t="s">
        <v>1688</v>
      </c>
    </row>
    <row r="3" spans="1:11" ht="16.5" thickBot="1">
      <c r="A3" s="264"/>
      <c r="B3" s="265"/>
      <c r="C3" s="265"/>
      <c r="D3" s="266" t="s">
        <v>1689</v>
      </c>
      <c r="E3" s="267" t="s">
        <v>1690</v>
      </c>
      <c r="F3" s="434" t="s">
        <v>20</v>
      </c>
      <c r="G3" s="267" t="s">
        <v>1691</v>
      </c>
      <c r="H3" s="267" t="s">
        <v>1692</v>
      </c>
      <c r="I3" s="268" t="s">
        <v>1686</v>
      </c>
      <c r="J3" s="269" t="s">
        <v>1693</v>
      </c>
      <c r="K3" s="269" t="s">
        <v>1694</v>
      </c>
    </row>
    <row r="4" spans="1:11" ht="16.5" thickBot="1">
      <c r="A4" s="264"/>
      <c r="B4" s="265"/>
      <c r="C4" s="265"/>
      <c r="D4" s="266" t="s">
        <v>1695</v>
      </c>
      <c r="E4" s="267" t="s">
        <v>1696</v>
      </c>
      <c r="F4" s="434" t="s">
        <v>20</v>
      </c>
      <c r="G4" s="267" t="s">
        <v>1697</v>
      </c>
      <c r="H4" s="267" t="s">
        <v>1698</v>
      </c>
      <c r="I4" s="268" t="s">
        <v>1686</v>
      </c>
      <c r="J4" s="269" t="s">
        <v>1699</v>
      </c>
      <c r="K4" s="269" t="s">
        <v>1700</v>
      </c>
    </row>
    <row r="5" spans="1:11" ht="16.5" thickBot="1">
      <c r="A5" s="264"/>
      <c r="B5" s="265"/>
      <c r="C5" s="265"/>
      <c r="D5" s="266" t="s">
        <v>1701</v>
      </c>
      <c r="E5" s="267" t="s">
        <v>1702</v>
      </c>
      <c r="F5" s="434" t="s">
        <v>229</v>
      </c>
      <c r="G5" s="267" t="s">
        <v>1703</v>
      </c>
      <c r="H5" s="267" t="s">
        <v>1704</v>
      </c>
      <c r="I5" s="268" t="s">
        <v>1686</v>
      </c>
      <c r="J5" s="269" t="s">
        <v>1705</v>
      </c>
      <c r="K5" s="269" t="s">
        <v>1706</v>
      </c>
    </row>
    <row r="6" spans="1:11" ht="16.5" thickBot="1">
      <c r="A6" s="264"/>
      <c r="B6" s="265"/>
      <c r="C6" s="265"/>
      <c r="D6" s="266" t="s">
        <v>1707</v>
      </c>
      <c r="E6" s="267" t="s">
        <v>1708</v>
      </c>
      <c r="F6" s="434" t="s">
        <v>20</v>
      </c>
      <c r="G6" s="267" t="s">
        <v>1709</v>
      </c>
      <c r="H6" s="267" t="s">
        <v>1710</v>
      </c>
      <c r="I6" s="268" t="s">
        <v>1686</v>
      </c>
      <c r="J6" s="269" t="s">
        <v>1711</v>
      </c>
      <c r="K6" s="269" t="s">
        <v>1712</v>
      </c>
    </row>
    <row r="7" spans="1:11" ht="16.5" thickBot="1">
      <c r="A7" s="264"/>
      <c r="B7" s="265"/>
      <c r="C7" s="265" t="s">
        <v>1713</v>
      </c>
      <c r="D7" s="266" t="s">
        <v>1714</v>
      </c>
      <c r="E7" s="267" t="s">
        <v>1715</v>
      </c>
      <c r="F7" s="434" t="s">
        <v>20</v>
      </c>
      <c r="G7" s="267" t="s">
        <v>1716</v>
      </c>
      <c r="H7" s="267" t="s">
        <v>1717</v>
      </c>
      <c r="I7" s="268" t="s">
        <v>1686</v>
      </c>
      <c r="J7" s="269" t="s">
        <v>1718</v>
      </c>
      <c r="K7" s="269" t="s">
        <v>1719</v>
      </c>
    </row>
    <row r="8" spans="1:11" ht="16.5" thickBot="1">
      <c r="A8" s="264"/>
      <c r="B8" s="265"/>
      <c r="C8" s="265"/>
      <c r="D8" s="266" t="s">
        <v>1720</v>
      </c>
      <c r="E8" s="267" t="s">
        <v>1721</v>
      </c>
      <c r="F8" s="434" t="s">
        <v>20</v>
      </c>
      <c r="G8" s="267" t="s">
        <v>1722</v>
      </c>
      <c r="H8" s="267" t="s">
        <v>1723</v>
      </c>
      <c r="I8" s="268" t="s">
        <v>1686</v>
      </c>
      <c r="J8" s="269" t="s">
        <v>1724</v>
      </c>
      <c r="K8" s="269" t="s">
        <v>1725</v>
      </c>
    </row>
    <row r="9" spans="1:11" ht="16.5" thickBot="1">
      <c r="A9" s="264"/>
      <c r="B9" s="265"/>
      <c r="C9" s="265"/>
      <c r="D9" s="266" t="s">
        <v>1726</v>
      </c>
      <c r="E9" s="267" t="s">
        <v>1727</v>
      </c>
      <c r="F9" s="434" t="s">
        <v>229</v>
      </c>
      <c r="G9" s="267" t="s">
        <v>1728</v>
      </c>
      <c r="H9" s="267" t="s">
        <v>1729</v>
      </c>
      <c r="I9" s="270" t="s">
        <v>1730</v>
      </c>
      <c r="J9" s="269" t="s">
        <v>1731</v>
      </c>
      <c r="K9" s="269" t="s">
        <v>1732</v>
      </c>
    </row>
    <row r="10" spans="1:11" ht="16.5" thickBot="1">
      <c r="A10" s="264"/>
      <c r="B10" s="265"/>
      <c r="C10" s="265"/>
      <c r="D10" s="266" t="s">
        <v>1733</v>
      </c>
      <c r="E10" s="267" t="s">
        <v>1734</v>
      </c>
      <c r="F10" s="434" t="s">
        <v>425</v>
      </c>
      <c r="G10" s="267" t="s">
        <v>1735</v>
      </c>
      <c r="H10" s="267" t="s">
        <v>1736</v>
      </c>
      <c r="I10" s="268" t="s">
        <v>1686</v>
      </c>
      <c r="J10" s="269" t="s">
        <v>1737</v>
      </c>
      <c r="K10" s="269" t="s">
        <v>1738</v>
      </c>
    </row>
    <row r="11" spans="1:11" ht="16.5" thickBot="1">
      <c r="A11" s="264"/>
      <c r="B11" s="265"/>
      <c r="C11" s="265"/>
      <c r="D11" s="266" t="s">
        <v>1739</v>
      </c>
      <c r="E11" s="267" t="s">
        <v>1740</v>
      </c>
      <c r="F11" s="434" t="s">
        <v>425</v>
      </c>
      <c r="G11" s="267" t="s">
        <v>1741</v>
      </c>
      <c r="H11" s="267" t="s">
        <v>1742</v>
      </c>
      <c r="I11" s="268" t="s">
        <v>1686</v>
      </c>
      <c r="J11" s="269" t="s">
        <v>1743</v>
      </c>
      <c r="K11" s="269" t="s">
        <v>1744</v>
      </c>
    </row>
    <row r="12" spans="1:11" ht="16.5" thickBot="1">
      <c r="A12" s="264"/>
      <c r="B12" s="265"/>
      <c r="C12" s="265" t="s">
        <v>1745</v>
      </c>
      <c r="D12" s="266" t="s">
        <v>1746</v>
      </c>
      <c r="E12" s="267" t="s">
        <v>1747</v>
      </c>
      <c r="F12" s="434" t="s">
        <v>20</v>
      </c>
      <c r="G12" s="267" t="s">
        <v>1748</v>
      </c>
      <c r="H12" s="267" t="s">
        <v>1749</v>
      </c>
      <c r="I12" s="268" t="s">
        <v>1686</v>
      </c>
      <c r="J12" s="269" t="s">
        <v>1750</v>
      </c>
      <c r="K12" s="269" t="s">
        <v>1751</v>
      </c>
    </row>
    <row r="13" spans="1:11" ht="16.5" thickBot="1">
      <c r="A13" s="264"/>
      <c r="B13" s="265"/>
      <c r="C13" s="265"/>
      <c r="D13" s="266" t="s">
        <v>1752</v>
      </c>
      <c r="E13" s="267" t="s">
        <v>1753</v>
      </c>
      <c r="F13" s="434" t="s">
        <v>229</v>
      </c>
      <c r="G13" s="267" t="s">
        <v>1754</v>
      </c>
      <c r="H13" s="267" t="s">
        <v>1755</v>
      </c>
      <c r="I13" s="268" t="s">
        <v>1686</v>
      </c>
      <c r="J13" s="269" t="s">
        <v>1756</v>
      </c>
      <c r="K13" s="269" t="s">
        <v>1757</v>
      </c>
    </row>
    <row r="14" spans="1:11" ht="16.5" thickBot="1">
      <c r="A14" s="264"/>
      <c r="B14" s="265"/>
      <c r="C14" s="265"/>
      <c r="D14" s="266" t="s">
        <v>1758</v>
      </c>
      <c r="E14" s="267" t="s">
        <v>1759</v>
      </c>
      <c r="F14" s="434" t="s">
        <v>229</v>
      </c>
      <c r="G14" s="267" t="s">
        <v>1760</v>
      </c>
      <c r="H14" s="267" t="s">
        <v>1761</v>
      </c>
      <c r="I14" s="268" t="s">
        <v>1686</v>
      </c>
      <c r="J14" s="269" t="s">
        <v>1762</v>
      </c>
      <c r="K14" s="269" t="s">
        <v>1763</v>
      </c>
    </row>
    <row r="15" spans="1:11" ht="16.5" thickBot="1">
      <c r="A15" s="264"/>
      <c r="B15" s="265"/>
      <c r="C15" s="265"/>
      <c r="D15" s="266" t="s">
        <v>1764</v>
      </c>
      <c r="E15" s="267" t="s">
        <v>1765</v>
      </c>
      <c r="F15" s="434" t="s">
        <v>229</v>
      </c>
      <c r="G15" s="267" t="s">
        <v>1766</v>
      </c>
      <c r="H15" s="267" t="s">
        <v>1767</v>
      </c>
      <c r="I15" s="268" t="s">
        <v>1686</v>
      </c>
      <c r="J15" s="269" t="s">
        <v>1768</v>
      </c>
      <c r="K15" s="269" t="s">
        <v>1769</v>
      </c>
    </row>
    <row r="16" spans="1:11" ht="16.5" thickBot="1">
      <c r="A16" s="264"/>
      <c r="B16" s="265"/>
      <c r="C16" s="265"/>
      <c r="D16" s="266" t="s">
        <v>1770</v>
      </c>
      <c r="E16" s="267" t="s">
        <v>1771</v>
      </c>
      <c r="F16" s="434" t="s">
        <v>229</v>
      </c>
      <c r="G16" s="267" t="s">
        <v>1772</v>
      </c>
      <c r="H16" s="267" t="s">
        <v>1773</v>
      </c>
      <c r="I16" s="268" t="s">
        <v>1686</v>
      </c>
      <c r="J16" s="269" t="s">
        <v>1774</v>
      </c>
      <c r="K16" s="269" t="s">
        <v>1775</v>
      </c>
    </row>
    <row r="17" spans="1:11" ht="16.5" thickBot="1">
      <c r="A17" s="264"/>
      <c r="B17" s="265"/>
      <c r="C17" s="265" t="s">
        <v>1776</v>
      </c>
      <c r="D17" s="267" t="s">
        <v>1777</v>
      </c>
      <c r="E17" s="267" t="s">
        <v>1778</v>
      </c>
      <c r="F17" s="434" t="s">
        <v>20</v>
      </c>
      <c r="G17" s="267" t="s">
        <v>1779</v>
      </c>
      <c r="H17" s="267" t="s">
        <v>1780</v>
      </c>
      <c r="I17" s="271" t="s">
        <v>1730</v>
      </c>
      <c r="J17" s="269" t="s">
        <v>1781</v>
      </c>
      <c r="K17" s="269" t="s">
        <v>1782</v>
      </c>
    </row>
    <row r="18" spans="1:11" ht="16.5" thickBot="1">
      <c r="A18" s="264"/>
      <c r="B18" s="265"/>
      <c r="C18" s="265"/>
      <c r="D18" s="267" t="s">
        <v>1783</v>
      </c>
      <c r="E18" s="267" t="s">
        <v>1784</v>
      </c>
      <c r="F18" s="434" t="s">
        <v>20</v>
      </c>
      <c r="G18" s="267" t="s">
        <v>1785</v>
      </c>
      <c r="H18" s="267" t="s">
        <v>1786</v>
      </c>
      <c r="I18" s="268" t="s">
        <v>1686</v>
      </c>
      <c r="J18" s="269" t="s">
        <v>1787</v>
      </c>
      <c r="K18" s="269" t="s">
        <v>1788</v>
      </c>
    </row>
    <row r="19" spans="1:11" ht="16.5" thickBot="1">
      <c r="A19" s="264"/>
      <c r="B19" s="265"/>
      <c r="C19" s="265"/>
      <c r="D19" s="267" t="s">
        <v>1789</v>
      </c>
      <c r="E19" s="267" t="s">
        <v>1790</v>
      </c>
      <c r="F19" s="434" t="s">
        <v>20</v>
      </c>
      <c r="G19" s="267" t="s">
        <v>1791</v>
      </c>
      <c r="H19" s="267" t="s">
        <v>1792</v>
      </c>
      <c r="I19" s="268" t="s">
        <v>1686</v>
      </c>
      <c r="J19" s="269" t="s">
        <v>1793</v>
      </c>
      <c r="K19" s="269" t="s">
        <v>1794</v>
      </c>
    </row>
    <row r="20" spans="1:11" ht="16.5" thickBot="1">
      <c r="A20" s="264"/>
      <c r="B20" s="265"/>
      <c r="C20" s="265"/>
      <c r="D20" s="267" t="s">
        <v>1795</v>
      </c>
      <c r="E20" s="267" t="s">
        <v>1796</v>
      </c>
      <c r="F20" s="434" t="s">
        <v>20</v>
      </c>
      <c r="G20" s="267" t="s">
        <v>1797</v>
      </c>
      <c r="H20" s="267" t="s">
        <v>1798</v>
      </c>
      <c r="I20" s="268" t="s">
        <v>1686</v>
      </c>
      <c r="J20" s="269" t="s">
        <v>1799</v>
      </c>
      <c r="K20" s="269" t="s">
        <v>1800</v>
      </c>
    </row>
    <row r="21" spans="1:11" ht="16.5" thickBot="1">
      <c r="A21" s="264"/>
      <c r="B21" s="265"/>
      <c r="C21" s="265"/>
      <c r="D21" s="267" t="s">
        <v>1801</v>
      </c>
      <c r="E21" s="267" t="s">
        <v>1802</v>
      </c>
      <c r="F21" s="434" t="s">
        <v>20</v>
      </c>
      <c r="G21" s="267" t="s">
        <v>1803</v>
      </c>
      <c r="H21" s="267" t="s">
        <v>1804</v>
      </c>
      <c r="I21" s="268" t="s">
        <v>1686</v>
      </c>
      <c r="J21" s="269" t="s">
        <v>1805</v>
      </c>
      <c r="K21" s="269" t="s">
        <v>1806</v>
      </c>
    </row>
    <row r="22" spans="1:11" ht="16.5" thickBot="1">
      <c r="A22" s="264"/>
      <c r="B22" s="265"/>
      <c r="C22" s="265" t="s">
        <v>1807</v>
      </c>
      <c r="D22" s="267" t="s">
        <v>1808</v>
      </c>
      <c r="E22" s="267" t="s">
        <v>1809</v>
      </c>
      <c r="F22" s="434" t="s">
        <v>425</v>
      </c>
      <c r="G22" s="267" t="s">
        <v>1810</v>
      </c>
      <c r="H22" s="267" t="s">
        <v>1811</v>
      </c>
      <c r="I22" s="268" t="s">
        <v>1686</v>
      </c>
      <c r="J22" s="269" t="s">
        <v>1812</v>
      </c>
      <c r="K22" s="269" t="s">
        <v>1813</v>
      </c>
    </row>
    <row r="23" spans="1:11" ht="16.5" thickBot="1">
      <c r="A23" s="264"/>
      <c r="B23" s="265"/>
      <c r="C23" s="265"/>
      <c r="D23" s="267" t="s">
        <v>1814</v>
      </c>
      <c r="E23" s="267" t="s">
        <v>1815</v>
      </c>
      <c r="F23" s="434" t="s">
        <v>425</v>
      </c>
      <c r="G23" s="267" t="s">
        <v>1816</v>
      </c>
      <c r="H23" s="267" t="s">
        <v>1817</v>
      </c>
      <c r="I23" s="268" t="s">
        <v>1686</v>
      </c>
      <c r="J23" s="269" t="s">
        <v>1818</v>
      </c>
      <c r="K23" s="269" t="s">
        <v>1819</v>
      </c>
    </row>
    <row r="24" spans="1:11" ht="16.5" thickBot="1">
      <c r="A24" s="264"/>
      <c r="B24" s="265"/>
      <c r="C24" s="265"/>
      <c r="D24" s="267" t="s">
        <v>1820</v>
      </c>
      <c r="E24" s="267" t="s">
        <v>1821</v>
      </c>
      <c r="F24" s="434" t="s">
        <v>20</v>
      </c>
      <c r="G24" s="267" t="s">
        <v>1822</v>
      </c>
      <c r="H24" s="267" t="s">
        <v>1823</v>
      </c>
      <c r="I24" s="268" t="s">
        <v>1686</v>
      </c>
      <c r="J24" s="269" t="s">
        <v>1824</v>
      </c>
      <c r="K24" s="269" t="s">
        <v>1825</v>
      </c>
    </row>
    <row r="25" spans="1:11" ht="16.5" thickBot="1">
      <c r="A25" s="264"/>
      <c r="B25" s="265"/>
      <c r="C25" s="265"/>
      <c r="D25" s="267" t="s">
        <v>1826</v>
      </c>
      <c r="E25" s="267" t="s">
        <v>1827</v>
      </c>
      <c r="F25" s="434" t="s">
        <v>20</v>
      </c>
      <c r="G25" s="267" t="s">
        <v>1828</v>
      </c>
      <c r="H25" s="267" t="s">
        <v>1829</v>
      </c>
      <c r="I25" s="268" t="s">
        <v>1686</v>
      </c>
      <c r="J25" s="269" t="s">
        <v>1830</v>
      </c>
      <c r="K25" s="269" t="s">
        <v>1831</v>
      </c>
    </row>
    <row r="26" spans="1:11" ht="16.5" thickBot="1">
      <c r="A26" s="264"/>
      <c r="B26" s="265"/>
      <c r="C26" s="265"/>
      <c r="D26" s="267" t="s">
        <v>1832</v>
      </c>
      <c r="E26" s="267" t="s">
        <v>1833</v>
      </c>
      <c r="F26" s="434" t="s">
        <v>20</v>
      </c>
      <c r="G26" s="267" t="s">
        <v>1834</v>
      </c>
      <c r="H26" s="267" t="s">
        <v>1835</v>
      </c>
      <c r="I26" s="268" t="s">
        <v>1686</v>
      </c>
      <c r="J26" s="269" t="s">
        <v>1836</v>
      </c>
      <c r="K26" s="269" t="s">
        <v>1837</v>
      </c>
    </row>
    <row r="27" spans="1:11" ht="16.5" thickBot="1">
      <c r="A27" s="264"/>
      <c r="B27" s="272" t="s">
        <v>1838</v>
      </c>
      <c r="C27" s="272" t="s">
        <v>1839</v>
      </c>
      <c r="D27" s="273" t="s">
        <v>1840</v>
      </c>
      <c r="E27" s="273" t="s">
        <v>1841</v>
      </c>
      <c r="F27" s="435" t="s">
        <v>20</v>
      </c>
      <c r="G27" s="273" t="s">
        <v>1842</v>
      </c>
      <c r="H27" s="273" t="s">
        <v>1843</v>
      </c>
      <c r="I27" s="268" t="s">
        <v>1686</v>
      </c>
      <c r="J27" s="274" t="s">
        <v>1844</v>
      </c>
      <c r="K27" s="274" t="s">
        <v>1845</v>
      </c>
    </row>
    <row r="28" spans="1:11" ht="16.5" thickBot="1">
      <c r="A28" s="264"/>
      <c r="B28" s="272"/>
      <c r="C28" s="272"/>
      <c r="D28" s="273" t="s">
        <v>1846</v>
      </c>
      <c r="E28" s="273" t="s">
        <v>1847</v>
      </c>
      <c r="F28" s="435" t="s">
        <v>20</v>
      </c>
      <c r="G28" s="273" t="s">
        <v>1848</v>
      </c>
      <c r="H28" s="273" t="s">
        <v>1849</v>
      </c>
      <c r="I28" s="268" t="s">
        <v>1686</v>
      </c>
      <c r="J28" s="274" t="s">
        <v>1850</v>
      </c>
      <c r="K28" s="274" t="s">
        <v>1851</v>
      </c>
    </row>
    <row r="29" spans="1:11" ht="16.5" thickBot="1">
      <c r="A29" s="264"/>
      <c r="B29" s="272"/>
      <c r="C29" s="272"/>
      <c r="D29" s="273" t="s">
        <v>1852</v>
      </c>
      <c r="E29" s="273" t="s">
        <v>1853</v>
      </c>
      <c r="F29" s="435" t="s">
        <v>20</v>
      </c>
      <c r="G29" s="273" t="s">
        <v>1854</v>
      </c>
      <c r="H29" s="273" t="s">
        <v>1855</v>
      </c>
      <c r="I29" s="268" t="s">
        <v>1686</v>
      </c>
      <c r="J29" s="274" t="s">
        <v>1856</v>
      </c>
      <c r="K29" s="274" t="s">
        <v>1857</v>
      </c>
    </row>
    <row r="30" spans="1:11" ht="16.5" thickBot="1">
      <c r="A30" s="264"/>
      <c r="B30" s="272"/>
      <c r="C30" s="272"/>
      <c r="D30" s="273" t="s">
        <v>1858</v>
      </c>
      <c r="E30" s="273" t="s">
        <v>1859</v>
      </c>
      <c r="F30" s="435" t="s">
        <v>425</v>
      </c>
      <c r="G30" s="273" t="s">
        <v>1860</v>
      </c>
      <c r="H30" s="273" t="s">
        <v>1861</v>
      </c>
      <c r="I30" s="268" t="s">
        <v>1686</v>
      </c>
      <c r="J30" s="274" t="s">
        <v>1862</v>
      </c>
      <c r="K30" s="274" t="s">
        <v>1863</v>
      </c>
    </row>
    <row r="31" spans="1:11" ht="16.5" thickBot="1">
      <c r="A31" s="264"/>
      <c r="B31" s="272"/>
      <c r="C31" s="272"/>
      <c r="D31" s="273" t="s">
        <v>1864</v>
      </c>
      <c r="E31" s="273" t="s">
        <v>1865</v>
      </c>
      <c r="F31" s="435" t="s">
        <v>229</v>
      </c>
      <c r="G31" s="273" t="s">
        <v>1684</v>
      </c>
      <c r="H31" s="273" t="s">
        <v>1685</v>
      </c>
      <c r="I31" s="275" t="s">
        <v>1686</v>
      </c>
      <c r="J31" s="274" t="s">
        <v>1687</v>
      </c>
      <c r="K31" s="274" t="s">
        <v>1866</v>
      </c>
    </row>
    <row r="32" spans="1:11" ht="16.5" thickBot="1">
      <c r="A32" s="264"/>
      <c r="B32" s="272"/>
      <c r="C32" s="272" t="s">
        <v>1867</v>
      </c>
      <c r="D32" s="273" t="s">
        <v>1868</v>
      </c>
      <c r="E32" s="273" t="s">
        <v>1869</v>
      </c>
      <c r="F32" s="435" t="s">
        <v>20</v>
      </c>
      <c r="G32" s="273" t="s">
        <v>1691</v>
      </c>
      <c r="H32" s="273" t="s">
        <v>1692</v>
      </c>
      <c r="I32" s="275" t="s">
        <v>1686</v>
      </c>
      <c r="J32" s="274" t="s">
        <v>1693</v>
      </c>
      <c r="K32" s="274" t="s">
        <v>1870</v>
      </c>
    </row>
    <row r="33" spans="1:11" ht="16.5" thickBot="1">
      <c r="A33" s="264"/>
      <c r="B33" s="272"/>
      <c r="C33" s="272"/>
      <c r="D33" s="273" t="s">
        <v>1871</v>
      </c>
      <c r="E33" s="273" t="s">
        <v>1872</v>
      </c>
      <c r="F33" s="435" t="s">
        <v>20</v>
      </c>
      <c r="G33" s="273" t="s">
        <v>1697</v>
      </c>
      <c r="H33" s="273" t="s">
        <v>1873</v>
      </c>
      <c r="I33" s="276" t="s">
        <v>1730</v>
      </c>
      <c r="J33" s="274" t="s">
        <v>1874</v>
      </c>
      <c r="K33" s="274" t="s">
        <v>1875</v>
      </c>
    </row>
    <row r="34" spans="1:11" ht="16.5" thickBot="1">
      <c r="A34" s="264"/>
      <c r="B34" s="272"/>
      <c r="C34" s="272"/>
      <c r="D34" s="273" t="s">
        <v>1876</v>
      </c>
      <c r="E34" s="273" t="s">
        <v>1877</v>
      </c>
      <c r="F34" s="435" t="s">
        <v>20</v>
      </c>
      <c r="G34" s="273" t="s">
        <v>1703</v>
      </c>
      <c r="H34" s="273" t="s">
        <v>1704</v>
      </c>
      <c r="I34" s="276" t="s">
        <v>1730</v>
      </c>
      <c r="J34" s="274" t="s">
        <v>1878</v>
      </c>
      <c r="K34" s="274" t="s">
        <v>1879</v>
      </c>
    </row>
    <row r="35" spans="1:11" ht="16.5" thickBot="1">
      <c r="A35" s="264"/>
      <c r="B35" s="272"/>
      <c r="C35" s="272"/>
      <c r="D35" s="273" t="s">
        <v>1880</v>
      </c>
      <c r="E35" s="273" t="s">
        <v>1881</v>
      </c>
      <c r="F35" s="435" t="s">
        <v>425</v>
      </c>
      <c r="G35" s="273" t="s">
        <v>1709</v>
      </c>
      <c r="H35" s="273" t="s">
        <v>1710</v>
      </c>
      <c r="I35" s="275" t="s">
        <v>1686</v>
      </c>
      <c r="J35" s="274" t="s">
        <v>1882</v>
      </c>
      <c r="K35" s="274" t="s">
        <v>1883</v>
      </c>
    </row>
    <row r="36" spans="1:11" ht="16.5" thickBot="1">
      <c r="A36" s="264"/>
      <c r="B36" s="272"/>
      <c r="C36" s="272"/>
      <c r="D36" s="273" t="s">
        <v>1884</v>
      </c>
      <c r="E36" s="273" t="s">
        <v>1885</v>
      </c>
      <c r="F36" s="435" t="s">
        <v>425</v>
      </c>
      <c r="G36" s="273" t="s">
        <v>1716</v>
      </c>
      <c r="H36" s="273" t="s">
        <v>1886</v>
      </c>
      <c r="I36" s="275" t="s">
        <v>1686</v>
      </c>
      <c r="J36" s="274" t="s">
        <v>1887</v>
      </c>
      <c r="K36" s="274" t="s">
        <v>1888</v>
      </c>
    </row>
    <row r="37" spans="1:11" ht="16.5" thickBot="1">
      <c r="A37" s="264"/>
      <c r="B37" s="272"/>
      <c r="C37" s="272" t="s">
        <v>1889</v>
      </c>
      <c r="D37" s="273" t="s">
        <v>1890</v>
      </c>
      <c r="E37" s="273" t="s">
        <v>1891</v>
      </c>
      <c r="F37" s="435" t="s">
        <v>20</v>
      </c>
      <c r="G37" s="273" t="s">
        <v>1722</v>
      </c>
      <c r="H37" s="273" t="s">
        <v>1723</v>
      </c>
      <c r="I37" s="276" t="s">
        <v>1730</v>
      </c>
      <c r="J37" s="274" t="s">
        <v>1892</v>
      </c>
      <c r="K37" s="274" t="s">
        <v>1893</v>
      </c>
    </row>
    <row r="38" spans="1:11" ht="16.5" thickBot="1">
      <c r="A38" s="264"/>
      <c r="B38" s="272"/>
      <c r="C38" s="272"/>
      <c r="D38" s="273" t="s">
        <v>1894</v>
      </c>
      <c r="E38" s="273" t="s">
        <v>1895</v>
      </c>
      <c r="F38" s="435" t="s">
        <v>20</v>
      </c>
      <c r="G38" s="273" t="s">
        <v>1728</v>
      </c>
      <c r="H38" s="273" t="s">
        <v>1729</v>
      </c>
      <c r="I38" s="276" t="s">
        <v>1730</v>
      </c>
      <c r="J38" s="274" t="s">
        <v>1896</v>
      </c>
      <c r="K38" s="274" t="s">
        <v>1897</v>
      </c>
    </row>
    <row r="39" spans="1:11" ht="16.5" thickBot="1">
      <c r="A39" s="264"/>
      <c r="B39" s="272"/>
      <c r="C39" s="272"/>
      <c r="D39" s="273" t="s">
        <v>1898</v>
      </c>
      <c r="E39" s="273" t="s">
        <v>1899</v>
      </c>
      <c r="F39" s="435" t="s">
        <v>20</v>
      </c>
      <c r="G39" s="273" t="s">
        <v>1735</v>
      </c>
      <c r="H39" s="273" t="s">
        <v>1736</v>
      </c>
      <c r="I39" s="275" t="s">
        <v>1686</v>
      </c>
      <c r="J39" s="274" t="s">
        <v>1900</v>
      </c>
      <c r="K39" s="274" t="s">
        <v>1901</v>
      </c>
    </row>
    <row r="40" spans="1:11" ht="16.5" thickBot="1">
      <c r="A40" s="264"/>
      <c r="B40" s="272"/>
      <c r="C40" s="272"/>
      <c r="D40" s="273" t="s">
        <v>1902</v>
      </c>
      <c r="E40" s="273" t="s">
        <v>1903</v>
      </c>
      <c r="F40" s="435" t="s">
        <v>20</v>
      </c>
      <c r="G40" s="273" t="s">
        <v>1741</v>
      </c>
      <c r="H40" s="273" t="s">
        <v>1742</v>
      </c>
      <c r="I40" s="275" t="s">
        <v>1686</v>
      </c>
      <c r="J40" s="274" t="s">
        <v>1904</v>
      </c>
      <c r="K40" s="274" t="s">
        <v>1905</v>
      </c>
    </row>
    <row r="41" spans="1:11" ht="16.5" thickBot="1">
      <c r="A41" s="264"/>
      <c r="B41" s="272"/>
      <c r="C41" s="272"/>
      <c r="D41" s="273" t="s">
        <v>1906</v>
      </c>
      <c r="E41" s="273" t="s">
        <v>1907</v>
      </c>
      <c r="F41" s="435" t="s">
        <v>229</v>
      </c>
      <c r="G41" s="273" t="s">
        <v>1748</v>
      </c>
      <c r="H41" s="273" t="s">
        <v>1749</v>
      </c>
      <c r="I41" s="276" t="s">
        <v>1730</v>
      </c>
      <c r="J41" s="274" t="s">
        <v>1908</v>
      </c>
      <c r="K41" s="274" t="s">
        <v>1909</v>
      </c>
    </row>
    <row r="42" spans="1:11" ht="16.5" thickBot="1">
      <c r="A42" s="264"/>
      <c r="B42" s="272"/>
      <c r="C42" s="272" t="s">
        <v>1910</v>
      </c>
      <c r="D42" s="273" t="s">
        <v>1911</v>
      </c>
      <c r="E42" s="273" t="s">
        <v>1912</v>
      </c>
      <c r="F42" s="435" t="s">
        <v>20</v>
      </c>
      <c r="G42" s="273" t="s">
        <v>1754</v>
      </c>
      <c r="H42" s="273" t="s">
        <v>1755</v>
      </c>
      <c r="I42" s="275" t="s">
        <v>1686</v>
      </c>
      <c r="J42" s="274" t="s">
        <v>1913</v>
      </c>
      <c r="K42" s="274" t="s">
        <v>1914</v>
      </c>
    </row>
    <row r="43" spans="1:11" ht="16.5" thickBot="1">
      <c r="A43" s="264"/>
      <c r="B43" s="272"/>
      <c r="C43" s="272"/>
      <c r="D43" s="273" t="s">
        <v>1915</v>
      </c>
      <c r="E43" s="273" t="s">
        <v>1916</v>
      </c>
      <c r="F43" s="435" t="s">
        <v>20</v>
      </c>
      <c r="G43" s="273" t="s">
        <v>1760</v>
      </c>
      <c r="H43" s="273" t="s">
        <v>1761</v>
      </c>
      <c r="I43" s="275" t="s">
        <v>1686</v>
      </c>
      <c r="J43" s="274" t="s">
        <v>1917</v>
      </c>
      <c r="K43" s="274" t="s">
        <v>1918</v>
      </c>
    </row>
    <row r="44" spans="1:11" ht="16.5" thickBot="1">
      <c r="A44" s="264"/>
      <c r="B44" s="272"/>
      <c r="C44" s="272"/>
      <c r="D44" s="273" t="s">
        <v>1919</v>
      </c>
      <c r="E44" s="273" t="s">
        <v>1920</v>
      </c>
      <c r="F44" s="435" t="s">
        <v>425</v>
      </c>
      <c r="G44" s="273" t="s">
        <v>1766</v>
      </c>
      <c r="H44" s="273" t="s">
        <v>1767</v>
      </c>
      <c r="I44" s="275" t="s">
        <v>1686</v>
      </c>
      <c r="J44" s="274" t="s">
        <v>1921</v>
      </c>
      <c r="K44" s="274" t="s">
        <v>1922</v>
      </c>
    </row>
    <row r="45" spans="1:11" ht="16.5" thickBot="1">
      <c r="A45" s="264"/>
      <c r="B45" s="272"/>
      <c r="C45" s="272"/>
      <c r="D45" s="273" t="s">
        <v>1923</v>
      </c>
      <c r="E45" s="273" t="s">
        <v>1924</v>
      </c>
      <c r="F45" s="435" t="s">
        <v>20</v>
      </c>
      <c r="G45" s="273" t="s">
        <v>1772</v>
      </c>
      <c r="H45" s="273" t="s">
        <v>1773</v>
      </c>
      <c r="I45" s="275" t="s">
        <v>1686</v>
      </c>
      <c r="J45" s="274" t="s">
        <v>1925</v>
      </c>
      <c r="K45" s="274" t="s">
        <v>1926</v>
      </c>
    </row>
    <row r="46" spans="1:11" ht="16.5" thickBot="1">
      <c r="A46" s="264"/>
      <c r="B46" s="272"/>
      <c r="C46" s="272"/>
      <c r="D46" s="273" t="s">
        <v>1927</v>
      </c>
      <c r="E46" s="273" t="s">
        <v>1928</v>
      </c>
      <c r="F46" s="435" t="s">
        <v>229</v>
      </c>
      <c r="G46" s="273" t="s">
        <v>1779</v>
      </c>
      <c r="H46" s="273" t="s">
        <v>1780</v>
      </c>
      <c r="I46" s="275" t="s">
        <v>1686</v>
      </c>
      <c r="J46" s="274" t="s">
        <v>1929</v>
      </c>
      <c r="K46" s="274" t="s">
        <v>1930</v>
      </c>
    </row>
    <row r="47" spans="1:11" ht="16.5" thickBot="1">
      <c r="A47" s="264"/>
      <c r="B47" s="272"/>
      <c r="C47" s="272" t="s">
        <v>1931</v>
      </c>
      <c r="D47" s="277" t="s">
        <v>1932</v>
      </c>
      <c r="E47" s="273" t="s">
        <v>1933</v>
      </c>
      <c r="F47" s="435" t="s">
        <v>229</v>
      </c>
      <c r="G47" s="273" t="s">
        <v>1785</v>
      </c>
      <c r="H47" s="273" t="s">
        <v>1786</v>
      </c>
      <c r="I47" s="276" t="s">
        <v>1730</v>
      </c>
      <c r="J47" s="274" t="s">
        <v>1934</v>
      </c>
      <c r="K47" s="274" t="s">
        <v>1935</v>
      </c>
    </row>
    <row r="48" spans="1:11" ht="16.5" thickBot="1">
      <c r="A48" s="264"/>
      <c r="B48" s="272"/>
      <c r="C48" s="272"/>
      <c r="D48" s="277" t="s">
        <v>1936</v>
      </c>
      <c r="E48" s="273" t="s">
        <v>1937</v>
      </c>
      <c r="F48" s="435" t="s">
        <v>425</v>
      </c>
      <c r="G48" s="273" t="s">
        <v>1791</v>
      </c>
      <c r="H48" s="273" t="s">
        <v>1792</v>
      </c>
      <c r="I48" s="276" t="s">
        <v>1730</v>
      </c>
      <c r="J48" s="274" t="s">
        <v>1938</v>
      </c>
      <c r="K48" s="274" t="s">
        <v>1939</v>
      </c>
    </row>
    <row r="49" spans="1:11" ht="16.5" thickBot="1">
      <c r="A49" s="264"/>
      <c r="B49" s="272"/>
      <c r="C49" s="272"/>
      <c r="D49" s="277" t="s">
        <v>1940</v>
      </c>
      <c r="E49" s="273" t="s">
        <v>1941</v>
      </c>
      <c r="F49" s="435" t="s">
        <v>425</v>
      </c>
      <c r="G49" s="273" t="s">
        <v>1797</v>
      </c>
      <c r="H49" s="273" t="s">
        <v>1798</v>
      </c>
      <c r="I49" s="276" t="s">
        <v>1730</v>
      </c>
      <c r="J49" s="274" t="s">
        <v>1942</v>
      </c>
      <c r="K49" s="274" t="s">
        <v>1943</v>
      </c>
    </row>
    <row r="50" spans="1:11" ht="16.5" thickBot="1">
      <c r="A50" s="264"/>
      <c r="B50" s="272"/>
      <c r="C50" s="272"/>
      <c r="D50" s="277" t="s">
        <v>1944</v>
      </c>
      <c r="E50" s="273" t="s">
        <v>1945</v>
      </c>
      <c r="F50" s="435" t="s">
        <v>20</v>
      </c>
      <c r="G50" s="273" t="s">
        <v>1803</v>
      </c>
      <c r="H50" s="273" t="s">
        <v>1946</v>
      </c>
      <c r="I50" s="275" t="s">
        <v>1686</v>
      </c>
      <c r="J50" s="274" t="s">
        <v>1947</v>
      </c>
      <c r="K50" s="274" t="s">
        <v>1948</v>
      </c>
    </row>
    <row r="51" spans="1:11" ht="16.5" thickBot="1">
      <c r="A51" s="264"/>
      <c r="B51" s="272"/>
      <c r="C51" s="272"/>
      <c r="D51" s="277" t="s">
        <v>1949</v>
      </c>
      <c r="E51" s="273" t="s">
        <v>1950</v>
      </c>
      <c r="F51" s="435" t="s">
        <v>20</v>
      </c>
      <c r="G51" s="273" t="s">
        <v>1810</v>
      </c>
      <c r="H51" s="273" t="s">
        <v>1811</v>
      </c>
      <c r="I51" s="275" t="s">
        <v>1686</v>
      </c>
      <c r="J51" s="274" t="s">
        <v>1951</v>
      </c>
      <c r="K51" s="274" t="s">
        <v>1952</v>
      </c>
    </row>
    <row r="52" spans="1:11" ht="16.5" thickBot="1">
      <c r="A52" s="264"/>
      <c r="B52" s="278" t="s">
        <v>1953</v>
      </c>
      <c r="C52" s="278" t="s">
        <v>1954</v>
      </c>
      <c r="D52" s="279" t="s">
        <v>1955</v>
      </c>
      <c r="E52" s="279" t="s">
        <v>1956</v>
      </c>
      <c r="F52" s="436" t="s">
        <v>20</v>
      </c>
      <c r="G52" s="279" t="s">
        <v>1957</v>
      </c>
      <c r="H52" s="279" t="s">
        <v>1958</v>
      </c>
      <c r="I52" s="275" t="s">
        <v>1686</v>
      </c>
      <c r="J52" s="280" t="s">
        <v>1959</v>
      </c>
      <c r="K52" s="280" t="s">
        <v>1960</v>
      </c>
    </row>
    <row r="53" spans="1:11" ht="16.5" thickBot="1">
      <c r="A53" s="264"/>
      <c r="B53" s="278"/>
      <c r="C53" s="278"/>
      <c r="D53" s="279" t="s">
        <v>1961</v>
      </c>
      <c r="E53" s="279" t="s">
        <v>1962</v>
      </c>
      <c r="F53" s="436" t="s">
        <v>20</v>
      </c>
      <c r="G53" s="279" t="s">
        <v>1963</v>
      </c>
      <c r="H53" s="279" t="s">
        <v>1964</v>
      </c>
      <c r="I53" s="275" t="s">
        <v>1686</v>
      </c>
      <c r="J53" s="280" t="s">
        <v>1965</v>
      </c>
      <c r="K53" s="280" t="s">
        <v>1966</v>
      </c>
    </row>
    <row r="54" spans="1:11" ht="16.5" thickBot="1">
      <c r="A54" s="264"/>
      <c r="B54" s="278"/>
      <c r="C54" s="278"/>
      <c r="D54" s="279" t="s">
        <v>1967</v>
      </c>
      <c r="E54" s="279" t="s">
        <v>1968</v>
      </c>
      <c r="F54" s="436" t="s">
        <v>20</v>
      </c>
      <c r="G54" s="279" t="s">
        <v>1969</v>
      </c>
      <c r="H54" s="279" t="s">
        <v>1970</v>
      </c>
      <c r="I54" s="276" t="s">
        <v>1730</v>
      </c>
      <c r="J54" s="280" t="s">
        <v>1971</v>
      </c>
      <c r="K54" s="280" t="s">
        <v>1972</v>
      </c>
    </row>
    <row r="55" spans="1:11" ht="16.5" thickBot="1">
      <c r="A55" s="264"/>
      <c r="B55" s="278"/>
      <c r="C55" s="278"/>
      <c r="D55" s="279" t="s">
        <v>1973</v>
      </c>
      <c r="E55" s="279" t="s">
        <v>1974</v>
      </c>
      <c r="F55" s="436" t="s">
        <v>425</v>
      </c>
      <c r="G55" s="279" t="s">
        <v>1975</v>
      </c>
      <c r="H55" s="279" t="s">
        <v>1976</v>
      </c>
      <c r="I55" s="275" t="s">
        <v>1686</v>
      </c>
      <c r="J55" s="280" t="s">
        <v>1977</v>
      </c>
      <c r="K55" s="280" t="s">
        <v>1978</v>
      </c>
    </row>
    <row r="56" spans="1:11" ht="16.5" thickBot="1">
      <c r="A56" s="264"/>
      <c r="B56" s="278"/>
      <c r="C56" s="278"/>
      <c r="D56" s="279" t="s">
        <v>1979</v>
      </c>
      <c r="E56" s="279" t="s">
        <v>1980</v>
      </c>
      <c r="F56" s="436" t="s">
        <v>20</v>
      </c>
      <c r="G56" s="279" t="s">
        <v>1981</v>
      </c>
      <c r="H56" s="279" t="s">
        <v>1982</v>
      </c>
      <c r="I56" s="276" t="s">
        <v>1730</v>
      </c>
      <c r="J56" s="280" t="s">
        <v>1983</v>
      </c>
      <c r="K56" s="280" t="s">
        <v>1984</v>
      </c>
    </row>
    <row r="57" spans="1:11" ht="16.5" thickBot="1">
      <c r="A57" s="264"/>
      <c r="B57" s="278"/>
      <c r="C57" s="278" t="s">
        <v>1985</v>
      </c>
      <c r="D57" s="279" t="s">
        <v>1986</v>
      </c>
      <c r="E57" s="279" t="s">
        <v>1987</v>
      </c>
      <c r="F57" s="436" t="s">
        <v>229</v>
      </c>
      <c r="G57" s="279" t="s">
        <v>1988</v>
      </c>
      <c r="H57" s="279" t="s">
        <v>1989</v>
      </c>
      <c r="I57" s="275" t="s">
        <v>1686</v>
      </c>
      <c r="J57" s="280" t="s">
        <v>1990</v>
      </c>
      <c r="K57" s="280" t="s">
        <v>1991</v>
      </c>
    </row>
    <row r="58" spans="1:11" ht="16.5" thickBot="1">
      <c r="A58" s="264"/>
      <c r="B58" s="278"/>
      <c r="C58" s="278"/>
      <c r="D58" s="279" t="s">
        <v>1992</v>
      </c>
      <c r="E58" s="279" t="s">
        <v>1993</v>
      </c>
      <c r="F58" s="436" t="s">
        <v>20</v>
      </c>
      <c r="G58" s="279" t="s">
        <v>1994</v>
      </c>
      <c r="H58" s="279" t="s">
        <v>1995</v>
      </c>
      <c r="I58" s="275" t="s">
        <v>1686</v>
      </c>
      <c r="J58" s="280" t="s">
        <v>1996</v>
      </c>
      <c r="K58" s="280" t="s">
        <v>1997</v>
      </c>
    </row>
    <row r="59" spans="1:11" ht="16.5" thickBot="1">
      <c r="A59" s="264"/>
      <c r="B59" s="278"/>
      <c r="C59" s="278"/>
      <c r="D59" s="279" t="s">
        <v>1998</v>
      </c>
      <c r="E59" s="279" t="s">
        <v>1999</v>
      </c>
      <c r="F59" s="436" t="s">
        <v>425</v>
      </c>
      <c r="G59" s="279" t="s">
        <v>2000</v>
      </c>
      <c r="H59" s="279" t="s">
        <v>1823</v>
      </c>
      <c r="I59" s="276" t="s">
        <v>1730</v>
      </c>
      <c r="J59" s="280" t="s">
        <v>2001</v>
      </c>
      <c r="K59" s="280" t="s">
        <v>2002</v>
      </c>
    </row>
    <row r="60" spans="1:11" ht="16.5" thickBot="1">
      <c r="A60" s="264"/>
      <c r="B60" s="278"/>
      <c r="C60" s="278"/>
      <c r="D60" s="279" t="s">
        <v>2003</v>
      </c>
      <c r="E60" s="279" t="s">
        <v>2004</v>
      </c>
      <c r="F60" s="436" t="s">
        <v>425</v>
      </c>
      <c r="G60" s="279" t="s">
        <v>2005</v>
      </c>
      <c r="H60" s="279" t="s">
        <v>2006</v>
      </c>
      <c r="I60" s="275" t="s">
        <v>1686</v>
      </c>
      <c r="J60" s="280" t="s">
        <v>2007</v>
      </c>
      <c r="K60" s="280" t="s">
        <v>2008</v>
      </c>
    </row>
    <row r="61" spans="1:11" ht="16.5" thickBot="1">
      <c r="A61" s="264"/>
      <c r="B61" s="278"/>
      <c r="C61" s="278"/>
      <c r="D61" s="279" t="s">
        <v>2009</v>
      </c>
      <c r="E61" s="279" t="s">
        <v>2010</v>
      </c>
      <c r="F61" s="436" t="s">
        <v>20</v>
      </c>
      <c r="G61" s="279" t="s">
        <v>2011</v>
      </c>
      <c r="H61" s="279" t="s">
        <v>2012</v>
      </c>
      <c r="I61" s="276" t="s">
        <v>1730</v>
      </c>
      <c r="J61" s="280" t="s">
        <v>2013</v>
      </c>
      <c r="K61" s="280" t="s">
        <v>2014</v>
      </c>
    </row>
    <row r="62" spans="1:11" ht="16.5" thickBot="1">
      <c r="A62" s="264"/>
      <c r="B62" s="278"/>
      <c r="C62" s="278" t="s">
        <v>2015</v>
      </c>
      <c r="D62" s="279" t="s">
        <v>2016</v>
      </c>
      <c r="E62" s="279" t="s">
        <v>2017</v>
      </c>
      <c r="F62" s="436" t="s">
        <v>20</v>
      </c>
      <c r="G62" s="279" t="s">
        <v>2018</v>
      </c>
      <c r="H62" s="279" t="s">
        <v>2019</v>
      </c>
      <c r="I62" s="276" t="s">
        <v>1730</v>
      </c>
      <c r="J62" s="280" t="s">
        <v>1750</v>
      </c>
      <c r="K62" s="280" t="s">
        <v>2020</v>
      </c>
    </row>
    <row r="63" spans="1:11" ht="16.5" thickBot="1">
      <c r="A63" s="264"/>
      <c r="B63" s="278"/>
      <c r="C63" s="278"/>
      <c r="D63" s="279" t="s">
        <v>2021</v>
      </c>
      <c r="E63" s="279" t="s">
        <v>2022</v>
      </c>
      <c r="F63" s="436" t="s">
        <v>20</v>
      </c>
      <c r="G63" s="279" t="s">
        <v>2023</v>
      </c>
      <c r="H63" s="279" t="s">
        <v>2024</v>
      </c>
      <c r="I63" s="275" t="s">
        <v>1686</v>
      </c>
      <c r="J63" s="280" t="s">
        <v>2025</v>
      </c>
      <c r="K63" s="280" t="s">
        <v>2026</v>
      </c>
    </row>
    <row r="64" spans="1:11" ht="16.5" thickBot="1">
      <c r="A64" s="264"/>
      <c r="B64" s="278"/>
      <c r="C64" s="278"/>
      <c r="D64" s="279" t="s">
        <v>2027</v>
      </c>
      <c r="E64" s="279" t="s">
        <v>2028</v>
      </c>
      <c r="F64" s="436" t="s">
        <v>425</v>
      </c>
      <c r="G64" s="279" t="s">
        <v>2029</v>
      </c>
      <c r="H64" s="279" t="s">
        <v>2030</v>
      </c>
      <c r="I64" s="275" t="s">
        <v>1686</v>
      </c>
      <c r="J64" s="280" t="s">
        <v>2031</v>
      </c>
      <c r="K64" s="280" t="s">
        <v>2032</v>
      </c>
    </row>
    <row r="65" spans="1:11" ht="16.5" thickBot="1">
      <c r="A65" s="264"/>
      <c r="B65" s="278"/>
      <c r="C65" s="278"/>
      <c r="D65" s="279" t="s">
        <v>2033</v>
      </c>
      <c r="E65" s="279" t="s">
        <v>2034</v>
      </c>
      <c r="F65" s="436" t="s">
        <v>229</v>
      </c>
      <c r="G65" s="279" t="s">
        <v>2035</v>
      </c>
      <c r="H65" s="279" t="s">
        <v>2036</v>
      </c>
      <c r="I65" s="276" t="s">
        <v>1730</v>
      </c>
      <c r="J65" s="280" t="s">
        <v>2037</v>
      </c>
      <c r="K65" s="280" t="s">
        <v>2038</v>
      </c>
    </row>
    <row r="66" spans="1:11" ht="16.5" thickBot="1">
      <c r="A66" s="264"/>
      <c r="B66" s="278"/>
      <c r="C66" s="278"/>
      <c r="D66" s="279" t="s">
        <v>2039</v>
      </c>
      <c r="E66" s="279" t="s">
        <v>2040</v>
      </c>
      <c r="F66" s="436" t="s">
        <v>229</v>
      </c>
      <c r="G66" s="279" t="s">
        <v>2041</v>
      </c>
      <c r="H66" s="279" t="s">
        <v>2042</v>
      </c>
      <c r="I66" s="276" t="s">
        <v>1730</v>
      </c>
      <c r="J66" s="280" t="s">
        <v>2043</v>
      </c>
      <c r="K66" s="280" t="s">
        <v>2044</v>
      </c>
    </row>
    <row r="67" spans="1:11" ht="16.5" thickBot="1">
      <c r="A67" s="264"/>
      <c r="B67" s="278"/>
      <c r="C67" s="278" t="s">
        <v>2045</v>
      </c>
      <c r="D67" s="279" t="s">
        <v>2046</v>
      </c>
      <c r="E67" s="279" t="s">
        <v>2047</v>
      </c>
      <c r="F67" s="436" t="s">
        <v>20</v>
      </c>
      <c r="G67" s="279" t="s">
        <v>2048</v>
      </c>
      <c r="H67" s="279" t="s">
        <v>2049</v>
      </c>
      <c r="I67" s="275" t="s">
        <v>1686</v>
      </c>
      <c r="J67" s="280" t="s">
        <v>2050</v>
      </c>
      <c r="K67" s="280" t="s">
        <v>2051</v>
      </c>
    </row>
    <row r="68" spans="1:11" ht="16.5" thickBot="1">
      <c r="A68" s="264"/>
      <c r="B68" s="278"/>
      <c r="C68" s="278"/>
      <c r="D68" s="279" t="s">
        <v>2052</v>
      </c>
      <c r="E68" s="279" t="s">
        <v>2053</v>
      </c>
      <c r="F68" s="436" t="s">
        <v>425</v>
      </c>
      <c r="G68" s="279" t="s">
        <v>2054</v>
      </c>
      <c r="H68" s="279" t="s">
        <v>2055</v>
      </c>
      <c r="I68" s="276" t="s">
        <v>1730</v>
      </c>
      <c r="J68" s="280" t="s">
        <v>2056</v>
      </c>
      <c r="K68" s="280" t="s">
        <v>2057</v>
      </c>
    </row>
    <row r="69" spans="1:11" ht="16.5" thickBot="1">
      <c r="A69" s="264"/>
      <c r="B69" s="278"/>
      <c r="C69" s="278"/>
      <c r="D69" s="279" t="s">
        <v>2058</v>
      </c>
      <c r="E69" s="279" t="s">
        <v>2059</v>
      </c>
      <c r="F69" s="436" t="s">
        <v>20</v>
      </c>
      <c r="G69" s="279" t="s">
        <v>2060</v>
      </c>
      <c r="H69" s="279" t="s">
        <v>2061</v>
      </c>
      <c r="I69" s="275" t="s">
        <v>1686</v>
      </c>
      <c r="J69" s="280" t="s">
        <v>2062</v>
      </c>
      <c r="K69" s="280" t="s">
        <v>2063</v>
      </c>
    </row>
    <row r="70" spans="1:11" ht="16.5" thickBot="1">
      <c r="A70" s="264"/>
      <c r="B70" s="278"/>
      <c r="C70" s="278"/>
      <c r="D70" s="279" t="s">
        <v>2064</v>
      </c>
      <c r="E70" s="279" t="s">
        <v>2065</v>
      </c>
      <c r="F70" s="436" t="s">
        <v>20</v>
      </c>
      <c r="G70" s="279" t="s">
        <v>2066</v>
      </c>
      <c r="H70" s="279" t="s">
        <v>2067</v>
      </c>
      <c r="I70" s="275" t="s">
        <v>1686</v>
      </c>
      <c r="J70" s="280" t="s">
        <v>2068</v>
      </c>
      <c r="K70" s="280" t="s">
        <v>2069</v>
      </c>
    </row>
    <row r="71" spans="1:11" ht="16.5" thickBot="1">
      <c r="A71" s="264"/>
      <c r="B71" s="278"/>
      <c r="C71" s="278"/>
      <c r="D71" s="279" t="s">
        <v>2070</v>
      </c>
      <c r="E71" s="279" t="s">
        <v>2071</v>
      </c>
      <c r="F71" s="436" t="s">
        <v>20</v>
      </c>
      <c r="G71" s="279" t="s">
        <v>2072</v>
      </c>
      <c r="H71" s="279" t="s">
        <v>2073</v>
      </c>
      <c r="I71" s="276" t="s">
        <v>1730</v>
      </c>
      <c r="J71" s="280" t="s">
        <v>2074</v>
      </c>
      <c r="K71" s="280" t="s">
        <v>2075</v>
      </c>
    </row>
    <row r="72" spans="1:11" ht="16.5" thickBot="1">
      <c r="A72" s="264"/>
      <c r="B72" s="278"/>
      <c r="C72" s="278" t="s">
        <v>2076</v>
      </c>
      <c r="D72" s="279" t="s">
        <v>2077</v>
      </c>
      <c r="E72" s="279" t="s">
        <v>2078</v>
      </c>
      <c r="F72" s="436" t="s">
        <v>425</v>
      </c>
      <c r="G72" s="279" t="s">
        <v>2079</v>
      </c>
      <c r="H72" s="279" t="s">
        <v>2080</v>
      </c>
      <c r="I72" s="275" t="s">
        <v>1686</v>
      </c>
      <c r="J72" s="280" t="s">
        <v>2081</v>
      </c>
      <c r="K72" s="280" t="s">
        <v>2082</v>
      </c>
    </row>
    <row r="73" spans="1:11" ht="16.5" thickBot="1">
      <c r="A73" s="264"/>
      <c r="B73" s="278"/>
      <c r="C73" s="278"/>
      <c r="D73" s="279" t="s">
        <v>2083</v>
      </c>
      <c r="E73" s="279" t="s">
        <v>2084</v>
      </c>
      <c r="F73" s="436" t="s">
        <v>20</v>
      </c>
      <c r="G73" s="279" t="s">
        <v>2085</v>
      </c>
      <c r="H73" s="279" t="s">
        <v>2086</v>
      </c>
      <c r="I73" s="275" t="s">
        <v>1686</v>
      </c>
      <c r="J73" s="280" t="s">
        <v>2087</v>
      </c>
      <c r="K73" s="280" t="s">
        <v>2088</v>
      </c>
    </row>
    <row r="74" spans="1:11" ht="16.5" thickBot="1">
      <c r="A74" s="264"/>
      <c r="B74" s="278"/>
      <c r="C74" s="278"/>
      <c r="D74" s="279" t="s">
        <v>2089</v>
      </c>
      <c r="E74" s="279" t="s">
        <v>2090</v>
      </c>
      <c r="F74" s="436" t="s">
        <v>20</v>
      </c>
      <c r="G74" s="279" t="s">
        <v>2091</v>
      </c>
      <c r="H74" s="279" t="s">
        <v>2092</v>
      </c>
      <c r="I74" s="275" t="s">
        <v>1686</v>
      </c>
      <c r="J74" s="280" t="s">
        <v>2093</v>
      </c>
      <c r="K74" s="280" t="s">
        <v>2094</v>
      </c>
    </row>
    <row r="75" spans="1:11" ht="16.5" thickBot="1">
      <c r="A75" s="264"/>
      <c r="B75" s="278"/>
      <c r="C75" s="278"/>
      <c r="D75" s="279" t="s">
        <v>2095</v>
      </c>
      <c r="E75" s="279" t="s">
        <v>2096</v>
      </c>
      <c r="F75" s="436" t="s">
        <v>20</v>
      </c>
      <c r="G75" s="279" t="s">
        <v>2097</v>
      </c>
      <c r="H75" s="279" t="s">
        <v>2098</v>
      </c>
      <c r="I75" s="276" t="s">
        <v>1730</v>
      </c>
      <c r="J75" s="280" t="s">
        <v>2099</v>
      </c>
      <c r="K75" s="280" t="s">
        <v>2100</v>
      </c>
    </row>
    <row r="76" spans="1:11" ht="16.5" thickBot="1">
      <c r="A76" s="264"/>
      <c r="B76" s="278"/>
      <c r="C76" s="278"/>
      <c r="D76" s="279" t="s">
        <v>2101</v>
      </c>
      <c r="E76" s="279" t="s">
        <v>2102</v>
      </c>
      <c r="F76" s="436" t="s">
        <v>20</v>
      </c>
      <c r="G76" s="279" t="s">
        <v>2103</v>
      </c>
      <c r="H76" s="279" t="s">
        <v>2104</v>
      </c>
      <c r="I76" s="275" t="s">
        <v>1686</v>
      </c>
      <c r="J76" s="280" t="s">
        <v>2105</v>
      </c>
      <c r="K76" s="280" t="s">
        <v>2106</v>
      </c>
    </row>
    <row r="77" spans="1:11" ht="16.5" thickBot="1">
      <c r="A77" s="264"/>
      <c r="B77" s="281" t="s">
        <v>2107</v>
      </c>
      <c r="C77" s="281" t="s">
        <v>2108</v>
      </c>
      <c r="D77" s="282" t="s">
        <v>2109</v>
      </c>
      <c r="E77" s="282" t="s">
        <v>2110</v>
      </c>
      <c r="F77" s="437" t="s">
        <v>425</v>
      </c>
      <c r="G77" s="282" t="s">
        <v>2111</v>
      </c>
      <c r="H77" s="282" t="s">
        <v>2112</v>
      </c>
      <c r="I77" s="275" t="s">
        <v>1686</v>
      </c>
      <c r="J77" s="283" t="s">
        <v>2113</v>
      </c>
      <c r="K77" s="283" t="s">
        <v>2114</v>
      </c>
    </row>
    <row r="78" spans="1:11" ht="16.5" thickBot="1">
      <c r="A78" s="264"/>
      <c r="B78" s="281"/>
      <c r="C78" s="281"/>
      <c r="D78" s="282" t="s">
        <v>2115</v>
      </c>
      <c r="E78" s="282" t="s">
        <v>2116</v>
      </c>
      <c r="F78" s="437" t="s">
        <v>425</v>
      </c>
      <c r="G78" s="282" t="s">
        <v>2117</v>
      </c>
      <c r="H78" s="282" t="s">
        <v>2118</v>
      </c>
      <c r="I78" s="275" t="s">
        <v>1686</v>
      </c>
      <c r="J78" s="283" t="s">
        <v>2119</v>
      </c>
      <c r="K78" s="283" t="s">
        <v>2120</v>
      </c>
    </row>
    <row r="79" spans="1:11" ht="16.5" thickBot="1">
      <c r="A79" s="264"/>
      <c r="B79" s="281"/>
      <c r="C79" s="281"/>
      <c r="D79" s="282" t="s">
        <v>2121</v>
      </c>
      <c r="E79" s="282" t="s">
        <v>2122</v>
      </c>
      <c r="F79" s="437" t="s">
        <v>425</v>
      </c>
      <c r="G79" s="282" t="s">
        <v>2123</v>
      </c>
      <c r="H79" s="282" t="s">
        <v>2124</v>
      </c>
      <c r="I79" s="276" t="s">
        <v>1730</v>
      </c>
      <c r="J79" s="283" t="s">
        <v>2125</v>
      </c>
      <c r="K79" s="283" t="s">
        <v>2126</v>
      </c>
    </row>
    <row r="80" spans="1:11" ht="16.5" thickBot="1">
      <c r="A80" s="264"/>
      <c r="B80" s="281"/>
      <c r="C80" s="281"/>
      <c r="D80" s="282" t="s">
        <v>2127</v>
      </c>
      <c r="E80" s="282" t="s">
        <v>2128</v>
      </c>
      <c r="F80" s="437" t="s">
        <v>425</v>
      </c>
      <c r="G80" s="282" t="s">
        <v>2129</v>
      </c>
      <c r="H80" s="282" t="s">
        <v>2130</v>
      </c>
      <c r="I80" s="276" t="s">
        <v>1730</v>
      </c>
      <c r="J80" s="283" t="s">
        <v>2131</v>
      </c>
      <c r="K80" s="283" t="s">
        <v>2132</v>
      </c>
    </row>
    <row r="81" spans="1:11" ht="16.5" thickBot="1">
      <c r="A81" s="264"/>
      <c r="B81" s="281"/>
      <c r="C81" s="281"/>
      <c r="D81" s="282" t="s">
        <v>2133</v>
      </c>
      <c r="E81" s="282" t="s">
        <v>2134</v>
      </c>
      <c r="F81" s="437" t="s">
        <v>425</v>
      </c>
      <c r="G81" s="282" t="s">
        <v>2135</v>
      </c>
      <c r="H81" s="282" t="s">
        <v>2136</v>
      </c>
      <c r="I81" s="276" t="s">
        <v>1730</v>
      </c>
      <c r="J81" s="283" t="s">
        <v>2137</v>
      </c>
      <c r="K81" s="283" t="s">
        <v>2138</v>
      </c>
    </row>
    <row r="82" spans="1:11" ht="16.5" thickBot="1">
      <c r="A82" s="264"/>
      <c r="B82" s="281"/>
      <c r="C82" s="281" t="s">
        <v>2139</v>
      </c>
      <c r="D82" s="282" t="s">
        <v>2140</v>
      </c>
      <c r="E82" s="282" t="s">
        <v>2141</v>
      </c>
      <c r="F82" s="437" t="s">
        <v>229</v>
      </c>
      <c r="G82" s="282" t="s">
        <v>2142</v>
      </c>
      <c r="H82" s="282" t="s">
        <v>2143</v>
      </c>
      <c r="I82" s="276" t="s">
        <v>1730</v>
      </c>
      <c r="J82" s="283" t="s">
        <v>2144</v>
      </c>
      <c r="K82" s="283" t="s">
        <v>2145</v>
      </c>
    </row>
    <row r="83" spans="1:11" ht="16.5" thickBot="1">
      <c r="A83" s="264"/>
      <c r="B83" s="281"/>
      <c r="C83" s="281"/>
      <c r="D83" s="282" t="s">
        <v>2146</v>
      </c>
      <c r="E83" s="282" t="s">
        <v>2147</v>
      </c>
      <c r="F83" s="437" t="s">
        <v>20</v>
      </c>
      <c r="G83" s="282" t="s">
        <v>2148</v>
      </c>
      <c r="H83" s="282" t="s">
        <v>2149</v>
      </c>
      <c r="I83" s="275" t="s">
        <v>1686</v>
      </c>
      <c r="J83" s="283" t="s">
        <v>2150</v>
      </c>
      <c r="K83" s="283" t="s">
        <v>2151</v>
      </c>
    </row>
    <row r="84" spans="1:11" ht="16.5" thickBot="1">
      <c r="A84" s="264"/>
      <c r="B84" s="281"/>
      <c r="C84" s="281"/>
      <c r="D84" s="282" t="s">
        <v>2152</v>
      </c>
      <c r="E84" s="282" t="s">
        <v>2153</v>
      </c>
      <c r="F84" s="437" t="s">
        <v>20</v>
      </c>
      <c r="G84" s="282" t="s">
        <v>2154</v>
      </c>
      <c r="H84" s="282" t="s">
        <v>2155</v>
      </c>
      <c r="I84" s="276" t="s">
        <v>1730</v>
      </c>
      <c r="J84" s="283" t="s">
        <v>2156</v>
      </c>
      <c r="K84" s="283" t="s">
        <v>2157</v>
      </c>
    </row>
    <row r="85" spans="1:11" ht="16.5" thickBot="1">
      <c r="A85" s="264"/>
      <c r="B85" s="281"/>
      <c r="C85" s="281"/>
      <c r="D85" s="282" t="s">
        <v>2158</v>
      </c>
      <c r="E85" s="282" t="s">
        <v>2159</v>
      </c>
      <c r="F85" s="437" t="s">
        <v>425</v>
      </c>
      <c r="G85" s="282" t="s">
        <v>2160</v>
      </c>
      <c r="H85" s="282" t="s">
        <v>2161</v>
      </c>
      <c r="I85" s="276" t="s">
        <v>1730</v>
      </c>
      <c r="J85" s="283" t="s">
        <v>2162</v>
      </c>
      <c r="K85" s="283" t="s">
        <v>2163</v>
      </c>
    </row>
    <row r="86" spans="1:11" ht="16.5" thickBot="1">
      <c r="A86" s="264"/>
      <c r="B86" s="281"/>
      <c r="C86" s="281"/>
      <c r="D86" s="282" t="s">
        <v>2164</v>
      </c>
      <c r="E86" s="282" t="s">
        <v>2165</v>
      </c>
      <c r="F86" s="437" t="s">
        <v>20</v>
      </c>
      <c r="G86" s="282" t="s">
        <v>2166</v>
      </c>
      <c r="H86" s="282" t="s">
        <v>2167</v>
      </c>
      <c r="I86" s="275" t="s">
        <v>1686</v>
      </c>
      <c r="J86" s="283" t="s">
        <v>2168</v>
      </c>
      <c r="K86" s="283" t="s">
        <v>2169</v>
      </c>
    </row>
    <row r="87" spans="1:11" ht="16.5" thickBot="1">
      <c r="A87" s="264"/>
      <c r="B87" s="281"/>
      <c r="C87" s="281" t="s">
        <v>2170</v>
      </c>
      <c r="D87" s="282" t="s">
        <v>2171</v>
      </c>
      <c r="E87" s="282" t="s">
        <v>2172</v>
      </c>
      <c r="F87" s="437" t="s">
        <v>20</v>
      </c>
      <c r="G87" s="282" t="s">
        <v>2173</v>
      </c>
      <c r="H87" s="282" t="s">
        <v>2174</v>
      </c>
      <c r="I87" s="275" t="s">
        <v>1686</v>
      </c>
      <c r="J87" s="283" t="s">
        <v>2175</v>
      </c>
      <c r="K87" s="283" t="s">
        <v>2176</v>
      </c>
    </row>
    <row r="88" spans="1:11" ht="16.5" thickBot="1">
      <c r="A88" s="264"/>
      <c r="B88" s="281"/>
      <c r="C88" s="281"/>
      <c r="D88" s="282" t="s">
        <v>2177</v>
      </c>
      <c r="E88" s="282" t="s">
        <v>2178</v>
      </c>
      <c r="F88" s="437" t="s">
        <v>20</v>
      </c>
      <c r="G88" s="282" t="s">
        <v>2179</v>
      </c>
      <c r="H88" s="282" t="s">
        <v>2180</v>
      </c>
      <c r="I88" s="276" t="s">
        <v>1730</v>
      </c>
      <c r="J88" s="283" t="s">
        <v>2181</v>
      </c>
      <c r="K88" s="283" t="s">
        <v>2182</v>
      </c>
    </row>
    <row r="89" spans="1:11" ht="16.5" thickBot="1">
      <c r="A89" s="264"/>
      <c r="B89" s="281"/>
      <c r="C89" s="281"/>
      <c r="D89" s="282" t="s">
        <v>2183</v>
      </c>
      <c r="E89" s="282" t="s">
        <v>2184</v>
      </c>
      <c r="F89" s="437" t="s">
        <v>20</v>
      </c>
      <c r="G89" s="282" t="s">
        <v>2185</v>
      </c>
      <c r="H89" s="282" t="s">
        <v>2186</v>
      </c>
      <c r="I89" s="276" t="s">
        <v>1730</v>
      </c>
      <c r="J89" s="283" t="s">
        <v>2187</v>
      </c>
      <c r="K89" s="283" t="s">
        <v>2188</v>
      </c>
    </row>
    <row r="90" spans="1:11" ht="16.5" thickBot="1">
      <c r="A90" s="264"/>
      <c r="B90" s="281"/>
      <c r="C90" s="281"/>
      <c r="D90" s="282" t="s">
        <v>2189</v>
      </c>
      <c r="E90" s="282" t="s">
        <v>2190</v>
      </c>
      <c r="F90" s="437" t="s">
        <v>20</v>
      </c>
      <c r="G90" s="282" t="s">
        <v>2191</v>
      </c>
      <c r="H90" s="282" t="s">
        <v>2192</v>
      </c>
      <c r="I90" s="276" t="s">
        <v>1730</v>
      </c>
      <c r="J90" s="283" t="s">
        <v>2193</v>
      </c>
      <c r="K90" s="283" t="s">
        <v>2194</v>
      </c>
    </row>
    <row r="91" spans="1:11" ht="16.5" thickBot="1">
      <c r="A91" s="264"/>
      <c r="B91" s="281"/>
      <c r="C91" s="281"/>
      <c r="D91" s="282" t="s">
        <v>2195</v>
      </c>
      <c r="E91" s="282" t="s">
        <v>2196</v>
      </c>
      <c r="F91" s="437" t="s">
        <v>229</v>
      </c>
      <c r="G91" s="282" t="s">
        <v>2197</v>
      </c>
      <c r="H91" s="282" t="s">
        <v>2198</v>
      </c>
      <c r="I91" s="276" t="s">
        <v>1730</v>
      </c>
      <c r="J91" s="283" t="s">
        <v>2199</v>
      </c>
      <c r="K91" s="283" t="s">
        <v>2200</v>
      </c>
    </row>
    <row r="92" spans="1:11" ht="16.5" thickBot="1">
      <c r="A92" s="264"/>
      <c r="B92" s="281"/>
      <c r="C92" s="281" t="s">
        <v>2201</v>
      </c>
      <c r="D92" s="282" t="s">
        <v>2202</v>
      </c>
      <c r="E92" s="282" t="s">
        <v>2203</v>
      </c>
      <c r="F92" s="437" t="s">
        <v>20</v>
      </c>
      <c r="G92" s="282" t="s">
        <v>2204</v>
      </c>
      <c r="H92" s="282" t="s">
        <v>2205</v>
      </c>
      <c r="I92" s="276" t="s">
        <v>1730</v>
      </c>
      <c r="J92" s="283" t="s">
        <v>2206</v>
      </c>
      <c r="K92" s="283" t="s">
        <v>2207</v>
      </c>
    </row>
    <row r="93" spans="1:11" ht="16.5" thickBot="1">
      <c r="A93" s="264"/>
      <c r="B93" s="281"/>
      <c r="C93" s="281"/>
      <c r="D93" s="282" t="s">
        <v>2208</v>
      </c>
      <c r="E93" s="282" t="s">
        <v>2209</v>
      </c>
      <c r="F93" s="437" t="s">
        <v>20</v>
      </c>
      <c r="G93" s="282" t="s">
        <v>2210</v>
      </c>
      <c r="H93" s="282" t="s">
        <v>2211</v>
      </c>
      <c r="I93" s="275" t="s">
        <v>1686</v>
      </c>
      <c r="J93" s="283" t="s">
        <v>2212</v>
      </c>
      <c r="K93" s="283" t="s">
        <v>2213</v>
      </c>
    </row>
    <row r="94" spans="1:11" ht="16.5" thickBot="1">
      <c r="A94" s="264"/>
      <c r="B94" s="281"/>
      <c r="C94" s="281"/>
      <c r="D94" s="282" t="s">
        <v>2214</v>
      </c>
      <c r="E94" s="282" t="s">
        <v>2215</v>
      </c>
      <c r="F94" s="437" t="s">
        <v>20</v>
      </c>
      <c r="G94" s="282" t="s">
        <v>2216</v>
      </c>
      <c r="H94" s="282" t="s">
        <v>2217</v>
      </c>
      <c r="I94" s="276" t="s">
        <v>1730</v>
      </c>
      <c r="J94" s="283" t="s">
        <v>2218</v>
      </c>
      <c r="K94" s="283" t="s">
        <v>2219</v>
      </c>
    </row>
    <row r="95" spans="1:11" ht="16.5" thickBot="1">
      <c r="A95" s="264"/>
      <c r="B95" s="281"/>
      <c r="C95" s="281"/>
      <c r="D95" s="282" t="s">
        <v>2220</v>
      </c>
      <c r="E95" s="282" t="s">
        <v>2221</v>
      </c>
      <c r="F95" s="437" t="s">
        <v>229</v>
      </c>
      <c r="G95" s="282" t="s">
        <v>2222</v>
      </c>
      <c r="H95" s="282" t="s">
        <v>2067</v>
      </c>
      <c r="I95" s="276" t="s">
        <v>1730</v>
      </c>
      <c r="J95" s="283" t="s">
        <v>2223</v>
      </c>
      <c r="K95" s="283" t="s">
        <v>2224</v>
      </c>
    </row>
    <row r="96" spans="1:11" ht="16.5" thickBot="1">
      <c r="A96" s="264"/>
      <c r="B96" s="281"/>
      <c r="C96" s="281"/>
      <c r="D96" s="282" t="s">
        <v>2225</v>
      </c>
      <c r="E96" s="282" t="s">
        <v>2226</v>
      </c>
      <c r="F96" s="437" t="s">
        <v>229</v>
      </c>
      <c r="G96" s="282" t="s">
        <v>2072</v>
      </c>
      <c r="H96" s="282" t="s">
        <v>2227</v>
      </c>
      <c r="I96" s="275" t="s">
        <v>1686</v>
      </c>
      <c r="J96" s="283" t="s">
        <v>2228</v>
      </c>
      <c r="K96" s="283" t="s">
        <v>2229</v>
      </c>
    </row>
    <row r="97" spans="1:11" ht="16.5" thickBot="1">
      <c r="A97" s="264"/>
      <c r="B97" s="281"/>
      <c r="C97" s="281" t="s">
        <v>2230</v>
      </c>
      <c r="D97" s="282" t="s">
        <v>2231</v>
      </c>
      <c r="E97" s="282" t="s">
        <v>2232</v>
      </c>
      <c r="F97" s="437" t="s">
        <v>20</v>
      </c>
      <c r="G97" s="282" t="s">
        <v>2233</v>
      </c>
      <c r="H97" s="282" t="s">
        <v>2234</v>
      </c>
      <c r="I97" s="276" t="s">
        <v>1730</v>
      </c>
      <c r="J97" s="283" t="s">
        <v>2235</v>
      </c>
      <c r="K97" s="283" t="s">
        <v>2236</v>
      </c>
    </row>
    <row r="98" spans="1:11" ht="16.5" thickBot="1">
      <c r="A98" s="264"/>
      <c r="B98" s="281"/>
      <c r="C98" s="281"/>
      <c r="D98" s="282" t="s">
        <v>2237</v>
      </c>
      <c r="E98" s="282" t="s">
        <v>2238</v>
      </c>
      <c r="F98" s="437" t="s">
        <v>20</v>
      </c>
      <c r="G98" s="282" t="s">
        <v>2239</v>
      </c>
      <c r="H98" s="282" t="s">
        <v>2240</v>
      </c>
      <c r="I98" s="276" t="s">
        <v>1730</v>
      </c>
      <c r="J98" s="283" t="s">
        <v>2241</v>
      </c>
      <c r="K98" s="283" t="s">
        <v>2242</v>
      </c>
    </row>
    <row r="99" spans="1:11" ht="16.5" thickBot="1">
      <c r="A99" s="264"/>
      <c r="B99" s="281"/>
      <c r="C99" s="281"/>
      <c r="D99" s="282" t="s">
        <v>2243</v>
      </c>
      <c r="E99" s="282" t="s">
        <v>2244</v>
      </c>
      <c r="F99" s="437" t="s">
        <v>229</v>
      </c>
      <c r="G99" s="282" t="s">
        <v>2245</v>
      </c>
      <c r="H99" s="282" t="s">
        <v>2246</v>
      </c>
      <c r="I99" s="275" t="s">
        <v>1686</v>
      </c>
      <c r="J99" s="283" t="s">
        <v>2247</v>
      </c>
      <c r="K99" s="283" t="s">
        <v>2248</v>
      </c>
    </row>
    <row r="100" spans="1:11" ht="16.5" thickBot="1">
      <c r="A100" s="264"/>
      <c r="B100" s="281"/>
      <c r="C100" s="281"/>
      <c r="D100" s="282" t="s">
        <v>2249</v>
      </c>
      <c r="E100" s="282" t="s">
        <v>2250</v>
      </c>
      <c r="F100" s="437" t="s">
        <v>20</v>
      </c>
      <c r="G100" s="282" t="s">
        <v>2251</v>
      </c>
      <c r="H100" s="282" t="s">
        <v>2252</v>
      </c>
      <c r="I100" s="275" t="s">
        <v>1686</v>
      </c>
      <c r="J100" s="283" t="s">
        <v>2253</v>
      </c>
      <c r="K100" s="283" t="s">
        <v>2254</v>
      </c>
    </row>
    <row r="101" spans="1:11" ht="16.5" thickBot="1">
      <c r="A101" s="264"/>
      <c r="B101" s="281"/>
      <c r="C101" s="281"/>
      <c r="D101" s="282" t="s">
        <v>2255</v>
      </c>
      <c r="E101" s="284" t="s">
        <v>2256</v>
      </c>
      <c r="F101" s="437" t="s">
        <v>425</v>
      </c>
      <c r="G101" s="282" t="s">
        <v>2257</v>
      </c>
      <c r="H101" s="282" t="s">
        <v>2258</v>
      </c>
      <c r="I101" s="275" t="s">
        <v>1686</v>
      </c>
      <c r="J101" s="283" t="s">
        <v>1959</v>
      </c>
      <c r="K101" s="283" t="s">
        <v>2259</v>
      </c>
    </row>
    <row r="102" spans="1:11" ht="16.5" thickBot="1">
      <c r="A102" s="264"/>
      <c r="B102" s="285" t="s">
        <v>2260</v>
      </c>
      <c r="C102" s="285" t="s">
        <v>2261</v>
      </c>
      <c r="D102" s="286" t="s">
        <v>2262</v>
      </c>
      <c r="E102" s="286" t="s">
        <v>2263</v>
      </c>
      <c r="F102" s="438" t="s">
        <v>20</v>
      </c>
      <c r="G102" s="286" t="s">
        <v>2264</v>
      </c>
      <c r="H102" s="286" t="s">
        <v>2265</v>
      </c>
      <c r="I102" s="275" t="s">
        <v>1686</v>
      </c>
      <c r="J102" s="287" t="s">
        <v>2266</v>
      </c>
      <c r="K102" s="287" t="s">
        <v>2267</v>
      </c>
    </row>
    <row r="103" spans="1:11" ht="16.5" thickBot="1">
      <c r="A103" s="264"/>
      <c r="B103" s="285"/>
      <c r="C103" s="285"/>
      <c r="D103" s="286" t="s">
        <v>2268</v>
      </c>
      <c r="E103" s="286" t="s">
        <v>2269</v>
      </c>
      <c r="F103" s="438" t="s">
        <v>20</v>
      </c>
      <c r="G103" s="286" t="s">
        <v>2270</v>
      </c>
      <c r="H103" s="286" t="s">
        <v>2271</v>
      </c>
      <c r="I103" s="276" t="s">
        <v>1730</v>
      </c>
      <c r="J103" s="287" t="s">
        <v>2272</v>
      </c>
      <c r="K103" s="287" t="s">
        <v>2273</v>
      </c>
    </row>
    <row r="104" spans="1:11" ht="16.5" thickBot="1">
      <c r="A104" s="264"/>
      <c r="B104" s="285"/>
      <c r="C104" s="285"/>
      <c r="D104" s="286" t="s">
        <v>2152</v>
      </c>
      <c r="E104" s="286" t="s">
        <v>2153</v>
      </c>
      <c r="F104" s="438" t="s">
        <v>20</v>
      </c>
      <c r="G104" s="286" t="s">
        <v>2274</v>
      </c>
      <c r="H104" s="286" t="s">
        <v>2275</v>
      </c>
      <c r="I104" s="275" t="s">
        <v>1686</v>
      </c>
      <c r="J104" s="287" t="s">
        <v>2276</v>
      </c>
      <c r="K104" s="287" t="s">
        <v>2277</v>
      </c>
    </row>
    <row r="105" spans="1:11" ht="16.5" thickBot="1">
      <c r="A105" s="264"/>
      <c r="B105" s="285"/>
      <c r="C105" s="285"/>
      <c r="D105" s="286" t="s">
        <v>2158</v>
      </c>
      <c r="E105" s="286" t="s">
        <v>2159</v>
      </c>
      <c r="F105" s="438" t="s">
        <v>425</v>
      </c>
      <c r="G105" s="286" t="s">
        <v>2278</v>
      </c>
      <c r="H105" s="286" t="s">
        <v>2279</v>
      </c>
      <c r="I105" s="276" t="s">
        <v>1730</v>
      </c>
      <c r="J105" s="287" t="s">
        <v>2280</v>
      </c>
      <c r="K105" s="287" t="s">
        <v>2281</v>
      </c>
    </row>
    <row r="106" spans="1:11" ht="16.5" thickBot="1">
      <c r="A106" s="264"/>
      <c r="B106" s="285"/>
      <c r="C106" s="285"/>
      <c r="D106" s="286" t="s">
        <v>2164</v>
      </c>
      <c r="E106" s="286" t="s">
        <v>2165</v>
      </c>
      <c r="F106" s="438" t="s">
        <v>20</v>
      </c>
      <c r="G106" s="286" t="s">
        <v>2282</v>
      </c>
      <c r="H106" s="286" t="s">
        <v>2283</v>
      </c>
      <c r="I106" s="276" t="s">
        <v>1730</v>
      </c>
      <c r="J106" s="287" t="s">
        <v>2284</v>
      </c>
      <c r="K106" s="287" t="s">
        <v>2285</v>
      </c>
    </row>
    <row r="107" spans="1:11" ht="16.5" thickBot="1">
      <c r="A107" s="264"/>
      <c r="B107" s="285"/>
      <c r="C107" s="285" t="s">
        <v>2286</v>
      </c>
      <c r="D107" s="286" t="s">
        <v>2287</v>
      </c>
      <c r="E107" s="286" t="s">
        <v>2288</v>
      </c>
      <c r="F107" s="438" t="s">
        <v>20</v>
      </c>
      <c r="G107" s="286" t="s">
        <v>2289</v>
      </c>
      <c r="H107" s="286" t="s">
        <v>2290</v>
      </c>
      <c r="I107" s="275" t="s">
        <v>1686</v>
      </c>
      <c r="J107" s="287" t="s">
        <v>2291</v>
      </c>
      <c r="K107" s="287" t="s">
        <v>2292</v>
      </c>
    </row>
    <row r="108" spans="1:11" ht="16.5" thickBot="1">
      <c r="A108" s="264"/>
      <c r="B108" s="285"/>
      <c r="C108" s="285"/>
      <c r="D108" s="286" t="s">
        <v>2293</v>
      </c>
      <c r="E108" s="286" t="s">
        <v>2294</v>
      </c>
      <c r="F108" s="438" t="s">
        <v>20</v>
      </c>
      <c r="G108" s="286" t="s">
        <v>2295</v>
      </c>
      <c r="H108" s="286" t="s">
        <v>2296</v>
      </c>
      <c r="I108" s="276" t="s">
        <v>1730</v>
      </c>
      <c r="J108" s="287" t="s">
        <v>2297</v>
      </c>
      <c r="K108" s="287" t="s">
        <v>2298</v>
      </c>
    </row>
    <row r="109" spans="1:11" ht="16.5" thickBot="1">
      <c r="A109" s="264"/>
      <c r="B109" s="285"/>
      <c r="C109" s="285"/>
      <c r="D109" s="286" t="s">
        <v>2299</v>
      </c>
      <c r="E109" s="286" t="s">
        <v>2300</v>
      </c>
      <c r="F109" s="438" t="s">
        <v>20</v>
      </c>
      <c r="G109" s="286" t="s">
        <v>2301</v>
      </c>
      <c r="H109" s="286" t="s">
        <v>2302</v>
      </c>
      <c r="I109" s="276" t="s">
        <v>1730</v>
      </c>
      <c r="J109" s="287" t="s">
        <v>2303</v>
      </c>
      <c r="K109" s="287" t="s">
        <v>2304</v>
      </c>
    </row>
    <row r="110" spans="1:11" ht="16.5" thickBot="1">
      <c r="A110" s="264"/>
      <c r="B110" s="285"/>
      <c r="C110" s="285"/>
      <c r="D110" s="286" t="s">
        <v>2305</v>
      </c>
      <c r="E110" s="286" t="s">
        <v>2306</v>
      </c>
      <c r="F110" s="438" t="s">
        <v>20</v>
      </c>
      <c r="G110" s="286" t="s">
        <v>2307</v>
      </c>
      <c r="H110" s="286" t="s">
        <v>2308</v>
      </c>
      <c r="I110" s="275" t="s">
        <v>1686</v>
      </c>
      <c r="J110" s="287" t="s">
        <v>2309</v>
      </c>
      <c r="K110" s="287" t="s">
        <v>2310</v>
      </c>
    </row>
    <row r="111" spans="1:11" ht="16.5" thickBot="1">
      <c r="A111" s="264"/>
      <c r="B111" s="285"/>
      <c r="C111" s="285"/>
      <c r="D111" s="286" t="s">
        <v>2311</v>
      </c>
      <c r="E111" s="286" t="s">
        <v>2312</v>
      </c>
      <c r="F111" s="438" t="s">
        <v>20</v>
      </c>
      <c r="G111" s="286" t="s">
        <v>2313</v>
      </c>
      <c r="H111" s="286" t="s">
        <v>2314</v>
      </c>
      <c r="I111" s="276" t="s">
        <v>1730</v>
      </c>
      <c r="J111" s="287" t="s">
        <v>2315</v>
      </c>
      <c r="K111" s="287" t="s">
        <v>2316</v>
      </c>
    </row>
    <row r="112" spans="1:11" ht="16.5" thickBot="1">
      <c r="A112" s="264"/>
      <c r="B112" s="285"/>
      <c r="C112" s="285" t="s">
        <v>2317</v>
      </c>
      <c r="D112" s="286" t="s">
        <v>2318</v>
      </c>
      <c r="E112" s="286" t="s">
        <v>2319</v>
      </c>
      <c r="F112" s="438" t="s">
        <v>425</v>
      </c>
      <c r="G112" s="286" t="s">
        <v>2320</v>
      </c>
      <c r="H112" s="286" t="s">
        <v>2321</v>
      </c>
      <c r="I112" s="276" t="s">
        <v>1730</v>
      </c>
      <c r="J112" s="287" t="s">
        <v>2322</v>
      </c>
      <c r="K112" s="287" t="s">
        <v>2323</v>
      </c>
    </row>
    <row r="113" spans="1:11" ht="16.5" thickBot="1">
      <c r="A113" s="264"/>
      <c r="B113" s="285"/>
      <c r="C113" s="285"/>
      <c r="D113" s="286" t="s">
        <v>2324</v>
      </c>
      <c r="E113" s="286" t="s">
        <v>2325</v>
      </c>
      <c r="F113" s="438" t="s">
        <v>425</v>
      </c>
      <c r="G113" s="286" t="s">
        <v>2326</v>
      </c>
      <c r="H113" s="286" t="s">
        <v>2327</v>
      </c>
      <c r="I113" s="275" t="s">
        <v>1686</v>
      </c>
      <c r="J113" s="287" t="s">
        <v>2328</v>
      </c>
      <c r="K113" s="287" t="s">
        <v>2329</v>
      </c>
    </row>
    <row r="114" spans="1:11" ht="16.5" thickBot="1">
      <c r="A114" s="264"/>
      <c r="B114" s="285"/>
      <c r="C114" s="285"/>
      <c r="D114" s="286" t="s">
        <v>2330</v>
      </c>
      <c r="E114" s="286" t="s">
        <v>2331</v>
      </c>
      <c r="F114" s="438" t="s">
        <v>20</v>
      </c>
      <c r="G114" s="286" t="s">
        <v>2332</v>
      </c>
      <c r="H114" s="286" t="s">
        <v>2333</v>
      </c>
      <c r="I114" s="276" t="s">
        <v>1730</v>
      </c>
      <c r="J114" s="287" t="s">
        <v>2334</v>
      </c>
      <c r="K114" s="287" t="s">
        <v>2335</v>
      </c>
    </row>
    <row r="115" spans="1:11" ht="16.5" thickBot="1">
      <c r="A115" s="264"/>
      <c r="B115" s="285"/>
      <c r="C115" s="285"/>
      <c r="D115" s="286" t="s">
        <v>2336</v>
      </c>
      <c r="E115" s="286" t="s">
        <v>2337</v>
      </c>
      <c r="F115" s="438" t="s">
        <v>425</v>
      </c>
      <c r="G115" s="286" t="s">
        <v>2129</v>
      </c>
      <c r="H115" s="286" t="s">
        <v>2338</v>
      </c>
      <c r="I115" s="276" t="s">
        <v>1730</v>
      </c>
      <c r="J115" s="287" t="s">
        <v>2339</v>
      </c>
      <c r="K115" s="287" t="s">
        <v>2340</v>
      </c>
    </row>
    <row r="116" spans="1:11" ht="16.5" thickBot="1">
      <c r="A116" s="264"/>
      <c r="B116" s="285"/>
      <c r="C116" s="285"/>
      <c r="D116" s="286" t="s">
        <v>2341</v>
      </c>
      <c r="E116" s="286" t="s">
        <v>2342</v>
      </c>
      <c r="F116" s="438" t="s">
        <v>20</v>
      </c>
      <c r="G116" s="286" t="s">
        <v>2343</v>
      </c>
      <c r="H116" s="286" t="s">
        <v>2344</v>
      </c>
      <c r="I116" s="275" t="s">
        <v>1686</v>
      </c>
      <c r="J116" s="287" t="s">
        <v>2345</v>
      </c>
      <c r="K116" s="287" t="s">
        <v>2346</v>
      </c>
    </row>
    <row r="117" spans="1:11" ht="16.5" thickBot="1">
      <c r="A117" s="264"/>
      <c r="B117" s="285"/>
      <c r="C117" s="285" t="s">
        <v>2347</v>
      </c>
      <c r="D117" s="286" t="s">
        <v>2348</v>
      </c>
      <c r="E117" s="286" t="s">
        <v>2349</v>
      </c>
      <c r="F117" s="438" t="s">
        <v>20</v>
      </c>
      <c r="G117" s="286" t="s">
        <v>2350</v>
      </c>
      <c r="H117" s="286" t="s">
        <v>2351</v>
      </c>
      <c r="I117" s="275" t="s">
        <v>1686</v>
      </c>
      <c r="J117" s="287" t="s">
        <v>2352</v>
      </c>
      <c r="K117" s="287" t="s">
        <v>2353</v>
      </c>
    </row>
    <row r="118" spans="1:11" ht="16.5" thickBot="1">
      <c r="A118" s="264"/>
      <c r="B118" s="285"/>
      <c r="C118" s="285"/>
      <c r="D118" s="286" t="s">
        <v>2354</v>
      </c>
      <c r="E118" s="286" t="s">
        <v>2355</v>
      </c>
      <c r="F118" s="438" t="s">
        <v>20</v>
      </c>
      <c r="G118" s="286" t="s">
        <v>2356</v>
      </c>
      <c r="H118" s="286" t="s">
        <v>2357</v>
      </c>
      <c r="I118" s="275" t="s">
        <v>1686</v>
      </c>
      <c r="J118" s="287" t="s">
        <v>2358</v>
      </c>
      <c r="K118" s="287" t="s">
        <v>2359</v>
      </c>
    </row>
    <row r="119" spans="1:11" ht="16.5" thickBot="1">
      <c r="A119" s="264"/>
      <c r="B119" s="285"/>
      <c r="C119" s="285"/>
      <c r="D119" s="286" t="s">
        <v>2360</v>
      </c>
      <c r="E119" s="286" t="s">
        <v>2361</v>
      </c>
      <c r="F119" s="438" t="s">
        <v>20</v>
      </c>
      <c r="G119" s="286" t="s">
        <v>2362</v>
      </c>
      <c r="H119" s="286" t="s">
        <v>2363</v>
      </c>
      <c r="I119" s="276" t="s">
        <v>1730</v>
      </c>
      <c r="J119" s="287" t="s">
        <v>2364</v>
      </c>
      <c r="K119" s="287" t="s">
        <v>2365</v>
      </c>
    </row>
    <row r="120" spans="1:11" ht="16.5" thickBot="1">
      <c r="A120" s="264"/>
      <c r="B120" s="285"/>
      <c r="C120" s="285"/>
      <c r="D120" s="286" t="s">
        <v>2366</v>
      </c>
      <c r="E120" s="286" t="s">
        <v>2367</v>
      </c>
      <c r="F120" s="438" t="s">
        <v>20</v>
      </c>
      <c r="G120" s="286" t="s">
        <v>2368</v>
      </c>
      <c r="H120" s="286" t="s">
        <v>2369</v>
      </c>
      <c r="I120" s="276" t="s">
        <v>1730</v>
      </c>
      <c r="J120" s="287" t="s">
        <v>2370</v>
      </c>
      <c r="K120" s="287" t="s">
        <v>2371</v>
      </c>
    </row>
    <row r="121" spans="1:11" ht="16.5" thickBot="1">
      <c r="A121" s="264"/>
      <c r="B121" s="285"/>
      <c r="C121" s="285"/>
      <c r="D121" s="286" t="s">
        <v>2311</v>
      </c>
      <c r="E121" s="286" t="s">
        <v>2312</v>
      </c>
      <c r="F121" s="438" t="s">
        <v>425</v>
      </c>
      <c r="G121" s="286" t="s">
        <v>2372</v>
      </c>
      <c r="H121" s="286" t="s">
        <v>2373</v>
      </c>
      <c r="I121" s="276" t="s">
        <v>1730</v>
      </c>
      <c r="J121" s="287" t="s">
        <v>2374</v>
      </c>
      <c r="K121" s="287" t="s">
        <v>2375</v>
      </c>
    </row>
    <row r="122" spans="1:11" ht="16.5" thickBot="1">
      <c r="A122" s="264"/>
      <c r="B122" s="285"/>
      <c r="C122" s="285" t="s">
        <v>2376</v>
      </c>
      <c r="D122" s="286" t="s">
        <v>2377</v>
      </c>
      <c r="E122" s="286" t="s">
        <v>2378</v>
      </c>
      <c r="F122" s="438" t="s">
        <v>20</v>
      </c>
      <c r="G122" s="286" t="s">
        <v>2379</v>
      </c>
      <c r="H122" s="286" t="s">
        <v>2380</v>
      </c>
      <c r="I122" s="275" t="s">
        <v>1686</v>
      </c>
      <c r="J122" s="287" t="s">
        <v>2381</v>
      </c>
      <c r="K122" s="287" t="s">
        <v>2382</v>
      </c>
    </row>
    <row r="123" spans="1:11" ht="16.5" thickBot="1">
      <c r="A123" s="264"/>
      <c r="B123" s="285"/>
      <c r="C123" s="285"/>
      <c r="D123" s="286" t="s">
        <v>2383</v>
      </c>
      <c r="E123" s="286" t="s">
        <v>2384</v>
      </c>
      <c r="F123" s="438" t="s">
        <v>20</v>
      </c>
      <c r="G123" s="286" t="s">
        <v>2385</v>
      </c>
      <c r="H123" s="286" t="s">
        <v>2386</v>
      </c>
      <c r="I123" s="276" t="s">
        <v>1730</v>
      </c>
      <c r="J123" s="287" t="s">
        <v>2387</v>
      </c>
      <c r="K123" s="287" t="s">
        <v>2388</v>
      </c>
    </row>
    <row r="124" spans="1:11" ht="16.5" thickBot="1">
      <c r="A124" s="264"/>
      <c r="B124" s="285"/>
      <c r="C124" s="285"/>
      <c r="D124" s="286" t="s">
        <v>2389</v>
      </c>
      <c r="E124" s="286" t="s">
        <v>2390</v>
      </c>
      <c r="F124" s="438" t="s">
        <v>20</v>
      </c>
      <c r="G124" s="286" t="s">
        <v>2391</v>
      </c>
      <c r="H124" s="286" t="s">
        <v>2392</v>
      </c>
      <c r="I124" s="275" t="s">
        <v>1686</v>
      </c>
      <c r="J124" s="287" t="s">
        <v>2393</v>
      </c>
      <c r="K124" s="287" t="s">
        <v>2394</v>
      </c>
    </row>
    <row r="125" spans="1:11" ht="16.5" thickBot="1">
      <c r="A125" s="264"/>
      <c r="B125" s="285"/>
      <c r="C125" s="285"/>
      <c r="D125" s="286" t="s">
        <v>2395</v>
      </c>
      <c r="E125" s="286" t="s">
        <v>2396</v>
      </c>
      <c r="F125" s="438" t="s">
        <v>20</v>
      </c>
      <c r="G125" s="286" t="s">
        <v>2397</v>
      </c>
      <c r="H125" s="286" t="s">
        <v>2398</v>
      </c>
      <c r="I125" s="275" t="s">
        <v>1686</v>
      </c>
      <c r="J125" s="287" t="s">
        <v>2399</v>
      </c>
      <c r="K125" s="287" t="s">
        <v>2400</v>
      </c>
    </row>
    <row r="126" spans="1:11" ht="16.5" thickBot="1">
      <c r="A126" s="264"/>
      <c r="B126" s="285"/>
      <c r="C126" s="285"/>
      <c r="D126" s="286" t="s">
        <v>2401</v>
      </c>
      <c r="E126" s="286" t="s">
        <v>2402</v>
      </c>
      <c r="F126" s="438" t="s">
        <v>425</v>
      </c>
      <c r="G126" s="286" t="s">
        <v>2403</v>
      </c>
      <c r="H126" s="286" t="s">
        <v>2404</v>
      </c>
      <c r="I126" s="275" t="s">
        <v>1686</v>
      </c>
      <c r="J126" s="287" t="s">
        <v>2405</v>
      </c>
      <c r="K126" s="287" t="s">
        <v>2406</v>
      </c>
    </row>
    <row r="127" spans="1:11" ht="16.5" thickBot="1">
      <c r="A127" s="264"/>
      <c r="B127" s="265" t="s">
        <v>2407</v>
      </c>
      <c r="C127" s="265" t="s">
        <v>2408</v>
      </c>
      <c r="D127" s="267" t="s">
        <v>2409</v>
      </c>
      <c r="E127" s="267" t="s">
        <v>2410</v>
      </c>
      <c r="F127" s="434" t="s">
        <v>20</v>
      </c>
      <c r="G127" s="267" t="s">
        <v>2411</v>
      </c>
      <c r="H127" s="267" t="s">
        <v>2412</v>
      </c>
      <c r="I127" s="276" t="s">
        <v>1730</v>
      </c>
      <c r="J127" s="269" t="s">
        <v>2413</v>
      </c>
      <c r="K127" s="269" t="s">
        <v>2414</v>
      </c>
    </row>
    <row r="128" spans="1:11" ht="16.5" thickBot="1">
      <c r="A128" s="264"/>
      <c r="B128" s="265"/>
      <c r="C128" s="265"/>
      <c r="D128" s="267" t="s">
        <v>2415</v>
      </c>
      <c r="E128" s="267" t="s">
        <v>2416</v>
      </c>
      <c r="F128" s="434" t="s">
        <v>20</v>
      </c>
      <c r="G128" s="267" t="s">
        <v>2417</v>
      </c>
      <c r="H128" s="267" t="s">
        <v>2418</v>
      </c>
      <c r="I128" s="276" t="s">
        <v>1730</v>
      </c>
      <c r="J128" s="269" t="s">
        <v>2419</v>
      </c>
      <c r="K128" s="269" t="s">
        <v>2420</v>
      </c>
    </row>
    <row r="129" spans="1:11" ht="16.5" thickBot="1">
      <c r="A129" s="264"/>
      <c r="B129" s="265"/>
      <c r="C129" s="265"/>
      <c r="D129" s="267" t="s">
        <v>2421</v>
      </c>
      <c r="E129" s="267" t="s">
        <v>2422</v>
      </c>
      <c r="F129" s="434" t="s">
        <v>20</v>
      </c>
      <c r="G129" s="267" t="s">
        <v>2423</v>
      </c>
      <c r="H129" s="267" t="s">
        <v>2424</v>
      </c>
      <c r="I129" s="276" t="s">
        <v>1730</v>
      </c>
      <c r="J129" s="269" t="s">
        <v>2425</v>
      </c>
      <c r="K129" s="269" t="s">
        <v>2426</v>
      </c>
    </row>
    <row r="130" spans="1:11" ht="16.5" thickBot="1">
      <c r="A130" s="264"/>
      <c r="B130" s="265"/>
      <c r="C130" s="265"/>
      <c r="D130" s="267" t="s">
        <v>2427</v>
      </c>
      <c r="E130" s="267" t="s">
        <v>2428</v>
      </c>
      <c r="F130" s="434" t="s">
        <v>425</v>
      </c>
      <c r="G130" s="267" t="s">
        <v>2429</v>
      </c>
      <c r="H130" s="267" t="s">
        <v>2430</v>
      </c>
      <c r="I130" s="275" t="s">
        <v>1686</v>
      </c>
      <c r="J130" s="269" t="s">
        <v>2431</v>
      </c>
      <c r="K130" s="269" t="s">
        <v>2432</v>
      </c>
    </row>
    <row r="131" spans="1:11" ht="16.5" thickBot="1">
      <c r="A131" s="264"/>
      <c r="B131" s="265"/>
      <c r="C131" s="265"/>
      <c r="D131" s="267" t="s">
        <v>2433</v>
      </c>
      <c r="E131" s="267" t="s">
        <v>2434</v>
      </c>
      <c r="F131" s="434" t="s">
        <v>20</v>
      </c>
      <c r="G131" s="267" t="s">
        <v>2435</v>
      </c>
      <c r="H131" s="267" t="s">
        <v>2436</v>
      </c>
      <c r="I131" s="275" t="s">
        <v>1686</v>
      </c>
      <c r="J131" s="269" t="s">
        <v>2437</v>
      </c>
      <c r="K131" s="269" t="s">
        <v>2438</v>
      </c>
    </row>
    <row r="132" spans="1:11" ht="16.5" thickBot="1">
      <c r="A132" s="264"/>
      <c r="B132" s="265"/>
      <c r="C132" s="265" t="s">
        <v>2439</v>
      </c>
      <c r="D132" s="267" t="s">
        <v>2440</v>
      </c>
      <c r="E132" s="267" t="s">
        <v>2441</v>
      </c>
      <c r="F132" s="434" t="s">
        <v>20</v>
      </c>
      <c r="G132" s="267" t="s">
        <v>2442</v>
      </c>
      <c r="H132" s="267" t="s">
        <v>2443</v>
      </c>
      <c r="I132" s="275" t="s">
        <v>1686</v>
      </c>
      <c r="J132" s="269" t="s">
        <v>2444</v>
      </c>
      <c r="K132" s="269" t="s">
        <v>2445</v>
      </c>
    </row>
    <row r="133" spans="1:11" ht="16.5" thickBot="1">
      <c r="A133" s="264"/>
      <c r="B133" s="265"/>
      <c r="C133" s="265"/>
      <c r="D133" s="267" t="s">
        <v>2446</v>
      </c>
      <c r="E133" s="267" t="s">
        <v>2447</v>
      </c>
      <c r="F133" s="434" t="s">
        <v>20</v>
      </c>
      <c r="G133" s="267" t="s">
        <v>2448</v>
      </c>
      <c r="H133" s="267" t="s">
        <v>2265</v>
      </c>
      <c r="I133" s="275" t="s">
        <v>1686</v>
      </c>
      <c r="J133" s="269" t="s">
        <v>2449</v>
      </c>
      <c r="K133" s="269" t="s">
        <v>2450</v>
      </c>
    </row>
    <row r="134" spans="1:11" ht="16.5" thickBot="1">
      <c r="A134" s="264"/>
      <c r="B134" s="265"/>
      <c r="C134" s="265"/>
      <c r="D134" s="267" t="s">
        <v>2451</v>
      </c>
      <c r="E134" s="267" t="s">
        <v>2452</v>
      </c>
      <c r="F134" s="434" t="s">
        <v>425</v>
      </c>
      <c r="G134" s="267" t="s">
        <v>2453</v>
      </c>
      <c r="H134" s="267" t="s">
        <v>2271</v>
      </c>
      <c r="I134" s="276" t="s">
        <v>1730</v>
      </c>
      <c r="J134" s="269" t="s">
        <v>2454</v>
      </c>
      <c r="K134" s="269" t="s">
        <v>2455</v>
      </c>
    </row>
    <row r="135" spans="1:11" ht="16.5" thickBot="1">
      <c r="A135" s="264"/>
      <c r="B135" s="265"/>
      <c r="C135" s="265"/>
      <c r="D135" s="267" t="s">
        <v>2433</v>
      </c>
      <c r="E135" s="266" t="s">
        <v>2456</v>
      </c>
      <c r="F135" s="434" t="s">
        <v>20</v>
      </c>
      <c r="G135" s="267" t="s">
        <v>2457</v>
      </c>
      <c r="H135" s="267" t="s">
        <v>2275</v>
      </c>
      <c r="I135" s="275" t="s">
        <v>1686</v>
      </c>
      <c r="J135" s="269" t="s">
        <v>2458</v>
      </c>
      <c r="K135" s="269" t="s">
        <v>2459</v>
      </c>
    </row>
    <row r="136" spans="1:11" ht="16.5" thickBot="1">
      <c r="A136" s="264"/>
      <c r="B136" s="265"/>
      <c r="C136" s="265"/>
      <c r="D136" s="267" t="s">
        <v>2460</v>
      </c>
      <c r="E136" s="267" t="s">
        <v>2461</v>
      </c>
      <c r="F136" s="434" t="s">
        <v>20</v>
      </c>
      <c r="G136" s="267" t="s">
        <v>2462</v>
      </c>
      <c r="H136" s="267" t="s">
        <v>2279</v>
      </c>
      <c r="I136" s="276" t="s">
        <v>1730</v>
      </c>
      <c r="J136" s="269" t="s">
        <v>2463</v>
      </c>
      <c r="K136" s="269" t="s">
        <v>2464</v>
      </c>
    </row>
    <row r="137" spans="1:11" ht="16.5" thickBot="1">
      <c r="A137" s="264"/>
      <c r="B137" s="265"/>
      <c r="C137" s="265" t="s">
        <v>2465</v>
      </c>
      <c r="D137" s="267" t="s">
        <v>2466</v>
      </c>
      <c r="E137" s="267" t="s">
        <v>2467</v>
      </c>
      <c r="F137" s="434" t="s">
        <v>20</v>
      </c>
      <c r="G137" s="267" t="s">
        <v>2468</v>
      </c>
      <c r="H137" s="267" t="s">
        <v>2283</v>
      </c>
      <c r="I137" s="276" t="s">
        <v>1730</v>
      </c>
      <c r="J137" s="269" t="s">
        <v>2469</v>
      </c>
      <c r="K137" s="269" t="s">
        <v>2470</v>
      </c>
    </row>
    <row r="138" spans="1:11" ht="16.5" thickBot="1">
      <c r="A138" s="264"/>
      <c r="B138" s="265"/>
      <c r="C138" s="265"/>
      <c r="D138" s="267" t="s">
        <v>2471</v>
      </c>
      <c r="E138" s="267" t="s">
        <v>2472</v>
      </c>
      <c r="F138" s="434" t="s">
        <v>20</v>
      </c>
      <c r="G138" s="267" t="s">
        <v>2473</v>
      </c>
      <c r="H138" s="267" t="s">
        <v>2290</v>
      </c>
      <c r="I138" s="275" t="s">
        <v>1686</v>
      </c>
      <c r="J138" s="269" t="s">
        <v>2474</v>
      </c>
      <c r="K138" s="269" t="s">
        <v>2475</v>
      </c>
    </row>
    <row r="139" spans="1:11" ht="16.5" thickBot="1">
      <c r="A139" s="264"/>
      <c r="B139" s="265"/>
      <c r="C139" s="265"/>
      <c r="D139" s="267" t="s">
        <v>2476</v>
      </c>
      <c r="E139" s="267" t="s">
        <v>2477</v>
      </c>
      <c r="F139" s="434" t="s">
        <v>20</v>
      </c>
      <c r="G139" s="267" t="s">
        <v>2478</v>
      </c>
      <c r="H139" s="267" t="s">
        <v>2479</v>
      </c>
      <c r="I139" s="276" t="s">
        <v>1730</v>
      </c>
      <c r="J139" s="269" t="s">
        <v>2480</v>
      </c>
      <c r="K139" s="269" t="s">
        <v>2481</v>
      </c>
    </row>
    <row r="140" spans="1:11" ht="16.5" thickBot="1">
      <c r="A140" s="264"/>
      <c r="B140" s="265"/>
      <c r="C140" s="265"/>
      <c r="D140" s="267" t="s">
        <v>2433</v>
      </c>
      <c r="E140" s="266" t="s">
        <v>2456</v>
      </c>
      <c r="F140" s="434" t="s">
        <v>20</v>
      </c>
      <c r="G140" s="267" t="s">
        <v>2482</v>
      </c>
      <c r="H140" s="267" t="s">
        <v>2302</v>
      </c>
      <c r="I140" s="276" t="s">
        <v>1730</v>
      </c>
      <c r="J140" s="269" t="s">
        <v>2483</v>
      </c>
      <c r="K140" s="269" t="s">
        <v>2484</v>
      </c>
    </row>
    <row r="141" spans="1:11" ht="16.5" thickBot="1">
      <c r="A141" s="264"/>
      <c r="B141" s="265"/>
      <c r="C141" s="265"/>
      <c r="D141" s="267" t="s">
        <v>2460</v>
      </c>
      <c r="E141" s="267" t="s">
        <v>2485</v>
      </c>
      <c r="F141" s="434" t="s">
        <v>20</v>
      </c>
      <c r="G141" s="267" t="s">
        <v>2486</v>
      </c>
      <c r="H141" s="267" t="s">
        <v>2308</v>
      </c>
      <c r="I141" s="275" t="s">
        <v>1686</v>
      </c>
      <c r="J141" s="269" t="s">
        <v>2309</v>
      </c>
      <c r="K141" s="269" t="s">
        <v>2487</v>
      </c>
    </row>
    <row r="142" spans="1:11" ht="16.5" thickBot="1">
      <c r="A142" s="264"/>
      <c r="B142" s="265"/>
      <c r="C142" s="265" t="s">
        <v>2488</v>
      </c>
      <c r="D142" s="267" t="s">
        <v>2489</v>
      </c>
      <c r="E142" s="267" t="s">
        <v>2490</v>
      </c>
      <c r="F142" s="434" t="s">
        <v>20</v>
      </c>
      <c r="G142" s="267" t="s">
        <v>2491</v>
      </c>
      <c r="H142" s="267" t="s">
        <v>2314</v>
      </c>
      <c r="I142" s="276" t="s">
        <v>1730</v>
      </c>
      <c r="J142" s="269" t="s">
        <v>2492</v>
      </c>
      <c r="K142" s="269" t="s">
        <v>2493</v>
      </c>
    </row>
    <row r="143" spans="1:11" ht="16.5" thickBot="1">
      <c r="A143" s="264"/>
      <c r="B143" s="265"/>
      <c r="C143" s="265"/>
      <c r="D143" s="267" t="s">
        <v>2494</v>
      </c>
      <c r="E143" s="267" t="s">
        <v>2495</v>
      </c>
      <c r="F143" s="434" t="s">
        <v>20</v>
      </c>
      <c r="G143" s="267" t="s">
        <v>2496</v>
      </c>
      <c r="H143" s="267" t="s">
        <v>2321</v>
      </c>
      <c r="I143" s="276" t="s">
        <v>1730</v>
      </c>
      <c r="J143" s="269" t="s">
        <v>2497</v>
      </c>
      <c r="K143" s="269" t="s">
        <v>2498</v>
      </c>
    </row>
    <row r="144" spans="1:11" ht="32.25" thickBot="1">
      <c r="A144" s="264"/>
      <c r="B144" s="265"/>
      <c r="C144" s="265"/>
      <c r="D144" s="267" t="s">
        <v>2499</v>
      </c>
      <c r="E144" s="267" t="s">
        <v>2500</v>
      </c>
      <c r="F144" s="434" t="s">
        <v>20</v>
      </c>
      <c r="G144" s="267" t="s">
        <v>2264</v>
      </c>
      <c r="H144" s="267" t="s">
        <v>2327</v>
      </c>
      <c r="I144" s="275" t="s">
        <v>1686</v>
      </c>
      <c r="J144" s="269" t="s">
        <v>2501</v>
      </c>
      <c r="K144" s="269" t="s">
        <v>2502</v>
      </c>
    </row>
    <row r="145" spans="1:11" ht="16.5" thickBot="1">
      <c r="A145" s="264"/>
      <c r="B145" s="265"/>
      <c r="C145" s="265"/>
      <c r="D145" s="267" t="s">
        <v>2503</v>
      </c>
      <c r="E145" s="267" t="s">
        <v>2504</v>
      </c>
      <c r="F145" s="434" t="s">
        <v>20</v>
      </c>
      <c r="G145" s="267" t="s">
        <v>2270</v>
      </c>
      <c r="H145" s="267" t="s">
        <v>2333</v>
      </c>
      <c r="I145" s="276" t="s">
        <v>1730</v>
      </c>
      <c r="J145" s="269" t="s">
        <v>2505</v>
      </c>
      <c r="K145" s="269" t="s">
        <v>2506</v>
      </c>
    </row>
    <row r="146" spans="1:11" ht="16.5" thickBot="1">
      <c r="A146" s="264"/>
      <c r="B146" s="265"/>
      <c r="C146" s="265"/>
      <c r="D146" s="267" t="s">
        <v>2507</v>
      </c>
      <c r="E146" s="267" t="s">
        <v>2508</v>
      </c>
      <c r="F146" s="434" t="s">
        <v>20</v>
      </c>
      <c r="G146" s="267" t="s">
        <v>2274</v>
      </c>
      <c r="H146" s="267" t="s">
        <v>2338</v>
      </c>
      <c r="I146" s="276" t="s">
        <v>1730</v>
      </c>
      <c r="J146" s="269" t="s">
        <v>2509</v>
      </c>
      <c r="K146" s="269" t="s">
        <v>2510</v>
      </c>
    </row>
    <row r="147" spans="1:11" ht="16.5" thickBot="1">
      <c r="A147" s="264"/>
      <c r="B147" s="265"/>
      <c r="C147" s="265" t="s">
        <v>2511</v>
      </c>
      <c r="D147" s="267" t="s">
        <v>2512</v>
      </c>
      <c r="E147" s="267" t="s">
        <v>2513</v>
      </c>
      <c r="F147" s="434" t="s">
        <v>20</v>
      </c>
      <c r="G147" s="267" t="s">
        <v>2278</v>
      </c>
      <c r="H147" s="267" t="s">
        <v>2514</v>
      </c>
      <c r="I147" s="275" t="s">
        <v>1686</v>
      </c>
      <c r="J147" s="269" t="s">
        <v>2515</v>
      </c>
      <c r="K147" s="269" t="s">
        <v>2516</v>
      </c>
    </row>
    <row r="148" spans="1:11" ht="16.5" thickBot="1">
      <c r="A148" s="264"/>
      <c r="B148" s="265"/>
      <c r="C148" s="265"/>
      <c r="D148" s="267" t="s">
        <v>2517</v>
      </c>
      <c r="E148" s="267" t="s">
        <v>2518</v>
      </c>
      <c r="F148" s="434" t="s">
        <v>425</v>
      </c>
      <c r="G148" s="267" t="s">
        <v>2282</v>
      </c>
      <c r="H148" s="267" t="s">
        <v>2351</v>
      </c>
      <c r="I148" s="275" t="s">
        <v>1686</v>
      </c>
      <c r="J148" s="269" t="s">
        <v>2519</v>
      </c>
      <c r="K148" s="269" t="s">
        <v>2520</v>
      </c>
    </row>
    <row r="149" spans="1:11" ht="16.5" thickBot="1">
      <c r="A149" s="264"/>
      <c r="B149" s="265"/>
      <c r="C149" s="265"/>
      <c r="D149" s="267" t="s">
        <v>2503</v>
      </c>
      <c r="E149" s="267" t="s">
        <v>2504</v>
      </c>
      <c r="F149" s="434" t="s">
        <v>20</v>
      </c>
      <c r="G149" s="267" t="s">
        <v>2289</v>
      </c>
      <c r="H149" s="267" t="s">
        <v>2357</v>
      </c>
      <c r="I149" s="275" t="s">
        <v>1686</v>
      </c>
      <c r="J149" s="269" t="s">
        <v>2358</v>
      </c>
      <c r="K149" s="269" t="s">
        <v>2521</v>
      </c>
    </row>
    <row r="150" spans="1:11" ht="16.5" thickBot="1">
      <c r="A150" s="264"/>
      <c r="B150" s="265"/>
      <c r="C150" s="265"/>
      <c r="D150" s="267" t="s">
        <v>2507</v>
      </c>
      <c r="E150" s="267" t="s">
        <v>2508</v>
      </c>
      <c r="F150" s="434" t="s">
        <v>20</v>
      </c>
      <c r="G150" s="267" t="s">
        <v>2295</v>
      </c>
      <c r="H150" s="267" t="s">
        <v>2363</v>
      </c>
      <c r="I150" s="276" t="s">
        <v>1730</v>
      </c>
      <c r="J150" s="269" t="s">
        <v>2522</v>
      </c>
      <c r="K150" s="269" t="s">
        <v>2523</v>
      </c>
    </row>
    <row r="151" spans="1:11" ht="16.5" thickBot="1">
      <c r="A151" s="264"/>
      <c r="B151" s="265"/>
      <c r="C151" s="265"/>
      <c r="D151" s="267" t="s">
        <v>2524</v>
      </c>
      <c r="E151" s="267" t="s">
        <v>2525</v>
      </c>
      <c r="F151" s="434" t="s">
        <v>20</v>
      </c>
      <c r="G151" s="267" t="s">
        <v>2301</v>
      </c>
      <c r="H151" s="267" t="s">
        <v>2369</v>
      </c>
      <c r="I151" s="276" t="s">
        <v>1730</v>
      </c>
      <c r="J151" s="269" t="s">
        <v>2526</v>
      </c>
      <c r="K151" s="269" t="s">
        <v>2527</v>
      </c>
    </row>
  </sheetData>
  <mergeCells count="37">
    <mergeCell ref="B127:B151"/>
    <mergeCell ref="C127:C131"/>
    <mergeCell ref="C132:C136"/>
    <mergeCell ref="C137:C141"/>
    <mergeCell ref="C142:C146"/>
    <mergeCell ref="C147:C151"/>
    <mergeCell ref="B102:B126"/>
    <mergeCell ref="C102:C106"/>
    <mergeCell ref="C107:C111"/>
    <mergeCell ref="C112:C116"/>
    <mergeCell ref="C117:C121"/>
    <mergeCell ref="C122:C126"/>
    <mergeCell ref="B77:B101"/>
    <mergeCell ref="C77:C81"/>
    <mergeCell ref="C82:C86"/>
    <mergeCell ref="C87:C91"/>
    <mergeCell ref="C92:C96"/>
    <mergeCell ref="C97:C101"/>
    <mergeCell ref="C37:C41"/>
    <mergeCell ref="C42:C46"/>
    <mergeCell ref="C47:C51"/>
    <mergeCell ref="B52:B76"/>
    <mergeCell ref="C52:C56"/>
    <mergeCell ref="C57:C61"/>
    <mergeCell ref="C62:C66"/>
    <mergeCell ref="C67:C71"/>
    <mergeCell ref="C72:C76"/>
    <mergeCell ref="A2:A151"/>
    <mergeCell ref="B2:B26"/>
    <mergeCell ref="C2:C6"/>
    <mergeCell ref="C7:C11"/>
    <mergeCell ref="C12:C16"/>
    <mergeCell ref="C17:C21"/>
    <mergeCell ref="C22:C26"/>
    <mergeCell ref="B27:B51"/>
    <mergeCell ref="C27:C31"/>
    <mergeCell ref="C32:C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9"/>
  <sheetViews>
    <sheetView topLeftCell="E263" workbookViewId="0">
      <selection activeCell="F1" sqref="F1:F1048576"/>
    </sheetView>
  </sheetViews>
  <sheetFormatPr baseColWidth="10" defaultRowHeight="15"/>
  <cols>
    <col min="1" max="1" width="46.28515625" customWidth="1"/>
    <col min="2" max="2" width="47.140625" customWidth="1"/>
    <col min="3" max="3" width="72.140625" customWidth="1"/>
    <col min="4" max="4" width="127.85546875" customWidth="1"/>
    <col min="5" max="5" width="114.5703125" customWidth="1"/>
    <col min="6" max="6" width="11.85546875" customWidth="1"/>
    <col min="7" max="7" width="47.85546875" customWidth="1"/>
    <col min="8" max="8" width="62.85546875" customWidth="1"/>
    <col min="9" max="9" width="34.28515625" customWidth="1"/>
    <col min="10" max="10" width="56.85546875" customWidth="1"/>
    <col min="11" max="11" width="70.42578125" customWidth="1"/>
  </cols>
  <sheetData>
    <row r="1" spans="1:11">
      <c r="A1" s="307" t="s">
        <v>2528</v>
      </c>
      <c r="B1" s="307" t="s">
        <v>2529</v>
      </c>
      <c r="C1" s="308" t="s">
        <v>2530</v>
      </c>
      <c r="D1" s="309" t="s">
        <v>2531</v>
      </c>
      <c r="E1" s="307" t="s">
        <v>2532</v>
      </c>
      <c r="F1" s="310" t="s">
        <v>2533</v>
      </c>
      <c r="G1" s="310" t="s">
        <v>2534</v>
      </c>
      <c r="H1" s="310" t="s">
        <v>2535</v>
      </c>
      <c r="I1" s="310" t="s">
        <v>2536</v>
      </c>
      <c r="J1" s="310" t="s">
        <v>2537</v>
      </c>
      <c r="K1" s="310" t="s">
        <v>2538</v>
      </c>
    </row>
    <row r="2" spans="1:11">
      <c r="A2" s="293" t="s">
        <v>1953</v>
      </c>
      <c r="B2" s="288" t="s">
        <v>2539</v>
      </c>
      <c r="C2" s="288" t="s">
        <v>2540</v>
      </c>
      <c r="D2" s="292" t="s">
        <v>2541</v>
      </c>
      <c r="E2" s="292" t="s">
        <v>2542</v>
      </c>
      <c r="F2" s="290" t="s">
        <v>20</v>
      </c>
      <c r="G2" s="311" t="s">
        <v>2543</v>
      </c>
      <c r="H2" s="311" t="s">
        <v>2544</v>
      </c>
      <c r="I2" s="311" t="s">
        <v>2545</v>
      </c>
      <c r="J2" s="311" t="s">
        <v>2546</v>
      </c>
      <c r="K2" s="311" t="s">
        <v>2547</v>
      </c>
    </row>
    <row r="3" spans="1:11">
      <c r="A3" s="294"/>
      <c r="B3" s="295"/>
      <c r="C3" s="295"/>
      <c r="D3" s="291"/>
      <c r="E3" s="291"/>
      <c r="F3" s="291"/>
      <c r="G3" s="311" t="s">
        <v>2548</v>
      </c>
      <c r="H3" s="311" t="s">
        <v>2549</v>
      </c>
      <c r="I3" s="311" t="s">
        <v>94</v>
      </c>
      <c r="J3" s="311" t="s">
        <v>2550</v>
      </c>
      <c r="K3" s="311" t="s">
        <v>2551</v>
      </c>
    </row>
    <row r="4" spans="1:11">
      <c r="A4" s="294"/>
      <c r="B4" s="295"/>
      <c r="C4" s="295"/>
      <c r="D4" s="292" t="s">
        <v>2552</v>
      </c>
      <c r="E4" s="292" t="s">
        <v>2553</v>
      </c>
      <c r="F4" s="290" t="s">
        <v>20</v>
      </c>
      <c r="G4" s="312" t="s">
        <v>2554</v>
      </c>
      <c r="H4" s="312" t="s">
        <v>2555</v>
      </c>
      <c r="I4" s="312" t="s">
        <v>94</v>
      </c>
      <c r="J4" s="312" t="s">
        <v>2556</v>
      </c>
      <c r="K4" s="312" t="s">
        <v>2557</v>
      </c>
    </row>
    <row r="5" spans="1:11">
      <c r="A5" s="294"/>
      <c r="B5" s="295"/>
      <c r="C5" s="295"/>
      <c r="D5" s="291"/>
      <c r="E5" s="291"/>
      <c r="F5" s="291"/>
      <c r="G5" s="312" t="s">
        <v>2558</v>
      </c>
      <c r="H5" s="312" t="s">
        <v>2559</v>
      </c>
      <c r="I5" s="312" t="s">
        <v>2560</v>
      </c>
      <c r="J5" s="312" t="s">
        <v>2561</v>
      </c>
      <c r="K5" s="312" t="s">
        <v>2562</v>
      </c>
    </row>
    <row r="6" spans="1:11">
      <c r="A6" s="294"/>
      <c r="B6" s="295"/>
      <c r="C6" s="295"/>
      <c r="D6" s="288" t="s">
        <v>2563</v>
      </c>
      <c r="E6" s="288" t="s">
        <v>2564</v>
      </c>
      <c r="F6" s="290" t="s">
        <v>20</v>
      </c>
      <c r="G6" s="311" t="s">
        <v>2565</v>
      </c>
      <c r="H6" s="311" t="s">
        <v>2566</v>
      </c>
      <c r="I6" s="311" t="s">
        <v>94</v>
      </c>
      <c r="J6" s="311" t="s">
        <v>2567</v>
      </c>
      <c r="K6" s="311" t="s">
        <v>2568</v>
      </c>
    </row>
    <row r="7" spans="1:11">
      <c r="A7" s="294"/>
      <c r="B7" s="295"/>
      <c r="C7" s="295"/>
      <c r="D7" s="289"/>
      <c r="E7" s="289"/>
      <c r="F7" s="291"/>
      <c r="G7" s="312" t="s">
        <v>2569</v>
      </c>
      <c r="H7" s="312" t="s">
        <v>2570</v>
      </c>
      <c r="I7" s="312" t="s">
        <v>2560</v>
      </c>
      <c r="J7" s="312" t="s">
        <v>2571</v>
      </c>
      <c r="K7" s="312" t="s">
        <v>2572</v>
      </c>
    </row>
    <row r="8" spans="1:11">
      <c r="A8" s="294"/>
      <c r="B8" s="295"/>
      <c r="C8" s="295"/>
      <c r="D8" s="292" t="s">
        <v>2573</v>
      </c>
      <c r="E8" s="292" t="s">
        <v>2574</v>
      </c>
      <c r="F8" s="290" t="s">
        <v>20</v>
      </c>
      <c r="G8" s="312" t="s">
        <v>2575</v>
      </c>
      <c r="H8" s="312" t="s">
        <v>2576</v>
      </c>
      <c r="I8" s="312" t="s">
        <v>2545</v>
      </c>
      <c r="J8" s="312" t="s">
        <v>2577</v>
      </c>
      <c r="K8" s="312" t="s">
        <v>2578</v>
      </c>
    </row>
    <row r="9" spans="1:11">
      <c r="A9" s="294"/>
      <c r="B9" s="295"/>
      <c r="C9" s="295"/>
      <c r="D9" s="291"/>
      <c r="E9" s="291"/>
      <c r="F9" s="291"/>
      <c r="G9" s="312" t="s">
        <v>2579</v>
      </c>
      <c r="H9" s="312" t="s">
        <v>2580</v>
      </c>
      <c r="I9" s="312" t="s">
        <v>94</v>
      </c>
      <c r="J9" s="312" t="s">
        <v>2581</v>
      </c>
      <c r="K9" s="312" t="s">
        <v>2582</v>
      </c>
    </row>
    <row r="10" spans="1:11">
      <c r="A10" s="294"/>
      <c r="B10" s="295"/>
      <c r="C10" s="295"/>
      <c r="D10" s="292" t="s">
        <v>2583</v>
      </c>
      <c r="E10" s="292" t="s">
        <v>2584</v>
      </c>
      <c r="F10" s="290" t="s">
        <v>20</v>
      </c>
      <c r="G10" s="312" t="s">
        <v>2585</v>
      </c>
      <c r="H10" s="312" t="s">
        <v>2586</v>
      </c>
      <c r="I10" s="312" t="s">
        <v>2545</v>
      </c>
      <c r="J10" s="312" t="s">
        <v>2587</v>
      </c>
      <c r="K10" s="312" t="s">
        <v>2588</v>
      </c>
    </row>
    <row r="11" spans="1:11">
      <c r="A11" s="294"/>
      <c r="B11" s="295"/>
      <c r="C11" s="289"/>
      <c r="D11" s="291"/>
      <c r="E11" s="291"/>
      <c r="F11" s="291"/>
      <c r="G11" s="312" t="s">
        <v>2589</v>
      </c>
      <c r="H11" s="312" t="s">
        <v>2590</v>
      </c>
      <c r="I11" s="312" t="s">
        <v>2545</v>
      </c>
      <c r="J11" s="312" t="s">
        <v>2591</v>
      </c>
      <c r="K11" s="312" t="s">
        <v>2592</v>
      </c>
    </row>
    <row r="12" spans="1:11">
      <c r="A12" s="294"/>
      <c r="B12" s="295"/>
      <c r="C12" s="288" t="s">
        <v>2593</v>
      </c>
      <c r="D12" s="288" t="s">
        <v>2594</v>
      </c>
      <c r="E12" s="288" t="s">
        <v>2595</v>
      </c>
      <c r="F12" s="290" t="s">
        <v>20</v>
      </c>
      <c r="G12" s="312" t="s">
        <v>2596</v>
      </c>
      <c r="H12" s="312" t="s">
        <v>2597</v>
      </c>
      <c r="I12" s="312" t="s">
        <v>2545</v>
      </c>
      <c r="J12" s="312" t="s">
        <v>2598</v>
      </c>
      <c r="K12" s="312" t="s">
        <v>2599</v>
      </c>
    </row>
    <row r="13" spans="1:11">
      <c r="A13" s="294"/>
      <c r="B13" s="295"/>
      <c r="C13" s="295"/>
      <c r="D13" s="289"/>
      <c r="E13" s="289"/>
      <c r="F13" s="291"/>
      <c r="G13" s="312" t="s">
        <v>2600</v>
      </c>
      <c r="H13" s="312" t="s">
        <v>2601</v>
      </c>
      <c r="I13" s="312" t="s">
        <v>2545</v>
      </c>
      <c r="J13" s="312" t="s">
        <v>2602</v>
      </c>
      <c r="K13" s="312" t="s">
        <v>2603</v>
      </c>
    </row>
    <row r="14" spans="1:11">
      <c r="A14" s="294"/>
      <c r="B14" s="295"/>
      <c r="C14" s="295"/>
      <c r="D14" s="292" t="s">
        <v>2604</v>
      </c>
      <c r="E14" s="292" t="s">
        <v>2605</v>
      </c>
      <c r="F14" s="290" t="s">
        <v>229</v>
      </c>
      <c r="G14" s="312" t="s">
        <v>2606</v>
      </c>
      <c r="H14" s="312" t="s">
        <v>2607</v>
      </c>
      <c r="I14" s="312" t="s">
        <v>94</v>
      </c>
      <c r="J14" s="312" t="s">
        <v>2608</v>
      </c>
      <c r="K14" s="312" t="s">
        <v>2609</v>
      </c>
    </row>
    <row r="15" spans="1:11">
      <c r="A15" s="294"/>
      <c r="B15" s="295"/>
      <c r="C15" s="295"/>
      <c r="D15" s="291"/>
      <c r="E15" s="291"/>
      <c r="F15" s="291"/>
      <c r="G15" s="312" t="s">
        <v>2610</v>
      </c>
      <c r="H15" s="312" t="s">
        <v>2611</v>
      </c>
      <c r="I15" s="312" t="s">
        <v>94</v>
      </c>
      <c r="J15" s="312" t="s">
        <v>2612</v>
      </c>
      <c r="K15" s="312" t="s">
        <v>2613</v>
      </c>
    </row>
    <row r="16" spans="1:11">
      <c r="A16" s="294"/>
      <c r="B16" s="295"/>
      <c r="C16" s="295"/>
      <c r="D16" s="292" t="s">
        <v>2614</v>
      </c>
      <c r="E16" s="292" t="s">
        <v>2615</v>
      </c>
      <c r="F16" s="290" t="s">
        <v>229</v>
      </c>
      <c r="G16" s="312" t="s">
        <v>2616</v>
      </c>
      <c r="H16" s="312" t="s">
        <v>2617</v>
      </c>
      <c r="I16" s="312" t="s">
        <v>2545</v>
      </c>
      <c r="J16" s="312" t="s">
        <v>2618</v>
      </c>
      <c r="K16" s="312" t="s">
        <v>2619</v>
      </c>
    </row>
    <row r="17" spans="1:11">
      <c r="A17" s="294"/>
      <c r="B17" s="295"/>
      <c r="C17" s="295"/>
      <c r="D17" s="291"/>
      <c r="E17" s="291"/>
      <c r="F17" s="291"/>
      <c r="G17" s="312" t="s">
        <v>2620</v>
      </c>
      <c r="H17" s="312" t="s">
        <v>2621</v>
      </c>
      <c r="I17" s="312" t="s">
        <v>94</v>
      </c>
      <c r="J17" s="312" t="s">
        <v>2601</v>
      </c>
      <c r="K17" s="312" t="s">
        <v>2622</v>
      </c>
    </row>
    <row r="18" spans="1:11">
      <c r="A18" s="294"/>
      <c r="B18" s="295"/>
      <c r="C18" s="295"/>
      <c r="D18" s="292" t="s">
        <v>2623</v>
      </c>
      <c r="E18" s="292" t="s">
        <v>2624</v>
      </c>
      <c r="F18" s="290" t="s">
        <v>425</v>
      </c>
      <c r="G18" s="312" t="s">
        <v>2625</v>
      </c>
      <c r="H18" s="312" t="s">
        <v>2626</v>
      </c>
      <c r="I18" s="312" t="s">
        <v>2545</v>
      </c>
      <c r="J18" s="312" t="s">
        <v>2627</v>
      </c>
      <c r="K18" s="312" t="s">
        <v>2628</v>
      </c>
    </row>
    <row r="19" spans="1:11">
      <c r="A19" s="294"/>
      <c r="B19" s="295"/>
      <c r="C19" s="295"/>
      <c r="D19" s="291"/>
      <c r="E19" s="291"/>
      <c r="F19" s="291"/>
      <c r="G19" s="312" t="s">
        <v>2629</v>
      </c>
      <c r="H19" s="312" t="s">
        <v>2630</v>
      </c>
      <c r="I19" s="312" t="s">
        <v>2560</v>
      </c>
      <c r="J19" s="312" t="s">
        <v>2631</v>
      </c>
      <c r="K19" s="312" t="s">
        <v>2632</v>
      </c>
    </row>
    <row r="20" spans="1:11">
      <c r="A20" s="294"/>
      <c r="B20" s="295"/>
      <c r="C20" s="295"/>
      <c r="D20" s="292" t="s">
        <v>2633</v>
      </c>
      <c r="E20" s="292" t="s">
        <v>2634</v>
      </c>
      <c r="F20" s="290" t="s">
        <v>20</v>
      </c>
      <c r="G20" s="312" t="s">
        <v>2635</v>
      </c>
      <c r="H20" s="312" t="s">
        <v>2636</v>
      </c>
      <c r="I20" s="312" t="s">
        <v>94</v>
      </c>
      <c r="J20" s="312" t="s">
        <v>2637</v>
      </c>
      <c r="K20" s="312" t="s">
        <v>2638</v>
      </c>
    </row>
    <row r="21" spans="1:11">
      <c r="A21" s="294"/>
      <c r="B21" s="295"/>
      <c r="C21" s="289"/>
      <c r="D21" s="291"/>
      <c r="E21" s="291"/>
      <c r="F21" s="291"/>
      <c r="G21" s="312" t="s">
        <v>2639</v>
      </c>
      <c r="H21" s="312" t="s">
        <v>2640</v>
      </c>
      <c r="I21" s="312" t="s">
        <v>2560</v>
      </c>
      <c r="J21" s="312" t="s">
        <v>2641</v>
      </c>
      <c r="K21" s="312" t="s">
        <v>2642</v>
      </c>
    </row>
    <row r="22" spans="1:11">
      <c r="A22" s="294"/>
      <c r="B22" s="295"/>
      <c r="C22" s="288" t="s">
        <v>2643</v>
      </c>
      <c r="D22" s="288" t="s">
        <v>2644</v>
      </c>
      <c r="E22" s="288" t="s">
        <v>2645</v>
      </c>
      <c r="F22" s="290" t="s">
        <v>425</v>
      </c>
      <c r="G22" s="312" t="s">
        <v>2646</v>
      </c>
      <c r="H22" s="312" t="s">
        <v>2647</v>
      </c>
      <c r="I22" s="312" t="s">
        <v>2545</v>
      </c>
      <c r="J22" s="312" t="s">
        <v>2648</v>
      </c>
      <c r="K22" s="312" t="s">
        <v>2649</v>
      </c>
    </row>
    <row r="23" spans="1:11">
      <c r="A23" s="294"/>
      <c r="B23" s="295"/>
      <c r="C23" s="295"/>
      <c r="D23" s="289"/>
      <c r="E23" s="289"/>
      <c r="F23" s="291"/>
      <c r="G23" s="312" t="s">
        <v>2650</v>
      </c>
      <c r="H23" s="312" t="s">
        <v>2651</v>
      </c>
      <c r="I23" s="312" t="s">
        <v>2560</v>
      </c>
      <c r="J23" s="312" t="s">
        <v>2652</v>
      </c>
      <c r="K23" s="312" t="s">
        <v>2653</v>
      </c>
    </row>
    <row r="24" spans="1:11">
      <c r="A24" s="294"/>
      <c r="B24" s="295"/>
      <c r="C24" s="295"/>
      <c r="D24" s="288" t="s">
        <v>2654</v>
      </c>
      <c r="E24" s="288" t="s">
        <v>2655</v>
      </c>
      <c r="F24" s="290" t="s">
        <v>229</v>
      </c>
      <c r="G24" s="312" t="s">
        <v>2656</v>
      </c>
      <c r="H24" s="312" t="s">
        <v>2657</v>
      </c>
      <c r="I24" s="312" t="s">
        <v>2545</v>
      </c>
      <c r="J24" s="312" t="s">
        <v>2658</v>
      </c>
      <c r="K24" s="312" t="s">
        <v>2659</v>
      </c>
    </row>
    <row r="25" spans="1:11">
      <c r="A25" s="294"/>
      <c r="B25" s="295"/>
      <c r="C25" s="295"/>
      <c r="D25" s="289"/>
      <c r="E25" s="289"/>
      <c r="F25" s="291"/>
      <c r="G25" s="312" t="s">
        <v>2660</v>
      </c>
      <c r="H25" s="312" t="s">
        <v>2661</v>
      </c>
      <c r="I25" s="312" t="s">
        <v>94</v>
      </c>
      <c r="J25" s="312" t="s">
        <v>2662</v>
      </c>
      <c r="K25" s="312" t="s">
        <v>2663</v>
      </c>
    </row>
    <row r="26" spans="1:11">
      <c r="A26" s="294"/>
      <c r="B26" s="295"/>
      <c r="C26" s="295"/>
      <c r="D26" s="288" t="s">
        <v>2664</v>
      </c>
      <c r="E26" s="288" t="s">
        <v>2665</v>
      </c>
      <c r="F26" s="290" t="s">
        <v>229</v>
      </c>
      <c r="G26" s="312" t="s">
        <v>2666</v>
      </c>
      <c r="H26" s="312" t="s">
        <v>2667</v>
      </c>
      <c r="I26" s="312" t="s">
        <v>2545</v>
      </c>
      <c r="J26" s="312" t="s">
        <v>2668</v>
      </c>
      <c r="K26" s="312" t="s">
        <v>2669</v>
      </c>
    </row>
    <row r="27" spans="1:11">
      <c r="A27" s="294"/>
      <c r="B27" s="295"/>
      <c r="C27" s="295"/>
      <c r="D27" s="289"/>
      <c r="E27" s="289"/>
      <c r="F27" s="291"/>
      <c r="G27" s="312" t="s">
        <v>2670</v>
      </c>
      <c r="H27" s="312" t="s">
        <v>2671</v>
      </c>
      <c r="I27" s="312" t="s">
        <v>94</v>
      </c>
      <c r="J27" s="312" t="s">
        <v>2672</v>
      </c>
      <c r="K27" s="312" t="s">
        <v>2673</v>
      </c>
    </row>
    <row r="28" spans="1:11">
      <c r="A28" s="294"/>
      <c r="B28" s="295"/>
      <c r="C28" s="295"/>
      <c r="D28" s="288" t="s">
        <v>2674</v>
      </c>
      <c r="E28" s="288" t="s">
        <v>2675</v>
      </c>
      <c r="F28" s="290" t="s">
        <v>229</v>
      </c>
      <c r="G28" s="312" t="s">
        <v>2676</v>
      </c>
      <c r="H28" s="312" t="s">
        <v>2677</v>
      </c>
      <c r="I28" s="312" t="s">
        <v>94</v>
      </c>
      <c r="J28" s="312" t="s">
        <v>2678</v>
      </c>
      <c r="K28" s="312" t="s">
        <v>2679</v>
      </c>
    </row>
    <row r="29" spans="1:11">
      <c r="A29" s="294"/>
      <c r="B29" s="295"/>
      <c r="C29" s="295"/>
      <c r="D29" s="289"/>
      <c r="E29" s="289"/>
      <c r="F29" s="291"/>
      <c r="G29" s="312" t="s">
        <v>2680</v>
      </c>
      <c r="H29" s="312" t="s">
        <v>2681</v>
      </c>
      <c r="I29" s="312" t="s">
        <v>2560</v>
      </c>
      <c r="J29" s="312" t="s">
        <v>2682</v>
      </c>
      <c r="K29" s="312" t="s">
        <v>2683</v>
      </c>
    </row>
    <row r="30" spans="1:11">
      <c r="A30" s="294"/>
      <c r="B30" s="295"/>
      <c r="C30" s="295"/>
      <c r="D30" s="288" t="s">
        <v>2684</v>
      </c>
      <c r="E30" s="288" t="s">
        <v>2685</v>
      </c>
      <c r="F30" s="290" t="s">
        <v>20</v>
      </c>
      <c r="G30" s="312" t="s">
        <v>2686</v>
      </c>
      <c r="H30" s="312" t="s">
        <v>2687</v>
      </c>
      <c r="I30" s="312" t="s">
        <v>2545</v>
      </c>
      <c r="J30" s="312" t="s">
        <v>2688</v>
      </c>
      <c r="K30" s="312" t="s">
        <v>2689</v>
      </c>
    </row>
    <row r="31" spans="1:11">
      <c r="A31" s="294"/>
      <c r="B31" s="295"/>
      <c r="C31" s="289"/>
      <c r="D31" s="289"/>
      <c r="E31" s="289"/>
      <c r="F31" s="291"/>
      <c r="G31" s="312" t="s">
        <v>2690</v>
      </c>
      <c r="H31" s="312" t="s">
        <v>2691</v>
      </c>
      <c r="I31" s="312" t="s">
        <v>94</v>
      </c>
      <c r="J31" s="312" t="s">
        <v>2692</v>
      </c>
      <c r="K31" s="312" t="s">
        <v>2693</v>
      </c>
    </row>
    <row r="32" spans="1:11">
      <c r="A32" s="294"/>
      <c r="B32" s="295"/>
      <c r="C32" s="288" t="s">
        <v>2694</v>
      </c>
      <c r="D32" s="288" t="s">
        <v>2695</v>
      </c>
      <c r="E32" s="288" t="s">
        <v>2696</v>
      </c>
      <c r="F32" s="290" t="s">
        <v>20</v>
      </c>
      <c r="G32" s="312" t="s">
        <v>2697</v>
      </c>
      <c r="H32" s="312" t="s">
        <v>2698</v>
      </c>
      <c r="I32" s="312" t="s">
        <v>2545</v>
      </c>
      <c r="J32" s="312" t="s">
        <v>2699</v>
      </c>
      <c r="K32" s="312" t="s">
        <v>2700</v>
      </c>
    </row>
    <row r="33" spans="1:11">
      <c r="A33" s="294"/>
      <c r="B33" s="295"/>
      <c r="C33" s="295"/>
      <c r="D33" s="289"/>
      <c r="E33" s="289"/>
      <c r="F33" s="291"/>
      <c r="G33" s="312" t="s">
        <v>2701</v>
      </c>
      <c r="H33" s="312" t="s">
        <v>2702</v>
      </c>
      <c r="I33" s="312" t="s">
        <v>94</v>
      </c>
      <c r="J33" s="312" t="s">
        <v>2703</v>
      </c>
      <c r="K33" s="312" t="s">
        <v>2704</v>
      </c>
    </row>
    <row r="34" spans="1:11">
      <c r="A34" s="294"/>
      <c r="B34" s="295"/>
      <c r="C34" s="295"/>
      <c r="D34" s="288" t="s">
        <v>2705</v>
      </c>
      <c r="E34" s="288" t="s">
        <v>2706</v>
      </c>
      <c r="F34" s="290" t="s">
        <v>229</v>
      </c>
      <c r="G34" s="312" t="s">
        <v>2707</v>
      </c>
      <c r="H34" s="312" t="s">
        <v>2708</v>
      </c>
      <c r="I34" s="312" t="s">
        <v>94</v>
      </c>
      <c r="J34" s="312" t="s">
        <v>2703</v>
      </c>
      <c r="K34" s="312" t="s">
        <v>2709</v>
      </c>
    </row>
    <row r="35" spans="1:11">
      <c r="A35" s="294"/>
      <c r="B35" s="295"/>
      <c r="C35" s="295"/>
      <c r="D35" s="289"/>
      <c r="E35" s="289"/>
      <c r="F35" s="291"/>
      <c r="G35" s="312" t="s">
        <v>2710</v>
      </c>
      <c r="H35" s="312" t="s">
        <v>2711</v>
      </c>
      <c r="I35" s="312" t="s">
        <v>2560</v>
      </c>
      <c r="J35" s="312" t="s">
        <v>2671</v>
      </c>
      <c r="K35" s="312" t="s">
        <v>2712</v>
      </c>
    </row>
    <row r="36" spans="1:11">
      <c r="A36" s="294"/>
      <c r="B36" s="295"/>
      <c r="C36" s="295"/>
      <c r="D36" s="292" t="s">
        <v>2713</v>
      </c>
      <c r="E36" s="292" t="s">
        <v>2714</v>
      </c>
      <c r="F36" s="290" t="s">
        <v>425</v>
      </c>
      <c r="G36" s="312" t="s">
        <v>2715</v>
      </c>
      <c r="H36" s="312" t="s">
        <v>2601</v>
      </c>
      <c r="I36" s="312" t="s">
        <v>2545</v>
      </c>
      <c r="J36" s="312" t="s">
        <v>2716</v>
      </c>
      <c r="K36" s="312" t="s">
        <v>2717</v>
      </c>
    </row>
    <row r="37" spans="1:11">
      <c r="A37" s="294"/>
      <c r="B37" s="295"/>
      <c r="C37" s="295"/>
      <c r="D37" s="291"/>
      <c r="E37" s="291"/>
      <c r="F37" s="291"/>
      <c r="G37" s="312" t="s">
        <v>2718</v>
      </c>
      <c r="H37" s="312" t="s">
        <v>2719</v>
      </c>
      <c r="I37" s="312" t="s">
        <v>94</v>
      </c>
      <c r="J37" s="312" t="s">
        <v>2720</v>
      </c>
      <c r="K37" s="312" t="s">
        <v>2721</v>
      </c>
    </row>
    <row r="38" spans="1:11">
      <c r="A38" s="294"/>
      <c r="B38" s="295"/>
      <c r="C38" s="295"/>
      <c r="D38" s="292" t="s">
        <v>2722</v>
      </c>
      <c r="E38" s="292" t="s">
        <v>2723</v>
      </c>
      <c r="F38" s="290" t="s">
        <v>425</v>
      </c>
      <c r="G38" s="312" t="s">
        <v>2724</v>
      </c>
      <c r="H38" s="312" t="s">
        <v>2725</v>
      </c>
      <c r="I38" s="312" t="s">
        <v>2545</v>
      </c>
      <c r="J38" s="312" t="s">
        <v>2726</v>
      </c>
      <c r="K38" s="312" t="s">
        <v>2727</v>
      </c>
    </row>
    <row r="39" spans="1:11">
      <c r="A39" s="294"/>
      <c r="B39" s="295"/>
      <c r="C39" s="295"/>
      <c r="D39" s="291"/>
      <c r="E39" s="291"/>
      <c r="F39" s="291"/>
      <c r="G39" s="312" t="s">
        <v>2728</v>
      </c>
      <c r="H39" s="312" t="s">
        <v>2729</v>
      </c>
      <c r="I39" s="312" t="s">
        <v>94</v>
      </c>
      <c r="J39" s="312" t="s">
        <v>2730</v>
      </c>
      <c r="K39" s="312" t="s">
        <v>2731</v>
      </c>
    </row>
    <row r="40" spans="1:11">
      <c r="A40" s="294"/>
      <c r="B40" s="295"/>
      <c r="C40" s="295"/>
      <c r="D40" s="292" t="s">
        <v>2732</v>
      </c>
      <c r="E40" s="292" t="s">
        <v>2733</v>
      </c>
      <c r="F40" s="290" t="s">
        <v>20</v>
      </c>
      <c r="G40" s="312" t="s">
        <v>2650</v>
      </c>
      <c r="H40" s="312" t="s">
        <v>2734</v>
      </c>
      <c r="I40" s="312" t="s">
        <v>94</v>
      </c>
      <c r="J40" s="312" t="s">
        <v>2735</v>
      </c>
      <c r="K40" s="312" t="s">
        <v>2736</v>
      </c>
    </row>
    <row r="41" spans="1:11">
      <c r="A41" s="294"/>
      <c r="B41" s="295"/>
      <c r="C41" s="289"/>
      <c r="D41" s="291"/>
      <c r="E41" s="291"/>
      <c r="F41" s="291"/>
      <c r="G41" s="312" t="s">
        <v>2737</v>
      </c>
      <c r="H41" s="312" t="s">
        <v>2652</v>
      </c>
      <c r="I41" s="312" t="s">
        <v>2560</v>
      </c>
      <c r="J41" s="312" t="s">
        <v>2738</v>
      </c>
      <c r="K41" s="312" t="s">
        <v>2739</v>
      </c>
    </row>
    <row r="42" spans="1:11">
      <c r="A42" s="294"/>
      <c r="B42" s="295"/>
      <c r="C42" s="288" t="s">
        <v>2740</v>
      </c>
      <c r="D42" s="288" t="s">
        <v>2741</v>
      </c>
      <c r="E42" s="288" t="s">
        <v>2742</v>
      </c>
      <c r="F42" s="290" t="s">
        <v>20</v>
      </c>
      <c r="G42" s="312" t="s">
        <v>2743</v>
      </c>
      <c r="H42" s="312" t="s">
        <v>2657</v>
      </c>
      <c r="I42" s="312" t="s">
        <v>2545</v>
      </c>
      <c r="J42" s="312" t="s">
        <v>2744</v>
      </c>
      <c r="K42" s="312" t="s">
        <v>2745</v>
      </c>
    </row>
    <row r="43" spans="1:11">
      <c r="A43" s="294"/>
      <c r="B43" s="295"/>
      <c r="C43" s="295"/>
      <c r="D43" s="289"/>
      <c r="E43" s="289"/>
      <c r="F43" s="291"/>
      <c r="G43" s="312" t="s">
        <v>2746</v>
      </c>
      <c r="H43" s="312" t="s">
        <v>2747</v>
      </c>
      <c r="I43" s="312" t="s">
        <v>2545</v>
      </c>
      <c r="J43" s="312" t="s">
        <v>2748</v>
      </c>
      <c r="K43" s="312" t="s">
        <v>2749</v>
      </c>
    </row>
    <row r="44" spans="1:11">
      <c r="A44" s="294"/>
      <c r="B44" s="295"/>
      <c r="C44" s="295"/>
      <c r="D44" s="288" t="s">
        <v>2750</v>
      </c>
      <c r="E44" s="288" t="s">
        <v>2751</v>
      </c>
      <c r="F44" s="290" t="s">
        <v>20</v>
      </c>
      <c r="G44" s="312" t="s">
        <v>2752</v>
      </c>
      <c r="H44" s="312" t="s">
        <v>2753</v>
      </c>
      <c r="I44" s="312" t="s">
        <v>2545</v>
      </c>
      <c r="J44" s="312" t="s">
        <v>2671</v>
      </c>
      <c r="K44" s="312" t="s">
        <v>2754</v>
      </c>
    </row>
    <row r="45" spans="1:11">
      <c r="A45" s="294"/>
      <c r="B45" s="295"/>
      <c r="C45" s="295"/>
      <c r="D45" s="289"/>
      <c r="E45" s="289"/>
      <c r="F45" s="291"/>
      <c r="G45" s="312" t="s">
        <v>2755</v>
      </c>
      <c r="H45" s="312" t="s">
        <v>2597</v>
      </c>
      <c r="I45" s="312" t="s">
        <v>94</v>
      </c>
      <c r="J45" s="312" t="s">
        <v>2756</v>
      </c>
      <c r="K45" s="312" t="s">
        <v>2757</v>
      </c>
    </row>
    <row r="46" spans="1:11">
      <c r="A46" s="294"/>
      <c r="B46" s="295"/>
      <c r="C46" s="295"/>
      <c r="D46" s="292" t="s">
        <v>2758</v>
      </c>
      <c r="E46" s="292" t="s">
        <v>2759</v>
      </c>
      <c r="F46" s="290" t="s">
        <v>20</v>
      </c>
      <c r="G46" s="312" t="s">
        <v>2625</v>
      </c>
      <c r="H46" s="312" t="s">
        <v>2760</v>
      </c>
      <c r="I46" s="312" t="s">
        <v>2545</v>
      </c>
      <c r="J46" s="312" t="s">
        <v>2761</v>
      </c>
      <c r="K46" s="312" t="s">
        <v>2762</v>
      </c>
    </row>
    <row r="47" spans="1:11">
      <c r="A47" s="294"/>
      <c r="B47" s="295"/>
      <c r="C47" s="295"/>
      <c r="D47" s="291"/>
      <c r="E47" s="291"/>
      <c r="F47" s="291"/>
      <c r="G47" s="312" t="s">
        <v>2763</v>
      </c>
      <c r="H47" s="312" t="s">
        <v>2764</v>
      </c>
      <c r="I47" s="312" t="s">
        <v>94</v>
      </c>
      <c r="J47" s="312" t="s">
        <v>2765</v>
      </c>
      <c r="K47" s="312" t="s">
        <v>2766</v>
      </c>
    </row>
    <row r="48" spans="1:11">
      <c r="A48" s="294"/>
      <c r="B48" s="295"/>
      <c r="C48" s="295"/>
      <c r="D48" s="292" t="s">
        <v>2767</v>
      </c>
      <c r="E48" s="292" t="s">
        <v>2768</v>
      </c>
      <c r="F48" s="290" t="s">
        <v>20</v>
      </c>
      <c r="G48" s="312" t="s">
        <v>2769</v>
      </c>
      <c r="H48" s="312" t="s">
        <v>2770</v>
      </c>
      <c r="I48" s="312" t="s">
        <v>94</v>
      </c>
      <c r="J48" s="312" t="s">
        <v>2771</v>
      </c>
      <c r="K48" s="312" t="s">
        <v>2772</v>
      </c>
    </row>
    <row r="49" spans="1:11">
      <c r="A49" s="294"/>
      <c r="B49" s="295"/>
      <c r="C49" s="295"/>
      <c r="D49" s="291"/>
      <c r="E49" s="291"/>
      <c r="F49" s="291"/>
      <c r="G49" s="312" t="s">
        <v>2773</v>
      </c>
      <c r="H49" s="312" t="s">
        <v>2671</v>
      </c>
      <c r="I49" s="312" t="s">
        <v>2560</v>
      </c>
      <c r="J49" s="312" t="s">
        <v>2774</v>
      </c>
      <c r="K49" s="312" t="s">
        <v>2673</v>
      </c>
    </row>
    <row r="50" spans="1:11">
      <c r="A50" s="294"/>
      <c r="B50" s="295"/>
      <c r="C50" s="295"/>
      <c r="D50" s="292" t="s">
        <v>2775</v>
      </c>
      <c r="E50" s="292" t="s">
        <v>2776</v>
      </c>
      <c r="F50" s="290" t="s">
        <v>229</v>
      </c>
      <c r="G50" s="312" t="s">
        <v>2777</v>
      </c>
      <c r="H50" s="312" t="s">
        <v>2778</v>
      </c>
      <c r="I50" s="312" t="s">
        <v>94</v>
      </c>
      <c r="J50" s="312" t="s">
        <v>2779</v>
      </c>
      <c r="K50" s="312" t="s">
        <v>2780</v>
      </c>
    </row>
    <row r="51" spans="1:11">
      <c r="A51" s="294"/>
      <c r="B51" s="289"/>
      <c r="C51" s="289"/>
      <c r="D51" s="291"/>
      <c r="E51" s="291"/>
      <c r="F51" s="291"/>
      <c r="G51" s="312" t="s">
        <v>2710</v>
      </c>
      <c r="H51" s="312" t="s">
        <v>2711</v>
      </c>
      <c r="I51" s="312" t="s">
        <v>2560</v>
      </c>
      <c r="J51" s="312" t="s">
        <v>2703</v>
      </c>
      <c r="K51" s="312" t="s">
        <v>2781</v>
      </c>
    </row>
    <row r="52" spans="1:11">
      <c r="A52" s="294"/>
      <c r="B52" s="296" t="s">
        <v>2782</v>
      </c>
      <c r="C52" s="288" t="s">
        <v>2783</v>
      </c>
      <c r="D52" s="288" t="s">
        <v>2784</v>
      </c>
      <c r="E52" s="288" t="s">
        <v>2785</v>
      </c>
      <c r="F52" s="290" t="s">
        <v>229</v>
      </c>
      <c r="G52" s="312" t="s">
        <v>2606</v>
      </c>
      <c r="H52" s="312" t="s">
        <v>2786</v>
      </c>
      <c r="I52" s="312" t="s">
        <v>2545</v>
      </c>
      <c r="J52" s="312" t="s">
        <v>2787</v>
      </c>
      <c r="K52" s="312" t="s">
        <v>2788</v>
      </c>
    </row>
    <row r="53" spans="1:11">
      <c r="A53" s="294"/>
      <c r="B53" s="296"/>
      <c r="C53" s="295"/>
      <c r="D53" s="289"/>
      <c r="E53" s="289"/>
      <c r="F53" s="291"/>
      <c r="G53" s="312" t="s">
        <v>2789</v>
      </c>
      <c r="H53" s="312" t="s">
        <v>2790</v>
      </c>
      <c r="I53" s="312" t="s">
        <v>94</v>
      </c>
      <c r="J53" s="312" t="s">
        <v>2791</v>
      </c>
      <c r="K53" s="312" t="s">
        <v>2792</v>
      </c>
    </row>
    <row r="54" spans="1:11">
      <c r="A54" s="294"/>
      <c r="B54" s="296"/>
      <c r="C54" s="295"/>
      <c r="D54" s="288" t="s">
        <v>2793</v>
      </c>
      <c r="E54" s="288" t="s">
        <v>2794</v>
      </c>
      <c r="F54" s="290" t="s">
        <v>229</v>
      </c>
      <c r="G54" s="312" t="s">
        <v>2795</v>
      </c>
      <c r="H54" s="312" t="s">
        <v>2774</v>
      </c>
      <c r="I54" s="312" t="s">
        <v>2545</v>
      </c>
      <c r="J54" s="312" t="s">
        <v>2796</v>
      </c>
      <c r="K54" s="312" t="s">
        <v>2797</v>
      </c>
    </row>
    <row r="55" spans="1:11">
      <c r="A55" s="294"/>
      <c r="B55" s="296"/>
      <c r="C55" s="295"/>
      <c r="D55" s="289"/>
      <c r="E55" s="289"/>
      <c r="F55" s="291"/>
      <c r="G55" s="312" t="s">
        <v>2798</v>
      </c>
      <c r="H55" s="312" t="s">
        <v>2799</v>
      </c>
      <c r="I55" s="312" t="s">
        <v>94</v>
      </c>
      <c r="J55" s="312" t="s">
        <v>2800</v>
      </c>
      <c r="K55" s="312" t="s">
        <v>2801</v>
      </c>
    </row>
    <row r="56" spans="1:11">
      <c r="A56" s="294"/>
      <c r="B56" s="296"/>
      <c r="C56" s="295"/>
      <c r="D56" s="292" t="s">
        <v>2802</v>
      </c>
      <c r="E56" s="292" t="s">
        <v>2803</v>
      </c>
      <c r="F56" s="290" t="s">
        <v>229</v>
      </c>
      <c r="G56" s="312" t="s">
        <v>2804</v>
      </c>
      <c r="H56" s="312" t="s">
        <v>2805</v>
      </c>
      <c r="I56" s="312" t="s">
        <v>2545</v>
      </c>
      <c r="J56" s="312" t="s">
        <v>2806</v>
      </c>
      <c r="K56" s="312" t="s">
        <v>2807</v>
      </c>
    </row>
    <row r="57" spans="1:11">
      <c r="A57" s="294"/>
      <c r="B57" s="296"/>
      <c r="C57" s="295"/>
      <c r="D57" s="291"/>
      <c r="E57" s="291"/>
      <c r="F57" s="291"/>
      <c r="G57" s="312" t="s">
        <v>2808</v>
      </c>
      <c r="H57" s="312" t="s">
        <v>2809</v>
      </c>
      <c r="I57" s="312" t="s">
        <v>94</v>
      </c>
      <c r="J57" s="312" t="s">
        <v>2810</v>
      </c>
      <c r="K57" s="312" t="s">
        <v>2811</v>
      </c>
    </row>
    <row r="58" spans="1:11">
      <c r="A58" s="294"/>
      <c r="B58" s="296"/>
      <c r="C58" s="295"/>
      <c r="D58" s="292" t="s">
        <v>2812</v>
      </c>
      <c r="E58" s="292" t="s">
        <v>2813</v>
      </c>
      <c r="F58" s="290" t="s">
        <v>229</v>
      </c>
      <c r="G58" s="312" t="s">
        <v>2814</v>
      </c>
      <c r="H58" s="312" t="s">
        <v>2815</v>
      </c>
      <c r="I58" s="312" t="s">
        <v>2545</v>
      </c>
      <c r="J58" s="312" t="s">
        <v>2816</v>
      </c>
      <c r="K58" s="312" t="s">
        <v>2609</v>
      </c>
    </row>
    <row r="59" spans="1:11">
      <c r="A59" s="294"/>
      <c r="B59" s="296"/>
      <c r="C59" s="295"/>
      <c r="D59" s="291"/>
      <c r="E59" s="291"/>
      <c r="F59" s="291"/>
      <c r="G59" s="312" t="s">
        <v>2817</v>
      </c>
      <c r="H59" s="312" t="s">
        <v>2791</v>
      </c>
      <c r="I59" s="312" t="s">
        <v>94</v>
      </c>
      <c r="J59" s="312" t="s">
        <v>2818</v>
      </c>
      <c r="K59" s="312" t="s">
        <v>2819</v>
      </c>
    </row>
    <row r="60" spans="1:11">
      <c r="A60" s="294"/>
      <c r="B60" s="296"/>
      <c r="C60" s="295"/>
      <c r="D60" s="292" t="s">
        <v>2820</v>
      </c>
      <c r="E60" s="292" t="s">
        <v>2821</v>
      </c>
      <c r="F60" s="290" t="s">
        <v>229</v>
      </c>
      <c r="G60" s="312" t="s">
        <v>2822</v>
      </c>
      <c r="H60" s="312" t="s">
        <v>2823</v>
      </c>
      <c r="I60" s="312" t="s">
        <v>94</v>
      </c>
      <c r="J60" s="312" t="s">
        <v>2824</v>
      </c>
      <c r="K60" s="312" t="s">
        <v>2825</v>
      </c>
    </row>
    <row r="61" spans="1:11">
      <c r="A61" s="294"/>
      <c r="B61" s="296"/>
      <c r="C61" s="289"/>
      <c r="D61" s="291"/>
      <c r="E61" s="291"/>
      <c r="F61" s="291"/>
      <c r="G61" s="312" t="s">
        <v>2826</v>
      </c>
      <c r="H61" s="312" t="s">
        <v>2827</v>
      </c>
      <c r="I61" s="312" t="s">
        <v>2560</v>
      </c>
      <c r="J61" s="312" t="s">
        <v>2828</v>
      </c>
      <c r="K61" s="312" t="s">
        <v>2829</v>
      </c>
    </row>
    <row r="62" spans="1:11">
      <c r="A62" s="294"/>
      <c r="B62" s="296"/>
      <c r="C62" s="288" t="s">
        <v>2830</v>
      </c>
      <c r="D62" s="292" t="s">
        <v>2831</v>
      </c>
      <c r="E62" s="292" t="s">
        <v>2832</v>
      </c>
      <c r="F62" s="290" t="s">
        <v>425</v>
      </c>
      <c r="G62" s="312" t="s">
        <v>2610</v>
      </c>
      <c r="H62" s="312" t="s">
        <v>2833</v>
      </c>
      <c r="I62" s="312" t="s">
        <v>2545</v>
      </c>
      <c r="J62" s="312" t="s">
        <v>2834</v>
      </c>
      <c r="K62" s="312" t="s">
        <v>2835</v>
      </c>
    </row>
    <row r="63" spans="1:11">
      <c r="A63" s="294"/>
      <c r="B63" s="296"/>
      <c r="C63" s="295"/>
      <c r="D63" s="291"/>
      <c r="E63" s="291"/>
      <c r="F63" s="291"/>
      <c r="G63" s="312" t="s">
        <v>2836</v>
      </c>
      <c r="H63" s="312" t="s">
        <v>2837</v>
      </c>
      <c r="I63" s="312" t="s">
        <v>94</v>
      </c>
      <c r="J63" s="312" t="s">
        <v>2765</v>
      </c>
      <c r="K63" s="312" t="s">
        <v>2838</v>
      </c>
    </row>
    <row r="64" spans="1:11">
      <c r="A64" s="294"/>
      <c r="B64" s="296"/>
      <c r="C64" s="295"/>
      <c r="D64" s="292" t="s">
        <v>2839</v>
      </c>
      <c r="E64" s="292" t="s">
        <v>2840</v>
      </c>
      <c r="F64" s="290" t="s">
        <v>425</v>
      </c>
      <c r="G64" s="312" t="s">
        <v>2841</v>
      </c>
      <c r="H64" s="312" t="s">
        <v>2842</v>
      </c>
      <c r="I64" s="312" t="s">
        <v>2545</v>
      </c>
      <c r="J64" s="312" t="s">
        <v>2678</v>
      </c>
      <c r="K64" s="312" t="s">
        <v>2843</v>
      </c>
    </row>
    <row r="65" spans="1:11">
      <c r="A65" s="294"/>
      <c r="B65" s="296"/>
      <c r="C65" s="295"/>
      <c r="D65" s="291"/>
      <c r="E65" s="291"/>
      <c r="F65" s="291"/>
      <c r="G65" s="312" t="s">
        <v>2844</v>
      </c>
      <c r="H65" s="312" t="s">
        <v>2845</v>
      </c>
      <c r="I65" s="312" t="s">
        <v>94</v>
      </c>
      <c r="J65" s="312" t="s">
        <v>2810</v>
      </c>
      <c r="K65" s="312" t="s">
        <v>2846</v>
      </c>
    </row>
    <row r="66" spans="1:11">
      <c r="A66" s="294"/>
      <c r="B66" s="296"/>
      <c r="C66" s="295"/>
      <c r="D66" s="292" t="s">
        <v>2847</v>
      </c>
      <c r="E66" s="292" t="s">
        <v>2848</v>
      </c>
      <c r="F66" s="290" t="s">
        <v>425</v>
      </c>
      <c r="G66" s="312" t="s">
        <v>2849</v>
      </c>
      <c r="H66" s="312" t="s">
        <v>2850</v>
      </c>
      <c r="I66" s="312" t="s">
        <v>94</v>
      </c>
      <c r="J66" s="312" t="s">
        <v>2765</v>
      </c>
      <c r="K66" s="312" t="s">
        <v>2851</v>
      </c>
    </row>
    <row r="67" spans="1:11">
      <c r="A67" s="294"/>
      <c r="B67" s="296"/>
      <c r="C67" s="295"/>
      <c r="D67" s="291"/>
      <c r="E67" s="291"/>
      <c r="F67" s="291"/>
      <c r="G67" s="312" t="s">
        <v>2852</v>
      </c>
      <c r="H67" s="312" t="s">
        <v>2853</v>
      </c>
      <c r="I67" s="312" t="s">
        <v>2560</v>
      </c>
      <c r="J67" s="312" t="s">
        <v>2735</v>
      </c>
      <c r="K67" s="312" t="s">
        <v>2854</v>
      </c>
    </row>
    <row r="68" spans="1:11">
      <c r="A68" s="294"/>
      <c r="B68" s="296"/>
      <c r="C68" s="295"/>
      <c r="D68" s="288" t="s">
        <v>2855</v>
      </c>
      <c r="E68" s="288" t="s">
        <v>2856</v>
      </c>
      <c r="F68" s="290" t="s">
        <v>425</v>
      </c>
      <c r="G68" s="312" t="s">
        <v>2857</v>
      </c>
      <c r="H68" s="312" t="s">
        <v>2858</v>
      </c>
      <c r="I68" s="312" t="s">
        <v>2545</v>
      </c>
      <c r="J68" s="312" t="s">
        <v>2859</v>
      </c>
      <c r="K68" s="312" t="s">
        <v>2669</v>
      </c>
    </row>
    <row r="69" spans="1:11">
      <c r="A69" s="294"/>
      <c r="B69" s="296"/>
      <c r="C69" s="289"/>
      <c r="D69" s="289"/>
      <c r="E69" s="289"/>
      <c r="F69" s="291"/>
      <c r="G69" s="312" t="s">
        <v>2860</v>
      </c>
      <c r="H69" s="312" t="s">
        <v>2842</v>
      </c>
      <c r="I69" s="312" t="s">
        <v>94</v>
      </c>
      <c r="J69" s="312" t="s">
        <v>2672</v>
      </c>
      <c r="K69" s="312" t="s">
        <v>2673</v>
      </c>
    </row>
    <row r="70" spans="1:11">
      <c r="A70" s="294"/>
      <c r="B70" s="296"/>
      <c r="C70" s="288" t="s">
        <v>2861</v>
      </c>
      <c r="D70" s="297" t="s">
        <v>2862</v>
      </c>
      <c r="E70" s="297" t="s">
        <v>2863</v>
      </c>
      <c r="F70" s="290" t="s">
        <v>425</v>
      </c>
      <c r="G70" s="312" t="s">
        <v>2864</v>
      </c>
      <c r="H70" s="312" t="s">
        <v>2865</v>
      </c>
      <c r="I70" s="312" t="s">
        <v>2545</v>
      </c>
      <c r="J70" s="312" t="s">
        <v>2866</v>
      </c>
      <c r="K70" s="312" t="s">
        <v>2867</v>
      </c>
    </row>
    <row r="71" spans="1:11">
      <c r="A71" s="294"/>
      <c r="B71" s="296"/>
      <c r="C71" s="295"/>
      <c r="D71" s="298"/>
      <c r="E71" s="298"/>
      <c r="F71" s="291"/>
      <c r="G71" s="312" t="s">
        <v>2868</v>
      </c>
      <c r="H71" s="312" t="s">
        <v>2799</v>
      </c>
      <c r="I71" s="312" t="s">
        <v>94</v>
      </c>
      <c r="J71" s="312" t="s">
        <v>2816</v>
      </c>
      <c r="K71" s="312" t="s">
        <v>2869</v>
      </c>
    </row>
    <row r="72" spans="1:11">
      <c r="A72" s="294"/>
      <c r="B72" s="296"/>
      <c r="C72" s="295"/>
      <c r="D72" s="297" t="s">
        <v>2870</v>
      </c>
      <c r="E72" s="297" t="s">
        <v>2871</v>
      </c>
      <c r="F72" s="290" t="s">
        <v>425</v>
      </c>
      <c r="G72" s="312" t="s">
        <v>2872</v>
      </c>
      <c r="H72" s="312" t="s">
        <v>2873</v>
      </c>
      <c r="I72" s="312" t="s">
        <v>2545</v>
      </c>
      <c r="J72" s="312" t="s">
        <v>2874</v>
      </c>
      <c r="K72" s="312" t="s">
        <v>2875</v>
      </c>
    </row>
    <row r="73" spans="1:11">
      <c r="A73" s="294"/>
      <c r="B73" s="296"/>
      <c r="C73" s="295"/>
      <c r="D73" s="298"/>
      <c r="E73" s="298"/>
      <c r="F73" s="291"/>
      <c r="G73" s="312" t="s">
        <v>2876</v>
      </c>
      <c r="H73" s="312" t="s">
        <v>2877</v>
      </c>
      <c r="I73" s="312" t="s">
        <v>94</v>
      </c>
      <c r="J73" s="312" t="s">
        <v>2823</v>
      </c>
      <c r="K73" s="312" t="s">
        <v>2788</v>
      </c>
    </row>
    <row r="74" spans="1:11">
      <c r="A74" s="294"/>
      <c r="B74" s="296"/>
      <c r="C74" s="295"/>
      <c r="D74" s="297" t="s">
        <v>2878</v>
      </c>
      <c r="E74" s="297" t="s">
        <v>2879</v>
      </c>
      <c r="F74" s="290" t="s">
        <v>425</v>
      </c>
      <c r="G74" s="312" t="s">
        <v>2880</v>
      </c>
      <c r="H74" s="312" t="s">
        <v>2881</v>
      </c>
      <c r="I74" s="312" t="s">
        <v>94</v>
      </c>
      <c r="J74" s="312" t="s">
        <v>2882</v>
      </c>
      <c r="K74" s="312" t="s">
        <v>2883</v>
      </c>
    </row>
    <row r="75" spans="1:11">
      <c r="A75" s="294"/>
      <c r="B75" s="296"/>
      <c r="C75" s="295"/>
      <c r="D75" s="298"/>
      <c r="E75" s="298"/>
      <c r="F75" s="291"/>
      <c r="G75" s="312" t="s">
        <v>2884</v>
      </c>
      <c r="H75" s="312" t="s">
        <v>2885</v>
      </c>
      <c r="I75" s="312" t="s">
        <v>94</v>
      </c>
      <c r="J75" s="312" t="s">
        <v>2886</v>
      </c>
      <c r="K75" s="312" t="s">
        <v>2887</v>
      </c>
    </row>
    <row r="76" spans="1:11">
      <c r="A76" s="294"/>
      <c r="B76" s="296"/>
      <c r="C76" s="295"/>
      <c r="D76" s="299" t="s">
        <v>2888</v>
      </c>
      <c r="E76" s="299" t="s">
        <v>2889</v>
      </c>
      <c r="F76" s="290" t="s">
        <v>425</v>
      </c>
      <c r="G76" s="312" t="s">
        <v>2890</v>
      </c>
      <c r="H76" s="312" t="s">
        <v>2891</v>
      </c>
      <c r="I76" s="312" t="s">
        <v>2545</v>
      </c>
      <c r="J76" s="312" t="s">
        <v>2892</v>
      </c>
      <c r="K76" s="312" t="s">
        <v>2893</v>
      </c>
    </row>
    <row r="77" spans="1:11">
      <c r="A77" s="294"/>
      <c r="B77" s="296"/>
      <c r="C77" s="295"/>
      <c r="D77" s="300"/>
      <c r="E77" s="300"/>
      <c r="F77" s="291"/>
      <c r="G77" s="312" t="s">
        <v>2817</v>
      </c>
      <c r="H77" s="312" t="s">
        <v>2894</v>
      </c>
      <c r="I77" s="312" t="s">
        <v>94</v>
      </c>
      <c r="J77" s="312" t="s">
        <v>2895</v>
      </c>
      <c r="K77" s="312" t="s">
        <v>2896</v>
      </c>
    </row>
    <row r="78" spans="1:11">
      <c r="A78" s="294"/>
      <c r="B78" s="296"/>
      <c r="C78" s="295"/>
      <c r="D78" s="299" t="s">
        <v>2897</v>
      </c>
      <c r="E78" s="299" t="s">
        <v>2898</v>
      </c>
      <c r="F78" s="290" t="s">
        <v>425</v>
      </c>
      <c r="G78" s="312" t="s">
        <v>2899</v>
      </c>
      <c r="H78" s="312" t="s">
        <v>2900</v>
      </c>
      <c r="I78" s="312" t="s">
        <v>94</v>
      </c>
      <c r="J78" s="312" t="s">
        <v>2627</v>
      </c>
      <c r="K78" s="312" t="s">
        <v>2901</v>
      </c>
    </row>
    <row r="79" spans="1:11">
      <c r="A79" s="294"/>
      <c r="B79" s="296"/>
      <c r="C79" s="289"/>
      <c r="D79" s="300"/>
      <c r="E79" s="300"/>
      <c r="F79" s="291"/>
      <c r="G79" s="312" t="s">
        <v>2902</v>
      </c>
      <c r="H79" s="312" t="s">
        <v>2652</v>
      </c>
      <c r="I79" s="312" t="s">
        <v>2560</v>
      </c>
      <c r="J79" s="312" t="s">
        <v>2903</v>
      </c>
      <c r="K79" s="312" t="s">
        <v>2904</v>
      </c>
    </row>
    <row r="80" spans="1:11">
      <c r="A80" s="294"/>
      <c r="B80" s="296"/>
      <c r="C80" s="288" t="s">
        <v>2905</v>
      </c>
      <c r="D80" s="295" t="s">
        <v>2906</v>
      </c>
      <c r="E80" s="288" t="s">
        <v>2907</v>
      </c>
      <c r="F80" s="290" t="s">
        <v>20</v>
      </c>
      <c r="G80" s="312" t="s">
        <v>2908</v>
      </c>
      <c r="H80" s="312" t="s">
        <v>2909</v>
      </c>
      <c r="I80" s="312" t="s">
        <v>2545</v>
      </c>
      <c r="J80" s="312" t="s">
        <v>2910</v>
      </c>
      <c r="K80" s="312" t="s">
        <v>2911</v>
      </c>
    </row>
    <row r="81" spans="1:11">
      <c r="A81" s="294"/>
      <c r="B81" s="296"/>
      <c r="C81" s="295"/>
      <c r="D81" s="289"/>
      <c r="E81" s="289"/>
      <c r="F81" s="291"/>
      <c r="G81" s="312" t="s">
        <v>2912</v>
      </c>
      <c r="H81" s="312" t="s">
        <v>2913</v>
      </c>
      <c r="I81" s="312" t="s">
        <v>2560</v>
      </c>
      <c r="J81" s="312" t="s">
        <v>2823</v>
      </c>
      <c r="K81" s="312" t="s">
        <v>2914</v>
      </c>
    </row>
    <row r="82" spans="1:11">
      <c r="A82" s="294"/>
      <c r="B82" s="296"/>
      <c r="C82" s="295"/>
      <c r="D82" s="292" t="s">
        <v>2915</v>
      </c>
      <c r="E82" s="292" t="s">
        <v>2916</v>
      </c>
      <c r="F82" s="290" t="s">
        <v>20</v>
      </c>
      <c r="G82" s="312" t="s">
        <v>2917</v>
      </c>
      <c r="H82" s="312" t="s">
        <v>2918</v>
      </c>
      <c r="I82" s="312" t="s">
        <v>94</v>
      </c>
      <c r="J82" s="312" t="s">
        <v>2919</v>
      </c>
      <c r="K82" s="312" t="s">
        <v>2920</v>
      </c>
    </row>
    <row r="83" spans="1:11">
      <c r="A83" s="294"/>
      <c r="B83" s="296"/>
      <c r="C83" s="295"/>
      <c r="D83" s="291"/>
      <c r="E83" s="291"/>
      <c r="F83" s="291"/>
      <c r="G83" s="312" t="s">
        <v>2921</v>
      </c>
      <c r="H83" s="312" t="s">
        <v>2922</v>
      </c>
      <c r="I83" s="312" t="s">
        <v>94</v>
      </c>
      <c r="J83" s="312" t="s">
        <v>2923</v>
      </c>
      <c r="K83" s="312" t="s">
        <v>2924</v>
      </c>
    </row>
    <row r="84" spans="1:11">
      <c r="A84" s="294"/>
      <c r="B84" s="296"/>
      <c r="C84" s="295"/>
      <c r="D84" s="292" t="s">
        <v>2925</v>
      </c>
      <c r="E84" s="292" t="s">
        <v>2926</v>
      </c>
      <c r="F84" s="290" t="s">
        <v>20</v>
      </c>
      <c r="G84" s="312" t="s">
        <v>2927</v>
      </c>
      <c r="H84" s="312" t="s">
        <v>2928</v>
      </c>
      <c r="I84" s="312" t="s">
        <v>2545</v>
      </c>
      <c r="J84" s="312" t="s">
        <v>2929</v>
      </c>
      <c r="K84" s="312" t="s">
        <v>2930</v>
      </c>
    </row>
    <row r="85" spans="1:11">
      <c r="A85" s="294"/>
      <c r="B85" s="296"/>
      <c r="C85" s="295"/>
      <c r="D85" s="291"/>
      <c r="E85" s="291"/>
      <c r="F85" s="291"/>
      <c r="G85" s="312" t="s">
        <v>2931</v>
      </c>
      <c r="H85" s="312" t="s">
        <v>2932</v>
      </c>
      <c r="I85" s="312" t="s">
        <v>94</v>
      </c>
      <c r="J85" s="312" t="s">
        <v>2933</v>
      </c>
      <c r="K85" s="312" t="s">
        <v>2807</v>
      </c>
    </row>
    <row r="86" spans="1:11">
      <c r="A86" s="294"/>
      <c r="B86" s="296"/>
      <c r="C86" s="295"/>
      <c r="D86" s="292" t="s">
        <v>2934</v>
      </c>
      <c r="E86" s="292" t="s">
        <v>2935</v>
      </c>
      <c r="F86" s="290" t="s">
        <v>20</v>
      </c>
      <c r="G86" s="312" t="s">
        <v>2936</v>
      </c>
      <c r="H86" s="312" t="s">
        <v>2937</v>
      </c>
      <c r="I86" s="312" t="s">
        <v>94</v>
      </c>
      <c r="J86" s="312" t="s">
        <v>2938</v>
      </c>
      <c r="K86" s="312" t="s">
        <v>2939</v>
      </c>
    </row>
    <row r="87" spans="1:11">
      <c r="A87" s="294"/>
      <c r="B87" s="296"/>
      <c r="C87" s="295"/>
      <c r="D87" s="291"/>
      <c r="E87" s="291"/>
      <c r="F87" s="291"/>
      <c r="G87" s="312" t="s">
        <v>2940</v>
      </c>
      <c r="H87" s="312" t="s">
        <v>2941</v>
      </c>
      <c r="I87" s="312" t="s">
        <v>94</v>
      </c>
      <c r="J87" s="312" t="s">
        <v>2942</v>
      </c>
      <c r="K87" s="312" t="s">
        <v>2943</v>
      </c>
    </row>
    <row r="88" spans="1:11">
      <c r="A88" s="294"/>
      <c r="B88" s="296"/>
      <c r="C88" s="295"/>
      <c r="D88" s="292" t="s">
        <v>2944</v>
      </c>
      <c r="E88" s="292" t="s">
        <v>2945</v>
      </c>
      <c r="F88" s="290" t="s">
        <v>229</v>
      </c>
      <c r="G88" s="312" t="s">
        <v>2946</v>
      </c>
      <c r="H88" s="312" t="s">
        <v>2947</v>
      </c>
      <c r="I88" s="312" t="s">
        <v>2545</v>
      </c>
      <c r="J88" s="312" t="s">
        <v>2948</v>
      </c>
      <c r="K88" s="312" t="s">
        <v>2949</v>
      </c>
    </row>
    <row r="89" spans="1:11">
      <c r="A89" s="294"/>
      <c r="B89" s="296"/>
      <c r="C89" s="289"/>
      <c r="D89" s="291"/>
      <c r="E89" s="291"/>
      <c r="F89" s="291"/>
      <c r="G89" s="312" t="s">
        <v>2808</v>
      </c>
      <c r="H89" s="312" t="s">
        <v>2950</v>
      </c>
      <c r="I89" s="312" t="s">
        <v>94</v>
      </c>
      <c r="J89" s="312" t="s">
        <v>2951</v>
      </c>
      <c r="K89" s="312" t="s">
        <v>2952</v>
      </c>
    </row>
    <row r="90" spans="1:11">
      <c r="A90" s="294"/>
      <c r="B90" s="296"/>
      <c r="C90" s="296" t="s">
        <v>2953</v>
      </c>
      <c r="D90" s="292" t="s">
        <v>2954</v>
      </c>
      <c r="E90" s="292" t="s">
        <v>2955</v>
      </c>
      <c r="F90" s="290" t="s">
        <v>20</v>
      </c>
      <c r="G90" s="312" t="s">
        <v>2956</v>
      </c>
      <c r="H90" s="312" t="s">
        <v>2957</v>
      </c>
      <c r="I90" s="312" t="s">
        <v>2545</v>
      </c>
      <c r="J90" s="312" t="s">
        <v>2958</v>
      </c>
      <c r="K90" s="312" t="s">
        <v>2959</v>
      </c>
    </row>
    <row r="91" spans="1:11">
      <c r="A91" s="294"/>
      <c r="B91" s="296"/>
      <c r="C91" s="296"/>
      <c r="D91" s="291"/>
      <c r="E91" s="291"/>
      <c r="F91" s="291"/>
      <c r="G91" s="312" t="s">
        <v>2960</v>
      </c>
      <c r="H91" s="312" t="s">
        <v>2961</v>
      </c>
      <c r="I91" s="312" t="s">
        <v>94</v>
      </c>
      <c r="J91" s="312" t="s">
        <v>2962</v>
      </c>
      <c r="K91" s="312" t="s">
        <v>2963</v>
      </c>
    </row>
    <row r="92" spans="1:11">
      <c r="A92" s="294"/>
      <c r="B92" s="296"/>
      <c r="C92" s="296"/>
      <c r="D92" s="292" t="s">
        <v>2964</v>
      </c>
      <c r="E92" s="292" t="s">
        <v>2965</v>
      </c>
      <c r="F92" s="290" t="s">
        <v>425</v>
      </c>
      <c r="G92" s="312" t="s">
        <v>2966</v>
      </c>
      <c r="H92" s="312" t="s">
        <v>2967</v>
      </c>
      <c r="I92" s="312" t="s">
        <v>2545</v>
      </c>
      <c r="J92" s="312" t="s">
        <v>2968</v>
      </c>
      <c r="K92" s="312" t="s">
        <v>2969</v>
      </c>
    </row>
    <row r="93" spans="1:11">
      <c r="A93" s="294"/>
      <c r="B93" s="296"/>
      <c r="C93" s="296"/>
      <c r="D93" s="291"/>
      <c r="E93" s="291"/>
      <c r="F93" s="291"/>
      <c r="G93" s="312" t="s">
        <v>2789</v>
      </c>
      <c r="H93" s="312" t="s">
        <v>2970</v>
      </c>
      <c r="I93" s="312" t="s">
        <v>94</v>
      </c>
      <c r="J93" s="312" t="s">
        <v>1970</v>
      </c>
      <c r="K93" s="312" t="s">
        <v>2851</v>
      </c>
    </row>
    <row r="94" spans="1:11">
      <c r="A94" s="294"/>
      <c r="B94" s="296"/>
      <c r="C94" s="296"/>
      <c r="D94" s="292" t="s">
        <v>2971</v>
      </c>
      <c r="E94" s="292" t="s">
        <v>2972</v>
      </c>
      <c r="F94" s="290" t="s">
        <v>229</v>
      </c>
      <c r="G94" s="312" t="s">
        <v>2973</v>
      </c>
      <c r="H94" s="312" t="s">
        <v>2974</v>
      </c>
      <c r="I94" s="312" t="s">
        <v>2545</v>
      </c>
      <c r="J94" s="312" t="s">
        <v>2975</v>
      </c>
      <c r="K94" s="312" t="s">
        <v>2976</v>
      </c>
    </row>
    <row r="95" spans="1:11">
      <c r="A95" s="294"/>
      <c r="B95" s="296"/>
      <c r="C95" s="296"/>
      <c r="D95" s="291"/>
      <c r="E95" s="291"/>
      <c r="F95" s="291"/>
      <c r="G95" s="312" t="s">
        <v>2977</v>
      </c>
      <c r="H95" s="312" t="s">
        <v>2978</v>
      </c>
      <c r="I95" s="312" t="s">
        <v>94</v>
      </c>
      <c r="J95" s="312" t="s">
        <v>2979</v>
      </c>
      <c r="K95" s="312" t="s">
        <v>2980</v>
      </c>
    </row>
    <row r="96" spans="1:11">
      <c r="A96" s="294"/>
      <c r="B96" s="296"/>
      <c r="C96" s="296"/>
      <c r="D96" s="292" t="s">
        <v>2981</v>
      </c>
      <c r="E96" s="292" t="s">
        <v>2982</v>
      </c>
      <c r="F96" s="290" t="s">
        <v>20</v>
      </c>
      <c r="G96" s="312" t="s">
        <v>2983</v>
      </c>
      <c r="H96" s="312" t="s">
        <v>2984</v>
      </c>
      <c r="I96" s="312" t="s">
        <v>94</v>
      </c>
      <c r="J96" s="312" t="s">
        <v>2985</v>
      </c>
      <c r="K96" s="312" t="s">
        <v>2619</v>
      </c>
    </row>
    <row r="97" spans="1:11">
      <c r="A97" s="294"/>
      <c r="B97" s="296"/>
      <c r="C97" s="296"/>
      <c r="D97" s="291"/>
      <c r="E97" s="291"/>
      <c r="F97" s="291"/>
      <c r="G97" s="312" t="s">
        <v>2986</v>
      </c>
      <c r="H97" s="312" t="s">
        <v>2987</v>
      </c>
      <c r="I97" s="312" t="s">
        <v>94</v>
      </c>
      <c r="J97" s="312" t="s">
        <v>2988</v>
      </c>
      <c r="K97" s="312" t="s">
        <v>2673</v>
      </c>
    </row>
    <row r="98" spans="1:11">
      <c r="A98" s="294"/>
      <c r="B98" s="296"/>
      <c r="C98" s="296"/>
      <c r="D98" s="288" t="s">
        <v>2989</v>
      </c>
      <c r="E98" s="288" t="s">
        <v>2990</v>
      </c>
      <c r="F98" s="302" t="s">
        <v>20</v>
      </c>
      <c r="G98" s="312" t="s">
        <v>2991</v>
      </c>
      <c r="H98" s="312" t="s">
        <v>2992</v>
      </c>
      <c r="I98" s="312" t="s">
        <v>2545</v>
      </c>
      <c r="J98" s="312" t="s">
        <v>2993</v>
      </c>
      <c r="K98" s="312" t="s">
        <v>2829</v>
      </c>
    </row>
    <row r="99" spans="1:11">
      <c r="A99" s="294"/>
      <c r="B99" s="296"/>
      <c r="C99" s="296"/>
      <c r="D99" s="289"/>
      <c r="E99" s="289"/>
      <c r="F99" s="303"/>
      <c r="G99" s="312" t="s">
        <v>2994</v>
      </c>
      <c r="H99" s="312" t="s">
        <v>2566</v>
      </c>
      <c r="I99" s="312" t="s">
        <v>94</v>
      </c>
      <c r="J99" s="312" t="s">
        <v>2995</v>
      </c>
      <c r="K99" s="312" t="s">
        <v>2996</v>
      </c>
    </row>
    <row r="100" spans="1:11">
      <c r="A100" s="294"/>
      <c r="B100" s="296"/>
      <c r="C100" s="296" t="s">
        <v>2997</v>
      </c>
      <c r="D100" s="313" t="s">
        <v>2998</v>
      </c>
      <c r="E100" s="314" t="s">
        <v>2999</v>
      </c>
      <c r="F100" s="315" t="s">
        <v>20</v>
      </c>
      <c r="G100" s="312" t="s">
        <v>3000</v>
      </c>
      <c r="H100" s="312" t="s">
        <v>3001</v>
      </c>
      <c r="I100" s="312" t="s">
        <v>2545</v>
      </c>
      <c r="J100" s="312" t="s">
        <v>3002</v>
      </c>
      <c r="K100" s="312" t="s">
        <v>3003</v>
      </c>
    </row>
    <row r="101" spans="1:11">
      <c r="A101" s="294"/>
      <c r="B101" s="296"/>
      <c r="C101" s="296"/>
      <c r="D101" s="316" t="s">
        <v>3004</v>
      </c>
      <c r="E101" s="314" t="s">
        <v>3005</v>
      </c>
      <c r="F101" s="314" t="s">
        <v>229</v>
      </c>
      <c r="G101" s="312" t="s">
        <v>3006</v>
      </c>
      <c r="H101" s="312" t="s">
        <v>3007</v>
      </c>
      <c r="I101" s="312" t="s">
        <v>2545</v>
      </c>
      <c r="J101" s="312" t="s">
        <v>3008</v>
      </c>
      <c r="K101" s="312" t="s">
        <v>3009</v>
      </c>
    </row>
    <row r="102" spans="1:11">
      <c r="A102" s="294"/>
      <c r="B102" s="296"/>
      <c r="C102" s="296"/>
      <c r="D102" s="316" t="s">
        <v>3010</v>
      </c>
      <c r="E102" s="314" t="s">
        <v>3011</v>
      </c>
      <c r="F102" s="314" t="s">
        <v>425</v>
      </c>
      <c r="G102" s="312" t="s">
        <v>3012</v>
      </c>
      <c r="H102" s="312" t="s">
        <v>3013</v>
      </c>
      <c r="I102" s="312" t="s">
        <v>2545</v>
      </c>
      <c r="J102" s="312" t="s">
        <v>3014</v>
      </c>
      <c r="K102" s="312" t="s">
        <v>3015</v>
      </c>
    </row>
    <row r="103" spans="1:11">
      <c r="A103" s="294"/>
      <c r="B103" s="296"/>
      <c r="C103" s="296"/>
      <c r="D103" s="316" t="s">
        <v>3016</v>
      </c>
      <c r="E103" s="314" t="s">
        <v>3017</v>
      </c>
      <c r="F103" s="314" t="s">
        <v>229</v>
      </c>
      <c r="G103" s="312" t="s">
        <v>3018</v>
      </c>
      <c r="H103" s="312" t="s">
        <v>3019</v>
      </c>
      <c r="I103" s="312" t="s">
        <v>2545</v>
      </c>
      <c r="J103" s="312" t="s">
        <v>2688</v>
      </c>
      <c r="K103" s="312" t="s">
        <v>3020</v>
      </c>
    </row>
    <row r="104" spans="1:11">
      <c r="A104" s="294"/>
      <c r="B104" s="296"/>
      <c r="C104" s="296"/>
      <c r="D104" s="316" t="s">
        <v>3021</v>
      </c>
      <c r="E104" s="314" t="s">
        <v>3022</v>
      </c>
      <c r="F104" s="314" t="s">
        <v>20</v>
      </c>
      <c r="G104" s="312" t="s">
        <v>3023</v>
      </c>
      <c r="H104" s="312" t="s">
        <v>3024</v>
      </c>
      <c r="I104" s="312" t="s">
        <v>2545</v>
      </c>
      <c r="J104" s="312" t="s">
        <v>2658</v>
      </c>
      <c r="K104" s="312" t="s">
        <v>3025</v>
      </c>
    </row>
    <row r="105" spans="1:11">
      <c r="A105" s="294"/>
      <c r="B105" s="292" t="s">
        <v>3026</v>
      </c>
      <c r="C105" s="296" t="s">
        <v>3027</v>
      </c>
      <c r="D105" s="316" t="s">
        <v>3028</v>
      </c>
      <c r="E105" s="314" t="s">
        <v>3029</v>
      </c>
      <c r="F105" s="314" t="s">
        <v>425</v>
      </c>
      <c r="G105" s="312" t="s">
        <v>3030</v>
      </c>
      <c r="H105" s="312" t="s">
        <v>3031</v>
      </c>
      <c r="I105" s="312" t="s">
        <v>2545</v>
      </c>
      <c r="J105" s="312" t="s">
        <v>3032</v>
      </c>
      <c r="K105" s="312" t="s">
        <v>3033</v>
      </c>
    </row>
    <row r="106" spans="1:11">
      <c r="A106" s="294"/>
      <c r="B106" s="301"/>
      <c r="C106" s="296"/>
      <c r="D106" s="316" t="s">
        <v>3034</v>
      </c>
      <c r="E106" s="314" t="s">
        <v>3035</v>
      </c>
      <c r="F106" s="314" t="s">
        <v>229</v>
      </c>
      <c r="G106" s="312" t="s">
        <v>3036</v>
      </c>
      <c r="H106" s="312" t="s">
        <v>3037</v>
      </c>
      <c r="I106" s="312" t="s">
        <v>94</v>
      </c>
      <c r="J106" s="312" t="s">
        <v>3038</v>
      </c>
      <c r="K106" s="312" t="s">
        <v>2673</v>
      </c>
    </row>
    <row r="107" spans="1:11">
      <c r="A107" s="294"/>
      <c r="B107" s="301"/>
      <c r="C107" s="296"/>
      <c r="D107" s="316" t="s">
        <v>3039</v>
      </c>
      <c r="E107" s="314" t="s">
        <v>3040</v>
      </c>
      <c r="F107" s="314" t="s">
        <v>20</v>
      </c>
      <c r="G107" s="312" t="s">
        <v>3041</v>
      </c>
      <c r="H107" s="312" t="s">
        <v>3042</v>
      </c>
      <c r="I107" s="312" t="s">
        <v>94</v>
      </c>
      <c r="J107" s="312" t="s">
        <v>3043</v>
      </c>
      <c r="K107" s="312" t="s">
        <v>3044</v>
      </c>
    </row>
    <row r="108" spans="1:11">
      <c r="A108" s="294"/>
      <c r="B108" s="301"/>
      <c r="C108" s="296"/>
      <c r="D108" s="316" t="s">
        <v>3045</v>
      </c>
      <c r="E108" s="314" t="s">
        <v>3046</v>
      </c>
      <c r="F108" s="314" t="s">
        <v>20</v>
      </c>
      <c r="G108" s="312" t="s">
        <v>3047</v>
      </c>
      <c r="H108" s="312" t="s">
        <v>3048</v>
      </c>
      <c r="I108" s="312" t="s">
        <v>2545</v>
      </c>
      <c r="J108" s="312" t="s">
        <v>3049</v>
      </c>
      <c r="K108" s="312" t="s">
        <v>3050</v>
      </c>
    </row>
    <row r="109" spans="1:11">
      <c r="A109" s="294"/>
      <c r="B109" s="301"/>
      <c r="C109" s="296"/>
      <c r="D109" s="316" t="s">
        <v>3051</v>
      </c>
      <c r="E109" s="314" t="s">
        <v>3052</v>
      </c>
      <c r="F109" s="314" t="s">
        <v>229</v>
      </c>
      <c r="G109" s="312" t="s">
        <v>2579</v>
      </c>
      <c r="H109" s="312" t="s">
        <v>3053</v>
      </c>
      <c r="I109" s="312" t="s">
        <v>2545</v>
      </c>
      <c r="J109" s="312" t="s">
        <v>3054</v>
      </c>
      <c r="K109" s="312" t="s">
        <v>3055</v>
      </c>
    </row>
    <row r="110" spans="1:11">
      <c r="A110" s="294"/>
      <c r="B110" s="301"/>
      <c r="C110" s="296" t="s">
        <v>3056</v>
      </c>
      <c r="D110" s="316" t="s">
        <v>3057</v>
      </c>
      <c r="E110" s="314" t="s">
        <v>3058</v>
      </c>
      <c r="F110" s="314" t="s">
        <v>425</v>
      </c>
      <c r="G110" s="312" t="s">
        <v>3059</v>
      </c>
      <c r="H110" s="312" t="s">
        <v>3060</v>
      </c>
      <c r="I110" s="312" t="s">
        <v>2545</v>
      </c>
      <c r="J110" s="312" t="s">
        <v>3061</v>
      </c>
      <c r="K110" s="312" t="s">
        <v>2669</v>
      </c>
    </row>
    <row r="111" spans="1:11">
      <c r="A111" s="294"/>
      <c r="B111" s="301"/>
      <c r="C111" s="296"/>
      <c r="D111" s="316" t="s">
        <v>3062</v>
      </c>
      <c r="E111" s="314" t="s">
        <v>3063</v>
      </c>
      <c r="F111" s="314" t="s">
        <v>20</v>
      </c>
      <c r="G111" s="312" t="s">
        <v>3064</v>
      </c>
      <c r="H111" s="312" t="s">
        <v>3065</v>
      </c>
      <c r="I111" s="312" t="s">
        <v>94</v>
      </c>
      <c r="J111" s="312" t="s">
        <v>3066</v>
      </c>
      <c r="K111" s="312" t="s">
        <v>3067</v>
      </c>
    </row>
    <row r="112" spans="1:11">
      <c r="A112" s="294"/>
      <c r="B112" s="301"/>
      <c r="C112" s="296"/>
      <c r="D112" s="316" t="s">
        <v>3068</v>
      </c>
      <c r="E112" s="314" t="s">
        <v>3069</v>
      </c>
      <c r="F112" s="314" t="s">
        <v>229</v>
      </c>
      <c r="G112" s="312" t="s">
        <v>3070</v>
      </c>
      <c r="H112" s="312" t="s">
        <v>3071</v>
      </c>
      <c r="I112" s="312" t="s">
        <v>94</v>
      </c>
      <c r="J112" s="312" t="s">
        <v>3072</v>
      </c>
      <c r="K112" s="312" t="s">
        <v>3073</v>
      </c>
    </row>
    <row r="113" spans="1:11">
      <c r="A113" s="294"/>
      <c r="B113" s="301"/>
      <c r="C113" s="296"/>
      <c r="D113" s="316" t="s">
        <v>3074</v>
      </c>
      <c r="E113" s="314" t="s">
        <v>3075</v>
      </c>
      <c r="F113" s="314" t="s">
        <v>425</v>
      </c>
      <c r="G113" s="312" t="s">
        <v>2808</v>
      </c>
      <c r="H113" s="312" t="s">
        <v>3076</v>
      </c>
      <c r="I113" s="312" t="s">
        <v>94</v>
      </c>
      <c r="J113" s="312" t="s">
        <v>2778</v>
      </c>
      <c r="K113" s="312" t="s">
        <v>3077</v>
      </c>
    </row>
    <row r="114" spans="1:11">
      <c r="A114" s="294"/>
      <c r="B114" s="301"/>
      <c r="C114" s="296"/>
      <c r="D114" s="316" t="s">
        <v>3078</v>
      </c>
      <c r="E114" s="314" t="s">
        <v>3079</v>
      </c>
      <c r="F114" s="314" t="s">
        <v>425</v>
      </c>
      <c r="G114" s="312" t="s">
        <v>3080</v>
      </c>
      <c r="H114" s="312" t="s">
        <v>3081</v>
      </c>
      <c r="I114" s="312" t="s">
        <v>2545</v>
      </c>
      <c r="J114" s="312" t="s">
        <v>3082</v>
      </c>
      <c r="K114" s="312" t="s">
        <v>3083</v>
      </c>
    </row>
    <row r="115" spans="1:11">
      <c r="A115" s="294"/>
      <c r="B115" s="301"/>
      <c r="C115" s="296" t="s">
        <v>3084</v>
      </c>
      <c r="D115" s="316" t="s">
        <v>3085</v>
      </c>
      <c r="E115" s="314" t="s">
        <v>3086</v>
      </c>
      <c r="F115" s="314" t="s">
        <v>20</v>
      </c>
      <c r="G115" s="312" t="s">
        <v>3087</v>
      </c>
      <c r="H115" s="312" t="s">
        <v>3088</v>
      </c>
      <c r="I115" s="312" t="s">
        <v>2545</v>
      </c>
      <c r="J115" s="312" t="s">
        <v>3089</v>
      </c>
      <c r="K115" s="312" t="s">
        <v>3090</v>
      </c>
    </row>
    <row r="116" spans="1:11">
      <c r="A116" s="294"/>
      <c r="B116" s="301"/>
      <c r="C116" s="296"/>
      <c r="D116" s="316" t="s">
        <v>3091</v>
      </c>
      <c r="E116" s="314" t="s">
        <v>3092</v>
      </c>
      <c r="F116" s="314" t="s">
        <v>229</v>
      </c>
      <c r="G116" s="312" t="s">
        <v>3093</v>
      </c>
      <c r="H116" s="312" t="s">
        <v>3094</v>
      </c>
      <c r="I116" s="312" t="s">
        <v>2545</v>
      </c>
      <c r="J116" s="312" t="s">
        <v>2587</v>
      </c>
      <c r="K116" s="312" t="s">
        <v>3095</v>
      </c>
    </row>
    <row r="117" spans="1:11">
      <c r="A117" s="294"/>
      <c r="B117" s="301"/>
      <c r="C117" s="296"/>
      <c r="D117" s="316" t="s">
        <v>3096</v>
      </c>
      <c r="E117" s="314" t="s">
        <v>3097</v>
      </c>
      <c r="F117" s="314" t="s">
        <v>20</v>
      </c>
      <c r="G117" s="312" t="s">
        <v>3098</v>
      </c>
      <c r="H117" s="312" t="s">
        <v>2910</v>
      </c>
      <c r="I117" s="312" t="s">
        <v>2545</v>
      </c>
      <c r="J117" s="312" t="s">
        <v>3099</v>
      </c>
      <c r="K117" s="312" t="s">
        <v>3100</v>
      </c>
    </row>
    <row r="118" spans="1:11">
      <c r="A118" s="294"/>
      <c r="B118" s="301"/>
      <c r="C118" s="296"/>
      <c r="D118" s="316" t="s">
        <v>3101</v>
      </c>
      <c r="E118" s="314" t="s">
        <v>3102</v>
      </c>
      <c r="F118" s="314" t="s">
        <v>425</v>
      </c>
      <c r="G118" s="312" t="s">
        <v>3103</v>
      </c>
      <c r="H118" s="312" t="s">
        <v>2770</v>
      </c>
      <c r="I118" s="312" t="s">
        <v>2545</v>
      </c>
      <c r="J118" s="312" t="s">
        <v>3104</v>
      </c>
      <c r="K118" s="312" t="s">
        <v>3105</v>
      </c>
    </row>
    <row r="119" spans="1:11">
      <c r="A119" s="294"/>
      <c r="B119" s="301"/>
      <c r="C119" s="296"/>
      <c r="D119" s="316" t="s">
        <v>3106</v>
      </c>
      <c r="E119" s="314" t="s">
        <v>3107</v>
      </c>
      <c r="F119" s="314" t="s">
        <v>229</v>
      </c>
      <c r="G119" s="312" t="s">
        <v>3108</v>
      </c>
      <c r="H119" s="312" t="s">
        <v>3109</v>
      </c>
      <c r="I119" s="312" t="s">
        <v>94</v>
      </c>
      <c r="J119" s="312" t="s">
        <v>3110</v>
      </c>
      <c r="K119" s="312" t="s">
        <v>3111</v>
      </c>
    </row>
    <row r="120" spans="1:11">
      <c r="A120" s="294"/>
      <c r="B120" s="301"/>
      <c r="C120" s="296" t="s">
        <v>3112</v>
      </c>
      <c r="D120" s="316" t="s">
        <v>3113</v>
      </c>
      <c r="E120" s="314" t="s">
        <v>3114</v>
      </c>
      <c r="F120" s="314" t="s">
        <v>20</v>
      </c>
      <c r="G120" s="312" t="s">
        <v>3115</v>
      </c>
      <c r="H120" s="312" t="s">
        <v>3116</v>
      </c>
      <c r="I120" s="312" t="s">
        <v>2545</v>
      </c>
      <c r="J120" s="312" t="s">
        <v>2672</v>
      </c>
      <c r="K120" s="312" t="s">
        <v>3117</v>
      </c>
    </row>
    <row r="121" spans="1:11">
      <c r="A121" s="294"/>
      <c r="B121" s="301"/>
      <c r="C121" s="296"/>
      <c r="D121" s="316" t="s">
        <v>3118</v>
      </c>
      <c r="E121" s="314" t="s">
        <v>3119</v>
      </c>
      <c r="F121" s="314" t="s">
        <v>229</v>
      </c>
      <c r="G121" s="312" t="s">
        <v>3120</v>
      </c>
      <c r="H121" s="312" t="s">
        <v>3121</v>
      </c>
      <c r="I121" s="312" t="s">
        <v>94</v>
      </c>
      <c r="J121" s="312" t="s">
        <v>3122</v>
      </c>
      <c r="K121" s="312" t="s">
        <v>3123</v>
      </c>
    </row>
    <row r="122" spans="1:11">
      <c r="A122" s="294"/>
      <c r="B122" s="301"/>
      <c r="C122" s="296"/>
      <c r="D122" s="316" t="s">
        <v>3124</v>
      </c>
      <c r="E122" s="314" t="s">
        <v>3125</v>
      </c>
      <c r="F122" s="314" t="s">
        <v>425</v>
      </c>
      <c r="G122" s="312" t="s">
        <v>2860</v>
      </c>
      <c r="H122" s="312" t="s">
        <v>3126</v>
      </c>
      <c r="I122" s="312" t="s">
        <v>94</v>
      </c>
      <c r="J122" s="312" t="s">
        <v>3127</v>
      </c>
      <c r="K122" s="312" t="s">
        <v>3128</v>
      </c>
    </row>
    <row r="123" spans="1:11">
      <c r="A123" s="294"/>
      <c r="B123" s="301"/>
      <c r="C123" s="296"/>
      <c r="D123" s="316" t="s">
        <v>3129</v>
      </c>
      <c r="E123" s="314" t="s">
        <v>3130</v>
      </c>
      <c r="F123" s="314" t="s">
        <v>20</v>
      </c>
      <c r="G123" s="312" t="s">
        <v>3131</v>
      </c>
      <c r="H123" s="312" t="s">
        <v>3132</v>
      </c>
      <c r="I123" s="312" t="s">
        <v>94</v>
      </c>
      <c r="J123" s="312" t="s">
        <v>3133</v>
      </c>
      <c r="K123" s="312" t="s">
        <v>3134</v>
      </c>
    </row>
    <row r="124" spans="1:11">
      <c r="A124" s="294"/>
      <c r="B124" s="301"/>
      <c r="C124" s="296"/>
      <c r="D124" s="316" t="s">
        <v>3135</v>
      </c>
      <c r="E124" s="314" t="s">
        <v>3136</v>
      </c>
      <c r="F124" s="314" t="s">
        <v>229</v>
      </c>
      <c r="G124" s="312" t="s">
        <v>3137</v>
      </c>
      <c r="H124" s="312" t="s">
        <v>3138</v>
      </c>
      <c r="I124" s="312" t="s">
        <v>2545</v>
      </c>
      <c r="J124" s="312" t="s">
        <v>3139</v>
      </c>
      <c r="K124" s="312" t="s">
        <v>3140</v>
      </c>
    </row>
    <row r="125" spans="1:11">
      <c r="A125" s="294"/>
      <c r="B125" s="301"/>
      <c r="C125" s="288" t="s">
        <v>3141</v>
      </c>
      <c r="D125" s="316" t="s">
        <v>3142</v>
      </c>
      <c r="E125" s="314" t="s">
        <v>3143</v>
      </c>
      <c r="F125" s="314" t="s">
        <v>425</v>
      </c>
      <c r="G125" s="312" t="s">
        <v>3144</v>
      </c>
      <c r="H125" s="312" t="s">
        <v>3145</v>
      </c>
      <c r="I125" s="312" t="s">
        <v>94</v>
      </c>
      <c r="J125" s="312" t="s">
        <v>2923</v>
      </c>
      <c r="K125" s="312" t="s">
        <v>3146</v>
      </c>
    </row>
    <row r="126" spans="1:11">
      <c r="A126" s="294"/>
      <c r="B126" s="301"/>
      <c r="C126" s="288"/>
      <c r="D126" s="316" t="s">
        <v>3147</v>
      </c>
      <c r="E126" s="314" t="s">
        <v>3148</v>
      </c>
      <c r="F126" s="314" t="s">
        <v>229</v>
      </c>
      <c r="G126" s="312" t="s">
        <v>3149</v>
      </c>
      <c r="H126" s="312" t="s">
        <v>3150</v>
      </c>
      <c r="I126" s="312" t="s">
        <v>94</v>
      </c>
      <c r="J126" s="312" t="s">
        <v>3151</v>
      </c>
      <c r="K126" s="312" t="s">
        <v>3152</v>
      </c>
    </row>
    <row r="127" spans="1:11">
      <c r="A127" s="294"/>
      <c r="B127" s="301"/>
      <c r="C127" s="288"/>
      <c r="D127" s="316" t="s">
        <v>3153</v>
      </c>
      <c r="E127" s="314" t="s">
        <v>3154</v>
      </c>
      <c r="F127" s="314" t="s">
        <v>20</v>
      </c>
      <c r="G127" s="312" t="s">
        <v>3155</v>
      </c>
      <c r="H127" s="312" t="s">
        <v>3156</v>
      </c>
      <c r="I127" s="312" t="s">
        <v>2545</v>
      </c>
      <c r="J127" s="312" t="s">
        <v>2791</v>
      </c>
      <c r="K127" s="312" t="s">
        <v>3157</v>
      </c>
    </row>
    <row r="128" spans="1:11">
      <c r="A128" s="294"/>
      <c r="B128" s="301"/>
      <c r="C128" s="288"/>
      <c r="D128" s="316" t="s">
        <v>3158</v>
      </c>
      <c r="E128" s="314" t="s">
        <v>3159</v>
      </c>
      <c r="F128" s="314" t="s">
        <v>425</v>
      </c>
      <c r="G128" s="312" t="s">
        <v>3160</v>
      </c>
      <c r="H128" s="312" t="s">
        <v>3161</v>
      </c>
      <c r="I128" s="312" t="s">
        <v>2560</v>
      </c>
      <c r="J128" s="312" t="s">
        <v>3162</v>
      </c>
      <c r="K128" s="312" t="s">
        <v>3163</v>
      </c>
    </row>
    <row r="129" spans="1:11">
      <c r="A129" s="294"/>
      <c r="B129" s="301"/>
      <c r="C129" s="288"/>
      <c r="D129" s="317" t="s">
        <v>3164</v>
      </c>
      <c r="E129" s="318" t="s">
        <v>3165</v>
      </c>
      <c r="F129" s="314" t="s">
        <v>20</v>
      </c>
      <c r="G129" s="312" t="s">
        <v>2931</v>
      </c>
      <c r="H129" s="312" t="s">
        <v>3071</v>
      </c>
      <c r="I129" s="312" t="s">
        <v>94</v>
      </c>
      <c r="J129" s="312" t="s">
        <v>3166</v>
      </c>
      <c r="K129" s="312" t="s">
        <v>3167</v>
      </c>
    </row>
    <row r="130" spans="1:11">
      <c r="A130" s="294"/>
      <c r="B130" s="301" t="s">
        <v>3168</v>
      </c>
      <c r="C130" s="296" t="s">
        <v>3169</v>
      </c>
      <c r="D130" s="316" t="s">
        <v>3170</v>
      </c>
      <c r="E130" s="314" t="s">
        <v>3171</v>
      </c>
      <c r="F130" s="314" t="s">
        <v>229</v>
      </c>
      <c r="G130" s="312" t="s">
        <v>3172</v>
      </c>
      <c r="H130" s="312" t="s">
        <v>3173</v>
      </c>
      <c r="I130" s="312" t="s">
        <v>2545</v>
      </c>
      <c r="J130" s="312" t="s">
        <v>3174</v>
      </c>
      <c r="K130" s="312" t="s">
        <v>2700</v>
      </c>
    </row>
    <row r="131" spans="1:11">
      <c r="A131" s="294"/>
      <c r="B131" s="301"/>
      <c r="C131" s="296"/>
      <c r="D131" s="316" t="s">
        <v>3175</v>
      </c>
      <c r="E131" s="314" t="s">
        <v>3176</v>
      </c>
      <c r="F131" s="314" t="s">
        <v>425</v>
      </c>
      <c r="G131" s="312" t="s">
        <v>3177</v>
      </c>
      <c r="H131" s="312" t="s">
        <v>3178</v>
      </c>
      <c r="I131" s="312" t="s">
        <v>94</v>
      </c>
      <c r="J131" s="312" t="s">
        <v>3179</v>
      </c>
      <c r="K131" s="312" t="s">
        <v>3180</v>
      </c>
    </row>
    <row r="132" spans="1:11">
      <c r="A132" s="294"/>
      <c r="B132" s="301"/>
      <c r="C132" s="296"/>
      <c r="D132" s="316" t="s">
        <v>3181</v>
      </c>
      <c r="E132" s="314" t="s">
        <v>3182</v>
      </c>
      <c r="F132" s="314" t="s">
        <v>229</v>
      </c>
      <c r="G132" s="312" t="s">
        <v>3183</v>
      </c>
      <c r="H132" s="312" t="s">
        <v>3184</v>
      </c>
      <c r="I132" s="312" t="s">
        <v>94</v>
      </c>
      <c r="J132" s="312" t="s">
        <v>3185</v>
      </c>
      <c r="K132" s="312" t="s">
        <v>3186</v>
      </c>
    </row>
    <row r="133" spans="1:11">
      <c r="A133" s="294"/>
      <c r="B133" s="301"/>
      <c r="C133" s="296"/>
      <c r="D133" s="316" t="s">
        <v>3187</v>
      </c>
      <c r="E133" s="314" t="s">
        <v>3188</v>
      </c>
      <c r="F133" s="314" t="s">
        <v>20</v>
      </c>
      <c r="G133" s="312" t="s">
        <v>3189</v>
      </c>
      <c r="H133" s="312" t="s">
        <v>3190</v>
      </c>
      <c r="I133" s="312" t="s">
        <v>94</v>
      </c>
      <c r="J133" s="312" t="s">
        <v>3191</v>
      </c>
      <c r="K133" s="312" t="s">
        <v>3192</v>
      </c>
    </row>
    <row r="134" spans="1:11">
      <c r="A134" s="294"/>
      <c r="B134" s="301"/>
      <c r="C134" s="296"/>
      <c r="D134" s="316" t="s">
        <v>3193</v>
      </c>
      <c r="E134" s="314" t="s">
        <v>3194</v>
      </c>
      <c r="F134" s="314" t="s">
        <v>229</v>
      </c>
      <c r="G134" s="312" t="s">
        <v>2841</v>
      </c>
      <c r="H134" s="312" t="s">
        <v>3195</v>
      </c>
      <c r="I134" s="312" t="s">
        <v>94</v>
      </c>
      <c r="J134" s="312" t="s">
        <v>3196</v>
      </c>
      <c r="K134" s="312" t="s">
        <v>3197</v>
      </c>
    </row>
    <row r="135" spans="1:11">
      <c r="A135" s="294"/>
      <c r="B135" s="301"/>
      <c r="C135" s="296" t="s">
        <v>3198</v>
      </c>
      <c r="D135" s="316" t="s">
        <v>3199</v>
      </c>
      <c r="E135" s="314" t="s">
        <v>3200</v>
      </c>
      <c r="F135" s="314" t="s">
        <v>425</v>
      </c>
      <c r="G135" s="312" t="s">
        <v>3201</v>
      </c>
      <c r="H135" s="312" t="s">
        <v>3202</v>
      </c>
      <c r="I135" s="312" t="s">
        <v>2545</v>
      </c>
      <c r="J135" s="312" t="s">
        <v>3203</v>
      </c>
      <c r="K135" s="312" t="s">
        <v>3204</v>
      </c>
    </row>
    <row r="136" spans="1:11">
      <c r="A136" s="294"/>
      <c r="B136" s="301"/>
      <c r="C136" s="296"/>
      <c r="D136" s="316" t="s">
        <v>3205</v>
      </c>
      <c r="E136" s="314" t="s">
        <v>3206</v>
      </c>
      <c r="F136" s="314" t="s">
        <v>20</v>
      </c>
      <c r="G136" s="312" t="s">
        <v>3207</v>
      </c>
      <c r="H136" s="312" t="s">
        <v>3208</v>
      </c>
      <c r="I136" s="312" t="s">
        <v>2560</v>
      </c>
      <c r="J136" s="312" t="s">
        <v>2612</v>
      </c>
      <c r="K136" s="312" t="s">
        <v>2673</v>
      </c>
    </row>
    <row r="137" spans="1:11">
      <c r="A137" s="294"/>
      <c r="B137" s="301"/>
      <c r="C137" s="296"/>
      <c r="D137" s="316" t="s">
        <v>3209</v>
      </c>
      <c r="E137" s="314" t="s">
        <v>3210</v>
      </c>
      <c r="F137" s="314" t="s">
        <v>229</v>
      </c>
      <c r="G137" s="312" t="s">
        <v>3211</v>
      </c>
      <c r="H137" s="312" t="s">
        <v>3212</v>
      </c>
      <c r="I137" s="312" t="s">
        <v>94</v>
      </c>
      <c r="J137" s="312" t="s">
        <v>2756</v>
      </c>
      <c r="K137" s="312" t="s">
        <v>3213</v>
      </c>
    </row>
    <row r="138" spans="1:11">
      <c r="A138" s="294"/>
      <c r="B138" s="301"/>
      <c r="C138" s="296"/>
      <c r="D138" s="316" t="s">
        <v>3214</v>
      </c>
      <c r="E138" s="314" t="s">
        <v>3215</v>
      </c>
      <c r="F138" s="314" t="s">
        <v>20</v>
      </c>
      <c r="G138" s="312" t="s">
        <v>3216</v>
      </c>
      <c r="H138" s="312" t="s">
        <v>3217</v>
      </c>
      <c r="I138" s="312" t="s">
        <v>2545</v>
      </c>
      <c r="J138" s="312" t="s">
        <v>2648</v>
      </c>
      <c r="K138" s="312" t="s">
        <v>3218</v>
      </c>
    </row>
    <row r="139" spans="1:11">
      <c r="A139" s="294"/>
      <c r="B139" s="301"/>
      <c r="C139" s="296"/>
      <c r="D139" s="316" t="s">
        <v>3219</v>
      </c>
      <c r="E139" s="314" t="s">
        <v>3220</v>
      </c>
      <c r="F139" s="314" t="s">
        <v>425</v>
      </c>
      <c r="G139" s="312" t="s">
        <v>3221</v>
      </c>
      <c r="H139" s="312" t="s">
        <v>3222</v>
      </c>
      <c r="I139" s="312" t="s">
        <v>2545</v>
      </c>
      <c r="J139" s="312" t="s">
        <v>3223</v>
      </c>
      <c r="K139" s="312" t="s">
        <v>3224</v>
      </c>
    </row>
    <row r="140" spans="1:11">
      <c r="A140" s="294"/>
      <c r="B140" s="301"/>
      <c r="C140" s="296" t="s">
        <v>3225</v>
      </c>
      <c r="D140" s="316" t="s">
        <v>3226</v>
      </c>
      <c r="E140" s="314" t="s">
        <v>3227</v>
      </c>
      <c r="F140" s="314" t="s">
        <v>229</v>
      </c>
      <c r="G140" s="312" t="s">
        <v>3228</v>
      </c>
      <c r="H140" s="312" t="s">
        <v>3229</v>
      </c>
      <c r="I140" s="312" t="s">
        <v>2545</v>
      </c>
      <c r="J140" s="312" t="s">
        <v>2667</v>
      </c>
      <c r="K140" s="312" t="s">
        <v>3230</v>
      </c>
    </row>
    <row r="141" spans="1:11">
      <c r="A141" s="294"/>
      <c r="B141" s="301"/>
      <c r="C141" s="296"/>
      <c r="D141" s="316" t="s">
        <v>3231</v>
      </c>
      <c r="E141" s="314" t="s">
        <v>3232</v>
      </c>
      <c r="F141" s="314" t="s">
        <v>20</v>
      </c>
      <c r="G141" s="312" t="s">
        <v>3233</v>
      </c>
      <c r="H141" s="312" t="s">
        <v>3234</v>
      </c>
      <c r="I141" s="312" t="s">
        <v>94</v>
      </c>
      <c r="J141" s="312" t="s">
        <v>3235</v>
      </c>
      <c r="K141" s="312" t="s">
        <v>3236</v>
      </c>
    </row>
    <row r="142" spans="1:11">
      <c r="A142" s="294"/>
      <c r="B142" s="301"/>
      <c r="C142" s="296"/>
      <c r="D142" s="316" t="s">
        <v>3237</v>
      </c>
      <c r="E142" s="314" t="s">
        <v>3238</v>
      </c>
      <c r="F142" s="314" t="s">
        <v>425</v>
      </c>
      <c r="G142" s="312" t="s">
        <v>3239</v>
      </c>
      <c r="H142" s="312" t="s">
        <v>3240</v>
      </c>
      <c r="I142" s="312" t="s">
        <v>94</v>
      </c>
      <c r="J142" s="312" t="s">
        <v>3241</v>
      </c>
      <c r="K142" s="312" t="s">
        <v>3242</v>
      </c>
    </row>
    <row r="143" spans="1:11">
      <c r="A143" s="294"/>
      <c r="B143" s="301"/>
      <c r="C143" s="296"/>
      <c r="D143" s="316" t="s">
        <v>3243</v>
      </c>
      <c r="E143" s="314" t="s">
        <v>3244</v>
      </c>
      <c r="F143" s="314" t="s">
        <v>229</v>
      </c>
      <c r="G143" s="312" t="s">
        <v>3245</v>
      </c>
      <c r="H143" s="312" t="s">
        <v>3246</v>
      </c>
      <c r="I143" s="312" t="s">
        <v>2545</v>
      </c>
      <c r="J143" s="312" t="s">
        <v>3247</v>
      </c>
      <c r="K143" s="312" t="s">
        <v>3248</v>
      </c>
    </row>
    <row r="144" spans="1:11">
      <c r="A144" s="294"/>
      <c r="B144" s="301"/>
      <c r="C144" s="296"/>
      <c r="D144" s="316" t="s">
        <v>3249</v>
      </c>
      <c r="E144" s="314" t="s">
        <v>3250</v>
      </c>
      <c r="F144" s="314" t="s">
        <v>20</v>
      </c>
      <c r="G144" s="312" t="s">
        <v>3251</v>
      </c>
      <c r="H144" s="312" t="s">
        <v>3252</v>
      </c>
      <c r="I144" s="312" t="s">
        <v>94</v>
      </c>
      <c r="J144" s="312" t="s">
        <v>3253</v>
      </c>
      <c r="K144" s="312" t="s">
        <v>3254</v>
      </c>
    </row>
    <row r="145" spans="1:11">
      <c r="A145" s="294"/>
      <c r="B145" s="301"/>
      <c r="C145" s="296" t="s">
        <v>3255</v>
      </c>
      <c r="D145" s="316" t="s">
        <v>3256</v>
      </c>
      <c r="E145" s="314" t="s">
        <v>3257</v>
      </c>
      <c r="F145" s="314" t="s">
        <v>229</v>
      </c>
      <c r="G145" s="312" t="s">
        <v>3258</v>
      </c>
      <c r="H145" s="312" t="s">
        <v>3259</v>
      </c>
      <c r="I145" s="312" t="s">
        <v>2545</v>
      </c>
      <c r="J145" s="312" t="s">
        <v>3260</v>
      </c>
      <c r="K145" s="312" t="s">
        <v>3261</v>
      </c>
    </row>
    <row r="146" spans="1:11">
      <c r="A146" s="294"/>
      <c r="B146" s="301"/>
      <c r="C146" s="296"/>
      <c r="D146" s="316" t="s">
        <v>3262</v>
      </c>
      <c r="E146" s="314" t="s">
        <v>3263</v>
      </c>
      <c r="F146" s="314" t="s">
        <v>425</v>
      </c>
      <c r="G146" s="312" t="s">
        <v>3264</v>
      </c>
      <c r="H146" s="312" t="s">
        <v>3265</v>
      </c>
      <c r="I146" s="312" t="s">
        <v>94</v>
      </c>
      <c r="J146" s="312" t="s">
        <v>3266</v>
      </c>
      <c r="K146" s="312" t="s">
        <v>3267</v>
      </c>
    </row>
    <row r="147" spans="1:11">
      <c r="A147" s="294"/>
      <c r="B147" s="301"/>
      <c r="C147" s="296"/>
      <c r="D147" s="316" t="s">
        <v>3268</v>
      </c>
      <c r="E147" s="314" t="s">
        <v>3269</v>
      </c>
      <c r="F147" s="314" t="s">
        <v>20</v>
      </c>
      <c r="G147" s="312" t="s">
        <v>3270</v>
      </c>
      <c r="H147" s="312" t="s">
        <v>3271</v>
      </c>
      <c r="I147" s="312" t="s">
        <v>2545</v>
      </c>
      <c r="J147" s="312" t="s">
        <v>3272</v>
      </c>
      <c r="K147" s="312" t="s">
        <v>3273</v>
      </c>
    </row>
    <row r="148" spans="1:11">
      <c r="A148" s="294"/>
      <c r="B148" s="301"/>
      <c r="C148" s="296"/>
      <c r="D148" s="316" t="s">
        <v>3274</v>
      </c>
      <c r="E148" s="314" t="s">
        <v>3275</v>
      </c>
      <c r="F148" s="314" t="s">
        <v>229</v>
      </c>
      <c r="G148" s="312" t="s">
        <v>3276</v>
      </c>
      <c r="H148" s="312" t="s">
        <v>3277</v>
      </c>
      <c r="I148" s="312" t="s">
        <v>94</v>
      </c>
      <c r="J148" s="312" t="s">
        <v>2612</v>
      </c>
      <c r="K148" s="312" t="s">
        <v>3278</v>
      </c>
    </row>
    <row r="149" spans="1:11">
      <c r="A149" s="294"/>
      <c r="B149" s="301"/>
      <c r="C149" s="296"/>
      <c r="D149" s="316" t="s">
        <v>3279</v>
      </c>
      <c r="E149" s="314" t="s">
        <v>3280</v>
      </c>
      <c r="F149" s="314" t="s">
        <v>425</v>
      </c>
      <c r="G149" s="312" t="s">
        <v>3281</v>
      </c>
      <c r="H149" s="312" t="s">
        <v>3007</v>
      </c>
      <c r="I149" s="312" t="s">
        <v>94</v>
      </c>
      <c r="J149" s="312" t="s">
        <v>3282</v>
      </c>
      <c r="K149" s="312" t="s">
        <v>3283</v>
      </c>
    </row>
    <row r="150" spans="1:11">
      <c r="A150" s="294"/>
      <c r="B150" s="301"/>
      <c r="C150" s="296" t="s">
        <v>3284</v>
      </c>
      <c r="D150" s="316" t="s">
        <v>3285</v>
      </c>
      <c r="E150" s="314" t="s">
        <v>3286</v>
      </c>
      <c r="F150" s="314" t="s">
        <v>20</v>
      </c>
      <c r="G150" s="312" t="s">
        <v>3287</v>
      </c>
      <c r="H150" s="312" t="s">
        <v>3288</v>
      </c>
      <c r="I150" s="312" t="s">
        <v>94</v>
      </c>
      <c r="J150" s="312" t="s">
        <v>3289</v>
      </c>
      <c r="K150" s="312" t="s">
        <v>2851</v>
      </c>
    </row>
    <row r="151" spans="1:11">
      <c r="A151" s="294"/>
      <c r="B151" s="301"/>
      <c r="C151" s="296"/>
      <c r="D151" s="316" t="s">
        <v>3290</v>
      </c>
      <c r="E151" s="314" t="s">
        <v>3291</v>
      </c>
      <c r="F151" s="314" t="s">
        <v>229</v>
      </c>
      <c r="G151" s="312" t="s">
        <v>3292</v>
      </c>
      <c r="H151" s="312" t="s">
        <v>3293</v>
      </c>
      <c r="I151" s="312" t="s">
        <v>2545</v>
      </c>
      <c r="J151" s="312" t="s">
        <v>2891</v>
      </c>
      <c r="K151" s="312" t="s">
        <v>3294</v>
      </c>
    </row>
    <row r="152" spans="1:11">
      <c r="A152" s="294"/>
      <c r="B152" s="301"/>
      <c r="C152" s="296"/>
      <c r="D152" s="316" t="s">
        <v>3295</v>
      </c>
      <c r="E152" s="314" t="s">
        <v>3296</v>
      </c>
      <c r="F152" s="314" t="s">
        <v>20</v>
      </c>
      <c r="G152" s="312" t="s">
        <v>3297</v>
      </c>
      <c r="H152" s="312" t="s">
        <v>3298</v>
      </c>
      <c r="I152" s="312" t="s">
        <v>2545</v>
      </c>
      <c r="J152" s="312" t="s">
        <v>3299</v>
      </c>
      <c r="K152" s="312" t="s">
        <v>2693</v>
      </c>
    </row>
    <row r="153" spans="1:11">
      <c r="A153" s="294"/>
      <c r="B153" s="301"/>
      <c r="C153" s="296"/>
      <c r="D153" s="316" t="s">
        <v>3300</v>
      </c>
      <c r="E153" s="314" t="s">
        <v>3301</v>
      </c>
      <c r="F153" s="314" t="s">
        <v>20</v>
      </c>
      <c r="G153" s="312" t="s">
        <v>3302</v>
      </c>
      <c r="H153" s="312" t="s">
        <v>3303</v>
      </c>
      <c r="I153" s="312" t="s">
        <v>94</v>
      </c>
      <c r="J153" s="312" t="s">
        <v>3304</v>
      </c>
      <c r="K153" s="312" t="s">
        <v>3305</v>
      </c>
    </row>
    <row r="154" spans="1:11">
      <c r="A154" s="294"/>
      <c r="B154" s="301"/>
      <c r="C154" s="296"/>
      <c r="D154" s="316" t="s">
        <v>3306</v>
      </c>
      <c r="E154" s="314" t="s">
        <v>3307</v>
      </c>
      <c r="F154" s="314" t="s">
        <v>229</v>
      </c>
      <c r="G154" s="312" t="s">
        <v>3308</v>
      </c>
      <c r="H154" s="312" t="s">
        <v>3309</v>
      </c>
      <c r="I154" s="312" t="s">
        <v>2545</v>
      </c>
      <c r="J154" s="312" t="s">
        <v>3310</v>
      </c>
      <c r="K154" s="312" t="s">
        <v>3311</v>
      </c>
    </row>
    <row r="155" spans="1:11">
      <c r="A155" s="294"/>
      <c r="B155" s="301" t="s">
        <v>3312</v>
      </c>
      <c r="C155" s="296" t="s">
        <v>3313</v>
      </c>
      <c r="D155" s="316" t="s">
        <v>3314</v>
      </c>
      <c r="E155" s="314" t="s">
        <v>3315</v>
      </c>
      <c r="F155" s="314" t="s">
        <v>425</v>
      </c>
      <c r="G155" s="312" t="s">
        <v>3316</v>
      </c>
      <c r="H155" s="312" t="s">
        <v>3317</v>
      </c>
      <c r="I155" s="312" t="s">
        <v>94</v>
      </c>
      <c r="J155" s="312" t="s">
        <v>3318</v>
      </c>
      <c r="K155" s="312" t="s">
        <v>3319</v>
      </c>
    </row>
    <row r="156" spans="1:11">
      <c r="A156" s="294"/>
      <c r="B156" s="301"/>
      <c r="C156" s="296"/>
      <c r="D156" s="316" t="s">
        <v>3320</v>
      </c>
      <c r="E156" s="314" t="s">
        <v>3321</v>
      </c>
      <c r="F156" s="314" t="s">
        <v>229</v>
      </c>
      <c r="G156" s="312" t="s">
        <v>3322</v>
      </c>
      <c r="H156" s="312" t="s">
        <v>3323</v>
      </c>
      <c r="I156" s="312" t="s">
        <v>94</v>
      </c>
      <c r="J156" s="312" t="s">
        <v>3324</v>
      </c>
      <c r="K156" s="312" t="s">
        <v>3325</v>
      </c>
    </row>
    <row r="157" spans="1:11">
      <c r="A157" s="294"/>
      <c r="B157" s="301"/>
      <c r="C157" s="296"/>
      <c r="D157" s="316" t="s">
        <v>3326</v>
      </c>
      <c r="E157" s="314" t="s">
        <v>3327</v>
      </c>
      <c r="F157" s="314" t="s">
        <v>20</v>
      </c>
      <c r="G157" s="312" t="s">
        <v>3328</v>
      </c>
      <c r="H157" s="312" t="s">
        <v>3329</v>
      </c>
      <c r="I157" s="312" t="s">
        <v>2545</v>
      </c>
      <c r="J157" s="312" t="s">
        <v>3330</v>
      </c>
      <c r="K157" s="312" t="s">
        <v>3331</v>
      </c>
    </row>
    <row r="158" spans="1:11">
      <c r="A158" s="294"/>
      <c r="B158" s="301"/>
      <c r="C158" s="296"/>
      <c r="D158" s="316" t="s">
        <v>3332</v>
      </c>
      <c r="E158" s="314" t="s">
        <v>3333</v>
      </c>
      <c r="F158" s="314" t="s">
        <v>425</v>
      </c>
      <c r="G158" s="312" t="s">
        <v>3334</v>
      </c>
      <c r="H158" s="312" t="s">
        <v>3335</v>
      </c>
      <c r="I158" s="312" t="s">
        <v>94</v>
      </c>
      <c r="J158" s="312" t="s">
        <v>3336</v>
      </c>
      <c r="K158" s="312" t="s">
        <v>3337</v>
      </c>
    </row>
    <row r="159" spans="1:11">
      <c r="A159" s="294"/>
      <c r="B159" s="301"/>
      <c r="C159" s="296"/>
      <c r="D159" s="316" t="s">
        <v>3338</v>
      </c>
      <c r="E159" s="314" t="s">
        <v>3339</v>
      </c>
      <c r="F159" s="314" t="s">
        <v>229</v>
      </c>
      <c r="G159" s="312" t="s">
        <v>3340</v>
      </c>
      <c r="H159" s="312" t="s">
        <v>3341</v>
      </c>
      <c r="I159" s="312" t="s">
        <v>2545</v>
      </c>
      <c r="J159" s="312" t="s">
        <v>3342</v>
      </c>
      <c r="K159" s="312" t="s">
        <v>3343</v>
      </c>
    </row>
    <row r="160" spans="1:11">
      <c r="A160" s="294"/>
      <c r="B160" s="301"/>
      <c r="C160" s="296" t="s">
        <v>3344</v>
      </c>
      <c r="D160" s="316" t="s">
        <v>3345</v>
      </c>
      <c r="E160" s="314" t="s">
        <v>3346</v>
      </c>
      <c r="F160" s="314" t="s">
        <v>20</v>
      </c>
      <c r="G160" s="312" t="s">
        <v>3347</v>
      </c>
      <c r="H160" s="312" t="s">
        <v>3348</v>
      </c>
      <c r="I160" s="312" t="s">
        <v>2545</v>
      </c>
      <c r="J160" s="312" t="s">
        <v>2598</v>
      </c>
      <c r="K160" s="312" t="s">
        <v>3349</v>
      </c>
    </row>
    <row r="161" spans="1:11">
      <c r="A161" s="294"/>
      <c r="B161" s="301"/>
      <c r="C161" s="296"/>
      <c r="D161" s="316" t="s">
        <v>3350</v>
      </c>
      <c r="E161" s="314" t="s">
        <v>3351</v>
      </c>
      <c r="F161" s="314" t="s">
        <v>20</v>
      </c>
      <c r="G161" s="312" t="s">
        <v>2610</v>
      </c>
      <c r="H161" s="312" t="s">
        <v>3352</v>
      </c>
      <c r="I161" s="312" t="s">
        <v>94</v>
      </c>
      <c r="J161" s="312" t="s">
        <v>3353</v>
      </c>
      <c r="K161" s="312" t="s">
        <v>3224</v>
      </c>
    </row>
    <row r="162" spans="1:11">
      <c r="A162" s="294"/>
      <c r="B162" s="301"/>
      <c r="C162" s="296"/>
      <c r="D162" s="316" t="s">
        <v>3354</v>
      </c>
      <c r="E162" s="314" t="s">
        <v>3355</v>
      </c>
      <c r="F162" s="314" t="s">
        <v>229</v>
      </c>
      <c r="G162" s="312" t="s">
        <v>3356</v>
      </c>
      <c r="H162" s="312" t="s">
        <v>3357</v>
      </c>
      <c r="I162" s="312" t="s">
        <v>94</v>
      </c>
      <c r="J162" s="312" t="s">
        <v>3235</v>
      </c>
      <c r="K162" s="312" t="s">
        <v>3358</v>
      </c>
    </row>
    <row r="163" spans="1:11">
      <c r="A163" s="294"/>
      <c r="B163" s="301"/>
      <c r="C163" s="296"/>
      <c r="D163" s="316" t="s">
        <v>3359</v>
      </c>
      <c r="E163" s="314" t="s">
        <v>3360</v>
      </c>
      <c r="F163" s="314" t="s">
        <v>425</v>
      </c>
      <c r="G163" s="312" t="s">
        <v>3361</v>
      </c>
      <c r="H163" s="312" t="s">
        <v>3362</v>
      </c>
      <c r="I163" s="312" t="s">
        <v>2545</v>
      </c>
      <c r="J163" s="312" t="s">
        <v>3363</v>
      </c>
      <c r="K163" s="312" t="s">
        <v>3364</v>
      </c>
    </row>
    <row r="164" spans="1:11">
      <c r="A164" s="294"/>
      <c r="B164" s="301"/>
      <c r="C164" s="296"/>
      <c r="D164" s="316" t="s">
        <v>3365</v>
      </c>
      <c r="E164" s="314" t="s">
        <v>3366</v>
      </c>
      <c r="F164" s="314" t="s">
        <v>20</v>
      </c>
      <c r="G164" s="312" t="s">
        <v>3367</v>
      </c>
      <c r="H164" s="312" t="s">
        <v>3368</v>
      </c>
      <c r="I164" s="312" t="s">
        <v>94</v>
      </c>
      <c r="J164" s="312" t="s">
        <v>3369</v>
      </c>
      <c r="K164" s="312" t="s">
        <v>3370</v>
      </c>
    </row>
    <row r="165" spans="1:11">
      <c r="A165" s="294"/>
      <c r="B165" s="301"/>
      <c r="C165" s="296" t="s">
        <v>3371</v>
      </c>
      <c r="D165" s="316" t="s">
        <v>3372</v>
      </c>
      <c r="E165" s="314" t="s">
        <v>3373</v>
      </c>
      <c r="F165" s="314" t="s">
        <v>229</v>
      </c>
      <c r="G165" s="312" t="s">
        <v>3374</v>
      </c>
      <c r="H165" s="312" t="s">
        <v>2786</v>
      </c>
      <c r="I165" s="312" t="s">
        <v>2545</v>
      </c>
      <c r="J165" s="312" t="s">
        <v>2805</v>
      </c>
      <c r="K165" s="312" t="s">
        <v>3375</v>
      </c>
    </row>
    <row r="166" spans="1:11">
      <c r="A166" s="294"/>
      <c r="B166" s="301"/>
      <c r="C166" s="296"/>
      <c r="D166" s="316" t="s">
        <v>3376</v>
      </c>
      <c r="E166" s="314" t="s">
        <v>3377</v>
      </c>
      <c r="F166" s="314" t="s">
        <v>425</v>
      </c>
      <c r="G166" s="312" t="s">
        <v>3378</v>
      </c>
      <c r="H166" s="312" t="s">
        <v>3379</v>
      </c>
      <c r="I166" s="312" t="s">
        <v>2545</v>
      </c>
      <c r="J166" s="312" t="s">
        <v>2601</v>
      </c>
      <c r="K166" s="312" t="s">
        <v>3380</v>
      </c>
    </row>
    <row r="167" spans="1:11">
      <c r="A167" s="294"/>
      <c r="B167" s="301"/>
      <c r="C167" s="296"/>
      <c r="D167" s="316" t="s">
        <v>3381</v>
      </c>
      <c r="E167" s="314" t="s">
        <v>3382</v>
      </c>
      <c r="F167" s="314" t="s">
        <v>425</v>
      </c>
      <c r="G167" s="312" t="s">
        <v>3383</v>
      </c>
      <c r="H167" s="312" t="s">
        <v>3384</v>
      </c>
      <c r="I167" s="312" t="s">
        <v>2545</v>
      </c>
      <c r="J167" s="312" t="s">
        <v>2581</v>
      </c>
      <c r="K167" s="312" t="s">
        <v>3385</v>
      </c>
    </row>
    <row r="168" spans="1:11">
      <c r="A168" s="294"/>
      <c r="B168" s="301"/>
      <c r="C168" s="296"/>
      <c r="D168" s="316" t="s">
        <v>3386</v>
      </c>
      <c r="E168" s="314" t="s">
        <v>3387</v>
      </c>
      <c r="F168" s="314" t="s">
        <v>20</v>
      </c>
      <c r="G168" s="312" t="s">
        <v>3388</v>
      </c>
      <c r="H168" s="312" t="s">
        <v>2815</v>
      </c>
      <c r="I168" s="312" t="s">
        <v>2545</v>
      </c>
      <c r="J168" s="312" t="s">
        <v>3389</v>
      </c>
      <c r="K168" s="312" t="s">
        <v>3390</v>
      </c>
    </row>
    <row r="169" spans="1:11">
      <c r="A169" s="294"/>
      <c r="B169" s="301"/>
      <c r="C169" s="296"/>
      <c r="D169" s="316" t="s">
        <v>3391</v>
      </c>
      <c r="E169" s="314" t="s">
        <v>3392</v>
      </c>
      <c r="F169" s="314" t="s">
        <v>229</v>
      </c>
      <c r="G169" s="312" t="s">
        <v>3393</v>
      </c>
      <c r="H169" s="312" t="s">
        <v>3394</v>
      </c>
      <c r="I169" s="312" t="s">
        <v>2545</v>
      </c>
      <c r="J169" s="312" t="s">
        <v>3395</v>
      </c>
      <c r="K169" s="312" t="s">
        <v>3396</v>
      </c>
    </row>
    <row r="170" spans="1:11">
      <c r="A170" s="294"/>
      <c r="B170" s="301"/>
      <c r="C170" s="296" t="s">
        <v>3397</v>
      </c>
      <c r="D170" s="316" t="s">
        <v>3398</v>
      </c>
      <c r="E170" s="314" t="s">
        <v>3399</v>
      </c>
      <c r="F170" s="314" t="s">
        <v>20</v>
      </c>
      <c r="G170" s="312" t="s">
        <v>3400</v>
      </c>
      <c r="H170" s="312" t="s">
        <v>3401</v>
      </c>
      <c r="I170" s="312" t="s">
        <v>2545</v>
      </c>
      <c r="J170" s="312" t="s">
        <v>3402</v>
      </c>
      <c r="K170" s="312" t="s">
        <v>3403</v>
      </c>
    </row>
    <row r="171" spans="1:11">
      <c r="A171" s="294"/>
      <c r="B171" s="301"/>
      <c r="C171" s="296"/>
      <c r="D171" s="316" t="s">
        <v>3404</v>
      </c>
      <c r="E171" s="314" t="s">
        <v>3405</v>
      </c>
      <c r="F171" s="314" t="s">
        <v>425</v>
      </c>
      <c r="G171" s="312" t="s">
        <v>3406</v>
      </c>
      <c r="H171" s="312" t="s">
        <v>3407</v>
      </c>
      <c r="I171" s="312" t="s">
        <v>94</v>
      </c>
      <c r="J171" s="312" t="s">
        <v>3208</v>
      </c>
      <c r="K171" s="312" t="s">
        <v>3408</v>
      </c>
    </row>
    <row r="172" spans="1:11">
      <c r="A172" s="294"/>
      <c r="B172" s="301"/>
      <c r="C172" s="296"/>
      <c r="D172" s="316" t="s">
        <v>3409</v>
      </c>
      <c r="E172" s="314" t="s">
        <v>3410</v>
      </c>
      <c r="F172" s="314" t="s">
        <v>229</v>
      </c>
      <c r="G172" s="312" t="s">
        <v>3411</v>
      </c>
      <c r="H172" s="312" t="s">
        <v>3412</v>
      </c>
      <c r="I172" s="312" t="s">
        <v>2545</v>
      </c>
      <c r="J172" s="312" t="s">
        <v>3413</v>
      </c>
      <c r="K172" s="312" t="s">
        <v>3414</v>
      </c>
    </row>
    <row r="173" spans="1:11">
      <c r="A173" s="294"/>
      <c r="B173" s="301"/>
      <c r="C173" s="296"/>
      <c r="D173" s="316" t="s">
        <v>3415</v>
      </c>
      <c r="E173" s="314" t="s">
        <v>3416</v>
      </c>
      <c r="F173" s="314" t="s">
        <v>20</v>
      </c>
      <c r="G173" s="312" t="s">
        <v>3417</v>
      </c>
      <c r="H173" s="312" t="s">
        <v>3418</v>
      </c>
      <c r="I173" s="312" t="s">
        <v>94</v>
      </c>
      <c r="J173" s="312" t="s">
        <v>3419</v>
      </c>
      <c r="K173" s="312" t="s">
        <v>3420</v>
      </c>
    </row>
    <row r="174" spans="1:11">
      <c r="A174" s="294"/>
      <c r="B174" s="301"/>
      <c r="C174" s="296"/>
      <c r="D174" s="316" t="s">
        <v>3421</v>
      </c>
      <c r="E174" s="314" t="s">
        <v>3422</v>
      </c>
      <c r="F174" s="314" t="s">
        <v>229</v>
      </c>
      <c r="G174" s="312" t="s">
        <v>3423</v>
      </c>
      <c r="H174" s="312" t="s">
        <v>3424</v>
      </c>
      <c r="I174" s="312" t="s">
        <v>94</v>
      </c>
      <c r="J174" s="312" t="s">
        <v>2652</v>
      </c>
      <c r="K174" s="312" t="s">
        <v>3425</v>
      </c>
    </row>
    <row r="175" spans="1:11">
      <c r="A175" s="294"/>
      <c r="B175" s="301"/>
      <c r="C175" s="296" t="s">
        <v>3426</v>
      </c>
      <c r="D175" s="316" t="s">
        <v>3427</v>
      </c>
      <c r="E175" s="314" t="s">
        <v>3428</v>
      </c>
      <c r="F175" s="314" t="s">
        <v>425</v>
      </c>
      <c r="G175" s="312" t="s">
        <v>3429</v>
      </c>
      <c r="H175" s="312" t="s">
        <v>2974</v>
      </c>
      <c r="I175" s="312" t="s">
        <v>2545</v>
      </c>
      <c r="J175" s="312" t="s">
        <v>3235</v>
      </c>
      <c r="K175" s="312" t="s">
        <v>2609</v>
      </c>
    </row>
    <row r="176" spans="1:11">
      <c r="A176" s="294"/>
      <c r="B176" s="301"/>
      <c r="C176" s="296"/>
      <c r="D176" s="316" t="s">
        <v>3430</v>
      </c>
      <c r="E176" s="314" t="s">
        <v>3431</v>
      </c>
      <c r="F176" s="314" t="s">
        <v>20</v>
      </c>
      <c r="G176" s="312" t="s">
        <v>3432</v>
      </c>
      <c r="H176" s="312" t="s">
        <v>3433</v>
      </c>
      <c r="I176" s="312" t="s">
        <v>2545</v>
      </c>
      <c r="J176" s="312" t="s">
        <v>2618</v>
      </c>
      <c r="K176" s="312" t="s">
        <v>3434</v>
      </c>
    </row>
    <row r="177" spans="1:11">
      <c r="A177" s="294"/>
      <c r="B177" s="301"/>
      <c r="C177" s="296"/>
      <c r="D177" s="316" t="s">
        <v>3435</v>
      </c>
      <c r="E177" s="314" t="s">
        <v>3436</v>
      </c>
      <c r="F177" s="314" t="s">
        <v>229</v>
      </c>
      <c r="G177" s="312" t="s">
        <v>3437</v>
      </c>
      <c r="H177" s="312" t="s">
        <v>2978</v>
      </c>
      <c r="I177" s="312" t="s">
        <v>94</v>
      </c>
      <c r="J177" s="312" t="s">
        <v>3438</v>
      </c>
      <c r="K177" s="312" t="s">
        <v>3439</v>
      </c>
    </row>
    <row r="178" spans="1:11">
      <c r="A178" s="294"/>
      <c r="B178" s="301"/>
      <c r="C178" s="296"/>
      <c r="D178" s="316" t="s">
        <v>3440</v>
      </c>
      <c r="E178" s="314" t="s">
        <v>3441</v>
      </c>
      <c r="F178" s="314" t="s">
        <v>425</v>
      </c>
      <c r="G178" s="312" t="s">
        <v>3442</v>
      </c>
      <c r="H178" s="312" t="s">
        <v>3443</v>
      </c>
      <c r="I178" s="312" t="s">
        <v>2545</v>
      </c>
      <c r="J178" s="312" t="s">
        <v>3444</v>
      </c>
      <c r="K178" s="312" t="s">
        <v>3445</v>
      </c>
    </row>
    <row r="179" spans="1:11">
      <c r="A179" s="294"/>
      <c r="B179" s="301"/>
      <c r="C179" s="296"/>
      <c r="D179" s="316" t="s">
        <v>3446</v>
      </c>
      <c r="E179" s="314" t="s">
        <v>3447</v>
      </c>
      <c r="F179" s="314" t="s">
        <v>229</v>
      </c>
      <c r="G179" s="312" t="s">
        <v>3448</v>
      </c>
      <c r="H179" s="312" t="s">
        <v>3449</v>
      </c>
      <c r="I179" s="312" t="s">
        <v>94</v>
      </c>
      <c r="J179" s="312" t="s">
        <v>3412</v>
      </c>
      <c r="K179" s="312" t="s">
        <v>3450</v>
      </c>
    </row>
    <row r="180" spans="1:11">
      <c r="A180" s="294"/>
      <c r="B180" s="301"/>
      <c r="C180" s="296" t="s">
        <v>3451</v>
      </c>
      <c r="D180" s="316" t="s">
        <v>3452</v>
      </c>
      <c r="E180" s="314" t="s">
        <v>3453</v>
      </c>
      <c r="F180" s="314" t="s">
        <v>20</v>
      </c>
      <c r="G180" s="312" t="s">
        <v>3454</v>
      </c>
      <c r="H180" s="312" t="s">
        <v>3455</v>
      </c>
      <c r="I180" s="312" t="s">
        <v>2545</v>
      </c>
      <c r="J180" s="312" t="s">
        <v>2891</v>
      </c>
      <c r="K180" s="312" t="s">
        <v>3456</v>
      </c>
    </row>
    <row r="181" spans="1:11">
      <c r="A181" s="294"/>
      <c r="B181" s="301"/>
      <c r="C181" s="296"/>
      <c r="D181" s="316" t="s">
        <v>3457</v>
      </c>
      <c r="E181" s="314" t="s">
        <v>3458</v>
      </c>
      <c r="F181" s="314" t="s">
        <v>425</v>
      </c>
      <c r="G181" s="312" t="s">
        <v>3459</v>
      </c>
      <c r="H181" s="312" t="s">
        <v>3460</v>
      </c>
      <c r="I181" s="312" t="s">
        <v>94</v>
      </c>
      <c r="J181" s="312" t="s">
        <v>3190</v>
      </c>
      <c r="K181" s="312" t="s">
        <v>3461</v>
      </c>
    </row>
    <row r="182" spans="1:11">
      <c r="A182" s="294"/>
      <c r="B182" s="301"/>
      <c r="C182" s="296"/>
      <c r="D182" s="316" t="s">
        <v>3462</v>
      </c>
      <c r="E182" s="314" t="s">
        <v>3463</v>
      </c>
      <c r="F182" s="314" t="s">
        <v>20</v>
      </c>
      <c r="G182" s="312" t="s">
        <v>3464</v>
      </c>
      <c r="H182" s="312" t="s">
        <v>2903</v>
      </c>
      <c r="I182" s="312" t="s">
        <v>2545</v>
      </c>
      <c r="J182" s="312" t="s">
        <v>3465</v>
      </c>
      <c r="K182" s="312" t="s">
        <v>3466</v>
      </c>
    </row>
    <row r="183" spans="1:11">
      <c r="A183" s="294"/>
      <c r="B183" s="301"/>
      <c r="C183" s="296"/>
      <c r="D183" s="316" t="s">
        <v>3467</v>
      </c>
      <c r="E183" s="314" t="s">
        <v>3468</v>
      </c>
      <c r="F183" s="314" t="s">
        <v>229</v>
      </c>
      <c r="G183" s="312" t="s">
        <v>3469</v>
      </c>
      <c r="H183" s="312" t="s">
        <v>3470</v>
      </c>
      <c r="I183" s="312" t="s">
        <v>2545</v>
      </c>
      <c r="J183" s="312" t="s">
        <v>3471</v>
      </c>
      <c r="K183" s="312" t="s">
        <v>3472</v>
      </c>
    </row>
    <row r="184" spans="1:11">
      <c r="A184" s="294"/>
      <c r="B184" s="301"/>
      <c r="C184" s="296"/>
      <c r="D184" s="316" t="s">
        <v>3473</v>
      </c>
      <c r="E184" s="314" t="s">
        <v>3474</v>
      </c>
      <c r="F184" s="314" t="s">
        <v>425</v>
      </c>
      <c r="G184" s="312" t="s">
        <v>3475</v>
      </c>
      <c r="H184" s="312" t="s">
        <v>3476</v>
      </c>
      <c r="I184" s="312" t="s">
        <v>94</v>
      </c>
      <c r="J184" s="312" t="s">
        <v>3477</v>
      </c>
      <c r="K184" s="312" t="s">
        <v>3478</v>
      </c>
    </row>
    <row r="185" spans="1:11">
      <c r="A185" s="294"/>
      <c r="B185" s="301"/>
      <c r="C185" s="296" t="s">
        <v>3479</v>
      </c>
      <c r="D185" s="316" t="s">
        <v>3480</v>
      </c>
      <c r="E185" s="314" t="s">
        <v>3481</v>
      </c>
      <c r="F185" s="314" t="s">
        <v>229</v>
      </c>
      <c r="G185" s="312" t="s">
        <v>3276</v>
      </c>
      <c r="H185" s="312" t="s">
        <v>3482</v>
      </c>
      <c r="I185" s="312" t="s">
        <v>2545</v>
      </c>
      <c r="J185" s="312" t="s">
        <v>3483</v>
      </c>
      <c r="K185" s="312" t="s">
        <v>2592</v>
      </c>
    </row>
    <row r="186" spans="1:11">
      <c r="A186" s="294"/>
      <c r="B186" s="301"/>
      <c r="C186" s="296"/>
      <c r="D186" s="316" t="s">
        <v>3484</v>
      </c>
      <c r="E186" s="314" t="s">
        <v>3485</v>
      </c>
      <c r="F186" s="314" t="s">
        <v>20</v>
      </c>
      <c r="G186" s="312" t="s">
        <v>3486</v>
      </c>
      <c r="H186" s="312" t="s">
        <v>3487</v>
      </c>
      <c r="I186" s="312" t="s">
        <v>2545</v>
      </c>
      <c r="J186" s="312" t="s">
        <v>3488</v>
      </c>
      <c r="K186" s="312" t="s">
        <v>3489</v>
      </c>
    </row>
    <row r="187" spans="1:11">
      <c r="A187" s="294"/>
      <c r="B187" s="301"/>
      <c r="C187" s="296"/>
      <c r="D187" s="316" t="s">
        <v>3490</v>
      </c>
      <c r="E187" s="314" t="s">
        <v>3491</v>
      </c>
      <c r="F187" s="314" t="s">
        <v>229</v>
      </c>
      <c r="G187" s="312" t="s">
        <v>3492</v>
      </c>
      <c r="H187" s="312" t="s">
        <v>3493</v>
      </c>
      <c r="I187" s="312" t="s">
        <v>2545</v>
      </c>
      <c r="J187" s="312" t="s">
        <v>3494</v>
      </c>
      <c r="K187" s="312" t="s">
        <v>3495</v>
      </c>
    </row>
    <row r="188" spans="1:11">
      <c r="A188" s="294"/>
      <c r="B188" s="301"/>
      <c r="C188" s="296"/>
      <c r="D188" s="316" t="s">
        <v>3496</v>
      </c>
      <c r="E188" s="314" t="s">
        <v>3497</v>
      </c>
      <c r="F188" s="314" t="s">
        <v>425</v>
      </c>
      <c r="G188" s="312" t="s">
        <v>3498</v>
      </c>
      <c r="H188" s="312" t="s">
        <v>3121</v>
      </c>
      <c r="I188" s="312" t="s">
        <v>94</v>
      </c>
      <c r="J188" s="312" t="s">
        <v>3499</v>
      </c>
      <c r="K188" s="312" t="s">
        <v>3500</v>
      </c>
    </row>
    <row r="189" spans="1:11">
      <c r="A189" s="294"/>
      <c r="B189" s="301"/>
      <c r="C189" s="296"/>
      <c r="D189" s="316" t="s">
        <v>3501</v>
      </c>
      <c r="E189" s="314" t="s">
        <v>3502</v>
      </c>
      <c r="F189" s="314" t="s">
        <v>20</v>
      </c>
      <c r="G189" s="312" t="s">
        <v>3503</v>
      </c>
      <c r="H189" s="312" t="s">
        <v>3504</v>
      </c>
      <c r="I189" s="312" t="s">
        <v>2545</v>
      </c>
      <c r="J189" s="312" t="s">
        <v>3505</v>
      </c>
      <c r="K189" s="312" t="s">
        <v>3506</v>
      </c>
    </row>
    <row r="190" spans="1:11">
      <c r="A190" s="294"/>
      <c r="B190" s="301"/>
      <c r="C190" s="296" t="s">
        <v>3507</v>
      </c>
      <c r="D190" s="316" t="s">
        <v>3508</v>
      </c>
      <c r="E190" s="314" t="s">
        <v>3509</v>
      </c>
      <c r="F190" s="314" t="s">
        <v>229</v>
      </c>
      <c r="G190" s="312" t="s">
        <v>3510</v>
      </c>
      <c r="H190" s="312" t="s">
        <v>3007</v>
      </c>
      <c r="I190" s="312" t="s">
        <v>2545</v>
      </c>
      <c r="J190" s="312" t="s">
        <v>2765</v>
      </c>
      <c r="K190" s="312" t="s">
        <v>3511</v>
      </c>
    </row>
    <row r="191" spans="1:11">
      <c r="A191" s="294"/>
      <c r="B191" s="301"/>
      <c r="C191" s="296"/>
      <c r="D191" s="316" t="s">
        <v>3512</v>
      </c>
      <c r="E191" s="314" t="s">
        <v>3513</v>
      </c>
      <c r="F191" s="314" t="s">
        <v>20</v>
      </c>
      <c r="G191" s="312" t="s">
        <v>2610</v>
      </c>
      <c r="H191" s="312" t="s">
        <v>2833</v>
      </c>
      <c r="I191" s="312" t="s">
        <v>2545</v>
      </c>
      <c r="J191" s="312" t="s">
        <v>2612</v>
      </c>
      <c r="K191" s="312" t="s">
        <v>3349</v>
      </c>
    </row>
    <row r="192" spans="1:11">
      <c r="A192" s="294"/>
      <c r="B192" s="301"/>
      <c r="C192" s="296"/>
      <c r="D192" s="316" t="s">
        <v>3514</v>
      </c>
      <c r="E192" s="314" t="s">
        <v>3515</v>
      </c>
      <c r="F192" s="314" t="s">
        <v>425</v>
      </c>
      <c r="G192" s="312" t="s">
        <v>3516</v>
      </c>
      <c r="H192" s="312" t="s">
        <v>3517</v>
      </c>
      <c r="I192" s="312" t="s">
        <v>94</v>
      </c>
      <c r="J192" s="312" t="s">
        <v>3518</v>
      </c>
      <c r="K192" s="312" t="s">
        <v>3519</v>
      </c>
    </row>
    <row r="193" spans="1:11">
      <c r="A193" s="294"/>
      <c r="B193" s="301"/>
      <c r="C193" s="296"/>
      <c r="D193" s="316" t="s">
        <v>3520</v>
      </c>
      <c r="E193" s="314" t="s">
        <v>3521</v>
      </c>
      <c r="F193" s="314" t="s">
        <v>229</v>
      </c>
      <c r="G193" s="312" t="s">
        <v>3522</v>
      </c>
      <c r="H193" s="312" t="s">
        <v>3523</v>
      </c>
      <c r="I193" s="312" t="s">
        <v>2545</v>
      </c>
      <c r="J193" s="312" t="s">
        <v>3524</v>
      </c>
      <c r="K193" s="312" t="s">
        <v>3525</v>
      </c>
    </row>
    <row r="194" spans="1:11">
      <c r="A194" s="294"/>
      <c r="B194" s="301"/>
      <c r="C194" s="296"/>
      <c r="D194" s="316" t="s">
        <v>3526</v>
      </c>
      <c r="E194" s="314" t="s">
        <v>3527</v>
      </c>
      <c r="F194" s="314" t="s">
        <v>20</v>
      </c>
      <c r="G194" s="312" t="s">
        <v>3528</v>
      </c>
      <c r="H194" s="312" t="s">
        <v>3310</v>
      </c>
      <c r="I194" s="312" t="s">
        <v>94</v>
      </c>
      <c r="J194" s="312" t="s">
        <v>3529</v>
      </c>
      <c r="K194" s="312" t="s">
        <v>3530</v>
      </c>
    </row>
    <row r="195" spans="1:11">
      <c r="A195" s="294"/>
      <c r="B195" s="301"/>
      <c r="C195" s="296" t="s">
        <v>3531</v>
      </c>
      <c r="D195" s="316" t="s">
        <v>3532</v>
      </c>
      <c r="E195" s="314" t="s">
        <v>3533</v>
      </c>
      <c r="F195" s="314" t="s">
        <v>425</v>
      </c>
      <c r="G195" s="312" t="s">
        <v>3534</v>
      </c>
      <c r="H195" s="312" t="s">
        <v>3535</v>
      </c>
      <c r="I195" s="312" t="s">
        <v>2545</v>
      </c>
      <c r="J195" s="312" t="s">
        <v>2796</v>
      </c>
      <c r="K195" s="312" t="s">
        <v>3536</v>
      </c>
    </row>
    <row r="196" spans="1:11">
      <c r="A196" s="294"/>
      <c r="B196" s="301"/>
      <c r="C196" s="296"/>
      <c r="D196" s="316" t="s">
        <v>3537</v>
      </c>
      <c r="E196" s="314" t="s">
        <v>3538</v>
      </c>
      <c r="F196" s="314" t="s">
        <v>229</v>
      </c>
      <c r="G196" s="312" t="s">
        <v>3539</v>
      </c>
      <c r="H196" s="312" t="s">
        <v>3540</v>
      </c>
      <c r="I196" s="312" t="s">
        <v>2545</v>
      </c>
      <c r="J196" s="312" t="s">
        <v>3541</v>
      </c>
      <c r="K196" s="312" t="s">
        <v>3542</v>
      </c>
    </row>
    <row r="197" spans="1:11">
      <c r="A197" s="294"/>
      <c r="B197" s="301"/>
      <c r="C197" s="296"/>
      <c r="D197" s="316" t="s">
        <v>3543</v>
      </c>
      <c r="E197" s="314" t="s">
        <v>3544</v>
      </c>
      <c r="F197" s="314" t="s">
        <v>20</v>
      </c>
      <c r="G197" s="312" t="s">
        <v>3545</v>
      </c>
      <c r="H197" s="312" t="s">
        <v>3546</v>
      </c>
      <c r="I197" s="312" t="s">
        <v>2545</v>
      </c>
      <c r="J197" s="312" t="s">
        <v>3547</v>
      </c>
      <c r="K197" s="312" t="s">
        <v>3548</v>
      </c>
    </row>
    <row r="198" spans="1:11">
      <c r="A198" s="294"/>
      <c r="B198" s="301"/>
      <c r="C198" s="296"/>
      <c r="D198" s="316" t="s">
        <v>3549</v>
      </c>
      <c r="E198" s="314" t="s">
        <v>3550</v>
      </c>
      <c r="F198" s="314" t="s">
        <v>229</v>
      </c>
      <c r="G198" s="312" t="s">
        <v>3551</v>
      </c>
      <c r="H198" s="312" t="s">
        <v>3552</v>
      </c>
      <c r="I198" s="312" t="s">
        <v>94</v>
      </c>
      <c r="J198" s="312" t="s">
        <v>3553</v>
      </c>
      <c r="K198" s="312" t="s">
        <v>3554</v>
      </c>
    </row>
    <row r="199" spans="1:11">
      <c r="A199" s="294"/>
      <c r="B199" s="301"/>
      <c r="C199" s="296"/>
      <c r="D199" s="316" t="s">
        <v>3555</v>
      </c>
      <c r="E199" s="314" t="s">
        <v>3556</v>
      </c>
      <c r="F199" s="314" t="s">
        <v>425</v>
      </c>
      <c r="G199" s="312" t="s">
        <v>3557</v>
      </c>
      <c r="H199" s="312" t="s">
        <v>3558</v>
      </c>
      <c r="I199" s="312" t="s">
        <v>2545</v>
      </c>
      <c r="J199" s="312" t="s">
        <v>3559</v>
      </c>
      <c r="K199" s="312" t="s">
        <v>3560</v>
      </c>
    </row>
    <row r="200" spans="1:11">
      <c r="A200" s="294"/>
      <c r="B200" s="301"/>
      <c r="C200" s="296" t="s">
        <v>3561</v>
      </c>
      <c r="D200" s="316" t="s">
        <v>3562</v>
      </c>
      <c r="E200" s="314" t="s">
        <v>3563</v>
      </c>
      <c r="F200" s="314" t="s">
        <v>20</v>
      </c>
      <c r="G200" s="312" t="s">
        <v>3564</v>
      </c>
      <c r="H200" s="312" t="s">
        <v>3565</v>
      </c>
      <c r="I200" s="312" t="s">
        <v>2545</v>
      </c>
      <c r="J200" s="312" t="s">
        <v>3413</v>
      </c>
      <c r="K200" s="312" t="s">
        <v>3566</v>
      </c>
    </row>
    <row r="201" spans="1:11">
      <c r="A201" s="294"/>
      <c r="B201" s="301"/>
      <c r="C201" s="296"/>
      <c r="D201" s="316" t="s">
        <v>3567</v>
      </c>
      <c r="E201" s="314" t="s">
        <v>3568</v>
      </c>
      <c r="F201" s="314" t="s">
        <v>229</v>
      </c>
      <c r="G201" s="312" t="s">
        <v>3569</v>
      </c>
      <c r="H201" s="312" t="s">
        <v>3379</v>
      </c>
      <c r="I201" s="312" t="s">
        <v>94</v>
      </c>
      <c r="J201" s="312" t="s">
        <v>3570</v>
      </c>
      <c r="K201" s="312" t="s">
        <v>3571</v>
      </c>
    </row>
    <row r="202" spans="1:11">
      <c r="A202" s="294"/>
      <c r="B202" s="301"/>
      <c r="C202" s="296"/>
      <c r="D202" s="316" t="s">
        <v>3572</v>
      </c>
      <c r="E202" s="314" t="s">
        <v>3573</v>
      </c>
      <c r="F202" s="314" t="s">
        <v>425</v>
      </c>
      <c r="G202" s="312" t="s">
        <v>3574</v>
      </c>
      <c r="H202" s="312" t="s">
        <v>3575</v>
      </c>
      <c r="I202" s="312" t="s">
        <v>2545</v>
      </c>
      <c r="J202" s="312" t="s">
        <v>3576</v>
      </c>
      <c r="K202" s="312" t="s">
        <v>3577</v>
      </c>
    </row>
    <row r="203" spans="1:11">
      <c r="A203" s="294"/>
      <c r="B203" s="301"/>
      <c r="C203" s="296"/>
      <c r="D203" s="316" t="s">
        <v>3578</v>
      </c>
      <c r="E203" s="314" t="s">
        <v>3579</v>
      </c>
      <c r="F203" s="314" t="s">
        <v>20</v>
      </c>
      <c r="G203" s="312" t="s">
        <v>3580</v>
      </c>
      <c r="H203" s="312" t="s">
        <v>3581</v>
      </c>
      <c r="I203" s="312" t="s">
        <v>94</v>
      </c>
      <c r="J203" s="312" t="s">
        <v>3582</v>
      </c>
      <c r="K203" s="312" t="s">
        <v>3583</v>
      </c>
    </row>
    <row r="204" spans="1:11">
      <c r="A204" s="294"/>
      <c r="B204" s="301"/>
      <c r="C204" s="296"/>
      <c r="D204" s="316" t="s">
        <v>3584</v>
      </c>
      <c r="E204" s="314" t="s">
        <v>3585</v>
      </c>
      <c r="F204" s="314" t="s">
        <v>229</v>
      </c>
      <c r="G204" s="312" t="s">
        <v>3586</v>
      </c>
      <c r="H204" s="312" t="s">
        <v>3587</v>
      </c>
      <c r="I204" s="312" t="s">
        <v>2545</v>
      </c>
      <c r="J204" s="312" t="s">
        <v>3588</v>
      </c>
      <c r="K204" s="312" t="s">
        <v>3589</v>
      </c>
    </row>
    <row r="205" spans="1:11">
      <c r="A205" s="294"/>
      <c r="B205" s="301"/>
      <c r="C205" s="296" t="s">
        <v>3590</v>
      </c>
      <c r="D205" s="316" t="s">
        <v>3591</v>
      </c>
      <c r="E205" s="314" t="s">
        <v>3592</v>
      </c>
      <c r="F205" s="314" t="s">
        <v>20</v>
      </c>
      <c r="G205" s="312" t="s">
        <v>3593</v>
      </c>
      <c r="H205" s="312" t="s">
        <v>3594</v>
      </c>
      <c r="I205" s="312" t="s">
        <v>94</v>
      </c>
      <c r="J205" s="312" t="s">
        <v>3595</v>
      </c>
      <c r="K205" s="312" t="s">
        <v>3596</v>
      </c>
    </row>
    <row r="206" spans="1:11">
      <c r="A206" s="294"/>
      <c r="B206" s="301"/>
      <c r="C206" s="296"/>
      <c r="D206" s="316" t="s">
        <v>3597</v>
      </c>
      <c r="E206" s="314" t="s">
        <v>3598</v>
      </c>
      <c r="F206" s="314" t="s">
        <v>425</v>
      </c>
      <c r="G206" s="312" t="s">
        <v>3599</v>
      </c>
      <c r="H206" s="312" t="s">
        <v>3600</v>
      </c>
      <c r="I206" s="312" t="s">
        <v>2545</v>
      </c>
      <c r="J206" s="312" t="s">
        <v>3412</v>
      </c>
      <c r="K206" s="312" t="s">
        <v>3601</v>
      </c>
    </row>
    <row r="207" spans="1:11">
      <c r="A207" s="294"/>
      <c r="B207" s="301"/>
      <c r="C207" s="296"/>
      <c r="D207" s="316" t="s">
        <v>3602</v>
      </c>
      <c r="E207" s="314" t="s">
        <v>3603</v>
      </c>
      <c r="F207" s="314" t="s">
        <v>229</v>
      </c>
      <c r="G207" s="312" t="s">
        <v>3604</v>
      </c>
      <c r="H207" s="312" t="s">
        <v>3605</v>
      </c>
      <c r="I207" s="312" t="s">
        <v>2545</v>
      </c>
      <c r="J207" s="312" t="s">
        <v>3606</v>
      </c>
      <c r="K207" s="312" t="s">
        <v>3607</v>
      </c>
    </row>
    <row r="208" spans="1:11">
      <c r="A208" s="294"/>
      <c r="B208" s="301"/>
      <c r="C208" s="296"/>
      <c r="D208" s="316" t="s">
        <v>3608</v>
      </c>
      <c r="E208" s="314" t="s">
        <v>3609</v>
      </c>
      <c r="F208" s="314" t="s">
        <v>20</v>
      </c>
      <c r="G208" s="312" t="s">
        <v>3610</v>
      </c>
      <c r="H208" s="312" t="s">
        <v>3611</v>
      </c>
      <c r="I208" s="312" t="s">
        <v>2545</v>
      </c>
      <c r="J208" s="312" t="s">
        <v>3612</v>
      </c>
      <c r="K208" s="312" t="s">
        <v>3613</v>
      </c>
    </row>
    <row r="209" spans="1:11">
      <c r="A209" s="294"/>
      <c r="B209" s="301"/>
      <c r="C209" s="296"/>
      <c r="D209" s="316" t="s">
        <v>3614</v>
      </c>
      <c r="E209" s="314" t="s">
        <v>3615</v>
      </c>
      <c r="F209" s="314" t="s">
        <v>425</v>
      </c>
      <c r="G209" s="312" t="s">
        <v>3616</v>
      </c>
      <c r="H209" s="312" t="s">
        <v>3617</v>
      </c>
      <c r="I209" s="312" t="s">
        <v>94</v>
      </c>
      <c r="J209" s="312" t="s">
        <v>3618</v>
      </c>
      <c r="K209" s="312" t="s">
        <v>3619</v>
      </c>
    </row>
    <row r="210" spans="1:11">
      <c r="A210" s="294"/>
      <c r="B210" s="301"/>
      <c r="C210" s="296" t="s">
        <v>3620</v>
      </c>
      <c r="D210" s="316" t="s">
        <v>3621</v>
      </c>
      <c r="E210" s="314" t="s">
        <v>3622</v>
      </c>
      <c r="F210" s="314" t="s">
        <v>229</v>
      </c>
      <c r="G210" s="312" t="s">
        <v>3623</v>
      </c>
      <c r="H210" s="312" t="s">
        <v>3438</v>
      </c>
      <c r="I210" s="312" t="s">
        <v>94</v>
      </c>
      <c r="J210" s="312" t="s">
        <v>2652</v>
      </c>
      <c r="K210" s="312" t="s">
        <v>3624</v>
      </c>
    </row>
    <row r="211" spans="1:11">
      <c r="A211" s="294"/>
      <c r="B211" s="301"/>
      <c r="C211" s="296"/>
      <c r="D211" s="316" t="s">
        <v>3625</v>
      </c>
      <c r="E211" s="314" t="s">
        <v>3626</v>
      </c>
      <c r="F211" s="314" t="s">
        <v>20</v>
      </c>
      <c r="G211" s="312" t="s">
        <v>3627</v>
      </c>
      <c r="H211" s="312" t="s">
        <v>3628</v>
      </c>
      <c r="I211" s="312" t="s">
        <v>94</v>
      </c>
      <c r="J211" s="312" t="s">
        <v>3629</v>
      </c>
      <c r="K211" s="312" t="s">
        <v>3630</v>
      </c>
    </row>
    <row r="212" spans="1:11">
      <c r="A212" s="294"/>
      <c r="B212" s="301"/>
      <c r="C212" s="296"/>
      <c r="D212" s="316" t="s">
        <v>3631</v>
      </c>
      <c r="E212" s="314" t="s">
        <v>3632</v>
      </c>
      <c r="F212" s="314" t="s">
        <v>229</v>
      </c>
      <c r="G212" s="312" t="s">
        <v>3633</v>
      </c>
      <c r="H212" s="312" t="s">
        <v>3634</v>
      </c>
      <c r="I212" s="312" t="s">
        <v>2545</v>
      </c>
      <c r="J212" s="312" t="s">
        <v>3635</v>
      </c>
      <c r="K212" s="312" t="s">
        <v>3636</v>
      </c>
    </row>
    <row r="213" spans="1:11">
      <c r="A213" s="294"/>
      <c r="B213" s="301"/>
      <c r="C213" s="296"/>
      <c r="D213" s="316" t="s">
        <v>3637</v>
      </c>
      <c r="E213" s="314" t="s">
        <v>3638</v>
      </c>
      <c r="F213" s="314" t="s">
        <v>425</v>
      </c>
      <c r="G213" s="312" t="s">
        <v>3639</v>
      </c>
      <c r="H213" s="312" t="s">
        <v>3640</v>
      </c>
      <c r="I213" s="312" t="s">
        <v>2545</v>
      </c>
      <c r="J213" s="312" t="s">
        <v>3641</v>
      </c>
      <c r="K213" s="312" t="s">
        <v>3642</v>
      </c>
    </row>
    <row r="214" spans="1:11">
      <c r="A214" s="294"/>
      <c r="B214" s="301"/>
      <c r="C214" s="296"/>
      <c r="D214" s="319" t="s">
        <v>3643</v>
      </c>
      <c r="E214" s="320" t="s">
        <v>3644</v>
      </c>
      <c r="F214" s="314" t="s">
        <v>20</v>
      </c>
      <c r="G214" s="312" t="s">
        <v>3645</v>
      </c>
      <c r="H214" s="312" t="s">
        <v>3449</v>
      </c>
      <c r="I214" s="312" t="s">
        <v>94</v>
      </c>
      <c r="J214" s="312" t="s">
        <v>3646</v>
      </c>
      <c r="K214" s="312" t="s">
        <v>3647</v>
      </c>
    </row>
    <row r="215" spans="1:11">
      <c r="A215" s="294"/>
      <c r="B215" s="301"/>
      <c r="C215" s="296" t="s">
        <v>3648</v>
      </c>
      <c r="D215" s="316" t="s">
        <v>3649</v>
      </c>
      <c r="E215" s="314" t="s">
        <v>3650</v>
      </c>
      <c r="F215" s="314" t="s">
        <v>229</v>
      </c>
      <c r="G215" s="312" t="s">
        <v>3651</v>
      </c>
      <c r="H215" s="312" t="s">
        <v>3652</v>
      </c>
      <c r="I215" s="312" t="s">
        <v>2545</v>
      </c>
      <c r="J215" s="312" t="s">
        <v>2652</v>
      </c>
      <c r="K215" s="312" t="s">
        <v>3653</v>
      </c>
    </row>
    <row r="216" spans="1:11">
      <c r="A216" s="294"/>
      <c r="B216" s="301"/>
      <c r="C216" s="296"/>
      <c r="D216" s="316" t="s">
        <v>3654</v>
      </c>
      <c r="E216" s="314" t="s">
        <v>3655</v>
      </c>
      <c r="F216" s="314" t="s">
        <v>425</v>
      </c>
      <c r="G216" s="312" t="s">
        <v>3656</v>
      </c>
      <c r="H216" s="312" t="s">
        <v>3657</v>
      </c>
      <c r="I216" s="312" t="s">
        <v>94</v>
      </c>
      <c r="J216" s="312" t="s">
        <v>2756</v>
      </c>
      <c r="K216" s="312" t="s">
        <v>3658</v>
      </c>
    </row>
    <row r="217" spans="1:11">
      <c r="A217" s="294"/>
      <c r="B217" s="301"/>
      <c r="C217" s="296"/>
      <c r="D217" s="316" t="s">
        <v>3659</v>
      </c>
      <c r="E217" s="314" t="s">
        <v>3660</v>
      </c>
      <c r="F217" s="314" t="s">
        <v>229</v>
      </c>
      <c r="G217" s="312" t="s">
        <v>3661</v>
      </c>
      <c r="H217" s="312" t="s">
        <v>3662</v>
      </c>
      <c r="I217" s="312" t="s">
        <v>94</v>
      </c>
      <c r="J217" s="312" t="s">
        <v>3663</v>
      </c>
      <c r="K217" s="312" t="s">
        <v>3664</v>
      </c>
    </row>
    <row r="218" spans="1:11">
      <c r="A218" s="294"/>
      <c r="B218" s="301"/>
      <c r="C218" s="296"/>
      <c r="D218" s="316" t="s">
        <v>3665</v>
      </c>
      <c r="E218" s="314" t="s">
        <v>3666</v>
      </c>
      <c r="F218" s="314" t="s">
        <v>20</v>
      </c>
      <c r="G218" s="312" t="s">
        <v>3667</v>
      </c>
      <c r="H218" s="312" t="s">
        <v>3668</v>
      </c>
      <c r="I218" s="312" t="s">
        <v>2545</v>
      </c>
      <c r="J218" s="312" t="s">
        <v>3407</v>
      </c>
      <c r="K218" s="312" t="s">
        <v>3669</v>
      </c>
    </row>
    <row r="219" spans="1:11">
      <c r="A219" s="294"/>
      <c r="B219" s="301"/>
      <c r="C219" s="296"/>
      <c r="D219" s="316" t="s">
        <v>3670</v>
      </c>
      <c r="E219" s="314" t="s">
        <v>3671</v>
      </c>
      <c r="F219" s="314" t="s">
        <v>425</v>
      </c>
      <c r="G219" s="312" t="s">
        <v>3672</v>
      </c>
      <c r="H219" s="312" t="s">
        <v>3673</v>
      </c>
      <c r="I219" s="312" t="s">
        <v>2545</v>
      </c>
      <c r="J219" s="312" t="s">
        <v>3674</v>
      </c>
      <c r="K219" s="312" t="s">
        <v>3675</v>
      </c>
    </row>
    <row r="220" spans="1:11">
      <c r="A220" s="294"/>
      <c r="B220" s="301"/>
      <c r="C220" s="296" t="s">
        <v>3676</v>
      </c>
      <c r="D220" s="316" t="s">
        <v>3677</v>
      </c>
      <c r="E220" s="314" t="s">
        <v>3678</v>
      </c>
      <c r="F220" s="314" t="s">
        <v>20</v>
      </c>
      <c r="G220" s="312" t="s">
        <v>3679</v>
      </c>
      <c r="H220" s="312" t="s">
        <v>3418</v>
      </c>
      <c r="I220" s="312" t="s">
        <v>2545</v>
      </c>
      <c r="J220" s="312" t="s">
        <v>3680</v>
      </c>
      <c r="K220" s="312" t="s">
        <v>3681</v>
      </c>
    </row>
    <row r="221" spans="1:11">
      <c r="A221" s="294"/>
      <c r="B221" s="301"/>
      <c r="C221" s="296"/>
      <c r="D221" s="316" t="s">
        <v>3682</v>
      </c>
      <c r="E221" s="314" t="s">
        <v>3683</v>
      </c>
      <c r="F221" s="314" t="s">
        <v>229</v>
      </c>
      <c r="G221" s="312" t="s">
        <v>3684</v>
      </c>
      <c r="H221" s="312" t="s">
        <v>3685</v>
      </c>
      <c r="I221" s="312" t="s">
        <v>2545</v>
      </c>
      <c r="J221" s="312" t="s">
        <v>3686</v>
      </c>
      <c r="K221" s="312" t="s">
        <v>3687</v>
      </c>
    </row>
    <row r="222" spans="1:11">
      <c r="A222" s="294"/>
      <c r="B222" s="301"/>
      <c r="C222" s="296"/>
      <c r="D222" s="316" t="s">
        <v>3688</v>
      </c>
      <c r="E222" s="314" t="s">
        <v>3689</v>
      </c>
      <c r="F222" s="314" t="s">
        <v>425</v>
      </c>
      <c r="G222" s="312" t="s">
        <v>3690</v>
      </c>
      <c r="H222" s="312" t="s">
        <v>3691</v>
      </c>
      <c r="I222" s="312" t="s">
        <v>2545</v>
      </c>
      <c r="J222" s="312" t="s">
        <v>3692</v>
      </c>
      <c r="K222" s="312" t="s">
        <v>3693</v>
      </c>
    </row>
    <row r="223" spans="1:11">
      <c r="A223" s="294"/>
      <c r="B223" s="301"/>
      <c r="C223" s="296"/>
      <c r="D223" s="316" t="s">
        <v>3694</v>
      </c>
      <c r="E223" s="314" t="s">
        <v>3695</v>
      </c>
      <c r="F223" s="314" t="s">
        <v>20</v>
      </c>
      <c r="G223" s="312" t="s">
        <v>3696</v>
      </c>
      <c r="H223" s="312" t="s">
        <v>3697</v>
      </c>
      <c r="I223" s="312" t="s">
        <v>2545</v>
      </c>
      <c r="J223" s="312" t="s">
        <v>3698</v>
      </c>
      <c r="K223" s="312" t="s">
        <v>3699</v>
      </c>
    </row>
    <row r="224" spans="1:11">
      <c r="A224" s="294"/>
      <c r="B224" s="301"/>
      <c r="C224" s="296"/>
      <c r="D224" s="316" t="s">
        <v>3700</v>
      </c>
      <c r="E224" s="314" t="s">
        <v>3701</v>
      </c>
      <c r="F224" s="314" t="s">
        <v>229</v>
      </c>
      <c r="G224" s="312" t="s">
        <v>3702</v>
      </c>
      <c r="H224" s="312" t="s">
        <v>3703</v>
      </c>
      <c r="I224" s="312" t="s">
        <v>2545</v>
      </c>
      <c r="J224" s="312" t="s">
        <v>3704</v>
      </c>
      <c r="K224" s="312" t="s">
        <v>3705</v>
      </c>
    </row>
    <row r="225" spans="1:11">
      <c r="A225" s="294"/>
      <c r="B225" s="301"/>
      <c r="C225" s="296" t="s">
        <v>3706</v>
      </c>
      <c r="D225" s="316" t="s">
        <v>3707</v>
      </c>
      <c r="E225" s="314" t="s">
        <v>3708</v>
      </c>
      <c r="F225" s="314" t="s">
        <v>425</v>
      </c>
      <c r="G225" s="312" t="s">
        <v>3709</v>
      </c>
      <c r="H225" s="312" t="s">
        <v>3710</v>
      </c>
      <c r="I225" s="312" t="s">
        <v>2545</v>
      </c>
      <c r="J225" s="312" t="s">
        <v>3711</v>
      </c>
      <c r="K225" s="312" t="s">
        <v>3712</v>
      </c>
    </row>
    <row r="226" spans="1:11">
      <c r="A226" s="294"/>
      <c r="B226" s="301"/>
      <c r="C226" s="296"/>
      <c r="D226" s="316" t="s">
        <v>3713</v>
      </c>
      <c r="E226" s="314" t="s">
        <v>3714</v>
      </c>
      <c r="F226" s="314" t="s">
        <v>229</v>
      </c>
      <c r="G226" s="312" t="s">
        <v>3715</v>
      </c>
      <c r="H226" s="312" t="s">
        <v>3716</v>
      </c>
      <c r="I226" s="312" t="s">
        <v>94</v>
      </c>
      <c r="J226" s="312" t="s">
        <v>3717</v>
      </c>
      <c r="K226" s="312" t="s">
        <v>3718</v>
      </c>
    </row>
    <row r="227" spans="1:11">
      <c r="A227" s="294"/>
      <c r="B227" s="301"/>
      <c r="C227" s="296"/>
      <c r="D227" s="316" t="s">
        <v>3719</v>
      </c>
      <c r="E227" s="314" t="s">
        <v>3720</v>
      </c>
      <c r="F227" s="314" t="s">
        <v>20</v>
      </c>
      <c r="G227" s="312" t="s">
        <v>3721</v>
      </c>
      <c r="H227" s="312" t="s">
        <v>3722</v>
      </c>
      <c r="I227" s="312" t="s">
        <v>94</v>
      </c>
      <c r="J227" s="312" t="s">
        <v>3723</v>
      </c>
      <c r="K227" s="312" t="s">
        <v>3724</v>
      </c>
    </row>
    <row r="228" spans="1:11">
      <c r="A228" s="294"/>
      <c r="B228" s="301"/>
      <c r="C228" s="296"/>
      <c r="D228" s="316" t="s">
        <v>3725</v>
      </c>
      <c r="E228" s="314" t="s">
        <v>3726</v>
      </c>
      <c r="F228" s="314" t="s">
        <v>425</v>
      </c>
      <c r="G228" s="312" t="s">
        <v>3727</v>
      </c>
      <c r="H228" s="312" t="s">
        <v>3728</v>
      </c>
      <c r="I228" s="312" t="s">
        <v>2545</v>
      </c>
      <c r="J228" s="312" t="s">
        <v>3729</v>
      </c>
      <c r="K228" s="312" t="s">
        <v>3319</v>
      </c>
    </row>
    <row r="229" spans="1:11">
      <c r="A229" s="294"/>
      <c r="B229" s="301"/>
      <c r="C229" s="296"/>
      <c r="D229" s="316" t="s">
        <v>3730</v>
      </c>
      <c r="E229" s="314" t="s">
        <v>3731</v>
      </c>
      <c r="F229" s="314" t="s">
        <v>20</v>
      </c>
      <c r="G229" s="312" t="s">
        <v>3732</v>
      </c>
      <c r="H229" s="312" t="s">
        <v>2601</v>
      </c>
      <c r="I229" s="312" t="s">
        <v>2545</v>
      </c>
      <c r="J229" s="312" t="s">
        <v>3733</v>
      </c>
      <c r="K229" s="312" t="s">
        <v>3734</v>
      </c>
    </row>
    <row r="230" spans="1:11">
      <c r="A230" s="294"/>
      <c r="B230" s="301"/>
      <c r="C230" s="296" t="s">
        <v>3735</v>
      </c>
      <c r="D230" s="316" t="s">
        <v>3736</v>
      </c>
      <c r="E230" s="314" t="s">
        <v>3737</v>
      </c>
      <c r="F230" s="314" t="s">
        <v>229</v>
      </c>
      <c r="G230" s="312" t="s">
        <v>3738</v>
      </c>
      <c r="H230" s="312" t="s">
        <v>3739</v>
      </c>
      <c r="I230" s="312" t="s">
        <v>94</v>
      </c>
      <c r="J230" s="312" t="s">
        <v>3740</v>
      </c>
      <c r="K230" s="312" t="s">
        <v>3741</v>
      </c>
    </row>
    <row r="231" spans="1:11">
      <c r="A231" s="294"/>
      <c r="B231" s="301"/>
      <c r="C231" s="296"/>
      <c r="D231" s="316" t="s">
        <v>3742</v>
      </c>
      <c r="E231" s="314" t="s">
        <v>3743</v>
      </c>
      <c r="F231" s="314" t="s">
        <v>425</v>
      </c>
      <c r="G231" s="312" t="s">
        <v>3744</v>
      </c>
      <c r="H231" s="312" t="s">
        <v>3745</v>
      </c>
      <c r="I231" s="312" t="s">
        <v>2545</v>
      </c>
      <c r="J231" s="312" t="s">
        <v>3746</v>
      </c>
      <c r="K231" s="312" t="s">
        <v>3747</v>
      </c>
    </row>
    <row r="232" spans="1:11">
      <c r="A232" s="294"/>
      <c r="B232" s="301"/>
      <c r="C232" s="296"/>
      <c r="D232" s="316" t="s">
        <v>3748</v>
      </c>
      <c r="E232" s="314" t="s">
        <v>3749</v>
      </c>
      <c r="F232" s="314" t="s">
        <v>229</v>
      </c>
      <c r="G232" s="312" t="s">
        <v>3750</v>
      </c>
      <c r="H232" s="312" t="s">
        <v>3751</v>
      </c>
      <c r="I232" s="312" t="s">
        <v>94</v>
      </c>
      <c r="J232" s="312" t="s">
        <v>3752</v>
      </c>
      <c r="K232" s="312" t="s">
        <v>3753</v>
      </c>
    </row>
    <row r="233" spans="1:11">
      <c r="A233" s="294"/>
      <c r="B233" s="301"/>
      <c r="C233" s="296"/>
      <c r="D233" s="316" t="s">
        <v>3754</v>
      </c>
      <c r="E233" s="314" t="s">
        <v>3755</v>
      </c>
      <c r="F233" s="314" t="s">
        <v>20</v>
      </c>
      <c r="G233" s="312" t="s">
        <v>3756</v>
      </c>
      <c r="H233" s="312" t="s">
        <v>3757</v>
      </c>
      <c r="I233" s="312" t="s">
        <v>94</v>
      </c>
      <c r="J233" s="312" t="s">
        <v>3758</v>
      </c>
      <c r="K233" s="312" t="s">
        <v>3759</v>
      </c>
    </row>
    <row r="234" spans="1:11">
      <c r="A234" s="294"/>
      <c r="B234" s="301"/>
      <c r="C234" s="296"/>
      <c r="D234" s="316" t="s">
        <v>3760</v>
      </c>
      <c r="E234" s="314" t="s">
        <v>3761</v>
      </c>
      <c r="F234" s="314" t="s">
        <v>229</v>
      </c>
      <c r="G234" s="312" t="s">
        <v>3762</v>
      </c>
      <c r="H234" s="312" t="s">
        <v>3412</v>
      </c>
      <c r="I234" s="312" t="s">
        <v>2545</v>
      </c>
      <c r="J234" s="312" t="s">
        <v>3763</v>
      </c>
      <c r="K234" s="312" t="s">
        <v>3764</v>
      </c>
    </row>
    <row r="235" spans="1:11">
      <c r="A235" s="294"/>
      <c r="B235" s="301"/>
      <c r="C235" s="296" t="s">
        <v>3765</v>
      </c>
      <c r="D235" s="316" t="s">
        <v>3766</v>
      </c>
      <c r="E235" s="314" t="s">
        <v>3767</v>
      </c>
      <c r="F235" s="314" t="s">
        <v>425</v>
      </c>
      <c r="G235" s="312" t="s">
        <v>3768</v>
      </c>
      <c r="H235" s="312" t="s">
        <v>3769</v>
      </c>
      <c r="I235" s="312" t="s">
        <v>2545</v>
      </c>
      <c r="J235" s="312" t="s">
        <v>3770</v>
      </c>
      <c r="K235" s="312" t="s">
        <v>3771</v>
      </c>
    </row>
    <row r="236" spans="1:11">
      <c r="A236" s="294"/>
      <c r="B236" s="301"/>
      <c r="C236" s="296"/>
      <c r="D236" s="316" t="s">
        <v>3772</v>
      </c>
      <c r="E236" s="314" t="s">
        <v>3773</v>
      </c>
      <c r="F236" s="314" t="s">
        <v>20</v>
      </c>
      <c r="G236" s="312" t="s">
        <v>3774</v>
      </c>
      <c r="H236" s="312" t="s">
        <v>3775</v>
      </c>
      <c r="I236" s="312" t="s">
        <v>94</v>
      </c>
      <c r="J236" s="312" t="s">
        <v>3776</v>
      </c>
      <c r="K236" s="312" t="s">
        <v>3777</v>
      </c>
    </row>
    <row r="237" spans="1:11">
      <c r="A237" s="294"/>
      <c r="B237" s="301"/>
      <c r="C237" s="296"/>
      <c r="D237" s="316" t="s">
        <v>3778</v>
      </c>
      <c r="E237" s="314" t="s">
        <v>3779</v>
      </c>
      <c r="F237" s="314" t="s">
        <v>229</v>
      </c>
      <c r="G237" s="312" t="s">
        <v>3780</v>
      </c>
      <c r="H237" s="312" t="s">
        <v>3781</v>
      </c>
      <c r="I237" s="312" t="s">
        <v>94</v>
      </c>
      <c r="J237" s="312" t="s">
        <v>3782</v>
      </c>
      <c r="K237" s="312" t="s">
        <v>3783</v>
      </c>
    </row>
    <row r="238" spans="1:11">
      <c r="A238" s="294"/>
      <c r="B238" s="301"/>
      <c r="C238" s="296"/>
      <c r="D238" s="316" t="s">
        <v>3784</v>
      </c>
      <c r="E238" s="314" t="s">
        <v>3785</v>
      </c>
      <c r="F238" s="314" t="s">
        <v>20</v>
      </c>
      <c r="G238" s="312" t="s">
        <v>3432</v>
      </c>
      <c r="H238" s="312" t="s">
        <v>3433</v>
      </c>
      <c r="I238" s="312" t="s">
        <v>2545</v>
      </c>
      <c r="J238" s="312" t="s">
        <v>3786</v>
      </c>
      <c r="K238" s="312" t="s">
        <v>3787</v>
      </c>
    </row>
    <row r="239" spans="1:11">
      <c r="A239" s="294"/>
      <c r="B239" s="301"/>
      <c r="C239" s="296"/>
      <c r="D239" s="316" t="s">
        <v>3788</v>
      </c>
      <c r="E239" s="314" t="s">
        <v>3789</v>
      </c>
      <c r="F239" s="314" t="s">
        <v>425</v>
      </c>
      <c r="G239" s="312" t="s">
        <v>3790</v>
      </c>
      <c r="H239" s="312" t="s">
        <v>3791</v>
      </c>
      <c r="I239" s="312" t="s">
        <v>94</v>
      </c>
      <c r="J239" s="312" t="s">
        <v>3792</v>
      </c>
      <c r="K239" s="312" t="s">
        <v>3793</v>
      </c>
    </row>
    <row r="240" spans="1:11">
      <c r="A240" s="294"/>
      <c r="B240" s="301"/>
      <c r="C240" s="296" t="s">
        <v>3794</v>
      </c>
      <c r="D240" s="319" t="s">
        <v>3795</v>
      </c>
      <c r="E240" s="320" t="s">
        <v>3796</v>
      </c>
      <c r="F240" s="314" t="s">
        <v>20</v>
      </c>
      <c r="G240" s="312" t="s">
        <v>3797</v>
      </c>
      <c r="H240" s="312" t="s">
        <v>3798</v>
      </c>
      <c r="I240" s="312" t="s">
        <v>2545</v>
      </c>
      <c r="J240" s="312" t="s">
        <v>3799</v>
      </c>
      <c r="K240" s="312" t="s">
        <v>3800</v>
      </c>
    </row>
    <row r="241" spans="1:11">
      <c r="A241" s="294"/>
      <c r="B241" s="301"/>
      <c r="C241" s="296"/>
      <c r="D241" s="316" t="s">
        <v>3801</v>
      </c>
      <c r="E241" s="314" t="s">
        <v>3802</v>
      </c>
      <c r="F241" s="314" t="s">
        <v>229</v>
      </c>
      <c r="G241" s="312" t="s">
        <v>3803</v>
      </c>
      <c r="H241" s="312" t="s">
        <v>3804</v>
      </c>
      <c r="I241" s="312" t="s">
        <v>94</v>
      </c>
      <c r="J241" s="312" t="s">
        <v>3674</v>
      </c>
      <c r="K241" s="312" t="s">
        <v>3805</v>
      </c>
    </row>
    <row r="242" spans="1:11">
      <c r="A242" s="294"/>
      <c r="B242" s="301"/>
      <c r="C242" s="296"/>
      <c r="D242" s="316" t="s">
        <v>3806</v>
      </c>
      <c r="E242" s="314" t="s">
        <v>3807</v>
      </c>
      <c r="F242" s="314" t="s">
        <v>425</v>
      </c>
      <c r="G242" s="312" t="s">
        <v>3808</v>
      </c>
      <c r="H242" s="312" t="s">
        <v>3809</v>
      </c>
      <c r="I242" s="312" t="s">
        <v>94</v>
      </c>
      <c r="J242" s="312" t="s">
        <v>3810</v>
      </c>
      <c r="K242" s="312" t="s">
        <v>3811</v>
      </c>
    </row>
    <row r="243" spans="1:11">
      <c r="A243" s="294"/>
      <c r="B243" s="301"/>
      <c r="C243" s="296"/>
      <c r="D243" s="316" t="s">
        <v>3812</v>
      </c>
      <c r="E243" s="314" t="s">
        <v>3813</v>
      </c>
      <c r="F243" s="314" t="s">
        <v>229</v>
      </c>
      <c r="G243" s="312" t="s">
        <v>3814</v>
      </c>
      <c r="H243" s="312" t="s">
        <v>3815</v>
      </c>
      <c r="I243" s="312" t="s">
        <v>94</v>
      </c>
      <c r="J243" s="312" t="s">
        <v>3816</v>
      </c>
      <c r="K243" s="312" t="s">
        <v>3817</v>
      </c>
    </row>
    <row r="244" spans="1:11">
      <c r="A244" s="294"/>
      <c r="B244" s="301"/>
      <c r="C244" s="296"/>
      <c r="D244" s="316" t="s">
        <v>3818</v>
      </c>
      <c r="E244" s="314" t="s">
        <v>3819</v>
      </c>
      <c r="F244" s="314" t="s">
        <v>20</v>
      </c>
      <c r="G244" s="312" t="s">
        <v>3820</v>
      </c>
      <c r="H244" s="312" t="s">
        <v>3821</v>
      </c>
      <c r="I244" s="312" t="s">
        <v>94</v>
      </c>
      <c r="J244" s="312" t="s">
        <v>3066</v>
      </c>
      <c r="K244" s="312" t="s">
        <v>3822</v>
      </c>
    </row>
    <row r="245" spans="1:11">
      <c r="A245" s="294"/>
      <c r="B245" s="301" t="s">
        <v>3823</v>
      </c>
      <c r="C245" s="296" t="s">
        <v>3824</v>
      </c>
      <c r="D245" s="316" t="s">
        <v>3825</v>
      </c>
      <c r="E245" s="314" t="s">
        <v>3826</v>
      </c>
      <c r="F245" s="314" t="s">
        <v>425</v>
      </c>
      <c r="G245" s="312" t="s">
        <v>3827</v>
      </c>
      <c r="H245" s="312" t="s">
        <v>3828</v>
      </c>
      <c r="I245" s="312" t="s">
        <v>2545</v>
      </c>
      <c r="J245" s="312" t="s">
        <v>3829</v>
      </c>
      <c r="K245" s="312" t="s">
        <v>3830</v>
      </c>
    </row>
    <row r="246" spans="1:11">
      <c r="A246" s="294"/>
      <c r="B246" s="301"/>
      <c r="C246" s="296"/>
      <c r="D246" s="316" t="s">
        <v>3831</v>
      </c>
      <c r="E246" s="314" t="s">
        <v>3832</v>
      </c>
      <c r="F246" s="314" t="s">
        <v>229</v>
      </c>
      <c r="G246" s="312" t="s">
        <v>3833</v>
      </c>
      <c r="H246" s="312" t="s">
        <v>3834</v>
      </c>
      <c r="I246" s="312" t="s">
        <v>2545</v>
      </c>
      <c r="J246" s="312" t="s">
        <v>3835</v>
      </c>
      <c r="K246" s="312" t="s">
        <v>3836</v>
      </c>
    </row>
    <row r="247" spans="1:11">
      <c r="A247" s="294"/>
      <c r="B247" s="301"/>
      <c r="C247" s="296"/>
      <c r="D247" s="316" t="s">
        <v>3837</v>
      </c>
      <c r="E247" s="314" t="s">
        <v>3838</v>
      </c>
      <c r="F247" s="314" t="s">
        <v>20</v>
      </c>
      <c r="G247" s="312" t="s">
        <v>3839</v>
      </c>
      <c r="H247" s="312" t="s">
        <v>3840</v>
      </c>
      <c r="I247" s="312" t="s">
        <v>94</v>
      </c>
      <c r="J247" s="312" t="s">
        <v>3841</v>
      </c>
      <c r="K247" s="312" t="s">
        <v>3842</v>
      </c>
    </row>
    <row r="248" spans="1:11">
      <c r="A248" s="294"/>
      <c r="B248" s="301"/>
      <c r="C248" s="296"/>
      <c r="D248" s="316" t="s">
        <v>3843</v>
      </c>
      <c r="E248" s="314" t="s">
        <v>3844</v>
      </c>
      <c r="F248" s="314" t="s">
        <v>20</v>
      </c>
      <c r="G248" s="312" t="s">
        <v>3845</v>
      </c>
      <c r="H248" s="312" t="s">
        <v>3433</v>
      </c>
      <c r="I248" s="312" t="s">
        <v>2545</v>
      </c>
      <c r="J248" s="312" t="s">
        <v>3829</v>
      </c>
      <c r="K248" s="312" t="s">
        <v>3846</v>
      </c>
    </row>
    <row r="249" spans="1:11">
      <c r="A249" s="294"/>
      <c r="B249" s="301"/>
      <c r="C249" s="296"/>
      <c r="D249" s="316" t="s">
        <v>3847</v>
      </c>
      <c r="E249" s="314" t="s">
        <v>3848</v>
      </c>
      <c r="F249" s="314" t="s">
        <v>229</v>
      </c>
      <c r="G249" s="312" t="s">
        <v>3849</v>
      </c>
      <c r="H249" s="312" t="s">
        <v>3850</v>
      </c>
      <c r="I249" s="312" t="s">
        <v>2545</v>
      </c>
      <c r="J249" s="312" t="s">
        <v>3851</v>
      </c>
      <c r="K249" s="312" t="s">
        <v>3852</v>
      </c>
    </row>
    <row r="250" spans="1:11">
      <c r="A250" s="294"/>
      <c r="B250" s="301"/>
      <c r="C250" s="296" t="s">
        <v>3853</v>
      </c>
      <c r="D250" s="316" t="s">
        <v>3854</v>
      </c>
      <c r="E250" s="314" t="s">
        <v>3855</v>
      </c>
      <c r="F250" s="314" t="s">
        <v>425</v>
      </c>
      <c r="G250" s="312" t="s">
        <v>3856</v>
      </c>
      <c r="H250" s="312" t="s">
        <v>3857</v>
      </c>
      <c r="I250" s="312" t="s">
        <v>2545</v>
      </c>
      <c r="J250" s="312" t="s">
        <v>3858</v>
      </c>
      <c r="K250" s="312" t="s">
        <v>3859</v>
      </c>
    </row>
    <row r="251" spans="1:11">
      <c r="A251" s="294"/>
      <c r="B251" s="301"/>
      <c r="C251" s="296"/>
      <c r="D251" s="316" t="s">
        <v>3860</v>
      </c>
      <c r="E251" s="314" t="s">
        <v>3861</v>
      </c>
      <c r="F251" s="314" t="s">
        <v>20</v>
      </c>
      <c r="G251" s="312" t="s">
        <v>3862</v>
      </c>
      <c r="H251" s="312" t="s">
        <v>3863</v>
      </c>
      <c r="I251" s="312" t="s">
        <v>2545</v>
      </c>
      <c r="J251" s="312" t="s">
        <v>3864</v>
      </c>
      <c r="K251" s="312" t="s">
        <v>3865</v>
      </c>
    </row>
    <row r="252" spans="1:11">
      <c r="A252" s="294"/>
      <c r="B252" s="301"/>
      <c r="C252" s="296"/>
      <c r="D252" s="316" t="s">
        <v>3866</v>
      </c>
      <c r="E252" s="314" t="s">
        <v>3867</v>
      </c>
      <c r="F252" s="314" t="s">
        <v>229</v>
      </c>
      <c r="G252" s="312" t="s">
        <v>3868</v>
      </c>
      <c r="H252" s="312" t="s">
        <v>3840</v>
      </c>
      <c r="I252" s="312" t="s">
        <v>94</v>
      </c>
      <c r="J252" s="312" t="s">
        <v>3869</v>
      </c>
      <c r="K252" s="312" t="s">
        <v>3870</v>
      </c>
    </row>
    <row r="253" spans="1:11">
      <c r="A253" s="294"/>
      <c r="B253" s="301"/>
      <c r="C253" s="296"/>
      <c r="D253" s="316" t="s">
        <v>3871</v>
      </c>
      <c r="E253" s="314" t="s">
        <v>3872</v>
      </c>
      <c r="F253" s="314" t="s">
        <v>425</v>
      </c>
      <c r="G253" s="312" t="s">
        <v>3873</v>
      </c>
      <c r="H253" s="312" t="s">
        <v>3874</v>
      </c>
      <c r="I253" s="312" t="s">
        <v>2545</v>
      </c>
      <c r="J253" s="312" t="s">
        <v>3875</v>
      </c>
      <c r="K253" s="312" t="s">
        <v>3876</v>
      </c>
    </row>
    <row r="254" spans="1:11">
      <c r="A254" s="294"/>
      <c r="B254" s="301"/>
      <c r="C254" s="296"/>
      <c r="D254" s="316" t="s">
        <v>3877</v>
      </c>
      <c r="E254" s="314" t="s">
        <v>3878</v>
      </c>
      <c r="F254" s="314" t="s">
        <v>425</v>
      </c>
      <c r="G254" s="312" t="s">
        <v>3879</v>
      </c>
      <c r="H254" s="312" t="s">
        <v>3880</v>
      </c>
      <c r="I254" s="312" t="s">
        <v>2545</v>
      </c>
      <c r="J254" s="312" t="s">
        <v>2688</v>
      </c>
      <c r="K254" s="312" t="s">
        <v>3881</v>
      </c>
    </row>
    <row r="255" spans="1:11">
      <c r="A255" s="294"/>
      <c r="B255" s="301"/>
      <c r="C255" s="296" t="s">
        <v>3882</v>
      </c>
      <c r="D255" s="316" t="s">
        <v>3883</v>
      </c>
      <c r="E255" s="314" t="s">
        <v>3884</v>
      </c>
      <c r="F255" s="314" t="s">
        <v>20</v>
      </c>
      <c r="G255" s="312" t="s">
        <v>3885</v>
      </c>
      <c r="H255" s="312" t="s">
        <v>3886</v>
      </c>
      <c r="I255" s="312" t="s">
        <v>2545</v>
      </c>
      <c r="J255" s="312" t="s">
        <v>3887</v>
      </c>
      <c r="K255" s="312" t="s">
        <v>3888</v>
      </c>
    </row>
    <row r="256" spans="1:11">
      <c r="A256" s="294"/>
      <c r="B256" s="301"/>
      <c r="C256" s="296"/>
      <c r="D256" s="316" t="s">
        <v>3889</v>
      </c>
      <c r="E256" s="314" t="s">
        <v>3890</v>
      </c>
      <c r="F256" s="314" t="s">
        <v>229</v>
      </c>
      <c r="G256" s="312" t="s">
        <v>3891</v>
      </c>
      <c r="H256" s="312" t="s">
        <v>3892</v>
      </c>
      <c r="I256" s="312" t="s">
        <v>2545</v>
      </c>
      <c r="J256" s="312" t="s">
        <v>3893</v>
      </c>
      <c r="K256" s="312" t="s">
        <v>3894</v>
      </c>
    </row>
    <row r="257" spans="1:11">
      <c r="A257" s="294"/>
      <c r="B257" s="301"/>
      <c r="C257" s="296"/>
      <c r="D257" s="316" t="s">
        <v>3895</v>
      </c>
      <c r="E257" s="314" t="s">
        <v>3896</v>
      </c>
      <c r="F257" s="314" t="s">
        <v>20</v>
      </c>
      <c r="G257" s="312" t="s">
        <v>3897</v>
      </c>
      <c r="H257" s="312" t="s">
        <v>3898</v>
      </c>
      <c r="I257" s="312" t="s">
        <v>2545</v>
      </c>
      <c r="J257" s="312" t="s">
        <v>3899</v>
      </c>
      <c r="K257" s="312" t="s">
        <v>3900</v>
      </c>
    </row>
    <row r="258" spans="1:11">
      <c r="A258" s="294"/>
      <c r="B258" s="301"/>
      <c r="C258" s="296"/>
      <c r="D258" s="316" t="s">
        <v>3901</v>
      </c>
      <c r="E258" s="314" t="s">
        <v>3902</v>
      </c>
      <c r="F258" s="314" t="s">
        <v>425</v>
      </c>
      <c r="G258" s="312" t="s">
        <v>3903</v>
      </c>
      <c r="H258" s="312" t="s">
        <v>3710</v>
      </c>
      <c r="I258" s="312" t="s">
        <v>2545</v>
      </c>
      <c r="J258" s="312" t="s">
        <v>3904</v>
      </c>
      <c r="K258" s="312" t="s">
        <v>3905</v>
      </c>
    </row>
    <row r="259" spans="1:11">
      <c r="A259" s="294"/>
      <c r="B259" s="301"/>
      <c r="C259" s="296"/>
      <c r="D259" s="316" t="s">
        <v>3906</v>
      </c>
      <c r="E259" s="314" t="s">
        <v>3907</v>
      </c>
      <c r="F259" s="314" t="s">
        <v>229</v>
      </c>
      <c r="G259" s="312" t="s">
        <v>3908</v>
      </c>
      <c r="H259" s="312" t="s">
        <v>3909</v>
      </c>
      <c r="I259" s="312" t="s">
        <v>2545</v>
      </c>
      <c r="J259" s="312" t="s">
        <v>3910</v>
      </c>
      <c r="K259" s="312" t="s">
        <v>3911</v>
      </c>
    </row>
    <row r="260" spans="1:11">
      <c r="A260" s="294"/>
      <c r="B260" s="301"/>
      <c r="C260" s="296" t="s">
        <v>3912</v>
      </c>
      <c r="D260" s="316" t="s">
        <v>3913</v>
      </c>
      <c r="E260" s="314" t="s">
        <v>3914</v>
      </c>
      <c r="F260" s="314" t="s">
        <v>20</v>
      </c>
      <c r="G260" s="312" t="s">
        <v>3915</v>
      </c>
      <c r="H260" s="312" t="s">
        <v>3916</v>
      </c>
      <c r="I260" s="312" t="s">
        <v>2545</v>
      </c>
      <c r="J260" s="312" t="s">
        <v>3917</v>
      </c>
      <c r="K260" s="312" t="s">
        <v>3918</v>
      </c>
    </row>
    <row r="261" spans="1:11">
      <c r="A261" s="294"/>
      <c r="B261" s="301"/>
      <c r="C261" s="296"/>
      <c r="D261" s="316" t="s">
        <v>3919</v>
      </c>
      <c r="E261" s="314" t="s">
        <v>3920</v>
      </c>
      <c r="F261" s="314" t="s">
        <v>229</v>
      </c>
      <c r="G261" s="312" t="s">
        <v>3921</v>
      </c>
      <c r="H261" s="312" t="s">
        <v>3922</v>
      </c>
      <c r="I261" s="312" t="s">
        <v>2545</v>
      </c>
      <c r="J261" s="312" t="s">
        <v>3923</v>
      </c>
      <c r="K261" s="312" t="s">
        <v>3924</v>
      </c>
    </row>
    <row r="262" spans="1:11">
      <c r="A262" s="294"/>
      <c r="B262" s="301"/>
      <c r="C262" s="296"/>
      <c r="D262" s="316" t="s">
        <v>3925</v>
      </c>
      <c r="E262" s="314" t="s">
        <v>3926</v>
      </c>
      <c r="F262" s="314" t="s">
        <v>425</v>
      </c>
      <c r="G262" s="312" t="s">
        <v>3927</v>
      </c>
      <c r="H262" s="312" t="s">
        <v>3928</v>
      </c>
      <c r="I262" s="312" t="s">
        <v>94</v>
      </c>
      <c r="J262" s="312" t="s">
        <v>3929</v>
      </c>
      <c r="K262" s="312" t="s">
        <v>3930</v>
      </c>
    </row>
    <row r="263" spans="1:11">
      <c r="A263" s="294"/>
      <c r="B263" s="301"/>
      <c r="C263" s="296"/>
      <c r="D263" s="316" t="s">
        <v>3931</v>
      </c>
      <c r="E263" s="314" t="s">
        <v>3932</v>
      </c>
      <c r="F263" s="314" t="s">
        <v>20</v>
      </c>
      <c r="G263" s="312" t="s">
        <v>3933</v>
      </c>
      <c r="H263" s="312" t="s">
        <v>3934</v>
      </c>
      <c r="I263" s="312" t="s">
        <v>94</v>
      </c>
      <c r="J263" s="312" t="s">
        <v>3904</v>
      </c>
      <c r="K263" s="312" t="s">
        <v>3935</v>
      </c>
    </row>
    <row r="264" spans="1:11">
      <c r="A264" s="294"/>
      <c r="B264" s="301"/>
      <c r="C264" s="296"/>
      <c r="D264" s="316" t="s">
        <v>3936</v>
      </c>
      <c r="E264" s="314" t="s">
        <v>3937</v>
      </c>
      <c r="F264" s="314" t="s">
        <v>229</v>
      </c>
      <c r="G264" s="312" t="s">
        <v>3938</v>
      </c>
      <c r="H264" s="312" t="s">
        <v>3939</v>
      </c>
      <c r="I264" s="312" t="s">
        <v>94</v>
      </c>
      <c r="J264" s="312" t="s">
        <v>3940</v>
      </c>
      <c r="K264" s="312" t="s">
        <v>3941</v>
      </c>
    </row>
    <row r="265" spans="1:11">
      <c r="A265" s="294"/>
      <c r="B265" s="301"/>
      <c r="C265" s="296" t="s">
        <v>3942</v>
      </c>
      <c r="D265" s="316" t="s">
        <v>3943</v>
      </c>
      <c r="E265" s="314" t="s">
        <v>3944</v>
      </c>
      <c r="F265" s="314" t="s">
        <v>425</v>
      </c>
      <c r="G265" s="312" t="s">
        <v>3945</v>
      </c>
      <c r="H265" s="312" t="s">
        <v>3946</v>
      </c>
      <c r="I265" s="312" t="s">
        <v>2545</v>
      </c>
      <c r="J265" s="312" t="s">
        <v>3947</v>
      </c>
      <c r="K265" s="312" t="s">
        <v>3948</v>
      </c>
    </row>
    <row r="266" spans="1:11">
      <c r="A266" s="294"/>
      <c r="B266" s="301"/>
      <c r="C266" s="296"/>
      <c r="D266" s="316" t="s">
        <v>3949</v>
      </c>
      <c r="E266" s="314" t="s">
        <v>3950</v>
      </c>
      <c r="F266" s="314" t="s">
        <v>229</v>
      </c>
      <c r="G266" s="312" t="s">
        <v>3951</v>
      </c>
      <c r="H266" s="312" t="s">
        <v>3952</v>
      </c>
      <c r="I266" s="312" t="s">
        <v>2545</v>
      </c>
      <c r="J266" s="312" t="s">
        <v>3899</v>
      </c>
      <c r="K266" s="312" t="s">
        <v>3953</v>
      </c>
    </row>
    <row r="267" spans="1:11">
      <c r="A267" s="294"/>
      <c r="B267" s="301"/>
      <c r="C267" s="296"/>
      <c r="D267" s="316" t="s">
        <v>3954</v>
      </c>
      <c r="E267" s="314" t="s">
        <v>3955</v>
      </c>
      <c r="F267" s="314" t="s">
        <v>20</v>
      </c>
      <c r="G267" s="312" t="s">
        <v>3956</v>
      </c>
      <c r="H267" s="312" t="s">
        <v>3957</v>
      </c>
      <c r="I267" s="312" t="s">
        <v>2545</v>
      </c>
      <c r="J267" s="312" t="s">
        <v>3958</v>
      </c>
      <c r="K267" s="312" t="s">
        <v>3959</v>
      </c>
    </row>
    <row r="268" spans="1:11">
      <c r="A268" s="294"/>
      <c r="B268" s="301"/>
      <c r="C268" s="296"/>
      <c r="D268" s="316" t="s">
        <v>3960</v>
      </c>
      <c r="E268" s="314" t="s">
        <v>3961</v>
      </c>
      <c r="F268" s="314" t="s">
        <v>425</v>
      </c>
      <c r="G268" s="312" t="s">
        <v>3962</v>
      </c>
      <c r="H268" s="312" t="s">
        <v>3963</v>
      </c>
      <c r="I268" s="312" t="s">
        <v>94</v>
      </c>
      <c r="J268" s="312" t="s">
        <v>3964</v>
      </c>
      <c r="K268" s="312" t="s">
        <v>3965</v>
      </c>
    </row>
    <row r="269" spans="1:11">
      <c r="A269" s="294"/>
      <c r="B269" s="301"/>
      <c r="C269" s="296"/>
      <c r="D269" s="316" t="s">
        <v>3966</v>
      </c>
      <c r="E269" s="314" t="s">
        <v>3967</v>
      </c>
      <c r="F269" s="314" t="s">
        <v>20</v>
      </c>
      <c r="G269" s="312" t="s">
        <v>3498</v>
      </c>
      <c r="H269" s="312" t="s">
        <v>3968</v>
      </c>
      <c r="I269" s="312" t="s">
        <v>94</v>
      </c>
      <c r="J269" s="312" t="s">
        <v>3969</v>
      </c>
      <c r="K269" s="312" t="s">
        <v>3970</v>
      </c>
    </row>
  </sheetData>
  <mergeCells count="198">
    <mergeCell ref="B245:B269"/>
    <mergeCell ref="C245:C249"/>
    <mergeCell ref="C250:C254"/>
    <mergeCell ref="C255:C259"/>
    <mergeCell ref="C260:C264"/>
    <mergeCell ref="C265:C269"/>
    <mergeCell ref="C225:C229"/>
    <mergeCell ref="B155:B244"/>
    <mergeCell ref="C155:C159"/>
    <mergeCell ref="C160:C164"/>
    <mergeCell ref="C165:C169"/>
    <mergeCell ref="C170:C174"/>
    <mergeCell ref="C175:C179"/>
    <mergeCell ref="C180:C184"/>
    <mergeCell ref="C185:C189"/>
    <mergeCell ref="C190:C194"/>
    <mergeCell ref="C195:C199"/>
    <mergeCell ref="C230:C234"/>
    <mergeCell ref="C235:C239"/>
    <mergeCell ref="C240:C244"/>
    <mergeCell ref="B130:B154"/>
    <mergeCell ref="C130:C134"/>
    <mergeCell ref="C135:C139"/>
    <mergeCell ref="C140:C144"/>
    <mergeCell ref="C145:C149"/>
    <mergeCell ref="C150:C154"/>
    <mergeCell ref="D98:D99"/>
    <mergeCell ref="E98:E99"/>
    <mergeCell ref="F98:F99"/>
    <mergeCell ref="C100:C104"/>
    <mergeCell ref="B105:B129"/>
    <mergeCell ref="C105:C109"/>
    <mergeCell ref="C110:C114"/>
    <mergeCell ref="C115:C119"/>
    <mergeCell ref="C120:C124"/>
    <mergeCell ref="C125:C129"/>
    <mergeCell ref="C90:C99"/>
    <mergeCell ref="E66:E67"/>
    <mergeCell ref="F66:F67"/>
    <mergeCell ref="C80:C89"/>
    <mergeCell ref="D80:D81"/>
    <mergeCell ref="E80:E81"/>
    <mergeCell ref="F80:F81"/>
    <mergeCell ref="D82:D83"/>
    <mergeCell ref="E82:E83"/>
    <mergeCell ref="F82:F83"/>
    <mergeCell ref="D74:D75"/>
    <mergeCell ref="E74:E75"/>
    <mergeCell ref="F74:F75"/>
    <mergeCell ref="D76:D77"/>
    <mergeCell ref="E76:E77"/>
    <mergeCell ref="F76:F77"/>
    <mergeCell ref="D84:D85"/>
    <mergeCell ref="E84:E85"/>
    <mergeCell ref="F84:F85"/>
    <mergeCell ref="D86:D87"/>
    <mergeCell ref="E86:E87"/>
    <mergeCell ref="F86:F87"/>
    <mergeCell ref="D78:D79"/>
    <mergeCell ref="E78:E79"/>
    <mergeCell ref="F78:F79"/>
    <mergeCell ref="F56:F57"/>
    <mergeCell ref="D58:D59"/>
    <mergeCell ref="E58:E59"/>
    <mergeCell ref="F58:F59"/>
    <mergeCell ref="D60:D61"/>
    <mergeCell ref="E60:E61"/>
    <mergeCell ref="F60:F61"/>
    <mergeCell ref="B52:B104"/>
    <mergeCell ref="C52:C61"/>
    <mergeCell ref="D52:D53"/>
    <mergeCell ref="E52:E53"/>
    <mergeCell ref="F52:F53"/>
    <mergeCell ref="D54:D55"/>
    <mergeCell ref="E54:E55"/>
    <mergeCell ref="F54:F55"/>
    <mergeCell ref="D56:D57"/>
    <mergeCell ref="E56:E57"/>
    <mergeCell ref="D68:D69"/>
    <mergeCell ref="E68:E69"/>
    <mergeCell ref="F68:F69"/>
    <mergeCell ref="C70:C79"/>
    <mergeCell ref="D70:D71"/>
    <mergeCell ref="E70:E71"/>
    <mergeCell ref="F70:F71"/>
    <mergeCell ref="E32:E33"/>
    <mergeCell ref="F32:F33"/>
    <mergeCell ref="D34:D35"/>
    <mergeCell ref="E34:E35"/>
    <mergeCell ref="F34:F35"/>
    <mergeCell ref="D36:D37"/>
    <mergeCell ref="E36:E37"/>
    <mergeCell ref="F36:F37"/>
    <mergeCell ref="D48:D49"/>
    <mergeCell ref="E48:E49"/>
    <mergeCell ref="F48:F49"/>
    <mergeCell ref="D42:D43"/>
    <mergeCell ref="E42:E43"/>
    <mergeCell ref="F42:F43"/>
    <mergeCell ref="D44:D45"/>
    <mergeCell ref="E44:E45"/>
    <mergeCell ref="F44:F45"/>
    <mergeCell ref="D46:D47"/>
    <mergeCell ref="E46:E47"/>
    <mergeCell ref="F46:F47"/>
    <mergeCell ref="A2:A269"/>
    <mergeCell ref="B2:B51"/>
    <mergeCell ref="C2:C11"/>
    <mergeCell ref="D2:D3"/>
    <mergeCell ref="E2:E3"/>
    <mergeCell ref="F2:F3"/>
    <mergeCell ref="D4:D5"/>
    <mergeCell ref="E4:E5"/>
    <mergeCell ref="F4:F5"/>
    <mergeCell ref="D6:D7"/>
    <mergeCell ref="D18:D19"/>
    <mergeCell ref="E18:E19"/>
    <mergeCell ref="F18:F19"/>
    <mergeCell ref="D20:D21"/>
    <mergeCell ref="E20:E21"/>
    <mergeCell ref="F20:F21"/>
    <mergeCell ref="C12:C21"/>
    <mergeCell ref="D12:D13"/>
    <mergeCell ref="E12:E13"/>
    <mergeCell ref="F12:F13"/>
    <mergeCell ref="D14:D15"/>
    <mergeCell ref="E14:E15"/>
    <mergeCell ref="F14:F15"/>
    <mergeCell ref="D16:D17"/>
    <mergeCell ref="E6:E7"/>
    <mergeCell ref="F6:F7"/>
    <mergeCell ref="D8:D9"/>
    <mergeCell ref="E8:E9"/>
    <mergeCell ref="F8:F9"/>
    <mergeCell ref="D10:D11"/>
    <mergeCell ref="E10:E11"/>
    <mergeCell ref="F10:F11"/>
    <mergeCell ref="E16:E17"/>
    <mergeCell ref="F16:F17"/>
    <mergeCell ref="D28:D29"/>
    <mergeCell ref="E28:E29"/>
    <mergeCell ref="F28:F29"/>
    <mergeCell ref="D30:D31"/>
    <mergeCell ref="E30:E31"/>
    <mergeCell ref="F30:F31"/>
    <mergeCell ref="C22:C31"/>
    <mergeCell ref="D22:D23"/>
    <mergeCell ref="C200:C204"/>
    <mergeCell ref="C205:C209"/>
    <mergeCell ref="C210:C214"/>
    <mergeCell ref="C215:C219"/>
    <mergeCell ref="C220:C224"/>
    <mergeCell ref="D94:D95"/>
    <mergeCell ref="E94:E95"/>
    <mergeCell ref="F94:F95"/>
    <mergeCell ref="D96:D97"/>
    <mergeCell ref="E96:E97"/>
    <mergeCell ref="F96:F97"/>
    <mergeCell ref="D90:D91"/>
    <mergeCell ref="D88:D89"/>
    <mergeCell ref="E88:E89"/>
    <mergeCell ref="F88:F89"/>
    <mergeCell ref="E90:E91"/>
    <mergeCell ref="F90:F91"/>
    <mergeCell ref="D92:D93"/>
    <mergeCell ref="E92:E93"/>
    <mergeCell ref="F92:F93"/>
    <mergeCell ref="D72:D73"/>
    <mergeCell ref="E72:E73"/>
    <mergeCell ref="F72:F73"/>
    <mergeCell ref="C62:C69"/>
    <mergeCell ref="D62:D63"/>
    <mergeCell ref="E62:E63"/>
    <mergeCell ref="F62:F63"/>
    <mergeCell ref="D64:D65"/>
    <mergeCell ref="E64:E65"/>
    <mergeCell ref="F64:F65"/>
    <mergeCell ref="D66:D67"/>
    <mergeCell ref="D50:D51"/>
    <mergeCell ref="E50:E51"/>
    <mergeCell ref="F50:F51"/>
    <mergeCell ref="C42:C51"/>
    <mergeCell ref="D38:D39"/>
    <mergeCell ref="E38:E39"/>
    <mergeCell ref="F38:F39"/>
    <mergeCell ref="D40:D41"/>
    <mergeCell ref="E40:E41"/>
    <mergeCell ref="F40:F41"/>
    <mergeCell ref="C32:C41"/>
    <mergeCell ref="D32:D33"/>
    <mergeCell ref="E22:E23"/>
    <mergeCell ref="F22:F23"/>
    <mergeCell ref="D24:D25"/>
    <mergeCell ref="E24:E25"/>
    <mergeCell ref="F24:F25"/>
    <mergeCell ref="D26:D27"/>
    <mergeCell ref="E26:E27"/>
    <mergeCell ref="F26:F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1"/>
  <sheetViews>
    <sheetView topLeftCell="E667" workbookViewId="0">
      <selection activeCell="F263" sqref="F263"/>
    </sheetView>
  </sheetViews>
  <sheetFormatPr baseColWidth="10" defaultRowHeight="15"/>
  <cols>
    <col min="1" max="1" width="35" customWidth="1"/>
    <col min="2" max="2" width="47.28515625" customWidth="1"/>
    <col min="3" max="3" width="56.5703125" customWidth="1"/>
    <col min="4" max="4" width="74.85546875" customWidth="1"/>
    <col min="5" max="5" width="91.5703125" customWidth="1"/>
    <col min="6" max="6" width="11.140625" customWidth="1"/>
    <col min="7" max="7" width="78.5703125" customWidth="1"/>
    <col min="8" max="8" width="76.7109375" customWidth="1"/>
    <col min="10" max="10" width="95.7109375" customWidth="1"/>
    <col min="11" max="11" width="124.7109375" customWidth="1"/>
  </cols>
  <sheetData>
    <row r="1" spans="1:11" ht="15.75" thickBot="1">
      <c r="A1" s="305" t="s">
        <v>3971</v>
      </c>
      <c r="B1" s="304" t="s">
        <v>3972</v>
      </c>
      <c r="C1" s="321" t="s">
        <v>3973</v>
      </c>
      <c r="D1" s="261" t="s">
        <v>3974</v>
      </c>
      <c r="E1" s="322" t="s">
        <v>3975</v>
      </c>
      <c r="F1" s="323" t="s">
        <v>9</v>
      </c>
      <c r="G1" s="324" t="s">
        <v>3976</v>
      </c>
      <c r="H1" s="324" t="s">
        <v>3977</v>
      </c>
      <c r="I1" s="324" t="s">
        <v>3978</v>
      </c>
      <c r="J1" s="324" t="s">
        <v>3979</v>
      </c>
      <c r="K1" s="325" t="s">
        <v>3980</v>
      </c>
    </row>
    <row r="2" spans="1:11">
      <c r="A2" s="326" t="s">
        <v>3981</v>
      </c>
      <c r="B2" s="327" t="s">
        <v>3982</v>
      </c>
      <c r="C2" s="328" t="s">
        <v>3983</v>
      </c>
      <c r="D2" s="329" t="s">
        <v>3984</v>
      </c>
      <c r="E2" s="330" t="s">
        <v>3985</v>
      </c>
      <c r="F2" s="248" t="s">
        <v>20</v>
      </c>
      <c r="G2" s="331"/>
      <c r="H2" s="331" t="s">
        <v>3986</v>
      </c>
      <c r="I2" s="85" t="s">
        <v>23</v>
      </c>
      <c r="J2" s="331" t="s">
        <v>3987</v>
      </c>
      <c r="K2" s="331" t="s">
        <v>3988</v>
      </c>
    </row>
    <row r="3" spans="1:11">
      <c r="A3" s="332"/>
      <c r="B3" s="333"/>
      <c r="C3" s="334"/>
      <c r="D3" s="335" t="s">
        <v>3989</v>
      </c>
      <c r="E3" s="336" t="s">
        <v>3990</v>
      </c>
      <c r="F3" s="84" t="s">
        <v>229</v>
      </c>
      <c r="G3" s="335" t="s">
        <v>3991</v>
      </c>
      <c r="H3" s="335" t="s">
        <v>3992</v>
      </c>
      <c r="I3" s="85" t="s">
        <v>23</v>
      </c>
      <c r="J3" s="335" t="s">
        <v>3993</v>
      </c>
      <c r="K3" s="335" t="s">
        <v>3994</v>
      </c>
    </row>
    <row r="4" spans="1:11">
      <c r="A4" s="332"/>
      <c r="B4" s="333"/>
      <c r="C4" s="334"/>
      <c r="D4" s="335" t="s">
        <v>3995</v>
      </c>
      <c r="E4" s="336" t="s">
        <v>3996</v>
      </c>
      <c r="F4" s="84" t="s">
        <v>425</v>
      </c>
      <c r="G4" s="335" t="s">
        <v>3997</v>
      </c>
      <c r="H4" s="335" t="s">
        <v>3998</v>
      </c>
      <c r="I4" s="85" t="s">
        <v>23</v>
      </c>
      <c r="J4" s="335" t="s">
        <v>3999</v>
      </c>
      <c r="K4" s="335" t="s">
        <v>4000</v>
      </c>
    </row>
    <row r="5" spans="1:11">
      <c r="A5" s="332"/>
      <c r="B5" s="333"/>
      <c r="C5" s="334"/>
      <c r="D5" s="335" t="s">
        <v>4001</v>
      </c>
      <c r="E5" s="336" t="s">
        <v>4002</v>
      </c>
      <c r="F5" s="84" t="s">
        <v>20</v>
      </c>
      <c r="G5" s="335" t="s">
        <v>4003</v>
      </c>
      <c r="H5" s="335" t="s">
        <v>4004</v>
      </c>
      <c r="I5" s="85" t="s">
        <v>2560</v>
      </c>
      <c r="J5" s="335" t="s">
        <v>4005</v>
      </c>
      <c r="K5" s="335" t="s">
        <v>4006</v>
      </c>
    </row>
    <row r="6" spans="1:11">
      <c r="A6" s="332"/>
      <c r="B6" s="333"/>
      <c r="C6" s="337"/>
      <c r="D6" s="335" t="s">
        <v>4007</v>
      </c>
      <c r="E6" s="336" t="s">
        <v>4008</v>
      </c>
      <c r="F6" s="84" t="s">
        <v>20</v>
      </c>
      <c r="G6" s="335" t="s">
        <v>4009</v>
      </c>
      <c r="H6" s="335" t="s">
        <v>4010</v>
      </c>
      <c r="I6" s="85" t="s">
        <v>23</v>
      </c>
      <c r="J6" s="335" t="s">
        <v>4011</v>
      </c>
      <c r="K6" s="335" t="s">
        <v>4012</v>
      </c>
    </row>
    <row r="7" spans="1:11">
      <c r="A7" s="332"/>
      <c r="B7" s="333"/>
      <c r="C7" s="338" t="s">
        <v>4013</v>
      </c>
      <c r="D7" s="335" t="s">
        <v>4014</v>
      </c>
      <c r="E7" s="339" t="s">
        <v>4015</v>
      </c>
      <c r="F7" s="84" t="s">
        <v>20</v>
      </c>
      <c r="G7" s="335" t="s">
        <v>4016</v>
      </c>
      <c r="H7" s="335" t="s">
        <v>4017</v>
      </c>
      <c r="I7" s="85" t="s">
        <v>23</v>
      </c>
      <c r="J7" s="335" t="s">
        <v>4018</v>
      </c>
      <c r="K7" s="335" t="s">
        <v>4019</v>
      </c>
    </row>
    <row r="8" spans="1:11">
      <c r="A8" s="332"/>
      <c r="B8" s="333"/>
      <c r="C8" s="334"/>
      <c r="D8" s="335" t="s">
        <v>4020</v>
      </c>
      <c r="E8" s="339" t="s">
        <v>4021</v>
      </c>
      <c r="F8" s="84" t="s">
        <v>20</v>
      </c>
      <c r="G8" s="335" t="s">
        <v>4022</v>
      </c>
      <c r="H8" s="335" t="s">
        <v>4023</v>
      </c>
      <c r="I8" s="85" t="s">
        <v>94</v>
      </c>
      <c r="J8" s="335" t="s">
        <v>4024</v>
      </c>
      <c r="K8" s="335" t="s">
        <v>4025</v>
      </c>
    </row>
    <row r="9" spans="1:11">
      <c r="A9" s="332"/>
      <c r="B9" s="333"/>
      <c r="C9" s="334"/>
      <c r="D9" s="335" t="s">
        <v>4026</v>
      </c>
      <c r="E9" s="339" t="s">
        <v>4027</v>
      </c>
      <c r="F9" s="84" t="s">
        <v>425</v>
      </c>
      <c r="G9" s="335" t="s">
        <v>4028</v>
      </c>
      <c r="H9" s="335" t="s">
        <v>4029</v>
      </c>
      <c r="I9" s="85" t="s">
        <v>23</v>
      </c>
      <c r="J9" s="335" t="s">
        <v>4030</v>
      </c>
      <c r="K9" s="335" t="s">
        <v>4031</v>
      </c>
    </row>
    <row r="10" spans="1:11">
      <c r="A10" s="332"/>
      <c r="B10" s="333"/>
      <c r="C10" s="334"/>
      <c r="D10" s="335" t="s">
        <v>4032</v>
      </c>
      <c r="E10" s="339" t="s">
        <v>4033</v>
      </c>
      <c r="F10" s="84" t="s">
        <v>425</v>
      </c>
      <c r="G10" s="335" t="s">
        <v>4034</v>
      </c>
      <c r="H10" s="335" t="s">
        <v>4035</v>
      </c>
      <c r="I10" s="85" t="s">
        <v>23</v>
      </c>
      <c r="J10" s="335" t="s">
        <v>4036</v>
      </c>
      <c r="K10" s="335" t="s">
        <v>4037</v>
      </c>
    </row>
    <row r="11" spans="1:11">
      <c r="A11" s="332"/>
      <c r="B11" s="333"/>
      <c r="C11" s="337"/>
      <c r="D11" s="335" t="s">
        <v>4038</v>
      </c>
      <c r="E11" s="339" t="s">
        <v>4039</v>
      </c>
      <c r="F11" s="84" t="s">
        <v>425</v>
      </c>
      <c r="G11" s="335" t="s">
        <v>4040</v>
      </c>
      <c r="H11" s="335" t="s">
        <v>4041</v>
      </c>
      <c r="I11" s="85" t="s">
        <v>23</v>
      </c>
      <c r="J11" s="335" t="s">
        <v>4042</v>
      </c>
      <c r="K11" s="335" t="s">
        <v>4043</v>
      </c>
    </row>
    <row r="12" spans="1:11">
      <c r="A12" s="332"/>
      <c r="B12" s="333"/>
      <c r="C12" s="338" t="s">
        <v>4044</v>
      </c>
      <c r="D12" s="335" t="s">
        <v>4045</v>
      </c>
      <c r="E12" s="339" t="s">
        <v>4046</v>
      </c>
      <c r="F12" s="84" t="s">
        <v>229</v>
      </c>
      <c r="G12" s="335" t="s">
        <v>4047</v>
      </c>
      <c r="H12" s="335" t="s">
        <v>4048</v>
      </c>
      <c r="I12" s="85" t="s">
        <v>23</v>
      </c>
      <c r="J12" s="335" t="s">
        <v>4049</v>
      </c>
      <c r="K12" s="335" t="s">
        <v>4050</v>
      </c>
    </row>
    <row r="13" spans="1:11">
      <c r="A13" s="332"/>
      <c r="B13" s="333"/>
      <c r="C13" s="334"/>
      <c r="D13" s="335" t="s">
        <v>4051</v>
      </c>
      <c r="E13" s="339" t="s">
        <v>4052</v>
      </c>
      <c r="F13" s="84" t="s">
        <v>229</v>
      </c>
      <c r="G13" s="335" t="s">
        <v>4053</v>
      </c>
      <c r="H13" s="335" t="s">
        <v>4054</v>
      </c>
      <c r="I13" s="85" t="s">
        <v>23</v>
      </c>
      <c r="J13" s="335" t="s">
        <v>4055</v>
      </c>
      <c r="K13" s="335" t="s">
        <v>4056</v>
      </c>
    </row>
    <row r="14" spans="1:11">
      <c r="A14" s="332"/>
      <c r="B14" s="333"/>
      <c r="C14" s="334"/>
      <c r="D14" s="335" t="s">
        <v>4057</v>
      </c>
      <c r="E14" s="339" t="s">
        <v>4058</v>
      </c>
      <c r="F14" s="84" t="s">
        <v>20</v>
      </c>
      <c r="G14" s="335" t="s">
        <v>4059</v>
      </c>
      <c r="H14" s="335" t="s">
        <v>4060</v>
      </c>
      <c r="I14" s="85" t="s">
        <v>23</v>
      </c>
      <c r="J14" s="335" t="s">
        <v>4061</v>
      </c>
      <c r="K14" s="335" t="s">
        <v>4062</v>
      </c>
    </row>
    <row r="15" spans="1:11">
      <c r="A15" s="332"/>
      <c r="B15" s="333"/>
      <c r="C15" s="334"/>
      <c r="D15" s="335" t="s">
        <v>4063</v>
      </c>
      <c r="E15" s="339" t="s">
        <v>4064</v>
      </c>
      <c r="F15" s="84" t="s">
        <v>229</v>
      </c>
      <c r="G15" s="335" t="s">
        <v>4065</v>
      </c>
      <c r="H15" s="335" t="s">
        <v>4066</v>
      </c>
      <c r="I15" s="85" t="s">
        <v>23</v>
      </c>
      <c r="J15" s="335" t="s">
        <v>4067</v>
      </c>
      <c r="K15" s="335" t="s">
        <v>4068</v>
      </c>
    </row>
    <row r="16" spans="1:11">
      <c r="A16" s="332"/>
      <c r="B16" s="333"/>
      <c r="C16" s="337"/>
      <c r="D16" s="335" t="s">
        <v>4069</v>
      </c>
      <c r="E16" s="339" t="s">
        <v>4070</v>
      </c>
      <c r="F16" s="84" t="s">
        <v>20</v>
      </c>
      <c r="G16" s="335" t="s">
        <v>4071</v>
      </c>
      <c r="H16" s="335" t="s">
        <v>4072</v>
      </c>
      <c r="I16" s="85" t="s">
        <v>23</v>
      </c>
      <c r="J16" s="335" t="s">
        <v>4073</v>
      </c>
      <c r="K16" s="335" t="s">
        <v>4074</v>
      </c>
    </row>
    <row r="17" spans="1:11">
      <c r="A17" s="332"/>
      <c r="B17" s="333"/>
      <c r="C17" s="338" t="s">
        <v>4075</v>
      </c>
      <c r="D17" s="335" t="s">
        <v>4076</v>
      </c>
      <c r="E17" s="339" t="s">
        <v>4077</v>
      </c>
      <c r="F17" s="84" t="s">
        <v>20</v>
      </c>
      <c r="G17" s="335" t="s">
        <v>4078</v>
      </c>
      <c r="H17" s="335" t="s">
        <v>4079</v>
      </c>
      <c r="I17" s="85" t="s">
        <v>23</v>
      </c>
      <c r="J17" s="335" t="s">
        <v>4080</v>
      </c>
      <c r="K17" s="335" t="s">
        <v>4081</v>
      </c>
    </row>
    <row r="18" spans="1:11">
      <c r="A18" s="332"/>
      <c r="B18" s="333"/>
      <c r="C18" s="334"/>
      <c r="D18" s="335" t="s">
        <v>4082</v>
      </c>
      <c r="E18" s="339" t="s">
        <v>4083</v>
      </c>
      <c r="F18" s="84" t="s">
        <v>20</v>
      </c>
      <c r="G18" s="335" t="s">
        <v>4084</v>
      </c>
      <c r="H18" s="335" t="s">
        <v>4085</v>
      </c>
      <c r="I18" s="85" t="s">
        <v>23</v>
      </c>
      <c r="J18" s="335" t="s">
        <v>4086</v>
      </c>
      <c r="K18" s="335" t="s">
        <v>4087</v>
      </c>
    </row>
    <row r="19" spans="1:11">
      <c r="A19" s="332"/>
      <c r="B19" s="333"/>
      <c r="C19" s="334"/>
      <c r="D19" s="335" t="s">
        <v>4088</v>
      </c>
      <c r="E19" s="339" t="s">
        <v>4089</v>
      </c>
      <c r="F19" s="84" t="s">
        <v>229</v>
      </c>
      <c r="G19" s="335" t="s">
        <v>4090</v>
      </c>
      <c r="H19" s="335" t="s">
        <v>4091</v>
      </c>
      <c r="I19" s="85" t="s">
        <v>94</v>
      </c>
      <c r="J19" s="335" t="s">
        <v>4092</v>
      </c>
      <c r="K19" s="335" t="s">
        <v>4093</v>
      </c>
    </row>
    <row r="20" spans="1:11">
      <c r="A20" s="332"/>
      <c r="B20" s="333"/>
      <c r="C20" s="334"/>
      <c r="D20" s="335" t="s">
        <v>4094</v>
      </c>
      <c r="E20" s="339" t="s">
        <v>4095</v>
      </c>
      <c r="F20" s="84" t="s">
        <v>229</v>
      </c>
      <c r="G20" s="335" t="s">
        <v>4096</v>
      </c>
      <c r="H20" s="335" t="s">
        <v>4097</v>
      </c>
      <c r="I20" s="85" t="s">
        <v>23</v>
      </c>
      <c r="J20" s="335" t="s">
        <v>4098</v>
      </c>
      <c r="K20" s="335" t="s">
        <v>4099</v>
      </c>
    </row>
    <row r="21" spans="1:11">
      <c r="A21" s="332"/>
      <c r="B21" s="333"/>
      <c r="C21" s="337"/>
      <c r="D21" s="335" t="s">
        <v>4100</v>
      </c>
      <c r="E21" s="339" t="s">
        <v>4101</v>
      </c>
      <c r="F21" s="84" t="s">
        <v>229</v>
      </c>
      <c r="G21" s="335" t="s">
        <v>4102</v>
      </c>
      <c r="H21" s="335" t="s">
        <v>4103</v>
      </c>
      <c r="I21" s="85" t="s">
        <v>23</v>
      </c>
      <c r="J21" s="335" t="s">
        <v>4104</v>
      </c>
      <c r="K21" s="335" t="s">
        <v>4105</v>
      </c>
    </row>
    <row r="22" spans="1:11">
      <c r="A22" s="332"/>
      <c r="B22" s="333"/>
      <c r="C22" s="338" t="s">
        <v>4106</v>
      </c>
      <c r="D22" s="335" t="s">
        <v>4107</v>
      </c>
      <c r="E22" s="339" t="s">
        <v>4108</v>
      </c>
      <c r="F22" s="84" t="s">
        <v>20</v>
      </c>
      <c r="G22" s="335" t="s">
        <v>4109</v>
      </c>
      <c r="H22" s="335" t="s">
        <v>4110</v>
      </c>
      <c r="I22" s="85" t="s">
        <v>23</v>
      </c>
      <c r="J22" s="335" t="s">
        <v>4111</v>
      </c>
      <c r="K22" s="335" t="s">
        <v>4112</v>
      </c>
    </row>
    <row r="23" spans="1:11">
      <c r="A23" s="332"/>
      <c r="B23" s="333"/>
      <c r="C23" s="334"/>
      <c r="D23" s="335" t="s">
        <v>4113</v>
      </c>
      <c r="E23" s="339" t="s">
        <v>4114</v>
      </c>
      <c r="F23" s="84" t="s">
        <v>425</v>
      </c>
      <c r="G23" s="335" t="s">
        <v>4115</v>
      </c>
      <c r="H23" s="335" t="s">
        <v>4116</v>
      </c>
      <c r="I23" s="85" t="s">
        <v>23</v>
      </c>
      <c r="J23" s="335" t="s">
        <v>4117</v>
      </c>
      <c r="K23" s="335" t="s">
        <v>4118</v>
      </c>
    </row>
    <row r="24" spans="1:11">
      <c r="A24" s="332"/>
      <c r="B24" s="333"/>
      <c r="C24" s="334"/>
      <c r="D24" s="335" t="s">
        <v>4119</v>
      </c>
      <c r="E24" s="339" t="s">
        <v>4120</v>
      </c>
      <c r="F24" s="84" t="s">
        <v>229</v>
      </c>
      <c r="G24" s="335" t="s">
        <v>4121</v>
      </c>
      <c r="H24" s="335" t="s">
        <v>4122</v>
      </c>
      <c r="I24" s="85" t="s">
        <v>94</v>
      </c>
      <c r="J24" s="335" t="s">
        <v>4123</v>
      </c>
      <c r="K24" s="335" t="s">
        <v>4124</v>
      </c>
    </row>
    <row r="25" spans="1:11">
      <c r="A25" s="332"/>
      <c r="B25" s="333"/>
      <c r="C25" s="334"/>
      <c r="D25" s="335" t="s">
        <v>4125</v>
      </c>
      <c r="E25" s="339" t="s">
        <v>4126</v>
      </c>
      <c r="F25" s="84" t="s">
        <v>229</v>
      </c>
      <c r="G25" s="335" t="s">
        <v>4127</v>
      </c>
      <c r="H25" s="335" t="s">
        <v>4128</v>
      </c>
      <c r="I25" s="85" t="s">
        <v>23</v>
      </c>
      <c r="J25" s="335" t="s">
        <v>4129</v>
      </c>
      <c r="K25" s="335" t="s">
        <v>4130</v>
      </c>
    </row>
    <row r="26" spans="1:11" ht="15.75" thickBot="1">
      <c r="A26" s="332"/>
      <c r="B26" s="333"/>
      <c r="C26" s="340"/>
      <c r="D26" s="335" t="s">
        <v>4131</v>
      </c>
      <c r="E26" s="339" t="s">
        <v>4132</v>
      </c>
      <c r="F26" s="84" t="s">
        <v>20</v>
      </c>
      <c r="G26" s="335" t="s">
        <v>4133</v>
      </c>
      <c r="H26" s="335" t="s">
        <v>4134</v>
      </c>
      <c r="I26" s="85" t="s">
        <v>23</v>
      </c>
      <c r="J26" s="335" t="s">
        <v>4135</v>
      </c>
      <c r="K26" s="335" t="s">
        <v>4136</v>
      </c>
    </row>
    <row r="27" spans="1:11">
      <c r="A27" s="332"/>
      <c r="B27" s="327" t="s">
        <v>4137</v>
      </c>
      <c r="C27" s="328" t="s">
        <v>4138</v>
      </c>
      <c r="D27" s="341" t="s">
        <v>4139</v>
      </c>
      <c r="E27" s="330" t="s">
        <v>4140</v>
      </c>
      <c r="F27" s="84" t="s">
        <v>425</v>
      </c>
      <c r="G27" s="335" t="s">
        <v>4141</v>
      </c>
      <c r="H27" s="335" t="s">
        <v>4142</v>
      </c>
      <c r="I27" s="85" t="s">
        <v>23</v>
      </c>
      <c r="J27" s="335" t="s">
        <v>4143</v>
      </c>
      <c r="K27" s="335" t="s">
        <v>4144</v>
      </c>
    </row>
    <row r="28" spans="1:11">
      <c r="A28" s="332"/>
      <c r="B28" s="333"/>
      <c r="C28" s="334"/>
      <c r="D28" s="329" t="s">
        <v>4145</v>
      </c>
      <c r="E28" s="336" t="s">
        <v>4146</v>
      </c>
      <c r="F28" s="84" t="s">
        <v>20</v>
      </c>
      <c r="G28" s="335" t="s">
        <v>4147</v>
      </c>
      <c r="H28" s="335" t="s">
        <v>4148</v>
      </c>
      <c r="I28" s="85" t="s">
        <v>23</v>
      </c>
      <c r="J28" s="335" t="s">
        <v>4149</v>
      </c>
      <c r="K28" s="335" t="s">
        <v>4150</v>
      </c>
    </row>
    <row r="29" spans="1:11">
      <c r="A29" s="332"/>
      <c r="B29" s="333"/>
      <c r="C29" s="334"/>
      <c r="D29" s="329" t="s">
        <v>4151</v>
      </c>
      <c r="E29" s="336" t="s">
        <v>4152</v>
      </c>
      <c r="F29" s="84" t="s">
        <v>20</v>
      </c>
      <c r="G29" s="335" t="s">
        <v>4153</v>
      </c>
      <c r="H29" s="335" t="s">
        <v>4154</v>
      </c>
      <c r="I29" s="85" t="s">
        <v>23</v>
      </c>
      <c r="J29" s="335" t="s">
        <v>4155</v>
      </c>
      <c r="K29" s="335" t="s">
        <v>4156</v>
      </c>
    </row>
    <row r="30" spans="1:11">
      <c r="A30" s="332"/>
      <c r="B30" s="333"/>
      <c r="C30" s="334"/>
      <c r="D30" s="335" t="s">
        <v>4157</v>
      </c>
      <c r="E30" s="336" t="s">
        <v>4158</v>
      </c>
      <c r="F30" s="84" t="s">
        <v>20</v>
      </c>
      <c r="G30" s="335" t="s">
        <v>4159</v>
      </c>
      <c r="H30" s="335" t="s">
        <v>4160</v>
      </c>
      <c r="I30" s="85" t="s">
        <v>23</v>
      </c>
      <c r="J30" s="335" t="s">
        <v>4161</v>
      </c>
      <c r="K30" s="335" t="s">
        <v>4162</v>
      </c>
    </row>
    <row r="31" spans="1:11">
      <c r="A31" s="332"/>
      <c r="B31" s="333"/>
      <c r="C31" s="337"/>
      <c r="D31" s="335" t="s">
        <v>4163</v>
      </c>
      <c r="E31" s="336" t="s">
        <v>4164</v>
      </c>
      <c r="F31" s="84" t="s">
        <v>229</v>
      </c>
      <c r="G31" s="335" t="s">
        <v>4165</v>
      </c>
      <c r="H31" s="335" t="s">
        <v>4166</v>
      </c>
      <c r="I31" s="85" t="s">
        <v>23</v>
      </c>
      <c r="J31" s="335" t="s">
        <v>4167</v>
      </c>
      <c r="K31" s="335" t="s">
        <v>4168</v>
      </c>
    </row>
    <row r="32" spans="1:11">
      <c r="A32" s="332"/>
      <c r="B32" s="333"/>
      <c r="C32" s="338" t="s">
        <v>4169</v>
      </c>
      <c r="D32" s="335" t="s">
        <v>4170</v>
      </c>
      <c r="E32" s="339" t="s">
        <v>4171</v>
      </c>
      <c r="F32" s="84" t="s">
        <v>229</v>
      </c>
      <c r="G32" s="335" t="s">
        <v>4172</v>
      </c>
      <c r="H32" s="335" t="s">
        <v>4173</v>
      </c>
      <c r="I32" s="85" t="s">
        <v>23</v>
      </c>
      <c r="J32" s="335" t="s">
        <v>4174</v>
      </c>
      <c r="K32" s="335" t="s">
        <v>4175</v>
      </c>
    </row>
    <row r="33" spans="1:11">
      <c r="A33" s="332"/>
      <c r="B33" s="333"/>
      <c r="C33" s="334"/>
      <c r="D33" s="306" t="s">
        <v>4176</v>
      </c>
      <c r="E33" s="339" t="s">
        <v>4177</v>
      </c>
      <c r="F33" s="84" t="s">
        <v>425</v>
      </c>
      <c r="G33" s="335" t="s">
        <v>4178</v>
      </c>
      <c r="H33" s="335" t="s">
        <v>4179</v>
      </c>
      <c r="I33" s="85" t="s">
        <v>23</v>
      </c>
      <c r="J33" s="335" t="s">
        <v>4180</v>
      </c>
      <c r="K33" s="335" t="s">
        <v>4181</v>
      </c>
    </row>
    <row r="34" spans="1:11">
      <c r="A34" s="332"/>
      <c r="B34" s="333"/>
      <c r="C34" s="334"/>
      <c r="D34" s="335" t="s">
        <v>4182</v>
      </c>
      <c r="E34" s="339" t="s">
        <v>4183</v>
      </c>
      <c r="F34" s="84" t="s">
        <v>425</v>
      </c>
      <c r="G34" s="335" t="s">
        <v>4184</v>
      </c>
      <c r="H34" s="335" t="s">
        <v>4185</v>
      </c>
      <c r="I34" s="85" t="s">
        <v>23</v>
      </c>
      <c r="J34" s="335" t="s">
        <v>4186</v>
      </c>
      <c r="K34" s="335" t="s">
        <v>4187</v>
      </c>
    </row>
    <row r="35" spans="1:11">
      <c r="A35" s="332"/>
      <c r="B35" s="333"/>
      <c r="C35" s="334"/>
      <c r="D35" s="306" t="s">
        <v>4188</v>
      </c>
      <c r="E35" s="339" t="s">
        <v>4189</v>
      </c>
      <c r="F35" s="84" t="s">
        <v>425</v>
      </c>
      <c r="G35" s="335" t="s">
        <v>4190</v>
      </c>
      <c r="H35" s="335" t="s">
        <v>4191</v>
      </c>
      <c r="I35" s="85" t="s">
        <v>23</v>
      </c>
      <c r="J35" s="335" t="s">
        <v>4192</v>
      </c>
      <c r="K35" s="335" t="s">
        <v>4193</v>
      </c>
    </row>
    <row r="36" spans="1:11">
      <c r="A36" s="332"/>
      <c r="B36" s="333"/>
      <c r="C36" s="337"/>
      <c r="D36" s="335" t="s">
        <v>4194</v>
      </c>
      <c r="E36" s="339" t="s">
        <v>4195</v>
      </c>
      <c r="F36" s="84" t="s">
        <v>20</v>
      </c>
      <c r="G36" s="335" t="s">
        <v>4196</v>
      </c>
      <c r="H36" s="335" t="s">
        <v>4197</v>
      </c>
      <c r="I36" s="85" t="s">
        <v>23</v>
      </c>
      <c r="J36" s="335" t="s">
        <v>4198</v>
      </c>
      <c r="K36" s="335" t="s">
        <v>4199</v>
      </c>
    </row>
    <row r="37" spans="1:11">
      <c r="A37" s="332"/>
      <c r="B37" s="333"/>
      <c r="C37" s="338" t="s">
        <v>4200</v>
      </c>
      <c r="D37" s="335" t="s">
        <v>4201</v>
      </c>
      <c r="E37" s="339" t="s">
        <v>4202</v>
      </c>
      <c r="F37" s="84" t="s">
        <v>20</v>
      </c>
      <c r="G37" s="335" t="s">
        <v>4203</v>
      </c>
      <c r="H37" s="335" t="s">
        <v>4204</v>
      </c>
      <c r="I37" s="85" t="s">
        <v>23</v>
      </c>
      <c r="J37" s="335" t="s">
        <v>4205</v>
      </c>
      <c r="K37" s="335" t="s">
        <v>4206</v>
      </c>
    </row>
    <row r="38" spans="1:11">
      <c r="A38" s="332"/>
      <c r="B38" s="333"/>
      <c r="C38" s="334"/>
      <c r="D38" s="335" t="s">
        <v>4207</v>
      </c>
      <c r="E38" s="339" t="s">
        <v>4208</v>
      </c>
      <c r="F38" s="84" t="s">
        <v>20</v>
      </c>
      <c r="G38" s="335" t="s">
        <v>4209</v>
      </c>
      <c r="H38" s="335" t="s">
        <v>4210</v>
      </c>
      <c r="I38" s="85" t="s">
        <v>23</v>
      </c>
      <c r="J38" s="335" t="s">
        <v>4211</v>
      </c>
      <c r="K38" s="335" t="s">
        <v>4212</v>
      </c>
    </row>
    <row r="39" spans="1:11">
      <c r="A39" s="332"/>
      <c r="B39" s="333"/>
      <c r="C39" s="334"/>
      <c r="D39" s="335" t="s">
        <v>4213</v>
      </c>
      <c r="E39" s="339" t="s">
        <v>4214</v>
      </c>
      <c r="F39" s="84" t="s">
        <v>20</v>
      </c>
      <c r="G39" s="335" t="s">
        <v>4215</v>
      </c>
      <c r="H39" s="335" t="s">
        <v>4216</v>
      </c>
      <c r="I39" s="85" t="s">
        <v>23</v>
      </c>
      <c r="J39" s="335" t="s">
        <v>4217</v>
      </c>
      <c r="K39" s="335" t="s">
        <v>4218</v>
      </c>
    </row>
    <row r="40" spans="1:11">
      <c r="A40" s="332"/>
      <c r="B40" s="333"/>
      <c r="C40" s="334"/>
      <c r="D40" s="335" t="s">
        <v>4219</v>
      </c>
      <c r="E40" s="339" t="s">
        <v>4220</v>
      </c>
      <c r="F40" s="84" t="s">
        <v>229</v>
      </c>
      <c r="G40" s="335" t="s">
        <v>4221</v>
      </c>
      <c r="H40" s="335" t="s">
        <v>4222</v>
      </c>
      <c r="I40" s="85" t="s">
        <v>23</v>
      </c>
      <c r="J40" s="335" t="s">
        <v>4223</v>
      </c>
      <c r="K40" s="335" t="s">
        <v>4224</v>
      </c>
    </row>
    <row r="41" spans="1:11">
      <c r="A41" s="332"/>
      <c r="B41" s="333"/>
      <c r="C41" s="337"/>
      <c r="D41" s="335" t="s">
        <v>4225</v>
      </c>
      <c r="E41" s="339" t="s">
        <v>4226</v>
      </c>
      <c r="F41" s="84" t="s">
        <v>229</v>
      </c>
      <c r="G41" s="335" t="s">
        <v>4227</v>
      </c>
      <c r="H41" s="335" t="s">
        <v>4228</v>
      </c>
      <c r="I41" s="85" t="s">
        <v>23</v>
      </c>
      <c r="J41" s="335" t="s">
        <v>4229</v>
      </c>
      <c r="K41" s="335" t="s">
        <v>4230</v>
      </c>
    </row>
    <row r="42" spans="1:11">
      <c r="A42" s="332"/>
      <c r="B42" s="333"/>
      <c r="C42" s="338" t="s">
        <v>4231</v>
      </c>
      <c r="D42" s="335" t="s">
        <v>4232</v>
      </c>
      <c r="E42" s="339" t="s">
        <v>4233</v>
      </c>
      <c r="F42" s="84" t="s">
        <v>20</v>
      </c>
      <c r="G42" s="335" t="s">
        <v>4234</v>
      </c>
      <c r="H42" s="335" t="s">
        <v>4235</v>
      </c>
      <c r="I42" s="85" t="s">
        <v>94</v>
      </c>
      <c r="J42" s="335" t="s">
        <v>4236</v>
      </c>
      <c r="K42" s="335" t="s">
        <v>4237</v>
      </c>
    </row>
    <row r="43" spans="1:11">
      <c r="A43" s="332"/>
      <c r="B43" s="333"/>
      <c r="C43" s="334"/>
      <c r="D43" s="342" t="s">
        <v>4238</v>
      </c>
      <c r="E43" s="343" t="s">
        <v>4239</v>
      </c>
      <c r="F43" s="84" t="s">
        <v>20</v>
      </c>
      <c r="G43" s="335" t="s">
        <v>4240</v>
      </c>
      <c r="H43" s="335" t="s">
        <v>4241</v>
      </c>
      <c r="I43" s="85" t="s">
        <v>23</v>
      </c>
      <c r="J43" s="335" t="s">
        <v>4242</v>
      </c>
      <c r="K43" s="335" t="s">
        <v>4243</v>
      </c>
    </row>
    <row r="44" spans="1:11">
      <c r="A44" s="332"/>
      <c r="B44" s="333"/>
      <c r="C44" s="334"/>
      <c r="D44" s="342" t="s">
        <v>4244</v>
      </c>
      <c r="E44" s="343" t="s">
        <v>4245</v>
      </c>
      <c r="F44" s="84" t="s">
        <v>229</v>
      </c>
      <c r="G44" s="335" t="s">
        <v>4246</v>
      </c>
      <c r="H44" s="335" t="s">
        <v>4247</v>
      </c>
      <c r="I44" s="85" t="s">
        <v>23</v>
      </c>
      <c r="J44" s="335" t="s">
        <v>4248</v>
      </c>
      <c r="K44" s="335" t="s">
        <v>4249</v>
      </c>
    </row>
    <row r="45" spans="1:11">
      <c r="A45" s="332"/>
      <c r="B45" s="333"/>
      <c r="C45" s="334"/>
      <c r="D45" s="342" t="s">
        <v>4250</v>
      </c>
      <c r="E45" s="343" t="s">
        <v>4251</v>
      </c>
      <c r="F45" s="84" t="s">
        <v>425</v>
      </c>
      <c r="G45" s="335" t="s">
        <v>4252</v>
      </c>
      <c r="H45" s="335" t="s">
        <v>4253</v>
      </c>
      <c r="I45" s="85" t="s">
        <v>23</v>
      </c>
      <c r="J45" s="335" t="s">
        <v>4254</v>
      </c>
      <c r="K45" s="335" t="s">
        <v>4255</v>
      </c>
    </row>
    <row r="46" spans="1:11">
      <c r="A46" s="332"/>
      <c r="B46" s="333"/>
      <c r="C46" s="337"/>
      <c r="D46" s="342" t="s">
        <v>4256</v>
      </c>
      <c r="E46" s="343" t="s">
        <v>4257</v>
      </c>
      <c r="F46" s="84" t="s">
        <v>229</v>
      </c>
      <c r="G46" s="335" t="s">
        <v>4258</v>
      </c>
      <c r="H46" s="335" t="s">
        <v>4259</v>
      </c>
      <c r="I46" s="85" t="s">
        <v>23</v>
      </c>
      <c r="J46" s="335" t="s">
        <v>4260</v>
      </c>
      <c r="K46" s="335" t="s">
        <v>4261</v>
      </c>
    </row>
    <row r="47" spans="1:11">
      <c r="A47" s="332"/>
      <c r="B47" s="333"/>
      <c r="C47" s="338" t="s">
        <v>4262</v>
      </c>
      <c r="D47" s="342" t="s">
        <v>4263</v>
      </c>
      <c r="E47" s="343" t="s">
        <v>4264</v>
      </c>
      <c r="F47" s="84" t="s">
        <v>425</v>
      </c>
      <c r="G47" s="335" t="s">
        <v>4265</v>
      </c>
      <c r="H47" s="335" t="s">
        <v>4266</v>
      </c>
      <c r="I47" s="85" t="s">
        <v>23</v>
      </c>
      <c r="J47" s="335" t="s">
        <v>4267</v>
      </c>
      <c r="K47" s="335" t="s">
        <v>4268</v>
      </c>
    </row>
    <row r="48" spans="1:11">
      <c r="A48" s="332"/>
      <c r="B48" s="333"/>
      <c r="C48" s="334"/>
      <c r="D48" s="342" t="s">
        <v>4269</v>
      </c>
      <c r="E48" s="343" t="s">
        <v>4270</v>
      </c>
      <c r="F48" s="84" t="s">
        <v>229</v>
      </c>
      <c r="G48" s="335" t="s">
        <v>4271</v>
      </c>
      <c r="H48" s="335" t="s">
        <v>4272</v>
      </c>
      <c r="I48" s="85" t="s">
        <v>23</v>
      </c>
      <c r="J48" s="335" t="s">
        <v>4273</v>
      </c>
      <c r="K48" s="335" t="s">
        <v>4274</v>
      </c>
    </row>
    <row r="49" spans="1:11">
      <c r="A49" s="332"/>
      <c r="B49" s="333"/>
      <c r="C49" s="334"/>
      <c r="D49" s="342" t="s">
        <v>4275</v>
      </c>
      <c r="E49" s="343" t="s">
        <v>4276</v>
      </c>
      <c r="F49" s="84" t="s">
        <v>425</v>
      </c>
      <c r="G49" s="335" t="s">
        <v>4277</v>
      </c>
      <c r="H49" s="335" t="s">
        <v>4278</v>
      </c>
      <c r="I49" s="85" t="s">
        <v>23</v>
      </c>
      <c r="J49" s="335" t="s">
        <v>4279</v>
      </c>
      <c r="K49" s="335" t="s">
        <v>4280</v>
      </c>
    </row>
    <row r="50" spans="1:11">
      <c r="A50" s="332"/>
      <c r="B50" s="333"/>
      <c r="C50" s="334"/>
      <c r="D50" s="342" t="s">
        <v>4281</v>
      </c>
      <c r="E50" s="343" t="s">
        <v>4282</v>
      </c>
      <c r="F50" s="84" t="s">
        <v>425</v>
      </c>
      <c r="G50" s="335" t="s">
        <v>4283</v>
      </c>
      <c r="H50" s="335" t="s">
        <v>4284</v>
      </c>
      <c r="I50" s="85" t="s">
        <v>94</v>
      </c>
      <c r="J50" s="335" t="s">
        <v>4285</v>
      </c>
      <c r="K50" s="335" t="s">
        <v>4286</v>
      </c>
    </row>
    <row r="51" spans="1:11">
      <c r="A51" s="332"/>
      <c r="B51" s="333"/>
      <c r="C51" s="337"/>
      <c r="D51" s="342" t="s">
        <v>4287</v>
      </c>
      <c r="E51" s="343" t="s">
        <v>4288</v>
      </c>
      <c r="F51" s="84" t="s">
        <v>20</v>
      </c>
      <c r="G51" s="335" t="s">
        <v>4289</v>
      </c>
      <c r="H51" s="335" t="s">
        <v>4290</v>
      </c>
      <c r="I51" s="85" t="s">
        <v>23</v>
      </c>
      <c r="J51" s="335" t="s">
        <v>4291</v>
      </c>
      <c r="K51" s="335" t="s">
        <v>4292</v>
      </c>
    </row>
    <row r="52" spans="1:11">
      <c r="A52" s="332"/>
      <c r="B52" s="333"/>
      <c r="C52" s="338" t="s">
        <v>4293</v>
      </c>
      <c r="D52" s="342" t="s">
        <v>4294</v>
      </c>
      <c r="E52" s="343" t="s">
        <v>4295</v>
      </c>
      <c r="F52" s="84" t="s">
        <v>20</v>
      </c>
      <c r="G52" s="335" t="s">
        <v>4296</v>
      </c>
      <c r="H52" s="335" t="s">
        <v>4297</v>
      </c>
      <c r="I52" s="85" t="s">
        <v>23</v>
      </c>
      <c r="J52" s="335" t="s">
        <v>4298</v>
      </c>
      <c r="K52" s="335" t="s">
        <v>4299</v>
      </c>
    </row>
    <row r="53" spans="1:11">
      <c r="A53" s="332"/>
      <c r="B53" s="333"/>
      <c r="C53" s="334"/>
      <c r="D53" s="342" t="s">
        <v>4300</v>
      </c>
      <c r="E53" s="343" t="s">
        <v>4301</v>
      </c>
      <c r="F53" s="84" t="s">
        <v>20</v>
      </c>
      <c r="G53" s="335" t="s">
        <v>4302</v>
      </c>
      <c r="H53" s="335" t="s">
        <v>4303</v>
      </c>
      <c r="I53" s="85" t="s">
        <v>23</v>
      </c>
      <c r="J53" s="335" t="s">
        <v>4304</v>
      </c>
      <c r="K53" s="335" t="s">
        <v>4305</v>
      </c>
    </row>
    <row r="54" spans="1:11">
      <c r="A54" s="332"/>
      <c r="B54" s="333"/>
      <c r="C54" s="334"/>
      <c r="D54" s="342" t="s">
        <v>4306</v>
      </c>
      <c r="E54" s="343" t="s">
        <v>4307</v>
      </c>
      <c r="F54" s="84" t="s">
        <v>20</v>
      </c>
      <c r="G54" s="335" t="s">
        <v>4308</v>
      </c>
      <c r="H54" s="335" t="s">
        <v>4309</v>
      </c>
      <c r="I54" s="85" t="s">
        <v>23</v>
      </c>
      <c r="J54" s="335" t="s">
        <v>4310</v>
      </c>
      <c r="K54" s="335" t="s">
        <v>4311</v>
      </c>
    </row>
    <row r="55" spans="1:11">
      <c r="A55" s="332"/>
      <c r="B55" s="333"/>
      <c r="C55" s="334"/>
      <c r="D55" s="342" t="s">
        <v>4312</v>
      </c>
      <c r="E55" s="343" t="s">
        <v>4313</v>
      </c>
      <c r="F55" s="84" t="s">
        <v>20</v>
      </c>
      <c r="G55" s="335" t="s">
        <v>4314</v>
      </c>
      <c r="H55" s="335" t="s">
        <v>4315</v>
      </c>
      <c r="I55" s="85" t="s">
        <v>23</v>
      </c>
      <c r="J55" s="335" t="s">
        <v>4316</v>
      </c>
      <c r="K55" s="335" t="s">
        <v>4317</v>
      </c>
    </row>
    <row r="56" spans="1:11">
      <c r="A56" s="332"/>
      <c r="B56" s="333"/>
      <c r="C56" s="337"/>
      <c r="D56" s="342" t="s">
        <v>4318</v>
      </c>
      <c r="E56" s="343" t="s">
        <v>4319</v>
      </c>
      <c r="F56" s="84" t="s">
        <v>425</v>
      </c>
      <c r="G56" s="335" t="s">
        <v>4320</v>
      </c>
      <c r="H56" s="335" t="s">
        <v>4321</v>
      </c>
      <c r="I56" s="85" t="s">
        <v>23</v>
      </c>
      <c r="J56" s="335" t="s">
        <v>4322</v>
      </c>
      <c r="K56" s="335" t="s">
        <v>4323</v>
      </c>
    </row>
    <row r="57" spans="1:11">
      <c r="A57" s="332"/>
      <c r="B57" s="333"/>
      <c r="C57" s="338" t="s">
        <v>4324</v>
      </c>
      <c r="D57" s="342" t="s">
        <v>4325</v>
      </c>
      <c r="E57" s="343" t="s">
        <v>4326</v>
      </c>
      <c r="F57" s="84" t="s">
        <v>425</v>
      </c>
      <c r="G57" s="335" t="s">
        <v>4327</v>
      </c>
      <c r="H57" s="335" t="s">
        <v>4328</v>
      </c>
      <c r="I57" s="85" t="s">
        <v>23</v>
      </c>
      <c r="J57" s="335" t="s">
        <v>4329</v>
      </c>
      <c r="K57" s="335" t="s">
        <v>4330</v>
      </c>
    </row>
    <row r="58" spans="1:11">
      <c r="A58" s="332"/>
      <c r="B58" s="333"/>
      <c r="C58" s="334"/>
      <c r="D58" s="342" t="s">
        <v>4331</v>
      </c>
      <c r="E58" s="343" t="s">
        <v>4332</v>
      </c>
      <c r="F58" s="84" t="s">
        <v>425</v>
      </c>
      <c r="G58" s="335" t="s">
        <v>4333</v>
      </c>
      <c r="H58" s="335" t="s">
        <v>4334</v>
      </c>
      <c r="I58" s="85" t="s">
        <v>23</v>
      </c>
      <c r="J58" s="335" t="s">
        <v>4335</v>
      </c>
      <c r="K58" s="335" t="s">
        <v>4336</v>
      </c>
    </row>
    <row r="59" spans="1:11">
      <c r="A59" s="332"/>
      <c r="B59" s="333"/>
      <c r="C59" s="334"/>
      <c r="D59" s="342" t="s">
        <v>4337</v>
      </c>
      <c r="E59" s="343" t="s">
        <v>4338</v>
      </c>
      <c r="F59" s="84" t="s">
        <v>229</v>
      </c>
      <c r="G59" s="335" t="s">
        <v>4339</v>
      </c>
      <c r="H59" s="335" t="s">
        <v>4340</v>
      </c>
      <c r="I59" s="85" t="s">
        <v>23</v>
      </c>
      <c r="J59" s="335" t="s">
        <v>4341</v>
      </c>
      <c r="K59" s="335" t="s">
        <v>4342</v>
      </c>
    </row>
    <row r="60" spans="1:11">
      <c r="A60" s="332"/>
      <c r="B60" s="333"/>
      <c r="C60" s="334"/>
      <c r="D60" s="342" t="s">
        <v>4343</v>
      </c>
      <c r="E60" s="343" t="s">
        <v>4344</v>
      </c>
      <c r="F60" s="84" t="s">
        <v>229</v>
      </c>
      <c r="G60" s="335" t="s">
        <v>4345</v>
      </c>
      <c r="H60" s="335" t="s">
        <v>4346</v>
      </c>
      <c r="I60" s="85" t="s">
        <v>23</v>
      </c>
      <c r="J60" s="335" t="s">
        <v>4347</v>
      </c>
      <c r="K60" s="335" t="s">
        <v>4348</v>
      </c>
    </row>
    <row r="61" spans="1:11" ht="15.75" thickBot="1">
      <c r="A61" s="332"/>
      <c r="B61" s="344"/>
      <c r="C61" s="340"/>
      <c r="D61" s="345" t="s">
        <v>4349</v>
      </c>
      <c r="E61" s="346" t="s">
        <v>4350</v>
      </c>
      <c r="F61" s="84" t="s">
        <v>229</v>
      </c>
      <c r="G61" s="335" t="s">
        <v>4351</v>
      </c>
      <c r="H61" s="335" t="s">
        <v>4352</v>
      </c>
      <c r="I61" s="85" t="s">
        <v>23</v>
      </c>
      <c r="J61" s="335" t="s">
        <v>4353</v>
      </c>
      <c r="K61" s="335" t="s">
        <v>4354</v>
      </c>
    </row>
    <row r="62" spans="1:11">
      <c r="A62" s="332"/>
      <c r="B62" s="327" t="s">
        <v>4355</v>
      </c>
      <c r="C62" s="328" t="s">
        <v>4356</v>
      </c>
      <c r="D62" s="341" t="s">
        <v>4357</v>
      </c>
      <c r="E62" s="330" t="s">
        <v>4358</v>
      </c>
      <c r="F62" s="84" t="s">
        <v>425</v>
      </c>
      <c r="G62" s="335" t="s">
        <v>4359</v>
      </c>
      <c r="H62" s="335" t="s">
        <v>4360</v>
      </c>
      <c r="I62" s="85" t="s">
        <v>23</v>
      </c>
      <c r="J62" s="335" t="s">
        <v>4361</v>
      </c>
      <c r="K62" s="335" t="s">
        <v>4362</v>
      </c>
    </row>
    <row r="63" spans="1:11">
      <c r="A63" s="332"/>
      <c r="B63" s="333"/>
      <c r="C63" s="334"/>
      <c r="D63" s="329" t="s">
        <v>4363</v>
      </c>
      <c r="E63" s="336" t="s">
        <v>4364</v>
      </c>
      <c r="F63" s="84" t="s">
        <v>229</v>
      </c>
      <c r="G63" s="335" t="s">
        <v>4365</v>
      </c>
      <c r="H63" s="335" t="s">
        <v>4366</v>
      </c>
      <c r="I63" s="85" t="s">
        <v>23</v>
      </c>
      <c r="J63" s="335" t="s">
        <v>4367</v>
      </c>
      <c r="K63" s="335" t="s">
        <v>4368</v>
      </c>
    </row>
    <row r="64" spans="1:11">
      <c r="A64" s="332"/>
      <c r="B64" s="333"/>
      <c r="C64" s="334"/>
      <c r="D64" s="329" t="s">
        <v>4369</v>
      </c>
      <c r="E64" s="336" t="s">
        <v>4370</v>
      </c>
      <c r="F64" s="84" t="s">
        <v>20</v>
      </c>
      <c r="G64" s="335" t="s">
        <v>4371</v>
      </c>
      <c r="H64" s="335" t="s">
        <v>4372</v>
      </c>
      <c r="I64" s="85" t="s">
        <v>23</v>
      </c>
      <c r="J64" s="335" t="s">
        <v>4373</v>
      </c>
      <c r="K64" s="335" t="s">
        <v>4374</v>
      </c>
    </row>
    <row r="65" spans="1:11">
      <c r="A65" s="332"/>
      <c r="B65" s="333"/>
      <c r="C65" s="334"/>
      <c r="D65" s="329" t="s">
        <v>4375</v>
      </c>
      <c r="E65" s="336" t="s">
        <v>4376</v>
      </c>
      <c r="F65" s="84" t="s">
        <v>20</v>
      </c>
      <c r="G65" s="335" t="s">
        <v>4377</v>
      </c>
      <c r="H65" s="335" t="s">
        <v>4378</v>
      </c>
      <c r="I65" s="85" t="s">
        <v>23</v>
      </c>
      <c r="J65" s="335" t="s">
        <v>4379</v>
      </c>
      <c r="K65" s="335" t="s">
        <v>4380</v>
      </c>
    </row>
    <row r="66" spans="1:11">
      <c r="A66" s="332"/>
      <c r="B66" s="333"/>
      <c r="C66" s="337"/>
      <c r="D66" s="329" t="s">
        <v>4381</v>
      </c>
      <c r="E66" s="336" t="s">
        <v>4382</v>
      </c>
      <c r="F66" s="84" t="s">
        <v>20</v>
      </c>
      <c r="G66" s="335" t="s">
        <v>4383</v>
      </c>
      <c r="H66" s="335" t="s">
        <v>4384</v>
      </c>
      <c r="I66" s="85" t="s">
        <v>23</v>
      </c>
      <c r="J66" s="335" t="s">
        <v>4385</v>
      </c>
      <c r="K66" s="335" t="s">
        <v>4386</v>
      </c>
    </row>
    <row r="67" spans="1:11">
      <c r="A67" s="332"/>
      <c r="B67" s="333"/>
      <c r="C67" s="347" t="s">
        <v>4387</v>
      </c>
      <c r="D67" s="335" t="s">
        <v>4388</v>
      </c>
      <c r="E67" s="339" t="s">
        <v>4389</v>
      </c>
      <c r="F67" s="84" t="s">
        <v>20</v>
      </c>
      <c r="G67" s="335" t="s">
        <v>4390</v>
      </c>
      <c r="H67" s="335" t="s">
        <v>4391</v>
      </c>
      <c r="I67" s="85" t="s">
        <v>23</v>
      </c>
      <c r="J67" s="335" t="s">
        <v>4392</v>
      </c>
      <c r="K67" s="335" t="s">
        <v>4393</v>
      </c>
    </row>
    <row r="68" spans="1:11">
      <c r="A68" s="332"/>
      <c r="B68" s="333"/>
      <c r="C68" s="348"/>
      <c r="D68" s="335" t="s">
        <v>4394</v>
      </c>
      <c r="E68" s="339" t="s">
        <v>4395</v>
      </c>
      <c r="F68" s="84" t="s">
        <v>20</v>
      </c>
      <c r="G68" s="335" t="s">
        <v>4396</v>
      </c>
      <c r="H68" s="335" t="s">
        <v>4397</v>
      </c>
      <c r="I68" s="85" t="s">
        <v>23</v>
      </c>
      <c r="J68" s="335" t="s">
        <v>4398</v>
      </c>
      <c r="K68" s="335" t="s">
        <v>4399</v>
      </c>
    </row>
    <row r="69" spans="1:11">
      <c r="A69" s="332"/>
      <c r="B69" s="333"/>
      <c r="C69" s="348"/>
      <c r="D69" s="335" t="s">
        <v>4400</v>
      </c>
      <c r="E69" s="339" t="s">
        <v>4401</v>
      </c>
      <c r="F69" s="84" t="s">
        <v>20</v>
      </c>
      <c r="G69" s="335" t="s">
        <v>4402</v>
      </c>
      <c r="H69" s="335" t="s">
        <v>4403</v>
      </c>
      <c r="I69" s="85" t="s">
        <v>23</v>
      </c>
      <c r="J69" s="335" t="s">
        <v>4404</v>
      </c>
      <c r="K69" s="335" t="s">
        <v>4405</v>
      </c>
    </row>
    <row r="70" spans="1:11">
      <c r="A70" s="332"/>
      <c r="B70" s="333"/>
      <c r="C70" s="348"/>
      <c r="D70" s="335" t="s">
        <v>4406</v>
      </c>
      <c r="E70" s="339" t="s">
        <v>4407</v>
      </c>
      <c r="F70" s="84" t="s">
        <v>20</v>
      </c>
      <c r="G70" s="335" t="s">
        <v>4408</v>
      </c>
      <c r="H70" s="335" t="s">
        <v>4409</v>
      </c>
      <c r="I70" s="85" t="s">
        <v>23</v>
      </c>
      <c r="J70" s="335" t="s">
        <v>4410</v>
      </c>
      <c r="K70" s="335" t="s">
        <v>4411</v>
      </c>
    </row>
    <row r="71" spans="1:11">
      <c r="A71" s="332"/>
      <c r="B71" s="333"/>
      <c r="C71" s="349"/>
      <c r="D71" s="335" t="s">
        <v>4412</v>
      </c>
      <c r="E71" s="339" t="s">
        <v>4413</v>
      </c>
      <c r="F71" s="84" t="s">
        <v>20</v>
      </c>
      <c r="G71" s="335" t="s">
        <v>4414</v>
      </c>
      <c r="H71" s="335" t="s">
        <v>4415</v>
      </c>
      <c r="I71" s="85" t="s">
        <v>23</v>
      </c>
      <c r="J71" s="335" t="s">
        <v>4416</v>
      </c>
      <c r="K71" s="335" t="s">
        <v>4417</v>
      </c>
    </row>
    <row r="72" spans="1:11">
      <c r="A72" s="332"/>
      <c r="B72" s="333"/>
      <c r="C72" s="347" t="s">
        <v>4418</v>
      </c>
      <c r="D72" s="335" t="s">
        <v>4419</v>
      </c>
      <c r="E72" s="339" t="s">
        <v>4420</v>
      </c>
      <c r="F72" s="84" t="s">
        <v>20</v>
      </c>
      <c r="G72" s="335" t="s">
        <v>4421</v>
      </c>
      <c r="H72" s="335" t="s">
        <v>4422</v>
      </c>
      <c r="I72" s="85" t="s">
        <v>23</v>
      </c>
      <c r="J72" s="335" t="s">
        <v>4423</v>
      </c>
      <c r="K72" s="335" t="s">
        <v>4424</v>
      </c>
    </row>
    <row r="73" spans="1:11">
      <c r="A73" s="332"/>
      <c r="B73" s="333"/>
      <c r="C73" s="348"/>
      <c r="D73" s="335" t="s">
        <v>4425</v>
      </c>
      <c r="E73" s="339" t="s">
        <v>4426</v>
      </c>
      <c r="F73" s="84" t="s">
        <v>229</v>
      </c>
      <c r="G73" s="335" t="s">
        <v>4427</v>
      </c>
      <c r="H73" s="335" t="s">
        <v>4428</v>
      </c>
      <c r="I73" s="85" t="s">
        <v>23</v>
      </c>
      <c r="J73" s="335" t="s">
        <v>4429</v>
      </c>
      <c r="K73" s="335" t="s">
        <v>4430</v>
      </c>
    </row>
    <row r="74" spans="1:11">
      <c r="A74" s="332"/>
      <c r="B74" s="333"/>
      <c r="C74" s="348"/>
      <c r="D74" s="335" t="s">
        <v>4431</v>
      </c>
      <c r="E74" s="339" t="s">
        <v>4432</v>
      </c>
      <c r="F74" s="84" t="s">
        <v>229</v>
      </c>
      <c r="G74" s="335" t="s">
        <v>4433</v>
      </c>
      <c r="H74" s="335" t="s">
        <v>4434</v>
      </c>
      <c r="I74" s="85" t="s">
        <v>23</v>
      </c>
      <c r="J74" s="335" t="s">
        <v>4435</v>
      </c>
      <c r="K74" s="335" t="s">
        <v>4436</v>
      </c>
    </row>
    <row r="75" spans="1:11">
      <c r="A75" s="332"/>
      <c r="B75" s="333"/>
      <c r="C75" s="348"/>
      <c r="D75" s="335" t="s">
        <v>4437</v>
      </c>
      <c r="E75" s="339" t="s">
        <v>4438</v>
      </c>
      <c r="F75" s="84" t="s">
        <v>20</v>
      </c>
      <c r="G75" s="335" t="s">
        <v>4439</v>
      </c>
      <c r="H75" s="335" t="s">
        <v>4440</v>
      </c>
      <c r="I75" s="85" t="s">
        <v>23</v>
      </c>
      <c r="J75" s="335" t="s">
        <v>4441</v>
      </c>
      <c r="K75" s="335" t="s">
        <v>4442</v>
      </c>
    </row>
    <row r="76" spans="1:11">
      <c r="A76" s="332"/>
      <c r="B76" s="333"/>
      <c r="C76" s="349"/>
      <c r="D76" s="335" t="s">
        <v>4443</v>
      </c>
      <c r="E76" s="339" t="s">
        <v>4444</v>
      </c>
      <c r="F76" s="84" t="s">
        <v>20</v>
      </c>
      <c r="G76" s="335" t="s">
        <v>4445</v>
      </c>
      <c r="H76" s="335" t="s">
        <v>4446</v>
      </c>
      <c r="I76" s="85" t="s">
        <v>23</v>
      </c>
      <c r="J76" s="335" t="s">
        <v>4447</v>
      </c>
      <c r="K76" s="335" t="s">
        <v>4448</v>
      </c>
    </row>
    <row r="77" spans="1:11">
      <c r="A77" s="332"/>
      <c r="B77" s="333"/>
      <c r="C77" s="347" t="s">
        <v>4449</v>
      </c>
      <c r="D77" s="335" t="s">
        <v>4450</v>
      </c>
      <c r="E77" s="339" t="s">
        <v>4451</v>
      </c>
      <c r="F77" s="84" t="s">
        <v>20</v>
      </c>
      <c r="G77" s="335" t="s">
        <v>4452</v>
      </c>
      <c r="H77" s="335" t="s">
        <v>4453</v>
      </c>
      <c r="I77" s="85" t="s">
        <v>94</v>
      </c>
      <c r="J77" s="335" t="s">
        <v>4454</v>
      </c>
      <c r="K77" s="335" t="s">
        <v>4455</v>
      </c>
    </row>
    <row r="78" spans="1:11">
      <c r="A78" s="332"/>
      <c r="B78" s="333"/>
      <c r="C78" s="348"/>
      <c r="D78" s="342" t="s">
        <v>4456</v>
      </c>
      <c r="E78" s="343" t="s">
        <v>4457</v>
      </c>
      <c r="F78" s="84" t="s">
        <v>425</v>
      </c>
      <c r="G78" s="335" t="s">
        <v>4458</v>
      </c>
      <c r="H78" s="335" t="s">
        <v>4459</v>
      </c>
      <c r="I78" s="85" t="s">
        <v>23</v>
      </c>
      <c r="J78" s="335" t="s">
        <v>4460</v>
      </c>
      <c r="K78" s="335" t="s">
        <v>4461</v>
      </c>
    </row>
    <row r="79" spans="1:11">
      <c r="A79" s="332"/>
      <c r="B79" s="333"/>
      <c r="C79" s="348"/>
      <c r="D79" s="342" t="s">
        <v>4462</v>
      </c>
      <c r="E79" s="343" t="s">
        <v>4463</v>
      </c>
      <c r="F79" s="84" t="s">
        <v>425</v>
      </c>
      <c r="G79" s="335" t="s">
        <v>4464</v>
      </c>
      <c r="H79" s="335" t="s">
        <v>4465</v>
      </c>
      <c r="I79" s="85" t="s">
        <v>23</v>
      </c>
      <c r="J79" s="335" t="s">
        <v>4466</v>
      </c>
      <c r="K79" s="335" t="s">
        <v>4467</v>
      </c>
    </row>
    <row r="80" spans="1:11">
      <c r="A80" s="332"/>
      <c r="B80" s="333"/>
      <c r="C80" s="348"/>
      <c r="D80" s="342" t="s">
        <v>4468</v>
      </c>
      <c r="E80" s="343" t="s">
        <v>4469</v>
      </c>
      <c r="F80" s="84" t="s">
        <v>20</v>
      </c>
      <c r="G80" s="335" t="s">
        <v>4470</v>
      </c>
      <c r="H80" s="335" t="s">
        <v>4471</v>
      </c>
      <c r="I80" s="85" t="s">
        <v>23</v>
      </c>
      <c r="J80" s="335" t="s">
        <v>4472</v>
      </c>
      <c r="K80" s="335" t="s">
        <v>4473</v>
      </c>
    </row>
    <row r="81" spans="1:11">
      <c r="A81" s="332"/>
      <c r="B81" s="333"/>
      <c r="C81" s="349"/>
      <c r="D81" s="342" t="s">
        <v>4474</v>
      </c>
      <c r="E81" s="343" t="s">
        <v>4475</v>
      </c>
      <c r="F81" s="84" t="s">
        <v>20</v>
      </c>
      <c r="G81" s="335" t="s">
        <v>4476</v>
      </c>
      <c r="H81" s="335" t="s">
        <v>4477</v>
      </c>
      <c r="I81" s="85" t="s">
        <v>23</v>
      </c>
      <c r="J81" s="335" t="s">
        <v>4478</v>
      </c>
      <c r="K81" s="335" t="s">
        <v>4479</v>
      </c>
    </row>
    <row r="82" spans="1:11">
      <c r="A82" s="332"/>
      <c r="B82" s="333"/>
      <c r="C82" s="347" t="s">
        <v>4480</v>
      </c>
      <c r="D82" s="342" t="s">
        <v>4481</v>
      </c>
      <c r="E82" s="343" t="s">
        <v>4482</v>
      </c>
      <c r="F82" s="84" t="s">
        <v>229</v>
      </c>
      <c r="G82" s="335" t="s">
        <v>4483</v>
      </c>
      <c r="H82" s="335" t="s">
        <v>4484</v>
      </c>
      <c r="I82" s="85" t="s">
        <v>23</v>
      </c>
      <c r="J82" s="335" t="s">
        <v>4485</v>
      </c>
      <c r="K82" s="335" t="s">
        <v>4486</v>
      </c>
    </row>
    <row r="83" spans="1:11">
      <c r="A83" s="332"/>
      <c r="B83" s="333"/>
      <c r="C83" s="348"/>
      <c r="D83" s="342" t="s">
        <v>4487</v>
      </c>
      <c r="E83" s="343" t="s">
        <v>4488</v>
      </c>
      <c r="F83" s="84" t="s">
        <v>229</v>
      </c>
      <c r="G83" s="335" t="s">
        <v>4489</v>
      </c>
      <c r="H83" s="335" t="s">
        <v>4490</v>
      </c>
      <c r="I83" s="85" t="s">
        <v>23</v>
      </c>
      <c r="J83" s="335" t="s">
        <v>4491</v>
      </c>
      <c r="K83" s="335" t="s">
        <v>4492</v>
      </c>
    </row>
    <row r="84" spans="1:11">
      <c r="A84" s="332"/>
      <c r="B84" s="333"/>
      <c r="C84" s="348"/>
      <c r="D84" s="342" t="s">
        <v>4493</v>
      </c>
      <c r="E84" s="343" t="s">
        <v>4494</v>
      </c>
      <c r="F84" s="84" t="s">
        <v>229</v>
      </c>
      <c r="G84" s="335" t="s">
        <v>4495</v>
      </c>
      <c r="H84" s="335" t="s">
        <v>4496</v>
      </c>
      <c r="I84" s="85" t="s">
        <v>23</v>
      </c>
      <c r="J84" s="335" t="s">
        <v>4497</v>
      </c>
      <c r="K84" s="335" t="s">
        <v>4498</v>
      </c>
    </row>
    <row r="85" spans="1:11">
      <c r="A85" s="332"/>
      <c r="B85" s="333"/>
      <c r="C85" s="348"/>
      <c r="D85" s="342" t="s">
        <v>4499</v>
      </c>
      <c r="E85" s="343" t="s">
        <v>4500</v>
      </c>
      <c r="F85" s="84" t="s">
        <v>229</v>
      </c>
      <c r="G85" s="335" t="s">
        <v>4501</v>
      </c>
      <c r="H85" s="335" t="s">
        <v>4502</v>
      </c>
      <c r="I85" s="85" t="s">
        <v>23</v>
      </c>
      <c r="J85" s="335" t="s">
        <v>4503</v>
      </c>
      <c r="K85" s="335" t="s">
        <v>4504</v>
      </c>
    </row>
    <row r="86" spans="1:11">
      <c r="A86" s="332"/>
      <c r="B86" s="333"/>
      <c r="C86" s="349"/>
      <c r="D86" s="342" t="s">
        <v>4505</v>
      </c>
      <c r="E86" s="343" t="s">
        <v>4506</v>
      </c>
      <c r="F86" s="84" t="s">
        <v>229</v>
      </c>
      <c r="G86" s="335" t="s">
        <v>4507</v>
      </c>
      <c r="H86" s="335" t="s">
        <v>4508</v>
      </c>
      <c r="I86" s="85" t="s">
        <v>23</v>
      </c>
      <c r="J86" s="335" t="s">
        <v>4509</v>
      </c>
      <c r="K86" s="335" t="s">
        <v>4510</v>
      </c>
    </row>
    <row r="87" spans="1:11">
      <c r="A87" s="332"/>
      <c r="B87" s="333"/>
      <c r="C87" s="338" t="s">
        <v>4511</v>
      </c>
      <c r="D87" s="342" t="s">
        <v>4512</v>
      </c>
      <c r="E87" s="343" t="s">
        <v>4513</v>
      </c>
      <c r="F87" s="84" t="s">
        <v>20</v>
      </c>
      <c r="G87" s="335" t="s">
        <v>4514</v>
      </c>
      <c r="H87" s="335" t="s">
        <v>4515</v>
      </c>
      <c r="I87" s="85" t="s">
        <v>23</v>
      </c>
      <c r="J87" s="335" t="s">
        <v>4516</v>
      </c>
      <c r="K87" s="335" t="s">
        <v>4517</v>
      </c>
    </row>
    <row r="88" spans="1:11">
      <c r="A88" s="332"/>
      <c r="B88" s="333"/>
      <c r="C88" s="334"/>
      <c r="D88" s="342" t="s">
        <v>4518</v>
      </c>
      <c r="E88" s="343" t="s">
        <v>4519</v>
      </c>
      <c r="F88" s="84" t="s">
        <v>20</v>
      </c>
      <c r="G88" s="335" t="s">
        <v>4520</v>
      </c>
      <c r="H88" s="335" t="s">
        <v>4521</v>
      </c>
      <c r="I88" s="85" t="s">
        <v>23</v>
      </c>
      <c r="J88" s="335" t="s">
        <v>4522</v>
      </c>
      <c r="K88" s="335" t="s">
        <v>4523</v>
      </c>
    </row>
    <row r="89" spans="1:11">
      <c r="A89" s="332"/>
      <c r="B89" s="333"/>
      <c r="C89" s="334"/>
      <c r="D89" s="342" t="s">
        <v>4524</v>
      </c>
      <c r="E89" s="343" t="s">
        <v>4525</v>
      </c>
      <c r="F89" s="84" t="s">
        <v>20</v>
      </c>
      <c r="G89" s="335" t="s">
        <v>4526</v>
      </c>
      <c r="H89" s="335" t="s">
        <v>4527</v>
      </c>
      <c r="I89" s="85" t="s">
        <v>23</v>
      </c>
      <c r="J89" s="335" t="s">
        <v>4528</v>
      </c>
      <c r="K89" s="335" t="s">
        <v>4529</v>
      </c>
    </row>
    <row r="90" spans="1:11">
      <c r="A90" s="332"/>
      <c r="B90" s="333"/>
      <c r="C90" s="334"/>
      <c r="D90" s="342" t="s">
        <v>4530</v>
      </c>
      <c r="E90" s="343" t="s">
        <v>4531</v>
      </c>
      <c r="F90" s="84" t="s">
        <v>20</v>
      </c>
      <c r="G90" s="335" t="s">
        <v>4532</v>
      </c>
      <c r="H90" s="335" t="s">
        <v>4533</v>
      </c>
      <c r="I90" s="85" t="s">
        <v>23</v>
      </c>
      <c r="J90" s="335" t="s">
        <v>4534</v>
      </c>
      <c r="K90" s="335" t="s">
        <v>4535</v>
      </c>
    </row>
    <row r="91" spans="1:11">
      <c r="A91" s="332"/>
      <c r="B91" s="333"/>
      <c r="C91" s="337"/>
      <c r="D91" s="342" t="s">
        <v>4536</v>
      </c>
      <c r="E91" s="343" t="s">
        <v>4537</v>
      </c>
      <c r="F91" s="84" t="s">
        <v>425</v>
      </c>
      <c r="G91" s="335" t="s">
        <v>4538</v>
      </c>
      <c r="H91" s="335" t="s">
        <v>4539</v>
      </c>
      <c r="I91" s="85" t="s">
        <v>23</v>
      </c>
      <c r="J91" s="335" t="s">
        <v>4540</v>
      </c>
      <c r="K91" s="335" t="s">
        <v>4541</v>
      </c>
    </row>
    <row r="92" spans="1:11">
      <c r="A92" s="332"/>
      <c r="B92" s="333"/>
      <c r="C92" s="338" t="s">
        <v>4542</v>
      </c>
      <c r="D92" s="342" t="s">
        <v>4543</v>
      </c>
      <c r="E92" s="343" t="s">
        <v>4544</v>
      </c>
      <c r="F92" s="84" t="s">
        <v>425</v>
      </c>
      <c r="G92" s="335" t="s">
        <v>4545</v>
      </c>
      <c r="H92" s="335" t="s">
        <v>4546</v>
      </c>
      <c r="I92" s="85" t="s">
        <v>23</v>
      </c>
      <c r="J92" s="335" t="s">
        <v>4547</v>
      </c>
      <c r="K92" s="335" t="s">
        <v>4548</v>
      </c>
    </row>
    <row r="93" spans="1:11">
      <c r="A93" s="332"/>
      <c r="B93" s="333"/>
      <c r="C93" s="334"/>
      <c r="D93" s="342" t="s">
        <v>4549</v>
      </c>
      <c r="E93" s="343" t="s">
        <v>4550</v>
      </c>
      <c r="F93" s="84" t="s">
        <v>20</v>
      </c>
      <c r="G93" s="335" t="s">
        <v>4551</v>
      </c>
      <c r="H93" s="335" t="s">
        <v>4552</v>
      </c>
      <c r="I93" s="85" t="s">
        <v>23</v>
      </c>
      <c r="J93" s="335" t="s">
        <v>4553</v>
      </c>
      <c r="K93" s="335" t="s">
        <v>4554</v>
      </c>
    </row>
    <row r="94" spans="1:11">
      <c r="A94" s="332"/>
      <c r="B94" s="333"/>
      <c r="C94" s="334"/>
      <c r="D94" s="342" t="s">
        <v>4555</v>
      </c>
      <c r="E94" s="343" t="s">
        <v>4556</v>
      </c>
      <c r="F94" s="84" t="s">
        <v>425</v>
      </c>
      <c r="G94" s="335" t="s">
        <v>4557</v>
      </c>
      <c r="H94" s="335" t="s">
        <v>4558</v>
      </c>
      <c r="I94" s="85" t="s">
        <v>23</v>
      </c>
      <c r="J94" s="335" t="s">
        <v>4559</v>
      </c>
      <c r="K94" s="335" t="s">
        <v>4560</v>
      </c>
    </row>
    <row r="95" spans="1:11">
      <c r="A95" s="332"/>
      <c r="B95" s="333"/>
      <c r="C95" s="334"/>
      <c r="D95" s="342" t="s">
        <v>4561</v>
      </c>
      <c r="E95" s="343" t="s">
        <v>4562</v>
      </c>
      <c r="F95" s="84" t="s">
        <v>20</v>
      </c>
      <c r="G95" s="335" t="s">
        <v>4563</v>
      </c>
      <c r="H95" s="335" t="s">
        <v>4564</v>
      </c>
      <c r="I95" s="85" t="s">
        <v>23</v>
      </c>
      <c r="J95" s="335" t="s">
        <v>4565</v>
      </c>
      <c r="K95" s="335" t="s">
        <v>4566</v>
      </c>
    </row>
    <row r="96" spans="1:11">
      <c r="A96" s="332"/>
      <c r="B96" s="333"/>
      <c r="C96" s="337"/>
      <c r="D96" s="342" t="s">
        <v>4567</v>
      </c>
      <c r="E96" s="343" t="s">
        <v>4568</v>
      </c>
      <c r="F96" s="84" t="s">
        <v>425</v>
      </c>
      <c r="G96" s="335" t="s">
        <v>4569</v>
      </c>
      <c r="H96" s="335" t="s">
        <v>4570</v>
      </c>
      <c r="I96" s="85" t="s">
        <v>23</v>
      </c>
      <c r="J96" s="335" t="s">
        <v>4571</v>
      </c>
      <c r="K96" s="335" t="s">
        <v>4572</v>
      </c>
    </row>
    <row r="97" spans="1:11">
      <c r="A97" s="332"/>
      <c r="B97" s="333"/>
      <c r="C97" s="338" t="s">
        <v>4573</v>
      </c>
      <c r="D97" s="342" t="s">
        <v>4574</v>
      </c>
      <c r="E97" s="343" t="s">
        <v>4575</v>
      </c>
      <c r="F97" s="84" t="s">
        <v>20</v>
      </c>
      <c r="G97" s="335" t="s">
        <v>4576</v>
      </c>
      <c r="H97" s="335" t="s">
        <v>4577</v>
      </c>
      <c r="I97" s="85" t="s">
        <v>23</v>
      </c>
      <c r="J97" s="335" t="s">
        <v>4578</v>
      </c>
      <c r="K97" s="335" t="s">
        <v>4579</v>
      </c>
    </row>
    <row r="98" spans="1:11">
      <c r="A98" s="332"/>
      <c r="B98" s="333"/>
      <c r="C98" s="334"/>
      <c r="D98" s="342" t="s">
        <v>4580</v>
      </c>
      <c r="E98" s="343" t="s">
        <v>4581</v>
      </c>
      <c r="F98" s="84" t="s">
        <v>425</v>
      </c>
      <c r="G98" s="335" t="s">
        <v>4582</v>
      </c>
      <c r="H98" s="335" t="s">
        <v>4583</v>
      </c>
      <c r="I98" s="85" t="s">
        <v>23</v>
      </c>
      <c r="J98" s="335" t="s">
        <v>4584</v>
      </c>
      <c r="K98" s="335" t="s">
        <v>4585</v>
      </c>
    </row>
    <row r="99" spans="1:11">
      <c r="A99" s="332"/>
      <c r="B99" s="333"/>
      <c r="C99" s="334"/>
      <c r="D99" s="342" t="s">
        <v>4586</v>
      </c>
      <c r="E99" s="343" t="s">
        <v>4587</v>
      </c>
      <c r="F99" s="84" t="s">
        <v>20</v>
      </c>
      <c r="G99" s="335" t="s">
        <v>4588</v>
      </c>
      <c r="H99" s="335" t="s">
        <v>4589</v>
      </c>
      <c r="I99" s="85" t="s">
        <v>23</v>
      </c>
      <c r="J99" s="335" t="s">
        <v>4590</v>
      </c>
      <c r="K99" s="335" t="s">
        <v>4591</v>
      </c>
    </row>
    <row r="100" spans="1:11">
      <c r="A100" s="332"/>
      <c r="B100" s="333"/>
      <c r="C100" s="334"/>
      <c r="D100" s="342" t="s">
        <v>4592</v>
      </c>
      <c r="E100" s="343" t="s">
        <v>4593</v>
      </c>
      <c r="F100" s="84" t="s">
        <v>425</v>
      </c>
      <c r="G100" s="335" t="s">
        <v>4594</v>
      </c>
      <c r="H100" s="335" t="s">
        <v>4595</v>
      </c>
      <c r="I100" s="85" t="s">
        <v>23</v>
      </c>
      <c r="J100" s="335" t="s">
        <v>4596</v>
      </c>
      <c r="K100" s="335" t="s">
        <v>4597</v>
      </c>
    </row>
    <row r="101" spans="1:11">
      <c r="A101" s="332"/>
      <c r="B101" s="333"/>
      <c r="C101" s="337"/>
      <c r="D101" s="342" t="s">
        <v>4598</v>
      </c>
      <c r="E101" s="343" t="s">
        <v>4599</v>
      </c>
      <c r="F101" s="84" t="s">
        <v>20</v>
      </c>
      <c r="G101" s="335" t="s">
        <v>4600</v>
      </c>
      <c r="H101" s="335" t="s">
        <v>4601</v>
      </c>
      <c r="I101" s="85" t="s">
        <v>23</v>
      </c>
      <c r="J101" s="335" t="s">
        <v>4602</v>
      </c>
      <c r="K101" s="335" t="s">
        <v>4603</v>
      </c>
    </row>
    <row r="102" spans="1:11">
      <c r="A102" s="332"/>
      <c r="B102" s="333"/>
      <c r="C102" s="338" t="s">
        <v>4604</v>
      </c>
      <c r="D102" s="342" t="s">
        <v>4605</v>
      </c>
      <c r="E102" s="343" t="s">
        <v>4606</v>
      </c>
      <c r="F102" s="84" t="s">
        <v>425</v>
      </c>
      <c r="G102" s="335" t="s">
        <v>4607</v>
      </c>
      <c r="H102" s="335" t="s">
        <v>4608</v>
      </c>
      <c r="I102" s="85" t="s">
        <v>23</v>
      </c>
      <c r="J102" s="335" t="s">
        <v>4609</v>
      </c>
      <c r="K102" s="335" t="s">
        <v>4610</v>
      </c>
    </row>
    <row r="103" spans="1:11">
      <c r="A103" s="332"/>
      <c r="B103" s="333"/>
      <c r="C103" s="334"/>
      <c r="D103" s="342" t="s">
        <v>4611</v>
      </c>
      <c r="E103" s="343" t="s">
        <v>4612</v>
      </c>
      <c r="F103" s="84" t="s">
        <v>229</v>
      </c>
      <c r="G103" s="335" t="s">
        <v>4613</v>
      </c>
      <c r="H103" s="335" t="s">
        <v>4614</v>
      </c>
      <c r="I103" s="85" t="s">
        <v>23</v>
      </c>
      <c r="J103" s="335" t="s">
        <v>4615</v>
      </c>
      <c r="K103" s="335" t="s">
        <v>4616</v>
      </c>
    </row>
    <row r="104" spans="1:11">
      <c r="A104" s="332"/>
      <c r="B104" s="333"/>
      <c r="C104" s="334"/>
      <c r="D104" s="342" t="s">
        <v>4617</v>
      </c>
      <c r="E104" s="343" t="s">
        <v>4618</v>
      </c>
      <c r="F104" s="84" t="s">
        <v>229</v>
      </c>
      <c r="G104" s="335" t="s">
        <v>4619</v>
      </c>
      <c r="H104" s="335" t="s">
        <v>4620</v>
      </c>
      <c r="I104" s="85" t="s">
        <v>23</v>
      </c>
      <c r="J104" s="335" t="s">
        <v>4621</v>
      </c>
      <c r="K104" s="335" t="s">
        <v>4622</v>
      </c>
    </row>
    <row r="105" spans="1:11">
      <c r="A105" s="332"/>
      <c r="B105" s="333"/>
      <c r="C105" s="334"/>
      <c r="D105" s="342" t="s">
        <v>4623</v>
      </c>
      <c r="E105" s="343" t="s">
        <v>4624</v>
      </c>
      <c r="F105" s="84" t="s">
        <v>229</v>
      </c>
      <c r="G105" s="335" t="s">
        <v>4625</v>
      </c>
      <c r="H105" s="335" t="s">
        <v>4626</v>
      </c>
      <c r="I105" s="85" t="s">
        <v>23</v>
      </c>
      <c r="J105" s="335" t="s">
        <v>4627</v>
      </c>
      <c r="K105" s="335" t="s">
        <v>4628</v>
      </c>
    </row>
    <row r="106" spans="1:11">
      <c r="A106" s="332"/>
      <c r="B106" s="333"/>
      <c r="C106" s="337"/>
      <c r="D106" s="342" t="s">
        <v>4629</v>
      </c>
      <c r="E106" s="343" t="s">
        <v>4630</v>
      </c>
      <c r="F106" s="84" t="s">
        <v>229</v>
      </c>
      <c r="G106" s="335" t="s">
        <v>4631</v>
      </c>
      <c r="H106" s="335" t="s">
        <v>4632</v>
      </c>
      <c r="I106" s="85" t="s">
        <v>23</v>
      </c>
      <c r="J106" s="335" t="s">
        <v>4633</v>
      </c>
      <c r="K106" s="335" t="s">
        <v>4634</v>
      </c>
    </row>
    <row r="107" spans="1:11">
      <c r="A107" s="332"/>
      <c r="B107" s="333"/>
      <c r="C107" s="347" t="s">
        <v>4635</v>
      </c>
      <c r="D107" s="342" t="s">
        <v>4613</v>
      </c>
      <c r="E107" s="343" t="s">
        <v>4636</v>
      </c>
      <c r="F107" s="84" t="s">
        <v>229</v>
      </c>
      <c r="G107" s="335" t="s">
        <v>4637</v>
      </c>
      <c r="H107" s="335" t="s">
        <v>4638</v>
      </c>
      <c r="I107" s="85" t="s">
        <v>23</v>
      </c>
      <c r="J107" s="335" t="s">
        <v>4639</v>
      </c>
      <c r="K107" s="335" t="s">
        <v>4640</v>
      </c>
    </row>
    <row r="108" spans="1:11">
      <c r="A108" s="332"/>
      <c r="B108" s="333"/>
      <c r="C108" s="348"/>
      <c r="D108" s="342" t="s">
        <v>4641</v>
      </c>
      <c r="E108" s="343" t="s">
        <v>4642</v>
      </c>
      <c r="F108" s="84" t="s">
        <v>229</v>
      </c>
      <c r="G108" s="335" t="s">
        <v>4643</v>
      </c>
      <c r="H108" s="335" t="s">
        <v>4644</v>
      </c>
      <c r="I108" s="85" t="s">
        <v>23</v>
      </c>
      <c r="J108" s="335" t="s">
        <v>4645</v>
      </c>
      <c r="K108" s="335" t="s">
        <v>4646</v>
      </c>
    </row>
    <row r="109" spans="1:11">
      <c r="A109" s="332"/>
      <c r="B109" s="333"/>
      <c r="C109" s="348"/>
      <c r="D109" s="342" t="s">
        <v>4647</v>
      </c>
      <c r="E109" s="343" t="s">
        <v>4648</v>
      </c>
      <c r="F109" s="84" t="s">
        <v>20</v>
      </c>
      <c r="G109" s="335" t="s">
        <v>4649</v>
      </c>
      <c r="H109" s="335" t="s">
        <v>4650</v>
      </c>
      <c r="I109" s="85" t="s">
        <v>94</v>
      </c>
      <c r="J109" s="335" t="s">
        <v>4651</v>
      </c>
      <c r="K109" s="335" t="s">
        <v>4652</v>
      </c>
    </row>
    <row r="110" spans="1:11">
      <c r="A110" s="332"/>
      <c r="B110" s="333"/>
      <c r="C110" s="348"/>
      <c r="D110" s="342" t="s">
        <v>4653</v>
      </c>
      <c r="E110" s="343" t="s">
        <v>4654</v>
      </c>
      <c r="F110" s="84" t="s">
        <v>229</v>
      </c>
      <c r="G110" s="335" t="s">
        <v>4655</v>
      </c>
      <c r="H110" s="335" t="s">
        <v>4656</v>
      </c>
      <c r="I110" s="85" t="s">
        <v>23</v>
      </c>
      <c r="J110" s="335" t="s">
        <v>4657</v>
      </c>
      <c r="K110" s="335" t="s">
        <v>4658</v>
      </c>
    </row>
    <row r="111" spans="1:11" ht="15.75" thickBot="1">
      <c r="A111" s="332"/>
      <c r="B111" s="344"/>
      <c r="C111" s="350"/>
      <c r="D111" s="345" t="s">
        <v>4659</v>
      </c>
      <c r="E111" s="346" t="s">
        <v>4660</v>
      </c>
      <c r="F111" s="84" t="s">
        <v>20</v>
      </c>
      <c r="G111" s="335" t="s">
        <v>4661</v>
      </c>
      <c r="H111" s="335" t="s">
        <v>4662</v>
      </c>
      <c r="I111" s="85" t="s">
        <v>23</v>
      </c>
      <c r="J111" s="335" t="s">
        <v>4663</v>
      </c>
      <c r="K111" s="335" t="s">
        <v>4664</v>
      </c>
    </row>
    <row r="112" spans="1:11">
      <c r="A112" s="332"/>
      <c r="B112" s="327" t="s">
        <v>4665</v>
      </c>
      <c r="C112" s="328" t="s">
        <v>4666</v>
      </c>
      <c r="D112" s="341" t="s">
        <v>4667</v>
      </c>
      <c r="E112" s="330" t="s">
        <v>4668</v>
      </c>
      <c r="F112" s="84" t="s">
        <v>229</v>
      </c>
      <c r="G112" s="335" t="s">
        <v>4669</v>
      </c>
      <c r="H112" s="335" t="s">
        <v>4670</v>
      </c>
      <c r="I112" s="85" t="s">
        <v>23</v>
      </c>
      <c r="J112" s="335" t="s">
        <v>4671</v>
      </c>
      <c r="K112" s="335" t="s">
        <v>4672</v>
      </c>
    </row>
    <row r="113" spans="1:11">
      <c r="A113" s="332"/>
      <c r="B113" s="333"/>
      <c r="C113" s="334"/>
      <c r="D113" s="329" t="s">
        <v>4673</v>
      </c>
      <c r="E113" s="336" t="s">
        <v>4674</v>
      </c>
      <c r="F113" s="84" t="s">
        <v>20</v>
      </c>
      <c r="G113" s="335" t="s">
        <v>4675</v>
      </c>
      <c r="H113" s="335" t="s">
        <v>4676</v>
      </c>
      <c r="I113" s="85" t="s">
        <v>23</v>
      </c>
      <c r="J113" s="335" t="s">
        <v>4677</v>
      </c>
      <c r="K113" s="335" t="s">
        <v>4678</v>
      </c>
    </row>
    <row r="114" spans="1:11">
      <c r="A114" s="332"/>
      <c r="B114" s="333"/>
      <c r="C114" s="334"/>
      <c r="D114" s="329" t="s">
        <v>4679</v>
      </c>
      <c r="E114" s="336" t="s">
        <v>4680</v>
      </c>
      <c r="F114" s="84" t="s">
        <v>229</v>
      </c>
      <c r="G114" s="335" t="s">
        <v>4681</v>
      </c>
      <c r="H114" s="335" t="s">
        <v>4682</v>
      </c>
      <c r="I114" s="85" t="s">
        <v>23</v>
      </c>
      <c r="J114" s="335" t="s">
        <v>4683</v>
      </c>
      <c r="K114" s="335" t="s">
        <v>4684</v>
      </c>
    </row>
    <row r="115" spans="1:11">
      <c r="A115" s="332"/>
      <c r="B115" s="333"/>
      <c r="C115" s="334"/>
      <c r="D115" s="329" t="s">
        <v>4685</v>
      </c>
      <c r="E115" s="336" t="s">
        <v>4686</v>
      </c>
      <c r="F115" s="84" t="s">
        <v>20</v>
      </c>
      <c r="G115" s="335" t="s">
        <v>4687</v>
      </c>
      <c r="H115" s="335" t="s">
        <v>4688</v>
      </c>
      <c r="I115" s="85" t="s">
        <v>23</v>
      </c>
      <c r="J115" s="335" t="s">
        <v>4689</v>
      </c>
      <c r="K115" s="335" t="s">
        <v>4690</v>
      </c>
    </row>
    <row r="116" spans="1:11">
      <c r="A116" s="332"/>
      <c r="B116" s="333"/>
      <c r="C116" s="337"/>
      <c r="D116" s="329" t="s">
        <v>4691</v>
      </c>
      <c r="E116" s="336" t="s">
        <v>4692</v>
      </c>
      <c r="F116" s="84" t="s">
        <v>229</v>
      </c>
      <c r="G116" s="335" t="s">
        <v>4693</v>
      </c>
      <c r="H116" s="335" t="s">
        <v>4694</v>
      </c>
      <c r="I116" s="85" t="s">
        <v>23</v>
      </c>
      <c r="J116" s="335" t="s">
        <v>4695</v>
      </c>
      <c r="K116" s="335" t="s">
        <v>4696</v>
      </c>
    </row>
    <row r="117" spans="1:11">
      <c r="A117" s="332"/>
      <c r="B117" s="333"/>
      <c r="C117" s="338" t="s">
        <v>4697</v>
      </c>
      <c r="D117" s="335" t="s">
        <v>4698</v>
      </c>
      <c r="E117" s="339" t="s">
        <v>4699</v>
      </c>
      <c r="F117" s="84" t="s">
        <v>20</v>
      </c>
      <c r="G117" s="335" t="s">
        <v>4700</v>
      </c>
      <c r="H117" s="335" t="s">
        <v>4701</v>
      </c>
      <c r="I117" s="85" t="s">
        <v>23</v>
      </c>
      <c r="J117" s="335" t="s">
        <v>4702</v>
      </c>
      <c r="K117" s="335" t="s">
        <v>4703</v>
      </c>
    </row>
    <row r="118" spans="1:11">
      <c r="A118" s="332"/>
      <c r="B118" s="333"/>
      <c r="C118" s="334"/>
      <c r="D118" s="335" t="s">
        <v>4704</v>
      </c>
      <c r="E118" s="339" t="s">
        <v>4705</v>
      </c>
      <c r="F118" s="84" t="s">
        <v>229</v>
      </c>
      <c r="G118" s="335" t="s">
        <v>4706</v>
      </c>
      <c r="H118" s="335" t="s">
        <v>4707</v>
      </c>
      <c r="I118" s="85" t="s">
        <v>23</v>
      </c>
      <c r="J118" s="335" t="s">
        <v>4708</v>
      </c>
      <c r="K118" s="335" t="s">
        <v>4709</v>
      </c>
    </row>
    <row r="119" spans="1:11">
      <c r="A119" s="332"/>
      <c r="B119" s="333"/>
      <c r="C119" s="334"/>
      <c r="D119" s="335" t="s">
        <v>4710</v>
      </c>
      <c r="E119" s="339" t="s">
        <v>4711</v>
      </c>
      <c r="F119" s="84" t="s">
        <v>20</v>
      </c>
      <c r="G119" s="335" t="s">
        <v>4712</v>
      </c>
      <c r="H119" s="335" t="s">
        <v>4713</v>
      </c>
      <c r="I119" s="85" t="s">
        <v>23</v>
      </c>
      <c r="J119" s="335" t="s">
        <v>4714</v>
      </c>
      <c r="K119" s="335" t="s">
        <v>4715</v>
      </c>
    </row>
    <row r="120" spans="1:11">
      <c r="A120" s="332"/>
      <c r="B120" s="333"/>
      <c r="C120" s="334"/>
      <c r="D120" s="335" t="s">
        <v>4716</v>
      </c>
      <c r="E120" s="339" t="s">
        <v>4717</v>
      </c>
      <c r="F120" s="84" t="s">
        <v>20</v>
      </c>
      <c r="G120" s="335" t="s">
        <v>4718</v>
      </c>
      <c r="H120" s="335" t="s">
        <v>4719</v>
      </c>
      <c r="I120" s="85" t="s">
        <v>23</v>
      </c>
      <c r="J120" s="335" t="s">
        <v>4720</v>
      </c>
      <c r="K120" s="335" t="s">
        <v>4721</v>
      </c>
    </row>
    <row r="121" spans="1:11">
      <c r="A121" s="332"/>
      <c r="B121" s="333"/>
      <c r="C121" s="337"/>
      <c r="D121" s="335" t="s">
        <v>4722</v>
      </c>
      <c r="E121" s="339" t="s">
        <v>4723</v>
      </c>
      <c r="F121" s="84" t="s">
        <v>20</v>
      </c>
      <c r="G121" s="335" t="s">
        <v>4724</v>
      </c>
      <c r="H121" s="335" t="s">
        <v>4725</v>
      </c>
      <c r="I121" s="85" t="s">
        <v>23</v>
      </c>
      <c r="J121" s="335" t="s">
        <v>4726</v>
      </c>
      <c r="K121" s="335" t="s">
        <v>4727</v>
      </c>
    </row>
    <row r="122" spans="1:11">
      <c r="A122" s="332"/>
      <c r="B122" s="333"/>
      <c r="C122" s="347" t="s">
        <v>4728</v>
      </c>
      <c r="D122" s="335" t="s">
        <v>4729</v>
      </c>
      <c r="E122" s="339" t="s">
        <v>4730</v>
      </c>
      <c r="F122" s="84" t="s">
        <v>20</v>
      </c>
      <c r="G122" s="335" t="s">
        <v>4731</v>
      </c>
      <c r="H122" s="335" t="s">
        <v>4732</v>
      </c>
      <c r="I122" s="85" t="s">
        <v>23</v>
      </c>
      <c r="J122" s="335" t="s">
        <v>4733</v>
      </c>
      <c r="K122" s="335" t="s">
        <v>4734</v>
      </c>
    </row>
    <row r="123" spans="1:11">
      <c r="A123" s="332"/>
      <c r="B123" s="333"/>
      <c r="C123" s="348"/>
      <c r="D123" s="335" t="s">
        <v>4706</v>
      </c>
      <c r="E123" s="339" t="s">
        <v>4735</v>
      </c>
      <c r="F123" s="84" t="s">
        <v>20</v>
      </c>
      <c r="G123" s="335" t="s">
        <v>4736</v>
      </c>
      <c r="H123" s="335" t="s">
        <v>4737</v>
      </c>
      <c r="I123" s="85" t="s">
        <v>23</v>
      </c>
      <c r="J123" s="335" t="s">
        <v>4738</v>
      </c>
      <c r="K123" s="335" t="s">
        <v>4739</v>
      </c>
    </row>
    <row r="124" spans="1:11">
      <c r="A124" s="332"/>
      <c r="B124" s="333"/>
      <c r="C124" s="348"/>
      <c r="D124" s="335" t="s">
        <v>4740</v>
      </c>
      <c r="E124" s="339" t="s">
        <v>4741</v>
      </c>
      <c r="F124" s="84" t="s">
        <v>229</v>
      </c>
      <c r="G124" s="335" t="s">
        <v>4742</v>
      </c>
      <c r="H124" s="335" t="s">
        <v>4743</v>
      </c>
      <c r="I124" s="85" t="s">
        <v>23</v>
      </c>
      <c r="J124" s="335" t="s">
        <v>4744</v>
      </c>
      <c r="K124" s="335" t="s">
        <v>4745</v>
      </c>
    </row>
    <row r="125" spans="1:11">
      <c r="A125" s="332"/>
      <c r="B125" s="333"/>
      <c r="C125" s="348"/>
      <c r="D125" s="335" t="s">
        <v>4746</v>
      </c>
      <c r="E125" s="339" t="s">
        <v>4747</v>
      </c>
      <c r="F125" s="84" t="s">
        <v>229</v>
      </c>
      <c r="G125" s="335" t="s">
        <v>4748</v>
      </c>
      <c r="H125" s="335" t="s">
        <v>4749</v>
      </c>
      <c r="I125" s="85" t="s">
        <v>23</v>
      </c>
      <c r="J125" s="335" t="s">
        <v>4750</v>
      </c>
      <c r="K125" s="335" t="s">
        <v>4751</v>
      </c>
    </row>
    <row r="126" spans="1:11">
      <c r="A126" s="332"/>
      <c r="B126" s="333"/>
      <c r="C126" s="349"/>
      <c r="D126" s="335" t="s">
        <v>4752</v>
      </c>
      <c r="E126" s="339" t="s">
        <v>4753</v>
      </c>
      <c r="F126" s="84" t="s">
        <v>229</v>
      </c>
      <c r="G126" s="335" t="s">
        <v>4754</v>
      </c>
      <c r="H126" s="335" t="s">
        <v>4755</v>
      </c>
      <c r="I126" s="85" t="s">
        <v>23</v>
      </c>
      <c r="J126" s="335" t="s">
        <v>4756</v>
      </c>
      <c r="K126" s="335" t="s">
        <v>4757</v>
      </c>
    </row>
    <row r="127" spans="1:11">
      <c r="A127" s="332"/>
      <c r="B127" s="333"/>
      <c r="C127" s="347" t="s">
        <v>4758</v>
      </c>
      <c r="D127" s="335" t="s">
        <v>4759</v>
      </c>
      <c r="E127" s="339" t="s">
        <v>4760</v>
      </c>
      <c r="F127" s="84" t="s">
        <v>229</v>
      </c>
      <c r="G127" s="335" t="s">
        <v>4761</v>
      </c>
      <c r="H127" s="335" t="s">
        <v>4762</v>
      </c>
      <c r="I127" s="85" t="s">
        <v>23</v>
      </c>
      <c r="J127" s="335" t="s">
        <v>4763</v>
      </c>
      <c r="K127" s="335" t="s">
        <v>4764</v>
      </c>
    </row>
    <row r="128" spans="1:11">
      <c r="A128" s="332"/>
      <c r="B128" s="333"/>
      <c r="C128" s="348"/>
      <c r="D128" s="335" t="s">
        <v>4765</v>
      </c>
      <c r="E128" s="339" t="s">
        <v>4766</v>
      </c>
      <c r="F128" s="84" t="s">
        <v>20</v>
      </c>
      <c r="G128" s="335" t="s">
        <v>4767</v>
      </c>
      <c r="H128" s="335" t="s">
        <v>4768</v>
      </c>
      <c r="I128" s="85" t="s">
        <v>23</v>
      </c>
      <c r="J128" s="335" t="s">
        <v>4769</v>
      </c>
      <c r="K128" s="335" t="s">
        <v>4770</v>
      </c>
    </row>
    <row r="129" spans="1:11">
      <c r="A129" s="332"/>
      <c r="B129" s="333"/>
      <c r="C129" s="348"/>
      <c r="D129" s="335" t="s">
        <v>4771</v>
      </c>
      <c r="E129" s="339" t="s">
        <v>4772</v>
      </c>
      <c r="F129" s="84" t="s">
        <v>20</v>
      </c>
      <c r="G129" s="335" t="s">
        <v>4773</v>
      </c>
      <c r="H129" s="335" t="s">
        <v>4774</v>
      </c>
      <c r="I129" s="85" t="s">
        <v>23</v>
      </c>
      <c r="J129" s="335" t="s">
        <v>4775</v>
      </c>
      <c r="K129" s="335" t="s">
        <v>4776</v>
      </c>
    </row>
    <row r="130" spans="1:11">
      <c r="A130" s="332"/>
      <c r="B130" s="333"/>
      <c r="C130" s="348"/>
      <c r="D130" s="335" t="s">
        <v>4777</v>
      </c>
      <c r="E130" s="339" t="s">
        <v>4778</v>
      </c>
      <c r="F130" s="84" t="s">
        <v>20</v>
      </c>
      <c r="G130" s="335" t="s">
        <v>4779</v>
      </c>
      <c r="H130" s="335" t="s">
        <v>4780</v>
      </c>
      <c r="I130" s="85" t="s">
        <v>23</v>
      </c>
      <c r="J130" s="335" t="s">
        <v>4781</v>
      </c>
      <c r="K130" s="335" t="s">
        <v>4782</v>
      </c>
    </row>
    <row r="131" spans="1:11">
      <c r="A131" s="332"/>
      <c r="B131" s="333"/>
      <c r="C131" s="349"/>
      <c r="D131" s="335" t="s">
        <v>4783</v>
      </c>
      <c r="E131" s="339" t="s">
        <v>4784</v>
      </c>
      <c r="F131" s="84" t="s">
        <v>20</v>
      </c>
      <c r="G131" s="335" t="s">
        <v>4785</v>
      </c>
      <c r="H131" s="335" t="s">
        <v>4786</v>
      </c>
      <c r="I131" s="85" t="s">
        <v>23</v>
      </c>
      <c r="J131" s="335" t="s">
        <v>4787</v>
      </c>
      <c r="K131" s="335" t="s">
        <v>4788</v>
      </c>
    </row>
    <row r="132" spans="1:11">
      <c r="A132" s="332"/>
      <c r="B132" s="333"/>
      <c r="C132" s="347" t="s">
        <v>4789</v>
      </c>
      <c r="D132" s="335" t="s">
        <v>4790</v>
      </c>
      <c r="E132" s="339" t="s">
        <v>4791</v>
      </c>
      <c r="F132" s="84" t="s">
        <v>20</v>
      </c>
      <c r="G132" s="335" t="s">
        <v>4792</v>
      </c>
      <c r="H132" s="335" t="s">
        <v>4793</v>
      </c>
      <c r="I132" s="85" t="s">
        <v>23</v>
      </c>
      <c r="J132" s="335" t="s">
        <v>4794</v>
      </c>
      <c r="K132" s="335" t="s">
        <v>4795</v>
      </c>
    </row>
    <row r="133" spans="1:11">
      <c r="A133" s="332"/>
      <c r="B133" s="333"/>
      <c r="C133" s="348"/>
      <c r="D133" s="335" t="s">
        <v>4796</v>
      </c>
      <c r="E133" s="339" t="s">
        <v>4797</v>
      </c>
      <c r="F133" s="84" t="s">
        <v>229</v>
      </c>
      <c r="G133" s="335" t="s">
        <v>4798</v>
      </c>
      <c r="H133" s="335" t="s">
        <v>4799</v>
      </c>
      <c r="I133" s="85" t="s">
        <v>23</v>
      </c>
      <c r="J133" s="335" t="s">
        <v>4800</v>
      </c>
      <c r="K133" s="335" t="s">
        <v>4801</v>
      </c>
    </row>
    <row r="134" spans="1:11">
      <c r="A134" s="332"/>
      <c r="B134" s="333"/>
      <c r="C134" s="348"/>
      <c r="D134" s="335" t="s">
        <v>4802</v>
      </c>
      <c r="E134" s="339" t="s">
        <v>4803</v>
      </c>
      <c r="F134" s="84" t="s">
        <v>229</v>
      </c>
      <c r="G134" s="335" t="s">
        <v>4804</v>
      </c>
      <c r="H134" s="335" t="s">
        <v>4805</v>
      </c>
      <c r="I134" s="85" t="s">
        <v>23</v>
      </c>
      <c r="J134" s="335" t="s">
        <v>4806</v>
      </c>
      <c r="K134" s="335" t="s">
        <v>4807</v>
      </c>
    </row>
    <row r="135" spans="1:11">
      <c r="A135" s="332"/>
      <c r="B135" s="333"/>
      <c r="C135" s="348"/>
      <c r="D135" s="335" t="s">
        <v>4808</v>
      </c>
      <c r="E135" s="339" t="s">
        <v>4809</v>
      </c>
      <c r="F135" s="84" t="s">
        <v>229</v>
      </c>
      <c r="G135" s="335" t="s">
        <v>4810</v>
      </c>
      <c r="H135" s="335" t="s">
        <v>4811</v>
      </c>
      <c r="I135" s="85" t="s">
        <v>23</v>
      </c>
      <c r="J135" s="335" t="s">
        <v>4812</v>
      </c>
      <c r="K135" s="335" t="s">
        <v>4813</v>
      </c>
    </row>
    <row r="136" spans="1:11">
      <c r="A136" s="332"/>
      <c r="B136" s="333"/>
      <c r="C136" s="349"/>
      <c r="D136" s="335" t="s">
        <v>4814</v>
      </c>
      <c r="E136" s="339" t="s">
        <v>4815</v>
      </c>
      <c r="F136" s="84" t="s">
        <v>229</v>
      </c>
      <c r="G136" s="335" t="s">
        <v>4816</v>
      </c>
      <c r="H136" s="335" t="s">
        <v>4817</v>
      </c>
      <c r="I136" s="85" t="s">
        <v>23</v>
      </c>
      <c r="J136" s="335" t="s">
        <v>4818</v>
      </c>
      <c r="K136" s="335" t="s">
        <v>4819</v>
      </c>
    </row>
    <row r="137" spans="1:11">
      <c r="A137" s="332"/>
      <c r="B137" s="333"/>
      <c r="C137" s="338" t="s">
        <v>4820</v>
      </c>
      <c r="D137" s="335" t="s">
        <v>4821</v>
      </c>
      <c r="E137" s="339" t="s">
        <v>4822</v>
      </c>
      <c r="F137" s="84" t="s">
        <v>229</v>
      </c>
      <c r="G137" s="335" t="s">
        <v>4823</v>
      </c>
      <c r="H137" s="335" t="s">
        <v>4824</v>
      </c>
      <c r="I137" s="85" t="s">
        <v>23</v>
      </c>
      <c r="J137" s="335" t="s">
        <v>4825</v>
      </c>
      <c r="K137" s="335" t="s">
        <v>4826</v>
      </c>
    </row>
    <row r="138" spans="1:11">
      <c r="A138" s="332"/>
      <c r="B138" s="333"/>
      <c r="C138" s="334"/>
      <c r="D138" s="335" t="s">
        <v>4827</v>
      </c>
      <c r="E138" s="339" t="s">
        <v>4828</v>
      </c>
      <c r="F138" s="84" t="s">
        <v>229</v>
      </c>
      <c r="G138" s="335" t="s">
        <v>4829</v>
      </c>
      <c r="H138" s="335" t="s">
        <v>4830</v>
      </c>
      <c r="I138" s="85" t="s">
        <v>23</v>
      </c>
      <c r="J138" s="335" t="s">
        <v>4831</v>
      </c>
      <c r="K138" s="335" t="s">
        <v>4832</v>
      </c>
    </row>
    <row r="139" spans="1:11">
      <c r="A139" s="332"/>
      <c r="B139" s="333"/>
      <c r="C139" s="334"/>
      <c r="D139" s="335" t="s">
        <v>4833</v>
      </c>
      <c r="E139" s="339" t="s">
        <v>4834</v>
      </c>
      <c r="F139" s="84" t="s">
        <v>20</v>
      </c>
      <c r="G139" s="335" t="s">
        <v>4835</v>
      </c>
      <c r="H139" s="335" t="s">
        <v>4836</v>
      </c>
      <c r="I139" s="85" t="s">
        <v>23</v>
      </c>
      <c r="J139" s="335" t="s">
        <v>4837</v>
      </c>
      <c r="K139" s="335" t="s">
        <v>4838</v>
      </c>
    </row>
    <row r="140" spans="1:11">
      <c r="A140" s="332"/>
      <c r="B140" s="333"/>
      <c r="C140" s="334"/>
      <c r="D140" s="335" t="s">
        <v>4839</v>
      </c>
      <c r="E140" s="339" t="s">
        <v>4840</v>
      </c>
      <c r="F140" s="84" t="s">
        <v>20</v>
      </c>
      <c r="G140" s="335" t="s">
        <v>4841</v>
      </c>
      <c r="H140" s="335" t="s">
        <v>4842</v>
      </c>
      <c r="I140" s="85" t="s">
        <v>23</v>
      </c>
      <c r="J140" s="335" t="s">
        <v>4843</v>
      </c>
      <c r="K140" s="335" t="s">
        <v>4844</v>
      </c>
    </row>
    <row r="141" spans="1:11">
      <c r="A141" s="332"/>
      <c r="B141" s="333"/>
      <c r="C141" s="337"/>
      <c r="D141" s="335" t="s">
        <v>4845</v>
      </c>
      <c r="E141" s="339" t="s">
        <v>4846</v>
      </c>
      <c r="F141" s="84" t="s">
        <v>20</v>
      </c>
      <c r="G141" s="335" t="s">
        <v>4847</v>
      </c>
      <c r="H141" s="335" t="s">
        <v>4848</v>
      </c>
      <c r="I141" s="85" t="s">
        <v>23</v>
      </c>
      <c r="J141" s="335" t="s">
        <v>4849</v>
      </c>
      <c r="K141" s="335" t="s">
        <v>4850</v>
      </c>
    </row>
    <row r="142" spans="1:11">
      <c r="A142" s="332"/>
      <c r="B142" s="333"/>
      <c r="C142" s="338" t="s">
        <v>4851</v>
      </c>
      <c r="D142" s="335" t="s">
        <v>4852</v>
      </c>
      <c r="E142" s="339" t="s">
        <v>4853</v>
      </c>
      <c r="F142" s="84" t="s">
        <v>20</v>
      </c>
      <c r="G142" s="335" t="s">
        <v>4854</v>
      </c>
      <c r="H142" s="335" t="s">
        <v>4855</v>
      </c>
      <c r="I142" s="85" t="s">
        <v>23</v>
      </c>
      <c r="J142" s="335" t="s">
        <v>4856</v>
      </c>
      <c r="K142" s="335" t="s">
        <v>4857</v>
      </c>
    </row>
    <row r="143" spans="1:11">
      <c r="A143" s="332"/>
      <c r="B143" s="333"/>
      <c r="C143" s="334"/>
      <c r="D143" s="335" t="s">
        <v>4858</v>
      </c>
      <c r="E143" s="339" t="s">
        <v>4859</v>
      </c>
      <c r="F143" s="84" t="s">
        <v>20</v>
      </c>
      <c r="G143" s="335" t="s">
        <v>4860</v>
      </c>
      <c r="H143" s="335" t="s">
        <v>4861</v>
      </c>
      <c r="I143" s="85" t="s">
        <v>94</v>
      </c>
      <c r="J143" s="335" t="s">
        <v>4862</v>
      </c>
      <c r="K143" s="335" t="s">
        <v>4863</v>
      </c>
    </row>
    <row r="144" spans="1:11">
      <c r="A144" s="332"/>
      <c r="B144" s="333"/>
      <c r="C144" s="334"/>
      <c r="D144" s="335" t="s">
        <v>4864</v>
      </c>
      <c r="E144" s="339" t="s">
        <v>4865</v>
      </c>
      <c r="F144" s="84" t="s">
        <v>229</v>
      </c>
      <c r="G144" s="335" t="s">
        <v>4866</v>
      </c>
      <c r="H144" s="335" t="s">
        <v>4867</v>
      </c>
      <c r="I144" s="85" t="s">
        <v>23</v>
      </c>
      <c r="J144" s="335" t="s">
        <v>4868</v>
      </c>
      <c r="K144" s="335" t="s">
        <v>4869</v>
      </c>
    </row>
    <row r="145" spans="1:11">
      <c r="A145" s="332"/>
      <c r="B145" s="333"/>
      <c r="C145" s="334"/>
      <c r="D145" s="335" t="s">
        <v>4870</v>
      </c>
      <c r="E145" s="339" t="s">
        <v>4871</v>
      </c>
      <c r="F145" s="84" t="s">
        <v>229</v>
      </c>
      <c r="G145" s="335" t="s">
        <v>4872</v>
      </c>
      <c r="H145" s="335" t="s">
        <v>4873</v>
      </c>
      <c r="I145" s="85" t="s">
        <v>23</v>
      </c>
      <c r="J145" s="335" t="s">
        <v>4874</v>
      </c>
      <c r="K145" s="335" t="s">
        <v>4875</v>
      </c>
    </row>
    <row r="146" spans="1:11">
      <c r="A146" s="332"/>
      <c r="B146" s="333"/>
      <c r="C146" s="337"/>
      <c r="D146" s="335" t="s">
        <v>4876</v>
      </c>
      <c r="E146" s="339" t="s">
        <v>4877</v>
      </c>
      <c r="F146" s="84" t="s">
        <v>229</v>
      </c>
      <c r="G146" s="335" t="s">
        <v>4878</v>
      </c>
      <c r="H146" s="335" t="s">
        <v>4879</v>
      </c>
      <c r="I146" s="85" t="s">
        <v>23</v>
      </c>
      <c r="J146" s="335" t="s">
        <v>4880</v>
      </c>
      <c r="K146" s="335" t="s">
        <v>4881</v>
      </c>
    </row>
    <row r="147" spans="1:11">
      <c r="A147" s="332"/>
      <c r="B147" s="333"/>
      <c r="C147" s="338" t="s">
        <v>4882</v>
      </c>
      <c r="D147" s="335" t="s">
        <v>4883</v>
      </c>
      <c r="E147" s="339" t="s">
        <v>4884</v>
      </c>
      <c r="F147" s="84" t="s">
        <v>229</v>
      </c>
      <c r="G147" s="335" t="s">
        <v>4885</v>
      </c>
      <c r="H147" s="335" t="s">
        <v>4886</v>
      </c>
      <c r="I147" s="85" t="s">
        <v>23</v>
      </c>
      <c r="J147" s="335" t="s">
        <v>4887</v>
      </c>
      <c r="K147" s="335" t="s">
        <v>4888</v>
      </c>
    </row>
    <row r="148" spans="1:11">
      <c r="A148" s="332"/>
      <c r="B148" s="333"/>
      <c r="C148" s="334"/>
      <c r="D148" s="335" t="s">
        <v>4889</v>
      </c>
      <c r="E148" s="339" t="s">
        <v>4890</v>
      </c>
      <c r="F148" s="84" t="s">
        <v>425</v>
      </c>
      <c r="G148" s="335" t="s">
        <v>4891</v>
      </c>
      <c r="H148" s="335" t="s">
        <v>4892</v>
      </c>
      <c r="I148" s="85" t="s">
        <v>23</v>
      </c>
      <c r="J148" s="335" t="s">
        <v>4893</v>
      </c>
      <c r="K148" s="335" t="s">
        <v>4894</v>
      </c>
    </row>
    <row r="149" spans="1:11">
      <c r="A149" s="332"/>
      <c r="B149" s="333"/>
      <c r="C149" s="334"/>
      <c r="D149" s="335" t="s">
        <v>4895</v>
      </c>
      <c r="E149" s="339" t="s">
        <v>4896</v>
      </c>
      <c r="F149" s="84" t="s">
        <v>425</v>
      </c>
      <c r="G149" s="335" t="s">
        <v>4897</v>
      </c>
      <c r="H149" s="335" t="s">
        <v>4898</v>
      </c>
      <c r="I149" s="85" t="s">
        <v>23</v>
      </c>
      <c r="J149" s="335" t="s">
        <v>4899</v>
      </c>
      <c r="K149" s="335" t="s">
        <v>4900</v>
      </c>
    </row>
    <row r="150" spans="1:11">
      <c r="A150" s="332"/>
      <c r="B150" s="333"/>
      <c r="C150" s="334"/>
      <c r="D150" s="335" t="s">
        <v>4901</v>
      </c>
      <c r="E150" s="339" t="s">
        <v>4902</v>
      </c>
      <c r="F150" s="84" t="s">
        <v>425</v>
      </c>
      <c r="G150" s="335" t="s">
        <v>4903</v>
      </c>
      <c r="H150" s="335" t="s">
        <v>4904</v>
      </c>
      <c r="I150" s="85" t="s">
        <v>23</v>
      </c>
      <c r="J150" s="335" t="s">
        <v>4905</v>
      </c>
      <c r="K150" s="335" t="s">
        <v>4906</v>
      </c>
    </row>
    <row r="151" spans="1:11">
      <c r="A151" s="332"/>
      <c r="B151" s="333"/>
      <c r="C151" s="337"/>
      <c r="D151" s="335" t="s">
        <v>4907</v>
      </c>
      <c r="E151" s="339" t="s">
        <v>4908</v>
      </c>
      <c r="F151" s="84" t="s">
        <v>229</v>
      </c>
      <c r="G151" s="335" t="s">
        <v>4909</v>
      </c>
      <c r="H151" s="335" t="s">
        <v>4910</v>
      </c>
      <c r="I151" s="85" t="s">
        <v>23</v>
      </c>
      <c r="J151" s="335" t="s">
        <v>4911</v>
      </c>
      <c r="K151" s="335" t="s">
        <v>4912</v>
      </c>
    </row>
    <row r="152" spans="1:11">
      <c r="A152" s="332"/>
      <c r="B152" s="333"/>
      <c r="C152" s="338" t="s">
        <v>4913</v>
      </c>
      <c r="D152" s="335" t="s">
        <v>4914</v>
      </c>
      <c r="E152" s="339" t="s">
        <v>4915</v>
      </c>
      <c r="F152" s="84" t="s">
        <v>229</v>
      </c>
      <c r="G152" s="335" t="s">
        <v>4916</v>
      </c>
      <c r="H152" s="335" t="s">
        <v>4917</v>
      </c>
      <c r="I152" s="85" t="s">
        <v>23</v>
      </c>
      <c r="J152" s="335" t="s">
        <v>4918</v>
      </c>
      <c r="K152" s="335" t="s">
        <v>4919</v>
      </c>
    </row>
    <row r="153" spans="1:11">
      <c r="A153" s="332"/>
      <c r="B153" s="333"/>
      <c r="C153" s="334"/>
      <c r="D153" s="342" t="s">
        <v>4920</v>
      </c>
      <c r="E153" s="343" t="s">
        <v>4921</v>
      </c>
      <c r="F153" s="84" t="s">
        <v>229</v>
      </c>
      <c r="G153" s="335" t="s">
        <v>4922</v>
      </c>
      <c r="H153" s="335" t="s">
        <v>4923</v>
      </c>
      <c r="I153" s="85" t="s">
        <v>23</v>
      </c>
      <c r="J153" s="335" t="s">
        <v>4924</v>
      </c>
      <c r="K153" s="335" t="s">
        <v>4925</v>
      </c>
    </row>
    <row r="154" spans="1:11">
      <c r="A154" s="332"/>
      <c r="B154" s="333"/>
      <c r="C154" s="334"/>
      <c r="D154" s="342" t="s">
        <v>4926</v>
      </c>
      <c r="E154" s="343" t="s">
        <v>4927</v>
      </c>
      <c r="F154" s="84" t="s">
        <v>229</v>
      </c>
      <c r="G154" s="335" t="s">
        <v>4928</v>
      </c>
      <c r="H154" s="335" t="s">
        <v>4929</v>
      </c>
      <c r="I154" s="85" t="s">
        <v>23</v>
      </c>
      <c r="J154" s="335" t="s">
        <v>4930</v>
      </c>
      <c r="K154" s="335" t="s">
        <v>4931</v>
      </c>
    </row>
    <row r="155" spans="1:11">
      <c r="A155" s="332"/>
      <c r="B155" s="333"/>
      <c r="C155" s="334"/>
      <c r="D155" s="342" t="s">
        <v>4932</v>
      </c>
      <c r="E155" s="343" t="s">
        <v>4933</v>
      </c>
      <c r="F155" s="84" t="s">
        <v>229</v>
      </c>
      <c r="G155" s="335" t="s">
        <v>4934</v>
      </c>
      <c r="H155" s="335" t="s">
        <v>4935</v>
      </c>
      <c r="I155" s="85" t="s">
        <v>23</v>
      </c>
      <c r="J155" s="335" t="s">
        <v>4936</v>
      </c>
      <c r="K155" s="335" t="s">
        <v>4937</v>
      </c>
    </row>
    <row r="156" spans="1:11">
      <c r="A156" s="332"/>
      <c r="B156" s="333"/>
      <c r="C156" s="337"/>
      <c r="D156" s="342" t="s">
        <v>4938</v>
      </c>
      <c r="E156" s="343" t="s">
        <v>4939</v>
      </c>
      <c r="F156" s="84" t="s">
        <v>20</v>
      </c>
      <c r="G156" s="335" t="s">
        <v>4940</v>
      </c>
      <c r="H156" s="335" t="s">
        <v>4941</v>
      </c>
      <c r="I156" s="85" t="s">
        <v>23</v>
      </c>
      <c r="J156" s="335" t="s">
        <v>4942</v>
      </c>
      <c r="K156" s="335" t="s">
        <v>4943</v>
      </c>
    </row>
    <row r="157" spans="1:11">
      <c r="A157" s="332"/>
      <c r="B157" s="333"/>
      <c r="C157" s="347" t="s">
        <v>4944</v>
      </c>
      <c r="D157" s="342" t="s">
        <v>4945</v>
      </c>
      <c r="E157" s="343" t="s">
        <v>4946</v>
      </c>
      <c r="F157" s="84" t="s">
        <v>20</v>
      </c>
      <c r="G157" s="335" t="s">
        <v>4947</v>
      </c>
      <c r="H157" s="335" t="s">
        <v>4948</v>
      </c>
      <c r="I157" s="85" t="s">
        <v>23</v>
      </c>
      <c r="J157" s="335" t="s">
        <v>4949</v>
      </c>
      <c r="K157" s="335" t="s">
        <v>4950</v>
      </c>
    </row>
    <row r="158" spans="1:11">
      <c r="A158" s="332"/>
      <c r="B158" s="333"/>
      <c r="C158" s="348"/>
      <c r="D158" s="342" t="s">
        <v>4951</v>
      </c>
      <c r="E158" s="343" t="s">
        <v>4952</v>
      </c>
      <c r="F158" s="84" t="s">
        <v>20</v>
      </c>
      <c r="G158" s="335" t="s">
        <v>4953</v>
      </c>
      <c r="H158" s="335" t="s">
        <v>4954</v>
      </c>
      <c r="I158" s="85" t="s">
        <v>23</v>
      </c>
      <c r="J158" s="335" t="s">
        <v>4955</v>
      </c>
      <c r="K158" s="335" t="s">
        <v>4956</v>
      </c>
    </row>
    <row r="159" spans="1:11">
      <c r="A159" s="332"/>
      <c r="B159" s="333"/>
      <c r="C159" s="348"/>
      <c r="D159" s="342" t="s">
        <v>4957</v>
      </c>
      <c r="E159" s="343" t="s">
        <v>4958</v>
      </c>
      <c r="F159" s="84" t="s">
        <v>229</v>
      </c>
      <c r="G159" s="335" t="s">
        <v>4959</v>
      </c>
      <c r="H159" s="335" t="s">
        <v>4960</v>
      </c>
      <c r="I159" s="85" t="s">
        <v>23</v>
      </c>
      <c r="J159" s="335" t="s">
        <v>4961</v>
      </c>
      <c r="K159" s="335" t="s">
        <v>4962</v>
      </c>
    </row>
    <row r="160" spans="1:11">
      <c r="A160" s="332"/>
      <c r="B160" s="333"/>
      <c r="C160" s="348"/>
      <c r="D160" s="342" t="s">
        <v>4963</v>
      </c>
      <c r="E160" s="343" t="s">
        <v>4964</v>
      </c>
      <c r="F160" s="84" t="s">
        <v>20</v>
      </c>
      <c r="G160" s="335" t="s">
        <v>4965</v>
      </c>
      <c r="H160" s="335" t="s">
        <v>4966</v>
      </c>
      <c r="I160" s="85" t="s">
        <v>23</v>
      </c>
      <c r="J160" s="335" t="s">
        <v>4967</v>
      </c>
      <c r="K160" s="335" t="s">
        <v>4968</v>
      </c>
    </row>
    <row r="161" spans="1:11" ht="15.75" thickBot="1">
      <c r="A161" s="332"/>
      <c r="B161" s="344"/>
      <c r="C161" s="350"/>
      <c r="D161" s="345" t="s">
        <v>4969</v>
      </c>
      <c r="E161" s="346" t="s">
        <v>4970</v>
      </c>
      <c r="F161" s="84" t="s">
        <v>20</v>
      </c>
      <c r="G161" s="335" t="s">
        <v>4971</v>
      </c>
      <c r="H161" s="335" t="s">
        <v>4972</v>
      </c>
      <c r="I161" s="85" t="s">
        <v>23</v>
      </c>
      <c r="J161" s="335" t="s">
        <v>4973</v>
      </c>
      <c r="K161" s="335" t="s">
        <v>4974</v>
      </c>
    </row>
    <row r="162" spans="1:11">
      <c r="A162" s="332"/>
      <c r="B162" s="327" t="s">
        <v>4975</v>
      </c>
      <c r="C162" s="328" t="s">
        <v>4976</v>
      </c>
      <c r="D162" s="341" t="s">
        <v>4977</v>
      </c>
      <c r="E162" s="330" t="s">
        <v>4978</v>
      </c>
      <c r="F162" s="84" t="s">
        <v>20</v>
      </c>
      <c r="G162" s="335" t="s">
        <v>4979</v>
      </c>
      <c r="H162" s="335" t="s">
        <v>4980</v>
      </c>
      <c r="I162" s="85" t="s">
        <v>23</v>
      </c>
      <c r="J162" s="335" t="s">
        <v>4981</v>
      </c>
      <c r="K162" s="335" t="s">
        <v>4982</v>
      </c>
    </row>
    <row r="163" spans="1:11">
      <c r="A163" s="332"/>
      <c r="B163" s="333"/>
      <c r="C163" s="334"/>
      <c r="D163" s="329" t="s">
        <v>4983</v>
      </c>
      <c r="E163" s="336" t="s">
        <v>4984</v>
      </c>
      <c r="F163" s="84" t="s">
        <v>20</v>
      </c>
      <c r="G163" s="335" t="s">
        <v>4985</v>
      </c>
      <c r="H163" s="335" t="s">
        <v>4986</v>
      </c>
      <c r="I163" s="85" t="s">
        <v>23</v>
      </c>
      <c r="J163" s="335" t="s">
        <v>4987</v>
      </c>
      <c r="K163" s="335" t="s">
        <v>4988</v>
      </c>
    </row>
    <row r="164" spans="1:11">
      <c r="A164" s="332"/>
      <c r="B164" s="333"/>
      <c r="C164" s="334"/>
      <c r="D164" s="329" t="s">
        <v>4989</v>
      </c>
      <c r="E164" s="336" t="s">
        <v>4990</v>
      </c>
      <c r="F164" s="84" t="s">
        <v>20</v>
      </c>
      <c r="G164" s="335" t="s">
        <v>4991</v>
      </c>
      <c r="H164" s="335" t="s">
        <v>4992</v>
      </c>
      <c r="I164" s="85" t="s">
        <v>23</v>
      </c>
      <c r="J164" s="335" t="s">
        <v>4993</v>
      </c>
      <c r="K164" s="335" t="s">
        <v>4994</v>
      </c>
    </row>
    <row r="165" spans="1:11">
      <c r="A165" s="332"/>
      <c r="B165" s="333"/>
      <c r="C165" s="334"/>
      <c r="D165" s="329" t="s">
        <v>4995</v>
      </c>
      <c r="E165" s="336" t="s">
        <v>4996</v>
      </c>
      <c r="F165" s="84" t="s">
        <v>20</v>
      </c>
      <c r="G165" s="335" t="s">
        <v>4997</v>
      </c>
      <c r="H165" s="335" t="s">
        <v>4998</v>
      </c>
      <c r="I165" s="85" t="s">
        <v>23</v>
      </c>
      <c r="J165" s="335" t="s">
        <v>4999</v>
      </c>
      <c r="K165" s="335" t="s">
        <v>5000</v>
      </c>
    </row>
    <row r="166" spans="1:11">
      <c r="A166" s="332"/>
      <c r="B166" s="333"/>
      <c r="C166" s="337"/>
      <c r="D166" s="329" t="s">
        <v>5001</v>
      </c>
      <c r="E166" s="336" t="s">
        <v>5002</v>
      </c>
      <c r="F166" s="84" t="s">
        <v>20</v>
      </c>
      <c r="G166" s="335" t="s">
        <v>5003</v>
      </c>
      <c r="H166" s="335" t="s">
        <v>5004</v>
      </c>
      <c r="I166" s="85" t="s">
        <v>23</v>
      </c>
      <c r="J166" s="335" t="s">
        <v>5005</v>
      </c>
      <c r="K166" s="335" t="s">
        <v>5006</v>
      </c>
    </row>
    <row r="167" spans="1:11">
      <c r="A167" s="332"/>
      <c r="B167" s="333"/>
      <c r="C167" s="338" t="s">
        <v>5007</v>
      </c>
      <c r="D167" s="335" t="s">
        <v>5008</v>
      </c>
      <c r="E167" s="339" t="s">
        <v>5009</v>
      </c>
      <c r="F167" s="84" t="s">
        <v>20</v>
      </c>
      <c r="G167" s="335" t="s">
        <v>5010</v>
      </c>
      <c r="H167" s="335" t="s">
        <v>5011</v>
      </c>
      <c r="I167" s="85" t="s">
        <v>23</v>
      </c>
      <c r="J167" s="335" t="s">
        <v>5012</v>
      </c>
      <c r="K167" s="335" t="s">
        <v>5013</v>
      </c>
    </row>
    <row r="168" spans="1:11">
      <c r="A168" s="332"/>
      <c r="B168" s="333"/>
      <c r="C168" s="334"/>
      <c r="D168" s="335" t="s">
        <v>5014</v>
      </c>
      <c r="E168" s="339" t="s">
        <v>5015</v>
      </c>
      <c r="F168" s="84" t="s">
        <v>20</v>
      </c>
      <c r="G168" s="335" t="s">
        <v>5016</v>
      </c>
      <c r="H168" s="335" t="s">
        <v>5017</v>
      </c>
      <c r="I168" s="85" t="s">
        <v>23</v>
      </c>
      <c r="J168" s="335" t="s">
        <v>5018</v>
      </c>
      <c r="K168" s="335" t="s">
        <v>5019</v>
      </c>
    </row>
    <row r="169" spans="1:11">
      <c r="A169" s="332"/>
      <c r="B169" s="333"/>
      <c r="C169" s="334"/>
      <c r="D169" s="335" t="s">
        <v>5020</v>
      </c>
      <c r="E169" s="339" t="s">
        <v>5021</v>
      </c>
      <c r="F169" s="84" t="s">
        <v>229</v>
      </c>
      <c r="G169" s="335" t="s">
        <v>5022</v>
      </c>
      <c r="H169" s="335" t="s">
        <v>5023</v>
      </c>
      <c r="I169" s="85" t="s">
        <v>23</v>
      </c>
      <c r="J169" s="335" t="s">
        <v>5024</v>
      </c>
      <c r="K169" s="335" t="s">
        <v>5025</v>
      </c>
    </row>
    <row r="170" spans="1:11">
      <c r="A170" s="332"/>
      <c r="B170" s="333"/>
      <c r="C170" s="334"/>
      <c r="D170" s="335" t="s">
        <v>5026</v>
      </c>
      <c r="E170" s="339" t="s">
        <v>5027</v>
      </c>
      <c r="F170" s="84" t="s">
        <v>229</v>
      </c>
      <c r="G170" s="335" t="s">
        <v>5028</v>
      </c>
      <c r="H170" s="335" t="s">
        <v>5029</v>
      </c>
      <c r="I170" s="85" t="s">
        <v>23</v>
      </c>
      <c r="J170" s="335" t="s">
        <v>5030</v>
      </c>
      <c r="K170" s="335" t="s">
        <v>5031</v>
      </c>
    </row>
    <row r="171" spans="1:11">
      <c r="A171" s="332"/>
      <c r="B171" s="333"/>
      <c r="C171" s="337"/>
      <c r="D171" s="335" t="s">
        <v>5032</v>
      </c>
      <c r="E171" s="339" t="s">
        <v>5033</v>
      </c>
      <c r="F171" s="84" t="s">
        <v>229</v>
      </c>
      <c r="G171" s="335" t="s">
        <v>5034</v>
      </c>
      <c r="H171" s="335" t="s">
        <v>5035</v>
      </c>
      <c r="I171" s="85" t="s">
        <v>23</v>
      </c>
      <c r="J171" s="335" t="s">
        <v>5036</v>
      </c>
      <c r="K171" s="335" t="s">
        <v>5037</v>
      </c>
    </row>
    <row r="172" spans="1:11">
      <c r="A172" s="332"/>
      <c r="B172" s="333"/>
      <c r="C172" s="338" t="s">
        <v>5038</v>
      </c>
      <c r="D172" s="335" t="s">
        <v>5039</v>
      </c>
      <c r="E172" s="339" t="s">
        <v>5040</v>
      </c>
      <c r="F172" s="84" t="s">
        <v>229</v>
      </c>
      <c r="G172" s="335" t="s">
        <v>5041</v>
      </c>
      <c r="H172" s="335" t="s">
        <v>5042</v>
      </c>
      <c r="I172" s="85" t="s">
        <v>23</v>
      </c>
      <c r="J172" s="335" t="s">
        <v>5043</v>
      </c>
      <c r="K172" s="335" t="s">
        <v>5044</v>
      </c>
    </row>
    <row r="173" spans="1:11">
      <c r="A173" s="332"/>
      <c r="B173" s="333"/>
      <c r="C173" s="334"/>
      <c r="D173" s="335" t="s">
        <v>5045</v>
      </c>
      <c r="E173" s="339" t="s">
        <v>5046</v>
      </c>
      <c r="F173" s="84" t="s">
        <v>229</v>
      </c>
      <c r="G173" s="335" t="s">
        <v>5047</v>
      </c>
      <c r="H173" s="335" t="s">
        <v>5048</v>
      </c>
      <c r="I173" s="85" t="s">
        <v>23</v>
      </c>
      <c r="J173" s="335" t="s">
        <v>5049</v>
      </c>
      <c r="K173" s="335" t="s">
        <v>5050</v>
      </c>
    </row>
    <row r="174" spans="1:11">
      <c r="A174" s="332"/>
      <c r="B174" s="333"/>
      <c r="C174" s="334"/>
      <c r="D174" s="335" t="s">
        <v>5051</v>
      </c>
      <c r="E174" s="339" t="s">
        <v>5052</v>
      </c>
      <c r="F174" s="84" t="s">
        <v>229</v>
      </c>
      <c r="G174" s="335" t="s">
        <v>5053</v>
      </c>
      <c r="H174" s="335" t="s">
        <v>5054</v>
      </c>
      <c r="I174" s="85" t="s">
        <v>23</v>
      </c>
      <c r="J174" s="335" t="s">
        <v>5055</v>
      </c>
      <c r="K174" s="335" t="s">
        <v>5056</v>
      </c>
    </row>
    <row r="175" spans="1:11">
      <c r="A175" s="332"/>
      <c r="B175" s="333"/>
      <c r="C175" s="334"/>
      <c r="D175" s="335" t="s">
        <v>5057</v>
      </c>
      <c r="E175" s="339" t="s">
        <v>5058</v>
      </c>
      <c r="F175" s="84" t="s">
        <v>20</v>
      </c>
      <c r="G175" s="335" t="s">
        <v>5059</v>
      </c>
      <c r="H175" s="335" t="s">
        <v>5060</v>
      </c>
      <c r="I175" s="85" t="s">
        <v>23</v>
      </c>
      <c r="J175" s="335" t="s">
        <v>5061</v>
      </c>
      <c r="K175" s="335" t="s">
        <v>5062</v>
      </c>
    </row>
    <row r="176" spans="1:11">
      <c r="A176" s="332"/>
      <c r="B176" s="333"/>
      <c r="C176" s="337"/>
      <c r="D176" s="335" t="s">
        <v>5063</v>
      </c>
      <c r="E176" s="339" t="s">
        <v>5064</v>
      </c>
      <c r="F176" s="84" t="s">
        <v>20</v>
      </c>
      <c r="G176" s="335" t="s">
        <v>5065</v>
      </c>
      <c r="H176" s="335" t="s">
        <v>5066</v>
      </c>
      <c r="I176" s="85" t="s">
        <v>94</v>
      </c>
      <c r="J176" s="335" t="s">
        <v>5067</v>
      </c>
      <c r="K176" s="335" t="s">
        <v>5068</v>
      </c>
    </row>
    <row r="177" spans="1:11">
      <c r="A177" s="332"/>
      <c r="B177" s="333"/>
      <c r="C177" s="338" t="s">
        <v>5069</v>
      </c>
      <c r="D177" s="335" t="s">
        <v>5070</v>
      </c>
      <c r="E177" s="339" t="s">
        <v>5071</v>
      </c>
      <c r="F177" s="84" t="s">
        <v>20</v>
      </c>
      <c r="G177" s="335" t="s">
        <v>5072</v>
      </c>
      <c r="H177" s="335" t="s">
        <v>5073</v>
      </c>
      <c r="I177" s="85" t="s">
        <v>23</v>
      </c>
      <c r="J177" s="335" t="s">
        <v>5074</v>
      </c>
      <c r="K177" s="335" t="s">
        <v>5075</v>
      </c>
    </row>
    <row r="178" spans="1:11">
      <c r="A178" s="332"/>
      <c r="B178" s="333"/>
      <c r="C178" s="334"/>
      <c r="D178" s="342" t="s">
        <v>5076</v>
      </c>
      <c r="E178" s="343" t="s">
        <v>5077</v>
      </c>
      <c r="F178" s="84" t="s">
        <v>229</v>
      </c>
      <c r="G178" s="335" t="s">
        <v>5078</v>
      </c>
      <c r="H178" s="335" t="s">
        <v>5079</v>
      </c>
      <c r="I178" s="85" t="s">
        <v>23</v>
      </c>
      <c r="J178" s="335" t="s">
        <v>5080</v>
      </c>
      <c r="K178" s="335" t="s">
        <v>5081</v>
      </c>
    </row>
    <row r="179" spans="1:11">
      <c r="A179" s="332"/>
      <c r="B179" s="333"/>
      <c r="C179" s="334"/>
      <c r="D179" s="342" t="s">
        <v>5082</v>
      </c>
      <c r="E179" s="343" t="s">
        <v>5083</v>
      </c>
      <c r="F179" s="84" t="s">
        <v>20</v>
      </c>
      <c r="G179" s="335" t="s">
        <v>5084</v>
      </c>
      <c r="H179" s="335" t="s">
        <v>5085</v>
      </c>
      <c r="I179" s="85" t="s">
        <v>23</v>
      </c>
      <c r="J179" s="335" t="s">
        <v>5086</v>
      </c>
      <c r="K179" s="335" t="s">
        <v>5087</v>
      </c>
    </row>
    <row r="180" spans="1:11">
      <c r="A180" s="332"/>
      <c r="B180" s="333"/>
      <c r="C180" s="334"/>
      <c r="D180" s="342" t="s">
        <v>5088</v>
      </c>
      <c r="E180" s="343" t="s">
        <v>5089</v>
      </c>
      <c r="F180" s="84" t="s">
        <v>229</v>
      </c>
      <c r="G180" s="335" t="s">
        <v>5090</v>
      </c>
      <c r="H180" s="335" t="s">
        <v>5091</v>
      </c>
      <c r="I180" s="85" t="s">
        <v>23</v>
      </c>
      <c r="J180" s="335" t="s">
        <v>5092</v>
      </c>
      <c r="K180" s="335" t="s">
        <v>5093</v>
      </c>
    </row>
    <row r="181" spans="1:11">
      <c r="A181" s="332"/>
      <c r="B181" s="333"/>
      <c r="C181" s="337"/>
      <c r="D181" s="342" t="s">
        <v>5090</v>
      </c>
      <c r="E181" s="343" t="s">
        <v>5094</v>
      </c>
      <c r="F181" s="84" t="s">
        <v>20</v>
      </c>
      <c r="G181" s="335" t="s">
        <v>5095</v>
      </c>
      <c r="H181" s="335" t="s">
        <v>5096</v>
      </c>
      <c r="I181" s="85" t="s">
        <v>23</v>
      </c>
      <c r="J181" s="335" t="s">
        <v>5097</v>
      </c>
      <c r="K181" s="335" t="s">
        <v>5098</v>
      </c>
    </row>
    <row r="182" spans="1:11">
      <c r="A182" s="332"/>
      <c r="B182" s="333"/>
      <c r="C182" s="338" t="s">
        <v>5099</v>
      </c>
      <c r="D182" s="342" t="s">
        <v>5100</v>
      </c>
      <c r="E182" s="343" t="s">
        <v>5101</v>
      </c>
      <c r="F182" s="84" t="s">
        <v>229</v>
      </c>
      <c r="G182" s="335" t="s">
        <v>5102</v>
      </c>
      <c r="H182" s="335" t="s">
        <v>5103</v>
      </c>
      <c r="I182" s="85" t="s">
        <v>23</v>
      </c>
      <c r="J182" s="335" t="s">
        <v>5104</v>
      </c>
      <c r="K182" s="335" t="s">
        <v>5105</v>
      </c>
    </row>
    <row r="183" spans="1:11">
      <c r="A183" s="332"/>
      <c r="B183" s="333"/>
      <c r="C183" s="334"/>
      <c r="D183" s="342" t="s">
        <v>5106</v>
      </c>
      <c r="E183" s="343" t="s">
        <v>5107</v>
      </c>
      <c r="F183" s="84" t="s">
        <v>229</v>
      </c>
      <c r="G183" s="335" t="s">
        <v>5108</v>
      </c>
      <c r="H183" s="335" t="s">
        <v>5109</v>
      </c>
      <c r="I183" s="85" t="s">
        <v>23</v>
      </c>
      <c r="J183" s="335" t="s">
        <v>5110</v>
      </c>
      <c r="K183" s="335" t="s">
        <v>5111</v>
      </c>
    </row>
    <row r="184" spans="1:11">
      <c r="A184" s="332"/>
      <c r="B184" s="333"/>
      <c r="C184" s="334"/>
      <c r="D184" s="342" t="s">
        <v>5112</v>
      </c>
      <c r="E184" s="343" t="s">
        <v>5113</v>
      </c>
      <c r="F184" s="84" t="s">
        <v>425</v>
      </c>
      <c r="G184" s="335" t="s">
        <v>5114</v>
      </c>
      <c r="H184" s="335" t="s">
        <v>5115</v>
      </c>
      <c r="I184" s="85" t="s">
        <v>23</v>
      </c>
      <c r="J184" s="335" t="s">
        <v>5116</v>
      </c>
      <c r="K184" s="335" t="s">
        <v>5117</v>
      </c>
    </row>
    <row r="185" spans="1:11">
      <c r="A185" s="332"/>
      <c r="B185" s="333"/>
      <c r="C185" s="334"/>
      <c r="D185" s="342" t="s">
        <v>5118</v>
      </c>
      <c r="E185" s="343" t="s">
        <v>5119</v>
      </c>
      <c r="F185" s="84" t="s">
        <v>20</v>
      </c>
      <c r="G185" s="335" t="s">
        <v>5120</v>
      </c>
      <c r="H185" s="335" t="s">
        <v>5121</v>
      </c>
      <c r="I185" s="85" t="s">
        <v>23</v>
      </c>
      <c r="J185" s="335" t="s">
        <v>5122</v>
      </c>
      <c r="K185" s="335" t="s">
        <v>5123</v>
      </c>
    </row>
    <row r="186" spans="1:11">
      <c r="A186" s="332"/>
      <c r="B186" s="333"/>
      <c r="C186" s="337"/>
      <c r="D186" s="342" t="s">
        <v>5124</v>
      </c>
      <c r="E186" s="343" t="s">
        <v>5125</v>
      </c>
      <c r="F186" s="84" t="s">
        <v>20</v>
      </c>
      <c r="G186" s="335" t="s">
        <v>5126</v>
      </c>
      <c r="H186" s="335" t="s">
        <v>5127</v>
      </c>
      <c r="I186" s="85" t="s">
        <v>23</v>
      </c>
      <c r="J186" s="335" t="s">
        <v>5128</v>
      </c>
      <c r="K186" s="335" t="s">
        <v>5129</v>
      </c>
    </row>
    <row r="187" spans="1:11">
      <c r="A187" s="332"/>
      <c r="B187" s="333"/>
      <c r="C187" s="347" t="s">
        <v>5130</v>
      </c>
      <c r="D187" s="342" t="s">
        <v>5131</v>
      </c>
      <c r="E187" s="343" t="s">
        <v>5132</v>
      </c>
      <c r="F187" s="84" t="s">
        <v>425</v>
      </c>
      <c r="G187" s="335" t="s">
        <v>5133</v>
      </c>
      <c r="H187" s="335" t="s">
        <v>5134</v>
      </c>
      <c r="I187" s="85" t="s">
        <v>23</v>
      </c>
      <c r="J187" s="335" t="s">
        <v>5135</v>
      </c>
      <c r="K187" s="335" t="s">
        <v>5136</v>
      </c>
    </row>
    <row r="188" spans="1:11">
      <c r="A188" s="332"/>
      <c r="B188" s="333"/>
      <c r="C188" s="348"/>
      <c r="D188" s="342" t="s">
        <v>5137</v>
      </c>
      <c r="E188" s="343" t="s">
        <v>5138</v>
      </c>
      <c r="F188" s="84" t="s">
        <v>425</v>
      </c>
      <c r="G188" s="335" t="s">
        <v>5139</v>
      </c>
      <c r="H188" s="335" t="s">
        <v>5140</v>
      </c>
      <c r="I188" s="85" t="s">
        <v>23</v>
      </c>
      <c r="J188" s="335" t="s">
        <v>5141</v>
      </c>
      <c r="K188" s="335" t="s">
        <v>5142</v>
      </c>
    </row>
    <row r="189" spans="1:11">
      <c r="A189" s="332"/>
      <c r="B189" s="333"/>
      <c r="C189" s="348"/>
      <c r="D189" s="342" t="s">
        <v>5139</v>
      </c>
      <c r="E189" s="343" t="s">
        <v>5143</v>
      </c>
      <c r="F189" s="84" t="s">
        <v>229</v>
      </c>
      <c r="G189" s="335" t="s">
        <v>5144</v>
      </c>
      <c r="H189" s="335" t="s">
        <v>5145</v>
      </c>
      <c r="I189" s="85" t="s">
        <v>23</v>
      </c>
      <c r="J189" s="335" t="s">
        <v>5146</v>
      </c>
      <c r="K189" s="335" t="s">
        <v>5147</v>
      </c>
    </row>
    <row r="190" spans="1:11">
      <c r="A190" s="332"/>
      <c r="B190" s="333"/>
      <c r="C190" s="348"/>
      <c r="D190" s="342" t="s">
        <v>5148</v>
      </c>
      <c r="E190" s="343" t="s">
        <v>5149</v>
      </c>
      <c r="F190" s="84" t="s">
        <v>229</v>
      </c>
      <c r="G190" s="335" t="s">
        <v>5150</v>
      </c>
      <c r="H190" s="335" t="s">
        <v>5151</v>
      </c>
      <c r="I190" s="85" t="s">
        <v>23</v>
      </c>
      <c r="J190" s="335" t="s">
        <v>5152</v>
      </c>
      <c r="K190" s="335" t="s">
        <v>5153</v>
      </c>
    </row>
    <row r="191" spans="1:11">
      <c r="A191" s="332"/>
      <c r="B191" s="333"/>
      <c r="C191" s="349"/>
      <c r="D191" s="342" t="s">
        <v>5154</v>
      </c>
      <c r="E191" s="343" t="s">
        <v>5155</v>
      </c>
      <c r="F191" s="84" t="s">
        <v>425</v>
      </c>
      <c r="G191" s="335" t="s">
        <v>5156</v>
      </c>
      <c r="H191" s="335" t="s">
        <v>5157</v>
      </c>
      <c r="I191" s="85" t="s">
        <v>23</v>
      </c>
      <c r="J191" s="335" t="s">
        <v>5158</v>
      </c>
      <c r="K191" s="335" t="s">
        <v>5159</v>
      </c>
    </row>
    <row r="192" spans="1:11">
      <c r="A192" s="332"/>
      <c r="B192" s="333"/>
      <c r="C192" s="347" t="s">
        <v>5160</v>
      </c>
      <c r="D192" s="342" t="s">
        <v>5161</v>
      </c>
      <c r="E192" s="343" t="s">
        <v>5162</v>
      </c>
      <c r="F192" s="84" t="s">
        <v>20</v>
      </c>
      <c r="G192" s="335" t="s">
        <v>5163</v>
      </c>
      <c r="H192" s="335" t="s">
        <v>5164</v>
      </c>
      <c r="I192" s="85" t="s">
        <v>23</v>
      </c>
      <c r="J192" s="335" t="s">
        <v>5165</v>
      </c>
      <c r="K192" s="335" t="s">
        <v>5166</v>
      </c>
    </row>
    <row r="193" spans="1:11">
      <c r="A193" s="332"/>
      <c r="B193" s="333"/>
      <c r="C193" s="348"/>
      <c r="D193" s="342" t="s">
        <v>5167</v>
      </c>
      <c r="E193" s="343" t="s">
        <v>5168</v>
      </c>
      <c r="F193" s="84" t="s">
        <v>20</v>
      </c>
      <c r="G193" s="335" t="s">
        <v>5169</v>
      </c>
      <c r="H193" s="335" t="s">
        <v>5170</v>
      </c>
      <c r="I193" s="85" t="s">
        <v>23</v>
      </c>
      <c r="J193" s="335" t="s">
        <v>5171</v>
      </c>
      <c r="K193" s="335" t="s">
        <v>5172</v>
      </c>
    </row>
    <row r="194" spans="1:11">
      <c r="A194" s="332"/>
      <c r="B194" s="333"/>
      <c r="C194" s="348"/>
      <c r="D194" s="342" t="s">
        <v>5173</v>
      </c>
      <c r="E194" s="343" t="s">
        <v>5174</v>
      </c>
      <c r="F194" s="84" t="s">
        <v>20</v>
      </c>
      <c r="G194" s="335" t="s">
        <v>5175</v>
      </c>
      <c r="H194" s="335" t="s">
        <v>5176</v>
      </c>
      <c r="I194" s="85" t="s">
        <v>23</v>
      </c>
      <c r="J194" s="335" t="s">
        <v>5177</v>
      </c>
      <c r="K194" s="335" t="s">
        <v>5178</v>
      </c>
    </row>
    <row r="195" spans="1:11">
      <c r="A195" s="332"/>
      <c r="B195" s="333"/>
      <c r="C195" s="348"/>
      <c r="D195" s="342" t="s">
        <v>5179</v>
      </c>
      <c r="E195" s="343" t="s">
        <v>5180</v>
      </c>
      <c r="F195" s="84" t="s">
        <v>20</v>
      </c>
      <c r="G195" s="335" t="s">
        <v>5181</v>
      </c>
      <c r="H195" s="335" t="s">
        <v>5182</v>
      </c>
      <c r="I195" s="85" t="s">
        <v>23</v>
      </c>
      <c r="J195" s="335" t="s">
        <v>5183</v>
      </c>
      <c r="K195" s="335" t="s">
        <v>5184</v>
      </c>
    </row>
    <row r="196" spans="1:11">
      <c r="A196" s="332"/>
      <c r="B196" s="333"/>
      <c r="C196" s="349"/>
      <c r="D196" s="342" t="s">
        <v>5185</v>
      </c>
      <c r="E196" s="343" t="s">
        <v>5186</v>
      </c>
      <c r="F196" s="84" t="s">
        <v>20</v>
      </c>
      <c r="G196" s="335" t="s">
        <v>5187</v>
      </c>
      <c r="H196" s="335" t="s">
        <v>5188</v>
      </c>
      <c r="I196" s="85" t="s">
        <v>23</v>
      </c>
      <c r="J196" s="335" t="s">
        <v>5189</v>
      </c>
      <c r="K196" s="335" t="s">
        <v>5190</v>
      </c>
    </row>
    <row r="197" spans="1:11">
      <c r="A197" s="332"/>
      <c r="B197" s="333"/>
      <c r="C197" s="338" t="s">
        <v>5191</v>
      </c>
      <c r="D197" s="342" t="s">
        <v>5192</v>
      </c>
      <c r="E197" s="343" t="s">
        <v>5193</v>
      </c>
      <c r="F197" s="84" t="s">
        <v>20</v>
      </c>
      <c r="G197" s="335" t="s">
        <v>5194</v>
      </c>
      <c r="H197" s="335" t="s">
        <v>5195</v>
      </c>
      <c r="I197" s="85" t="s">
        <v>23</v>
      </c>
      <c r="J197" s="335" t="s">
        <v>5196</v>
      </c>
      <c r="K197" s="335" t="s">
        <v>5197</v>
      </c>
    </row>
    <row r="198" spans="1:11">
      <c r="A198" s="332"/>
      <c r="B198" s="333"/>
      <c r="C198" s="334"/>
      <c r="D198" s="342" t="s">
        <v>5198</v>
      </c>
      <c r="E198" s="343" t="s">
        <v>5199</v>
      </c>
      <c r="F198" s="84" t="s">
        <v>229</v>
      </c>
      <c r="G198" s="335" t="s">
        <v>5200</v>
      </c>
      <c r="H198" s="335" t="s">
        <v>5201</v>
      </c>
      <c r="I198" s="85" t="s">
        <v>23</v>
      </c>
      <c r="J198" s="335" t="s">
        <v>5202</v>
      </c>
      <c r="K198" s="335" t="s">
        <v>5203</v>
      </c>
    </row>
    <row r="199" spans="1:11">
      <c r="A199" s="332"/>
      <c r="B199" s="333"/>
      <c r="C199" s="334"/>
      <c r="D199" s="342" t="s">
        <v>5204</v>
      </c>
      <c r="E199" s="343" t="s">
        <v>5205</v>
      </c>
      <c r="F199" s="84" t="s">
        <v>229</v>
      </c>
      <c r="G199" s="335" t="s">
        <v>5206</v>
      </c>
      <c r="H199" s="335" t="s">
        <v>5207</v>
      </c>
      <c r="I199" s="85" t="s">
        <v>23</v>
      </c>
      <c r="J199" s="335" t="s">
        <v>5208</v>
      </c>
      <c r="K199" s="335" t="s">
        <v>5209</v>
      </c>
    </row>
    <row r="200" spans="1:11">
      <c r="A200" s="332"/>
      <c r="B200" s="333"/>
      <c r="C200" s="334"/>
      <c r="D200" s="335" t="s">
        <v>5210</v>
      </c>
      <c r="E200" s="343" t="s">
        <v>5211</v>
      </c>
      <c r="F200" s="84" t="s">
        <v>229</v>
      </c>
      <c r="G200" s="335" t="s">
        <v>5212</v>
      </c>
      <c r="H200" s="335" t="s">
        <v>5213</v>
      </c>
      <c r="I200" s="85" t="s">
        <v>23</v>
      </c>
      <c r="J200" s="335" t="s">
        <v>5214</v>
      </c>
      <c r="K200" s="335" t="s">
        <v>5215</v>
      </c>
    </row>
    <row r="201" spans="1:11" ht="15.75" thickBot="1">
      <c r="A201" s="332"/>
      <c r="B201" s="344"/>
      <c r="C201" s="340"/>
      <c r="D201" s="351" t="s">
        <v>5216</v>
      </c>
      <c r="E201" s="346" t="s">
        <v>5217</v>
      </c>
      <c r="F201" s="84" t="s">
        <v>20</v>
      </c>
      <c r="G201" s="335" t="s">
        <v>5218</v>
      </c>
      <c r="H201" s="335" t="s">
        <v>5219</v>
      </c>
      <c r="I201" s="85" t="s">
        <v>23</v>
      </c>
      <c r="J201" s="335" t="s">
        <v>5220</v>
      </c>
      <c r="K201" s="335" t="s">
        <v>5221</v>
      </c>
    </row>
    <row r="202" spans="1:11">
      <c r="A202" s="332"/>
      <c r="B202" s="327" t="s">
        <v>5222</v>
      </c>
      <c r="C202" s="328" t="s">
        <v>5223</v>
      </c>
      <c r="D202" s="329" t="s">
        <v>5212</v>
      </c>
      <c r="E202" s="330" t="s">
        <v>5224</v>
      </c>
      <c r="F202" s="84" t="s">
        <v>20</v>
      </c>
      <c r="G202" s="335" t="s">
        <v>5225</v>
      </c>
      <c r="H202" s="335" t="s">
        <v>5226</v>
      </c>
      <c r="I202" s="85" t="s">
        <v>23</v>
      </c>
      <c r="J202" s="335" t="s">
        <v>5227</v>
      </c>
      <c r="K202" s="335" t="s">
        <v>5228</v>
      </c>
    </row>
    <row r="203" spans="1:11">
      <c r="A203" s="332"/>
      <c r="B203" s="333"/>
      <c r="C203" s="334"/>
      <c r="D203" s="329" t="s">
        <v>5229</v>
      </c>
      <c r="E203" s="336" t="s">
        <v>5230</v>
      </c>
      <c r="F203" s="84" t="s">
        <v>20</v>
      </c>
      <c r="G203" s="335" t="s">
        <v>5231</v>
      </c>
      <c r="H203" s="335" t="s">
        <v>5232</v>
      </c>
      <c r="I203" s="85" t="s">
        <v>23</v>
      </c>
      <c r="J203" s="335" t="s">
        <v>5233</v>
      </c>
      <c r="K203" s="335" t="s">
        <v>5234</v>
      </c>
    </row>
    <row r="204" spans="1:11">
      <c r="A204" s="332"/>
      <c r="B204" s="333"/>
      <c r="C204" s="334"/>
      <c r="D204" s="329" t="s">
        <v>5235</v>
      </c>
      <c r="E204" s="336" t="s">
        <v>5236</v>
      </c>
      <c r="F204" s="84" t="s">
        <v>20</v>
      </c>
      <c r="G204" s="335" t="s">
        <v>5237</v>
      </c>
      <c r="H204" s="335" t="s">
        <v>5238</v>
      </c>
      <c r="I204" s="85" t="s">
        <v>23</v>
      </c>
      <c r="J204" s="335" t="s">
        <v>5239</v>
      </c>
      <c r="K204" s="335" t="s">
        <v>5240</v>
      </c>
    </row>
    <row r="205" spans="1:11">
      <c r="A205" s="332"/>
      <c r="B205" s="333"/>
      <c r="C205" s="334"/>
      <c r="D205" s="329" t="s">
        <v>5241</v>
      </c>
      <c r="E205" s="336" t="s">
        <v>5242</v>
      </c>
      <c r="F205" s="84" t="s">
        <v>20</v>
      </c>
      <c r="G205" s="335" t="s">
        <v>5243</v>
      </c>
      <c r="H205" s="335" t="s">
        <v>5244</v>
      </c>
      <c r="I205" s="85" t="s">
        <v>94</v>
      </c>
      <c r="J205" s="335" t="s">
        <v>5245</v>
      </c>
      <c r="K205" s="335" t="s">
        <v>5246</v>
      </c>
    </row>
    <row r="206" spans="1:11">
      <c r="A206" s="332"/>
      <c r="B206" s="333"/>
      <c r="C206" s="337"/>
      <c r="D206" s="329" t="s">
        <v>5247</v>
      </c>
      <c r="E206" s="336" t="s">
        <v>5248</v>
      </c>
      <c r="F206" s="84" t="s">
        <v>229</v>
      </c>
      <c r="G206" s="335" t="s">
        <v>5249</v>
      </c>
      <c r="H206" s="335" t="s">
        <v>5250</v>
      </c>
      <c r="I206" s="85" t="s">
        <v>23</v>
      </c>
      <c r="J206" s="335" t="s">
        <v>5251</v>
      </c>
      <c r="K206" s="335" t="s">
        <v>5252</v>
      </c>
    </row>
    <row r="207" spans="1:11">
      <c r="A207" s="332"/>
      <c r="B207" s="333"/>
      <c r="C207" s="347" t="s">
        <v>5253</v>
      </c>
      <c r="D207" s="335" t="s">
        <v>5243</v>
      </c>
      <c r="E207" s="339" t="s">
        <v>5254</v>
      </c>
      <c r="F207" s="84" t="s">
        <v>229</v>
      </c>
      <c r="G207" s="335" t="s">
        <v>5255</v>
      </c>
      <c r="H207" s="335" t="s">
        <v>5256</v>
      </c>
      <c r="I207" s="85" t="s">
        <v>23</v>
      </c>
      <c r="J207" s="335" t="s">
        <v>5257</v>
      </c>
      <c r="K207" s="335" t="s">
        <v>5258</v>
      </c>
    </row>
    <row r="208" spans="1:11">
      <c r="A208" s="332"/>
      <c r="B208" s="333"/>
      <c r="C208" s="348"/>
      <c r="D208" s="335" t="s">
        <v>5259</v>
      </c>
      <c r="E208" s="339" t="s">
        <v>5260</v>
      </c>
      <c r="F208" s="84" t="s">
        <v>229</v>
      </c>
      <c r="G208" s="335" t="s">
        <v>5261</v>
      </c>
      <c r="H208" s="335" t="s">
        <v>5262</v>
      </c>
      <c r="I208" s="85" t="s">
        <v>23</v>
      </c>
      <c r="J208" s="335" t="s">
        <v>5263</v>
      </c>
      <c r="K208" s="335" t="s">
        <v>5264</v>
      </c>
    </row>
    <row r="209" spans="1:11">
      <c r="A209" s="332"/>
      <c r="B209" s="333"/>
      <c r="C209" s="348"/>
      <c r="D209" s="335" t="s">
        <v>5265</v>
      </c>
      <c r="E209" s="339" t="s">
        <v>5266</v>
      </c>
      <c r="F209" s="84" t="s">
        <v>229</v>
      </c>
      <c r="G209" s="335" t="s">
        <v>5267</v>
      </c>
      <c r="H209" s="335" t="s">
        <v>5268</v>
      </c>
      <c r="I209" s="85" t="s">
        <v>23</v>
      </c>
      <c r="J209" s="335" t="s">
        <v>5269</v>
      </c>
      <c r="K209" s="335" t="s">
        <v>5270</v>
      </c>
    </row>
    <row r="210" spans="1:11">
      <c r="A210" s="332"/>
      <c r="B210" s="333"/>
      <c r="C210" s="348"/>
      <c r="D210" s="335" t="s">
        <v>5271</v>
      </c>
      <c r="E210" s="339" t="s">
        <v>5272</v>
      </c>
      <c r="F210" s="84" t="s">
        <v>229</v>
      </c>
      <c r="G210" s="335" t="s">
        <v>5273</v>
      </c>
      <c r="H210" s="335" t="s">
        <v>5274</v>
      </c>
      <c r="I210" s="85" t="s">
        <v>23</v>
      </c>
      <c r="J210" s="335" t="s">
        <v>5275</v>
      </c>
      <c r="K210" s="335" t="s">
        <v>5276</v>
      </c>
    </row>
    <row r="211" spans="1:11">
      <c r="A211" s="332"/>
      <c r="B211" s="333"/>
      <c r="C211" s="349"/>
      <c r="D211" s="335" t="s">
        <v>5267</v>
      </c>
      <c r="E211" s="339" t="s">
        <v>5277</v>
      </c>
      <c r="F211" s="84" t="s">
        <v>229</v>
      </c>
      <c r="G211" s="335" t="s">
        <v>5278</v>
      </c>
      <c r="H211" s="335" t="s">
        <v>5279</v>
      </c>
      <c r="I211" s="85" t="s">
        <v>23</v>
      </c>
      <c r="J211" s="335" t="s">
        <v>5280</v>
      </c>
      <c r="K211" s="335" t="s">
        <v>5281</v>
      </c>
    </row>
    <row r="212" spans="1:11">
      <c r="A212" s="332"/>
      <c r="B212" s="333"/>
      <c r="C212" s="347" t="s">
        <v>5282</v>
      </c>
      <c r="D212" s="335" t="s">
        <v>5273</v>
      </c>
      <c r="E212" s="339" t="s">
        <v>5283</v>
      </c>
      <c r="F212" s="84" t="s">
        <v>425</v>
      </c>
      <c r="G212" s="335" t="s">
        <v>5284</v>
      </c>
      <c r="H212" s="335" t="s">
        <v>5285</v>
      </c>
      <c r="I212" s="85" t="s">
        <v>23</v>
      </c>
      <c r="J212" s="335" t="s">
        <v>5286</v>
      </c>
      <c r="K212" s="335" t="s">
        <v>5287</v>
      </c>
    </row>
    <row r="213" spans="1:11">
      <c r="A213" s="332"/>
      <c r="B213" s="333"/>
      <c r="C213" s="348"/>
      <c r="D213" s="335" t="s">
        <v>5288</v>
      </c>
      <c r="E213" s="339" t="s">
        <v>5289</v>
      </c>
      <c r="F213" s="84" t="s">
        <v>425</v>
      </c>
      <c r="G213" s="335" t="s">
        <v>5290</v>
      </c>
      <c r="H213" s="335" t="s">
        <v>5291</v>
      </c>
      <c r="I213" s="85" t="s">
        <v>23</v>
      </c>
      <c r="J213" s="335" t="s">
        <v>5292</v>
      </c>
      <c r="K213" s="335" t="s">
        <v>5293</v>
      </c>
    </row>
    <row r="214" spans="1:11">
      <c r="A214" s="332"/>
      <c r="B214" s="333"/>
      <c r="C214" s="348"/>
      <c r="D214" s="335" t="s">
        <v>5294</v>
      </c>
      <c r="E214" s="339" t="s">
        <v>5295</v>
      </c>
      <c r="F214" s="84" t="s">
        <v>425</v>
      </c>
      <c r="G214" s="335" t="s">
        <v>5296</v>
      </c>
      <c r="H214" s="335" t="s">
        <v>5297</v>
      </c>
      <c r="I214" s="85" t="s">
        <v>23</v>
      </c>
      <c r="J214" s="335" t="s">
        <v>5298</v>
      </c>
      <c r="K214" s="335" t="s">
        <v>5299</v>
      </c>
    </row>
    <row r="215" spans="1:11">
      <c r="A215" s="332"/>
      <c r="B215" s="333"/>
      <c r="C215" s="348"/>
      <c r="D215" s="335" t="s">
        <v>5300</v>
      </c>
      <c r="E215" s="339" t="s">
        <v>5301</v>
      </c>
      <c r="F215" s="84" t="s">
        <v>20</v>
      </c>
      <c r="G215" s="335" t="s">
        <v>5302</v>
      </c>
      <c r="H215" s="335" t="s">
        <v>5303</v>
      </c>
      <c r="I215" s="85" t="s">
        <v>23</v>
      </c>
      <c r="J215" s="335" t="s">
        <v>5304</v>
      </c>
      <c r="K215" s="335" t="s">
        <v>5305</v>
      </c>
    </row>
    <row r="216" spans="1:11">
      <c r="A216" s="332"/>
      <c r="B216" s="333"/>
      <c r="C216" s="349"/>
      <c r="D216" s="335" t="s">
        <v>5306</v>
      </c>
      <c r="E216" s="339" t="s">
        <v>5307</v>
      </c>
      <c r="F216" s="84" t="s">
        <v>20</v>
      </c>
      <c r="G216" s="335" t="s">
        <v>5308</v>
      </c>
      <c r="H216" s="335" t="s">
        <v>5309</v>
      </c>
      <c r="I216" s="85" t="s">
        <v>23</v>
      </c>
      <c r="J216" s="335" t="s">
        <v>5310</v>
      </c>
      <c r="K216" s="335" t="s">
        <v>5311</v>
      </c>
    </row>
    <row r="217" spans="1:11">
      <c r="A217" s="332"/>
      <c r="B217" s="333"/>
      <c r="C217" s="338" t="s">
        <v>5312</v>
      </c>
      <c r="D217" s="335" t="s">
        <v>5313</v>
      </c>
      <c r="E217" s="339" t="s">
        <v>5314</v>
      </c>
      <c r="F217" s="84" t="s">
        <v>425</v>
      </c>
      <c r="G217" s="335" t="s">
        <v>5315</v>
      </c>
      <c r="H217" s="335" t="s">
        <v>5316</v>
      </c>
      <c r="I217" s="85" t="s">
        <v>23</v>
      </c>
      <c r="J217" s="335" t="s">
        <v>5317</v>
      </c>
      <c r="K217" s="335" t="s">
        <v>5318</v>
      </c>
    </row>
    <row r="218" spans="1:11">
      <c r="A218" s="332"/>
      <c r="B218" s="333"/>
      <c r="C218" s="334"/>
      <c r="D218" s="335" t="s">
        <v>5319</v>
      </c>
      <c r="E218" s="339" t="s">
        <v>5320</v>
      </c>
      <c r="F218" s="84" t="s">
        <v>20</v>
      </c>
      <c r="G218" s="335" t="s">
        <v>5321</v>
      </c>
      <c r="H218" s="335" t="s">
        <v>5322</v>
      </c>
      <c r="I218" s="85" t="s">
        <v>23</v>
      </c>
      <c r="J218" s="335" t="s">
        <v>5323</v>
      </c>
      <c r="K218" s="335" t="s">
        <v>5324</v>
      </c>
    </row>
    <row r="219" spans="1:11">
      <c r="A219" s="332"/>
      <c r="B219" s="333"/>
      <c r="C219" s="334"/>
      <c r="D219" s="335" t="s">
        <v>5325</v>
      </c>
      <c r="E219" s="339" t="s">
        <v>5326</v>
      </c>
      <c r="F219" s="84" t="s">
        <v>425</v>
      </c>
      <c r="G219" s="335" t="s">
        <v>5327</v>
      </c>
      <c r="H219" s="335" t="s">
        <v>5328</v>
      </c>
      <c r="I219" s="85" t="s">
        <v>23</v>
      </c>
      <c r="J219" s="335" t="s">
        <v>5329</v>
      </c>
      <c r="K219" s="335" t="s">
        <v>5330</v>
      </c>
    </row>
    <row r="220" spans="1:11">
      <c r="A220" s="332"/>
      <c r="B220" s="333"/>
      <c r="C220" s="334"/>
      <c r="D220" s="335" t="s">
        <v>5331</v>
      </c>
      <c r="E220" s="339" t="s">
        <v>5332</v>
      </c>
      <c r="F220" s="84" t="s">
        <v>20</v>
      </c>
      <c r="G220" s="335" t="s">
        <v>5333</v>
      </c>
      <c r="H220" s="335" t="s">
        <v>5334</v>
      </c>
      <c r="I220" s="85" t="s">
        <v>23</v>
      </c>
      <c r="J220" s="335" t="s">
        <v>5335</v>
      </c>
      <c r="K220" s="335" t="s">
        <v>5336</v>
      </c>
    </row>
    <row r="221" spans="1:11">
      <c r="A221" s="332"/>
      <c r="B221" s="333"/>
      <c r="C221" s="337"/>
      <c r="D221" s="335" t="s">
        <v>5337</v>
      </c>
      <c r="E221" s="339" t="s">
        <v>5338</v>
      </c>
      <c r="F221" s="84" t="s">
        <v>229</v>
      </c>
      <c r="G221" s="335" t="s">
        <v>5339</v>
      </c>
      <c r="H221" s="335" t="s">
        <v>5340</v>
      </c>
      <c r="I221" s="85" t="s">
        <v>23</v>
      </c>
      <c r="J221" s="335" t="s">
        <v>5341</v>
      </c>
      <c r="K221" s="335" t="s">
        <v>5342</v>
      </c>
    </row>
    <row r="222" spans="1:11">
      <c r="A222" s="332"/>
      <c r="B222" s="333"/>
      <c r="C222" s="338" t="s">
        <v>5343</v>
      </c>
      <c r="D222" s="335" t="s">
        <v>5344</v>
      </c>
      <c r="E222" s="339" t="s">
        <v>5345</v>
      </c>
      <c r="F222" s="84" t="s">
        <v>229</v>
      </c>
      <c r="G222" s="335" t="s">
        <v>5346</v>
      </c>
      <c r="H222" s="335" t="s">
        <v>5347</v>
      </c>
      <c r="I222" s="85" t="s">
        <v>23</v>
      </c>
      <c r="J222" s="335" t="s">
        <v>5348</v>
      </c>
      <c r="K222" s="335" t="s">
        <v>5349</v>
      </c>
    </row>
    <row r="223" spans="1:11">
      <c r="A223" s="332"/>
      <c r="B223" s="333"/>
      <c r="C223" s="334"/>
      <c r="D223" s="335" t="s">
        <v>5350</v>
      </c>
      <c r="E223" s="339" t="s">
        <v>5351</v>
      </c>
      <c r="F223" s="84" t="s">
        <v>20</v>
      </c>
      <c r="G223" s="335" t="s">
        <v>5352</v>
      </c>
      <c r="H223" s="335" t="s">
        <v>5353</v>
      </c>
      <c r="I223" s="85" t="s">
        <v>23</v>
      </c>
      <c r="J223" s="335" t="s">
        <v>5354</v>
      </c>
      <c r="K223" s="335" t="s">
        <v>5355</v>
      </c>
    </row>
    <row r="224" spans="1:11">
      <c r="A224" s="332"/>
      <c r="B224" s="333"/>
      <c r="C224" s="334"/>
      <c r="D224" s="335" t="s">
        <v>5333</v>
      </c>
      <c r="E224" s="339" t="s">
        <v>5356</v>
      </c>
      <c r="F224" s="84" t="s">
        <v>20</v>
      </c>
      <c r="G224" s="335" t="s">
        <v>5357</v>
      </c>
      <c r="H224" s="335" t="s">
        <v>5358</v>
      </c>
      <c r="I224" s="85" t="s">
        <v>23</v>
      </c>
      <c r="J224" s="335" t="s">
        <v>5359</v>
      </c>
      <c r="K224" s="335" t="s">
        <v>5360</v>
      </c>
    </row>
    <row r="225" spans="1:11">
      <c r="A225" s="332"/>
      <c r="B225" s="333"/>
      <c r="C225" s="334"/>
      <c r="D225" s="335" t="s">
        <v>5361</v>
      </c>
      <c r="E225" s="339" t="s">
        <v>5362</v>
      </c>
      <c r="F225" s="84" t="s">
        <v>229</v>
      </c>
      <c r="G225" s="335" t="s">
        <v>5363</v>
      </c>
      <c r="H225" s="335" t="s">
        <v>5364</v>
      </c>
      <c r="I225" s="85" t="s">
        <v>23</v>
      </c>
      <c r="J225" s="335" t="s">
        <v>5365</v>
      </c>
      <c r="K225" s="335" t="s">
        <v>5366</v>
      </c>
    </row>
    <row r="226" spans="1:11">
      <c r="A226" s="332"/>
      <c r="B226" s="333"/>
      <c r="C226" s="337"/>
      <c r="D226" s="335" t="s">
        <v>5367</v>
      </c>
      <c r="E226" s="339" t="s">
        <v>5368</v>
      </c>
      <c r="F226" s="84" t="s">
        <v>425</v>
      </c>
      <c r="G226" s="335" t="s">
        <v>5369</v>
      </c>
      <c r="H226" s="335" t="s">
        <v>5370</v>
      </c>
      <c r="I226" s="85" t="s">
        <v>23</v>
      </c>
      <c r="J226" s="335" t="s">
        <v>5371</v>
      </c>
      <c r="K226" s="335" t="s">
        <v>5372</v>
      </c>
    </row>
    <row r="227" spans="1:11">
      <c r="A227" s="332"/>
      <c r="B227" s="333"/>
      <c r="C227" s="338" t="s">
        <v>5373</v>
      </c>
      <c r="D227" s="335" t="s">
        <v>5374</v>
      </c>
      <c r="E227" s="339" t="s">
        <v>5375</v>
      </c>
      <c r="F227" s="84" t="s">
        <v>20</v>
      </c>
      <c r="G227" s="335" t="s">
        <v>5376</v>
      </c>
      <c r="H227" s="335" t="s">
        <v>5377</v>
      </c>
      <c r="I227" s="85" t="s">
        <v>23</v>
      </c>
      <c r="J227" s="335" t="s">
        <v>5378</v>
      </c>
      <c r="K227" s="335" t="s">
        <v>5379</v>
      </c>
    </row>
    <row r="228" spans="1:11">
      <c r="A228" s="332"/>
      <c r="B228" s="333"/>
      <c r="C228" s="334"/>
      <c r="D228" s="342" t="s">
        <v>5380</v>
      </c>
      <c r="E228" s="339" t="s">
        <v>5381</v>
      </c>
      <c r="F228" s="84" t="s">
        <v>229</v>
      </c>
      <c r="G228" s="335" t="s">
        <v>5382</v>
      </c>
      <c r="H228" s="335" t="s">
        <v>5383</v>
      </c>
      <c r="I228" s="85" t="s">
        <v>23</v>
      </c>
      <c r="J228" s="335" t="s">
        <v>5384</v>
      </c>
      <c r="K228" s="335" t="s">
        <v>5385</v>
      </c>
    </row>
    <row r="229" spans="1:11">
      <c r="A229" s="332"/>
      <c r="B229" s="333"/>
      <c r="C229" s="334"/>
      <c r="D229" s="342" t="s">
        <v>5386</v>
      </c>
      <c r="E229" s="339" t="s">
        <v>5387</v>
      </c>
      <c r="F229" s="84" t="s">
        <v>20</v>
      </c>
      <c r="G229" s="335" t="s">
        <v>5388</v>
      </c>
      <c r="H229" s="335" t="s">
        <v>5389</v>
      </c>
      <c r="I229" s="85" t="s">
        <v>23</v>
      </c>
      <c r="J229" s="335" t="s">
        <v>5390</v>
      </c>
      <c r="K229" s="335" t="s">
        <v>5391</v>
      </c>
    </row>
    <row r="230" spans="1:11">
      <c r="A230" s="332"/>
      <c r="B230" s="333"/>
      <c r="C230" s="334"/>
      <c r="D230" s="342" t="s">
        <v>5392</v>
      </c>
      <c r="E230" s="339" t="s">
        <v>5393</v>
      </c>
      <c r="F230" s="84" t="s">
        <v>20</v>
      </c>
      <c r="G230" s="335" t="s">
        <v>5394</v>
      </c>
      <c r="H230" s="335" t="s">
        <v>5395</v>
      </c>
      <c r="I230" s="85" t="s">
        <v>23</v>
      </c>
      <c r="J230" s="335" t="s">
        <v>5396</v>
      </c>
      <c r="K230" s="335" t="s">
        <v>5397</v>
      </c>
    </row>
    <row r="231" spans="1:11">
      <c r="A231" s="332"/>
      <c r="B231" s="333"/>
      <c r="C231" s="337"/>
      <c r="D231" s="342" t="s">
        <v>5398</v>
      </c>
      <c r="E231" s="339" t="s">
        <v>5399</v>
      </c>
      <c r="F231" s="84" t="s">
        <v>425</v>
      </c>
      <c r="G231" s="335" t="s">
        <v>5400</v>
      </c>
      <c r="H231" s="335" t="s">
        <v>5401</v>
      </c>
      <c r="I231" s="85" t="s">
        <v>23</v>
      </c>
      <c r="J231" s="335" t="s">
        <v>5402</v>
      </c>
      <c r="K231" s="335" t="s">
        <v>5403</v>
      </c>
    </row>
    <row r="232" spans="1:11">
      <c r="A232" s="332"/>
      <c r="B232" s="333"/>
      <c r="C232" s="338" t="s">
        <v>5404</v>
      </c>
      <c r="D232" s="335" t="s">
        <v>5405</v>
      </c>
      <c r="E232" s="339" t="s">
        <v>5406</v>
      </c>
      <c r="F232" s="84" t="s">
        <v>229</v>
      </c>
      <c r="G232" s="335" t="s">
        <v>5407</v>
      </c>
      <c r="H232" s="335" t="s">
        <v>5408</v>
      </c>
      <c r="I232" s="85" t="s">
        <v>23</v>
      </c>
      <c r="J232" s="335" t="s">
        <v>5409</v>
      </c>
      <c r="K232" s="335" t="s">
        <v>5410</v>
      </c>
    </row>
    <row r="233" spans="1:11">
      <c r="A233" s="332"/>
      <c r="B233" s="333"/>
      <c r="C233" s="334"/>
      <c r="D233" s="335" t="s">
        <v>5411</v>
      </c>
      <c r="E233" s="343" t="s">
        <v>5412</v>
      </c>
      <c r="F233" s="84" t="s">
        <v>229</v>
      </c>
      <c r="G233" s="335" t="s">
        <v>5413</v>
      </c>
      <c r="H233" s="335" t="s">
        <v>5414</v>
      </c>
      <c r="I233" s="85" t="s">
        <v>23</v>
      </c>
      <c r="J233" s="335" t="s">
        <v>5415</v>
      </c>
      <c r="K233" s="335" t="s">
        <v>5416</v>
      </c>
    </row>
    <row r="234" spans="1:11">
      <c r="A234" s="332"/>
      <c r="B234" s="333"/>
      <c r="C234" s="334"/>
      <c r="D234" s="335" t="s">
        <v>5417</v>
      </c>
      <c r="E234" s="343" t="s">
        <v>5418</v>
      </c>
      <c r="F234" s="84" t="s">
        <v>20</v>
      </c>
      <c r="G234" s="335" t="s">
        <v>5419</v>
      </c>
      <c r="H234" s="335" t="s">
        <v>5420</v>
      </c>
      <c r="I234" s="85" t="s">
        <v>23</v>
      </c>
      <c r="J234" s="335" t="s">
        <v>5421</v>
      </c>
      <c r="K234" s="335" t="s">
        <v>5422</v>
      </c>
    </row>
    <row r="235" spans="1:11">
      <c r="A235" s="332"/>
      <c r="B235" s="333"/>
      <c r="C235" s="334"/>
      <c r="D235" s="335" t="s">
        <v>5423</v>
      </c>
      <c r="E235" s="343" t="s">
        <v>5424</v>
      </c>
      <c r="F235" s="84" t="s">
        <v>20</v>
      </c>
      <c r="G235" s="335" t="s">
        <v>5425</v>
      </c>
      <c r="H235" s="335" t="s">
        <v>5426</v>
      </c>
      <c r="I235" s="85" t="s">
        <v>23</v>
      </c>
      <c r="J235" s="335" t="s">
        <v>5427</v>
      </c>
      <c r="K235" s="335" t="s">
        <v>5428</v>
      </c>
    </row>
    <row r="236" spans="1:11">
      <c r="A236" s="332"/>
      <c r="B236" s="333"/>
      <c r="C236" s="337"/>
      <c r="D236" s="335" t="s">
        <v>5429</v>
      </c>
      <c r="E236" s="343" t="s">
        <v>5430</v>
      </c>
      <c r="F236" s="84" t="s">
        <v>425</v>
      </c>
      <c r="G236" s="335" t="s">
        <v>5431</v>
      </c>
      <c r="H236" s="335" t="s">
        <v>5432</v>
      </c>
      <c r="I236" s="85" t="s">
        <v>23</v>
      </c>
      <c r="J236" s="335" t="s">
        <v>5433</v>
      </c>
      <c r="K236" s="335" t="s">
        <v>5434</v>
      </c>
    </row>
    <row r="237" spans="1:11">
      <c r="A237" s="332"/>
      <c r="B237" s="333"/>
      <c r="C237" s="338" t="s">
        <v>5435</v>
      </c>
      <c r="D237" s="342" t="s">
        <v>5436</v>
      </c>
      <c r="E237" s="343" t="s">
        <v>5437</v>
      </c>
      <c r="F237" s="84" t="s">
        <v>425</v>
      </c>
      <c r="G237" s="335" t="s">
        <v>5438</v>
      </c>
      <c r="H237" s="335" t="s">
        <v>5439</v>
      </c>
      <c r="I237" s="85" t="s">
        <v>23</v>
      </c>
      <c r="J237" s="335" t="s">
        <v>5440</v>
      </c>
      <c r="K237" s="306" t="s">
        <v>5441</v>
      </c>
    </row>
    <row r="238" spans="1:11">
      <c r="A238" s="332"/>
      <c r="B238" s="333"/>
      <c r="C238" s="334"/>
      <c r="D238" s="342" t="s">
        <v>5413</v>
      </c>
      <c r="E238" s="343" t="s">
        <v>5442</v>
      </c>
      <c r="F238" s="84" t="s">
        <v>229</v>
      </c>
      <c r="G238" s="335" t="s">
        <v>5443</v>
      </c>
      <c r="H238" s="335" t="s">
        <v>5444</v>
      </c>
      <c r="I238" s="85" t="s">
        <v>23</v>
      </c>
      <c r="J238" s="335" t="s">
        <v>5445</v>
      </c>
      <c r="K238" s="335" t="s">
        <v>5446</v>
      </c>
    </row>
    <row r="239" spans="1:11">
      <c r="A239" s="332"/>
      <c r="B239" s="333"/>
      <c r="C239" s="334"/>
      <c r="D239" s="342" t="s">
        <v>5419</v>
      </c>
      <c r="E239" s="343" t="s">
        <v>5447</v>
      </c>
      <c r="F239" s="84" t="s">
        <v>229</v>
      </c>
      <c r="G239" s="335" t="s">
        <v>5448</v>
      </c>
      <c r="H239" s="335" t="s">
        <v>5449</v>
      </c>
      <c r="I239" s="85" t="s">
        <v>94</v>
      </c>
      <c r="J239" s="335" t="s">
        <v>5450</v>
      </c>
      <c r="K239" s="335" t="s">
        <v>5451</v>
      </c>
    </row>
    <row r="240" spans="1:11">
      <c r="A240" s="332"/>
      <c r="B240" s="333"/>
      <c r="C240" s="334"/>
      <c r="D240" s="342" t="s">
        <v>5425</v>
      </c>
      <c r="E240" s="343" t="s">
        <v>5452</v>
      </c>
      <c r="F240" s="84" t="s">
        <v>229</v>
      </c>
      <c r="G240" s="335" t="s">
        <v>5453</v>
      </c>
      <c r="H240" s="335" t="s">
        <v>5454</v>
      </c>
      <c r="I240" s="85" t="s">
        <v>23</v>
      </c>
      <c r="J240" s="335" t="s">
        <v>5455</v>
      </c>
      <c r="K240" s="335" t="s">
        <v>5456</v>
      </c>
    </row>
    <row r="241" spans="1:11" ht="15.75" thickBot="1">
      <c r="A241" s="332"/>
      <c r="B241" s="344"/>
      <c r="C241" s="340"/>
      <c r="D241" s="345" t="s">
        <v>5457</v>
      </c>
      <c r="E241" s="346" t="s">
        <v>5458</v>
      </c>
      <c r="F241" s="84" t="s">
        <v>229</v>
      </c>
      <c r="G241" s="335" t="s">
        <v>5459</v>
      </c>
      <c r="H241" s="335" t="s">
        <v>5460</v>
      </c>
      <c r="I241" s="85" t="s">
        <v>23</v>
      </c>
      <c r="J241" s="335" t="s">
        <v>5461</v>
      </c>
      <c r="K241" s="335" t="s">
        <v>5462</v>
      </c>
    </row>
    <row r="242" spans="1:11">
      <c r="A242" s="332"/>
      <c r="B242" s="327" t="s">
        <v>5463</v>
      </c>
      <c r="C242" s="328" t="s">
        <v>5464</v>
      </c>
      <c r="D242" s="329" t="s">
        <v>5465</v>
      </c>
      <c r="E242" s="352" t="s">
        <v>5466</v>
      </c>
      <c r="F242" s="84" t="s">
        <v>20</v>
      </c>
      <c r="G242" s="335" t="s">
        <v>5467</v>
      </c>
      <c r="H242" s="335" t="s">
        <v>5468</v>
      </c>
      <c r="I242" s="85" t="s">
        <v>23</v>
      </c>
      <c r="J242" s="335" t="s">
        <v>5469</v>
      </c>
      <c r="K242" s="335" t="s">
        <v>5470</v>
      </c>
    </row>
    <row r="243" spans="1:11">
      <c r="A243" s="332"/>
      <c r="B243" s="333"/>
      <c r="C243" s="334"/>
      <c r="D243" s="329" t="s">
        <v>5471</v>
      </c>
      <c r="E243" s="339" t="s">
        <v>5472</v>
      </c>
      <c r="F243" s="84" t="s">
        <v>20</v>
      </c>
      <c r="G243" s="335" t="s">
        <v>5473</v>
      </c>
      <c r="H243" s="335" t="s">
        <v>5474</v>
      </c>
      <c r="I243" s="85" t="s">
        <v>23</v>
      </c>
      <c r="J243" s="335" t="s">
        <v>5475</v>
      </c>
      <c r="K243" s="335" t="s">
        <v>5476</v>
      </c>
    </row>
    <row r="244" spans="1:11">
      <c r="A244" s="332"/>
      <c r="B244" s="333"/>
      <c r="C244" s="334"/>
      <c r="D244" s="329" t="s">
        <v>5477</v>
      </c>
      <c r="E244" s="339" t="s">
        <v>5478</v>
      </c>
      <c r="F244" s="84" t="s">
        <v>425</v>
      </c>
      <c r="G244" s="335" t="s">
        <v>5479</v>
      </c>
      <c r="H244" s="335" t="s">
        <v>5480</v>
      </c>
      <c r="I244" s="85" t="s">
        <v>23</v>
      </c>
      <c r="J244" s="335" t="s">
        <v>5481</v>
      </c>
      <c r="K244" s="335" t="s">
        <v>5482</v>
      </c>
    </row>
    <row r="245" spans="1:11">
      <c r="A245" s="332"/>
      <c r="B245" s="333"/>
      <c r="C245" s="334"/>
      <c r="D245" s="329" t="s">
        <v>5483</v>
      </c>
      <c r="E245" s="339" t="s">
        <v>5484</v>
      </c>
      <c r="F245" s="84" t="s">
        <v>425</v>
      </c>
      <c r="G245" s="335" t="s">
        <v>5485</v>
      </c>
      <c r="H245" s="335" t="s">
        <v>5486</v>
      </c>
      <c r="I245" s="85" t="s">
        <v>23</v>
      </c>
      <c r="J245" s="335" t="s">
        <v>5487</v>
      </c>
      <c r="K245" s="335" t="s">
        <v>5488</v>
      </c>
    </row>
    <row r="246" spans="1:11">
      <c r="A246" s="332"/>
      <c r="B246" s="333"/>
      <c r="C246" s="337"/>
      <c r="D246" s="329" t="s">
        <v>5489</v>
      </c>
      <c r="E246" s="339" t="s">
        <v>5490</v>
      </c>
      <c r="F246" s="84" t="s">
        <v>229</v>
      </c>
      <c r="G246" s="335" t="s">
        <v>5491</v>
      </c>
      <c r="H246" s="335" t="s">
        <v>5492</v>
      </c>
      <c r="I246" s="85" t="s">
        <v>94</v>
      </c>
      <c r="J246" s="335" t="s">
        <v>5493</v>
      </c>
      <c r="K246" s="335" t="s">
        <v>5494</v>
      </c>
    </row>
    <row r="247" spans="1:11">
      <c r="A247" s="332"/>
      <c r="B247" s="333"/>
      <c r="C247" s="338" t="s">
        <v>5495</v>
      </c>
      <c r="D247" s="335" t="s">
        <v>5496</v>
      </c>
      <c r="E247" s="339" t="s">
        <v>5497</v>
      </c>
      <c r="F247" s="84" t="s">
        <v>229</v>
      </c>
      <c r="G247" s="335" t="s">
        <v>5498</v>
      </c>
      <c r="H247" s="335" t="s">
        <v>5499</v>
      </c>
      <c r="I247" s="85" t="s">
        <v>23</v>
      </c>
      <c r="J247" s="335" t="s">
        <v>5500</v>
      </c>
      <c r="K247" s="335" t="s">
        <v>5501</v>
      </c>
    </row>
    <row r="248" spans="1:11">
      <c r="A248" s="332"/>
      <c r="B248" s="333"/>
      <c r="C248" s="334"/>
      <c r="D248" s="335" t="s">
        <v>5502</v>
      </c>
      <c r="E248" s="339" t="s">
        <v>5503</v>
      </c>
      <c r="F248" s="84" t="s">
        <v>229</v>
      </c>
      <c r="G248" s="335" t="s">
        <v>5504</v>
      </c>
      <c r="H248" s="335" t="s">
        <v>5505</v>
      </c>
      <c r="I248" s="85" t="s">
        <v>23</v>
      </c>
      <c r="J248" s="335" t="s">
        <v>5506</v>
      </c>
      <c r="K248" s="335" t="s">
        <v>5507</v>
      </c>
    </row>
    <row r="249" spans="1:11">
      <c r="A249" s="332"/>
      <c r="B249" s="333"/>
      <c r="C249" s="334"/>
      <c r="D249" s="335" t="s">
        <v>5479</v>
      </c>
      <c r="E249" s="339" t="s">
        <v>5508</v>
      </c>
      <c r="F249" s="84" t="s">
        <v>20</v>
      </c>
      <c r="G249" s="335" t="s">
        <v>5509</v>
      </c>
      <c r="H249" s="335" t="s">
        <v>5510</v>
      </c>
      <c r="I249" s="85" t="s">
        <v>23</v>
      </c>
      <c r="J249" s="335" t="s">
        <v>5511</v>
      </c>
      <c r="K249" s="335" t="s">
        <v>5512</v>
      </c>
    </row>
    <row r="250" spans="1:11">
      <c r="A250" s="332"/>
      <c r="B250" s="333"/>
      <c r="C250" s="334"/>
      <c r="D250" s="335" t="s">
        <v>5485</v>
      </c>
      <c r="E250" s="339" t="s">
        <v>5513</v>
      </c>
      <c r="F250" s="84" t="s">
        <v>20</v>
      </c>
      <c r="G250" s="335" t="s">
        <v>5514</v>
      </c>
      <c r="H250" s="335" t="s">
        <v>5515</v>
      </c>
      <c r="I250" s="85" t="s">
        <v>23</v>
      </c>
      <c r="J250" s="335" t="s">
        <v>5516</v>
      </c>
      <c r="K250" s="335" t="s">
        <v>5517</v>
      </c>
    </row>
    <row r="251" spans="1:11">
      <c r="A251" s="332"/>
      <c r="B251" s="333"/>
      <c r="C251" s="337"/>
      <c r="D251" s="335" t="s">
        <v>5518</v>
      </c>
      <c r="E251" s="339" t="s">
        <v>5519</v>
      </c>
      <c r="F251" s="84" t="s">
        <v>20</v>
      </c>
      <c r="G251" s="335" t="s">
        <v>5520</v>
      </c>
      <c r="H251" s="335" t="s">
        <v>5521</v>
      </c>
      <c r="I251" s="85" t="s">
        <v>23</v>
      </c>
      <c r="J251" s="335" t="s">
        <v>5522</v>
      </c>
      <c r="K251" s="335" t="s">
        <v>5523</v>
      </c>
    </row>
    <row r="252" spans="1:11">
      <c r="A252" s="332"/>
      <c r="B252" s="333"/>
      <c r="C252" s="338" t="s">
        <v>5524</v>
      </c>
      <c r="D252" s="335" t="s">
        <v>5525</v>
      </c>
      <c r="E252" s="339" t="s">
        <v>5526</v>
      </c>
      <c r="F252" s="84" t="s">
        <v>425</v>
      </c>
      <c r="G252" s="335" t="s">
        <v>5527</v>
      </c>
      <c r="H252" s="335" t="s">
        <v>5528</v>
      </c>
      <c r="I252" s="85" t="s">
        <v>23</v>
      </c>
      <c r="J252" s="335" t="s">
        <v>5529</v>
      </c>
      <c r="K252" s="335" t="s">
        <v>5530</v>
      </c>
    </row>
    <row r="253" spans="1:11">
      <c r="A253" s="332"/>
      <c r="B253" s="333"/>
      <c r="C253" s="334"/>
      <c r="D253" s="335" t="s">
        <v>5531</v>
      </c>
      <c r="E253" s="339" t="s">
        <v>5532</v>
      </c>
      <c r="F253" s="84" t="s">
        <v>425</v>
      </c>
      <c r="G253" s="335" t="s">
        <v>5533</v>
      </c>
      <c r="H253" s="335" t="s">
        <v>5534</v>
      </c>
      <c r="I253" s="85" t="s">
        <v>23</v>
      </c>
      <c r="J253" s="335" t="s">
        <v>5535</v>
      </c>
      <c r="K253" s="335" t="s">
        <v>5536</v>
      </c>
    </row>
    <row r="254" spans="1:11">
      <c r="A254" s="332"/>
      <c r="B254" s="333"/>
      <c r="C254" s="334"/>
      <c r="D254" s="335" t="s">
        <v>5537</v>
      </c>
      <c r="E254" s="339" t="s">
        <v>5538</v>
      </c>
      <c r="F254" s="84" t="s">
        <v>20</v>
      </c>
      <c r="G254" s="335" t="s">
        <v>5539</v>
      </c>
      <c r="H254" s="335" t="s">
        <v>5540</v>
      </c>
      <c r="I254" s="85" t="s">
        <v>23</v>
      </c>
      <c r="J254" s="335" t="s">
        <v>5541</v>
      </c>
      <c r="K254" s="335" t="s">
        <v>5542</v>
      </c>
    </row>
    <row r="255" spans="1:11">
      <c r="A255" s="332"/>
      <c r="B255" s="333"/>
      <c r="C255" s="334"/>
      <c r="D255" s="335" t="s">
        <v>5543</v>
      </c>
      <c r="E255" s="339" t="s">
        <v>5544</v>
      </c>
      <c r="F255" s="84" t="s">
        <v>20</v>
      </c>
      <c r="G255" s="335" t="s">
        <v>5545</v>
      </c>
      <c r="H255" s="335" t="s">
        <v>5546</v>
      </c>
      <c r="I255" s="85" t="s">
        <v>23</v>
      </c>
      <c r="J255" s="335" t="s">
        <v>5547</v>
      </c>
      <c r="K255" s="335" t="s">
        <v>5548</v>
      </c>
    </row>
    <row r="256" spans="1:11">
      <c r="A256" s="332"/>
      <c r="B256" s="333"/>
      <c r="C256" s="337"/>
      <c r="D256" s="335" t="s">
        <v>5549</v>
      </c>
      <c r="E256" s="339" t="s">
        <v>5550</v>
      </c>
      <c r="F256" s="84" t="s">
        <v>229</v>
      </c>
      <c r="G256" s="335" t="s">
        <v>5551</v>
      </c>
      <c r="H256" s="335" t="s">
        <v>5552</v>
      </c>
      <c r="I256" s="85" t="s">
        <v>23</v>
      </c>
      <c r="J256" s="335" t="s">
        <v>5553</v>
      </c>
      <c r="K256" s="335" t="s">
        <v>5554</v>
      </c>
    </row>
    <row r="257" spans="1:11">
      <c r="A257" s="332"/>
      <c r="B257" s="333"/>
      <c r="C257" s="338" t="s">
        <v>5555</v>
      </c>
      <c r="D257" s="335" t="s">
        <v>5556</v>
      </c>
      <c r="E257" s="339" t="s">
        <v>5557</v>
      </c>
      <c r="F257" s="84" t="s">
        <v>229</v>
      </c>
      <c r="G257" s="335" t="s">
        <v>5558</v>
      </c>
      <c r="H257" s="335" t="s">
        <v>5559</v>
      </c>
      <c r="I257" s="85" t="s">
        <v>23</v>
      </c>
      <c r="J257" s="335" t="s">
        <v>5560</v>
      </c>
      <c r="K257" s="335" t="s">
        <v>5561</v>
      </c>
    </row>
    <row r="258" spans="1:11">
      <c r="A258" s="332"/>
      <c r="B258" s="333"/>
      <c r="C258" s="334"/>
      <c r="D258" s="335" t="s">
        <v>5533</v>
      </c>
      <c r="E258" s="339" t="s">
        <v>5562</v>
      </c>
      <c r="F258" s="84" t="s">
        <v>229</v>
      </c>
      <c r="G258" s="335" t="s">
        <v>5563</v>
      </c>
      <c r="H258" s="335" t="s">
        <v>5564</v>
      </c>
      <c r="I258" s="85" t="s">
        <v>23</v>
      </c>
      <c r="J258" s="335" t="s">
        <v>5565</v>
      </c>
      <c r="K258" s="335" t="s">
        <v>5566</v>
      </c>
    </row>
    <row r="259" spans="1:11">
      <c r="A259" s="332"/>
      <c r="B259" s="333"/>
      <c r="C259" s="334"/>
      <c r="D259" s="335" t="s">
        <v>5567</v>
      </c>
      <c r="E259" s="339" t="s">
        <v>5568</v>
      </c>
      <c r="F259" s="84" t="s">
        <v>229</v>
      </c>
      <c r="G259" s="335" t="s">
        <v>5569</v>
      </c>
      <c r="H259" s="335" t="s">
        <v>5570</v>
      </c>
      <c r="I259" s="85" t="s">
        <v>23</v>
      </c>
      <c r="J259" s="335" t="s">
        <v>5571</v>
      </c>
      <c r="K259" s="335" t="s">
        <v>5572</v>
      </c>
    </row>
    <row r="260" spans="1:11">
      <c r="A260" s="332"/>
      <c r="B260" s="333"/>
      <c r="C260" s="334"/>
      <c r="D260" s="335" t="s">
        <v>5545</v>
      </c>
      <c r="E260" s="339" t="s">
        <v>5573</v>
      </c>
      <c r="F260" s="84" t="s">
        <v>229</v>
      </c>
      <c r="G260" s="335" t="s">
        <v>5574</v>
      </c>
      <c r="H260" s="335" t="s">
        <v>5575</v>
      </c>
      <c r="I260" s="85" t="s">
        <v>23</v>
      </c>
      <c r="J260" s="335" t="s">
        <v>5576</v>
      </c>
      <c r="K260" s="335" t="s">
        <v>5577</v>
      </c>
    </row>
    <row r="261" spans="1:11">
      <c r="A261" s="332"/>
      <c r="B261" s="333"/>
      <c r="C261" s="337"/>
      <c r="D261" s="335" t="s">
        <v>5578</v>
      </c>
      <c r="E261" s="339" t="s">
        <v>5579</v>
      </c>
      <c r="F261" s="84" t="s">
        <v>229</v>
      </c>
      <c r="G261" s="335" t="s">
        <v>5580</v>
      </c>
      <c r="H261" s="335" t="s">
        <v>5581</v>
      </c>
      <c r="I261" s="85" t="s">
        <v>23</v>
      </c>
      <c r="J261" s="335" t="s">
        <v>5582</v>
      </c>
      <c r="K261" s="335" t="s">
        <v>5583</v>
      </c>
    </row>
    <row r="262" spans="1:11">
      <c r="A262" s="332"/>
      <c r="B262" s="333"/>
      <c r="C262" s="338" t="s">
        <v>5584</v>
      </c>
      <c r="D262" s="335" t="s">
        <v>5585</v>
      </c>
      <c r="E262" s="339" t="s">
        <v>5586</v>
      </c>
      <c r="F262" s="84" t="s">
        <v>20</v>
      </c>
      <c r="G262" s="335" t="s">
        <v>5587</v>
      </c>
      <c r="H262" s="335" t="s">
        <v>5588</v>
      </c>
      <c r="I262" s="85" t="s">
        <v>23</v>
      </c>
      <c r="J262" s="335" t="s">
        <v>5589</v>
      </c>
      <c r="K262" s="335" t="s">
        <v>5590</v>
      </c>
    </row>
    <row r="263" spans="1:11">
      <c r="A263" s="332"/>
      <c r="B263" s="333"/>
      <c r="C263" s="334"/>
      <c r="D263" s="335" t="s">
        <v>5591</v>
      </c>
      <c r="E263" s="339" t="s">
        <v>5592</v>
      </c>
      <c r="F263" s="84" t="s">
        <v>20</v>
      </c>
      <c r="G263" s="335" t="s">
        <v>5593</v>
      </c>
      <c r="H263" s="335" t="s">
        <v>5594</v>
      </c>
      <c r="I263" s="85" t="s">
        <v>23</v>
      </c>
      <c r="J263" s="335" t="s">
        <v>5595</v>
      </c>
      <c r="K263" s="335" t="s">
        <v>5596</v>
      </c>
    </row>
    <row r="264" spans="1:11">
      <c r="A264" s="332"/>
      <c r="B264" s="333"/>
      <c r="C264" s="334"/>
      <c r="D264" s="335" t="s">
        <v>5597</v>
      </c>
      <c r="E264" s="339" t="s">
        <v>5598</v>
      </c>
      <c r="F264" s="84" t="s">
        <v>20</v>
      </c>
      <c r="G264" s="335" t="s">
        <v>5599</v>
      </c>
      <c r="H264" s="335" t="s">
        <v>5600</v>
      </c>
      <c r="I264" s="85" t="s">
        <v>23</v>
      </c>
      <c r="J264" s="335" t="s">
        <v>5601</v>
      </c>
      <c r="K264" s="335" t="s">
        <v>5602</v>
      </c>
    </row>
    <row r="265" spans="1:11">
      <c r="A265" s="332"/>
      <c r="B265" s="333"/>
      <c r="C265" s="334"/>
      <c r="D265" s="335" t="s">
        <v>5603</v>
      </c>
      <c r="E265" s="339" t="s">
        <v>5604</v>
      </c>
      <c r="F265" s="84" t="s">
        <v>229</v>
      </c>
      <c r="G265" s="335" t="s">
        <v>5605</v>
      </c>
      <c r="H265" s="335" t="s">
        <v>5606</v>
      </c>
      <c r="I265" s="85" t="s">
        <v>23</v>
      </c>
      <c r="J265" s="335" t="s">
        <v>5607</v>
      </c>
      <c r="K265" s="335" t="s">
        <v>5608</v>
      </c>
    </row>
    <row r="266" spans="1:11">
      <c r="A266" s="332"/>
      <c r="B266" s="333"/>
      <c r="C266" s="337"/>
      <c r="D266" s="335" t="s">
        <v>5609</v>
      </c>
      <c r="E266" s="339" t="s">
        <v>5610</v>
      </c>
      <c r="F266" s="84" t="s">
        <v>229</v>
      </c>
      <c r="G266" s="335" t="s">
        <v>5611</v>
      </c>
      <c r="H266" s="335" t="s">
        <v>5612</v>
      </c>
      <c r="I266" s="85" t="s">
        <v>23</v>
      </c>
      <c r="J266" s="335" t="s">
        <v>5613</v>
      </c>
      <c r="K266" s="335" t="s">
        <v>5614</v>
      </c>
    </row>
    <row r="267" spans="1:11">
      <c r="A267" s="332"/>
      <c r="B267" s="333"/>
      <c r="C267" s="338" t="s">
        <v>5615</v>
      </c>
      <c r="D267" s="335" t="s">
        <v>5616</v>
      </c>
      <c r="E267" s="339" t="s">
        <v>5617</v>
      </c>
      <c r="F267" s="84" t="s">
        <v>229</v>
      </c>
      <c r="G267" s="335" t="s">
        <v>5618</v>
      </c>
      <c r="H267" s="335" t="s">
        <v>5619</v>
      </c>
      <c r="I267" s="85" t="s">
        <v>23</v>
      </c>
      <c r="J267" s="335" t="s">
        <v>5620</v>
      </c>
      <c r="K267" s="335" t="s">
        <v>5621</v>
      </c>
    </row>
    <row r="268" spans="1:11">
      <c r="A268" s="332"/>
      <c r="B268" s="333"/>
      <c r="C268" s="334"/>
      <c r="D268" s="335" t="s">
        <v>5622</v>
      </c>
      <c r="E268" s="339" t="s">
        <v>5623</v>
      </c>
      <c r="F268" s="84" t="s">
        <v>20</v>
      </c>
      <c r="G268" s="335" t="s">
        <v>5624</v>
      </c>
      <c r="H268" s="335" t="s">
        <v>5625</v>
      </c>
      <c r="I268" s="85" t="s">
        <v>23</v>
      </c>
      <c r="J268" s="335" t="s">
        <v>5626</v>
      </c>
      <c r="K268" s="335" t="s">
        <v>5627</v>
      </c>
    </row>
    <row r="269" spans="1:11">
      <c r="A269" s="332"/>
      <c r="B269" s="333"/>
      <c r="C269" s="334"/>
      <c r="D269" s="335" t="s">
        <v>5628</v>
      </c>
      <c r="E269" s="339" t="s">
        <v>5629</v>
      </c>
      <c r="F269" s="84" t="s">
        <v>20</v>
      </c>
      <c r="G269" s="335" t="s">
        <v>5630</v>
      </c>
      <c r="H269" s="335" t="s">
        <v>5631</v>
      </c>
      <c r="I269" s="85" t="s">
        <v>23</v>
      </c>
      <c r="J269" s="335" t="s">
        <v>5632</v>
      </c>
      <c r="K269" s="335" t="s">
        <v>5633</v>
      </c>
    </row>
    <row r="270" spans="1:11">
      <c r="A270" s="332"/>
      <c r="B270" s="333"/>
      <c r="C270" s="334"/>
      <c r="D270" s="335" t="s">
        <v>5634</v>
      </c>
      <c r="E270" s="339" t="s">
        <v>5635</v>
      </c>
      <c r="F270" s="84" t="s">
        <v>20</v>
      </c>
      <c r="G270" s="335" t="s">
        <v>5636</v>
      </c>
      <c r="H270" s="335" t="s">
        <v>5637</v>
      </c>
      <c r="I270" s="85" t="s">
        <v>23</v>
      </c>
      <c r="J270" s="335" t="s">
        <v>5638</v>
      </c>
      <c r="K270" s="335" t="s">
        <v>5639</v>
      </c>
    </row>
    <row r="271" spans="1:11">
      <c r="A271" s="332"/>
      <c r="B271" s="333"/>
      <c r="C271" s="337"/>
      <c r="D271" s="335" t="s">
        <v>5640</v>
      </c>
      <c r="E271" s="339" t="s">
        <v>5641</v>
      </c>
      <c r="F271" s="84" t="s">
        <v>229</v>
      </c>
      <c r="G271" s="335" t="s">
        <v>5642</v>
      </c>
      <c r="H271" s="335" t="s">
        <v>5643</v>
      </c>
      <c r="I271" s="85" t="s">
        <v>23</v>
      </c>
      <c r="J271" s="335" t="s">
        <v>5644</v>
      </c>
      <c r="K271" s="335" t="s">
        <v>5645</v>
      </c>
    </row>
    <row r="272" spans="1:11">
      <c r="A272" s="332"/>
      <c r="B272" s="333"/>
      <c r="C272" s="353" t="s">
        <v>5646</v>
      </c>
      <c r="D272" s="335" t="s">
        <v>5647</v>
      </c>
      <c r="E272" s="339" t="s">
        <v>5648</v>
      </c>
      <c r="F272" s="84" t="s">
        <v>229</v>
      </c>
      <c r="G272" s="335" t="s">
        <v>5649</v>
      </c>
      <c r="H272" s="335" t="s">
        <v>5650</v>
      </c>
      <c r="I272" s="85" t="s">
        <v>23</v>
      </c>
      <c r="J272" s="335" t="s">
        <v>5651</v>
      </c>
      <c r="K272" s="335" t="s">
        <v>5652</v>
      </c>
    </row>
    <row r="273" spans="1:11">
      <c r="A273" s="332"/>
      <c r="B273" s="333"/>
      <c r="C273" s="353"/>
      <c r="D273" s="335" t="s">
        <v>5653</v>
      </c>
      <c r="E273" s="339" t="s">
        <v>5654</v>
      </c>
      <c r="F273" s="84" t="s">
        <v>229</v>
      </c>
      <c r="G273" s="335" t="s">
        <v>5655</v>
      </c>
      <c r="H273" s="335" t="s">
        <v>5656</v>
      </c>
      <c r="I273" s="85" t="s">
        <v>23</v>
      </c>
      <c r="J273" s="335" t="s">
        <v>5657</v>
      </c>
      <c r="K273" s="335" t="s">
        <v>5658</v>
      </c>
    </row>
    <row r="274" spans="1:11">
      <c r="A274" s="332"/>
      <c r="B274" s="333"/>
      <c r="C274" s="353"/>
      <c r="D274" s="335" t="s">
        <v>5659</v>
      </c>
      <c r="E274" s="339" t="s">
        <v>5660</v>
      </c>
      <c r="F274" s="84" t="s">
        <v>229</v>
      </c>
      <c r="G274" s="335" t="s">
        <v>5661</v>
      </c>
      <c r="H274" s="335" t="s">
        <v>5662</v>
      </c>
      <c r="I274" s="85" t="s">
        <v>23</v>
      </c>
      <c r="J274" s="335" t="s">
        <v>5663</v>
      </c>
      <c r="K274" s="335" t="s">
        <v>5664</v>
      </c>
    </row>
    <row r="275" spans="1:11">
      <c r="A275" s="332"/>
      <c r="B275" s="333"/>
      <c r="C275" s="353"/>
      <c r="D275" s="335" t="s">
        <v>5665</v>
      </c>
      <c r="E275" s="339" t="s">
        <v>5666</v>
      </c>
      <c r="F275" s="84" t="s">
        <v>425</v>
      </c>
      <c r="G275" s="335" t="s">
        <v>5667</v>
      </c>
      <c r="H275" s="335" t="s">
        <v>5668</v>
      </c>
      <c r="I275" s="85" t="s">
        <v>23</v>
      </c>
      <c r="J275" s="335" t="s">
        <v>5669</v>
      </c>
      <c r="K275" s="335" t="s">
        <v>5670</v>
      </c>
    </row>
    <row r="276" spans="1:11">
      <c r="A276" s="332"/>
      <c r="B276" s="333"/>
      <c r="C276" s="353"/>
      <c r="D276" s="335" t="s">
        <v>5671</v>
      </c>
      <c r="E276" s="339" t="s">
        <v>5672</v>
      </c>
      <c r="F276" s="84" t="s">
        <v>425</v>
      </c>
      <c r="G276" s="335" t="s">
        <v>5673</v>
      </c>
      <c r="H276" s="335" t="s">
        <v>5674</v>
      </c>
      <c r="I276" s="85" t="s">
        <v>23</v>
      </c>
      <c r="J276" s="335" t="s">
        <v>5675</v>
      </c>
      <c r="K276" s="335" t="s">
        <v>5676</v>
      </c>
    </row>
    <row r="277" spans="1:11">
      <c r="A277" s="332"/>
      <c r="B277" s="333"/>
      <c r="C277" s="338" t="s">
        <v>5677</v>
      </c>
      <c r="D277" s="335" t="s">
        <v>5649</v>
      </c>
      <c r="E277" s="339" t="s">
        <v>5678</v>
      </c>
      <c r="F277" s="84" t="s">
        <v>425</v>
      </c>
      <c r="G277" s="335" t="s">
        <v>5679</v>
      </c>
      <c r="H277" s="335" t="s">
        <v>5680</v>
      </c>
      <c r="I277" s="85" t="s">
        <v>23</v>
      </c>
      <c r="J277" s="335" t="s">
        <v>5681</v>
      </c>
      <c r="K277" s="335" t="s">
        <v>5682</v>
      </c>
    </row>
    <row r="278" spans="1:11">
      <c r="A278" s="332"/>
      <c r="B278" s="333"/>
      <c r="C278" s="334"/>
      <c r="D278" s="335" t="s">
        <v>5683</v>
      </c>
      <c r="E278" s="339" t="s">
        <v>5684</v>
      </c>
      <c r="F278" s="84" t="s">
        <v>229</v>
      </c>
      <c r="G278" s="335" t="s">
        <v>5685</v>
      </c>
      <c r="H278" s="335" t="s">
        <v>5686</v>
      </c>
      <c r="I278" s="85" t="s">
        <v>23</v>
      </c>
      <c r="J278" s="335" t="s">
        <v>5687</v>
      </c>
      <c r="K278" s="335" t="s">
        <v>5688</v>
      </c>
    </row>
    <row r="279" spans="1:11">
      <c r="A279" s="332"/>
      <c r="B279" s="333"/>
      <c r="C279" s="334"/>
      <c r="D279" s="335" t="s">
        <v>5689</v>
      </c>
      <c r="E279" s="339" t="s">
        <v>5690</v>
      </c>
      <c r="F279" s="84" t="s">
        <v>229</v>
      </c>
      <c r="G279" s="335" t="s">
        <v>5691</v>
      </c>
      <c r="H279" s="335" t="s">
        <v>5692</v>
      </c>
      <c r="I279" s="85" t="s">
        <v>23</v>
      </c>
      <c r="J279" s="335" t="s">
        <v>5693</v>
      </c>
      <c r="K279" s="335" t="s">
        <v>5694</v>
      </c>
    </row>
    <row r="280" spans="1:11">
      <c r="A280" s="332"/>
      <c r="B280" s="333"/>
      <c r="C280" s="334"/>
      <c r="D280" s="335" t="s">
        <v>5695</v>
      </c>
      <c r="E280" s="339" t="s">
        <v>5696</v>
      </c>
      <c r="F280" s="84" t="s">
        <v>425</v>
      </c>
      <c r="G280" s="335" t="s">
        <v>5697</v>
      </c>
      <c r="H280" s="335" t="s">
        <v>5698</v>
      </c>
      <c r="I280" s="85" t="s">
        <v>23</v>
      </c>
      <c r="J280" s="335" t="s">
        <v>5699</v>
      </c>
      <c r="K280" s="335" t="s">
        <v>5700</v>
      </c>
    </row>
    <row r="281" spans="1:11" ht="15.75" thickBot="1">
      <c r="A281" s="332"/>
      <c r="B281" s="344"/>
      <c r="C281" s="340"/>
      <c r="D281" s="354" t="s">
        <v>5701</v>
      </c>
      <c r="E281" s="352" t="s">
        <v>5702</v>
      </c>
      <c r="F281" s="84" t="s">
        <v>229</v>
      </c>
      <c r="G281" s="335" t="s">
        <v>5703</v>
      </c>
      <c r="H281" s="335" t="s">
        <v>5704</v>
      </c>
      <c r="I281" s="85" t="s">
        <v>23</v>
      </c>
      <c r="J281" s="335" t="s">
        <v>5705</v>
      </c>
      <c r="K281" s="335" t="s">
        <v>5706</v>
      </c>
    </row>
    <row r="282" spans="1:11">
      <c r="A282" s="332"/>
      <c r="B282" s="327" t="s">
        <v>5707</v>
      </c>
      <c r="C282" s="355" t="s">
        <v>5708</v>
      </c>
      <c r="D282" s="341" t="s">
        <v>5709</v>
      </c>
      <c r="E282" s="330" t="s">
        <v>5710</v>
      </c>
      <c r="F282" s="84" t="s">
        <v>229</v>
      </c>
      <c r="G282" s="335" t="s">
        <v>5711</v>
      </c>
      <c r="H282" s="335" t="s">
        <v>5712</v>
      </c>
      <c r="I282" s="85" t="s">
        <v>23</v>
      </c>
      <c r="J282" s="335" t="s">
        <v>5713</v>
      </c>
      <c r="K282" s="335" t="s">
        <v>5714</v>
      </c>
    </row>
    <row r="283" spans="1:11">
      <c r="A283" s="332"/>
      <c r="B283" s="333"/>
      <c r="C283" s="348"/>
      <c r="D283" s="329" t="s">
        <v>5715</v>
      </c>
      <c r="E283" s="336" t="s">
        <v>5716</v>
      </c>
      <c r="F283" s="84" t="s">
        <v>425</v>
      </c>
      <c r="G283" s="335" t="s">
        <v>5717</v>
      </c>
      <c r="H283" s="335" t="s">
        <v>5718</v>
      </c>
      <c r="I283" s="85" t="s">
        <v>23</v>
      </c>
      <c r="J283" s="335" t="s">
        <v>5719</v>
      </c>
      <c r="K283" s="335" t="s">
        <v>5720</v>
      </c>
    </row>
    <row r="284" spans="1:11">
      <c r="A284" s="332"/>
      <c r="B284" s="333"/>
      <c r="C284" s="348"/>
      <c r="D284" s="329" t="s">
        <v>5721</v>
      </c>
      <c r="E284" s="336" t="s">
        <v>5722</v>
      </c>
      <c r="F284" s="84" t="s">
        <v>229</v>
      </c>
      <c r="G284" s="335" t="s">
        <v>5723</v>
      </c>
      <c r="H284" s="335" t="s">
        <v>5724</v>
      </c>
      <c r="I284" s="85" t="s">
        <v>23</v>
      </c>
      <c r="J284" s="335" t="s">
        <v>5725</v>
      </c>
      <c r="K284" s="335" t="s">
        <v>5726</v>
      </c>
    </row>
    <row r="285" spans="1:11">
      <c r="A285" s="332"/>
      <c r="B285" s="333"/>
      <c r="C285" s="348"/>
      <c r="D285" s="329" t="s">
        <v>5727</v>
      </c>
      <c r="E285" s="336" t="s">
        <v>5728</v>
      </c>
      <c r="F285" s="84" t="s">
        <v>229</v>
      </c>
      <c r="G285" s="335" t="s">
        <v>5729</v>
      </c>
      <c r="H285" s="335" t="s">
        <v>5730</v>
      </c>
      <c r="I285" s="85" t="s">
        <v>23</v>
      </c>
      <c r="J285" s="335" t="s">
        <v>5731</v>
      </c>
      <c r="K285" s="335" t="s">
        <v>5732</v>
      </c>
    </row>
    <row r="286" spans="1:11">
      <c r="A286" s="332"/>
      <c r="B286" s="333"/>
      <c r="C286" s="349"/>
      <c r="D286" s="329" t="s">
        <v>5733</v>
      </c>
      <c r="E286" s="336" t="s">
        <v>5734</v>
      </c>
      <c r="F286" s="84" t="s">
        <v>425</v>
      </c>
      <c r="G286" s="335" t="s">
        <v>5735</v>
      </c>
      <c r="H286" s="335" t="s">
        <v>5736</v>
      </c>
      <c r="I286" s="85" t="s">
        <v>23</v>
      </c>
      <c r="J286" s="335" t="s">
        <v>5737</v>
      </c>
      <c r="K286" s="335" t="s">
        <v>5738</v>
      </c>
    </row>
    <row r="287" spans="1:11">
      <c r="A287" s="332"/>
      <c r="B287" s="333"/>
      <c r="C287" s="347" t="s">
        <v>5739</v>
      </c>
      <c r="D287" s="335" t="s">
        <v>5740</v>
      </c>
      <c r="E287" s="339" t="s">
        <v>5741</v>
      </c>
      <c r="F287" s="84" t="s">
        <v>425</v>
      </c>
      <c r="G287" s="335" t="s">
        <v>5742</v>
      </c>
      <c r="H287" s="335" t="s">
        <v>5743</v>
      </c>
      <c r="I287" s="85" t="s">
        <v>23</v>
      </c>
      <c r="J287" s="335" t="s">
        <v>5744</v>
      </c>
      <c r="K287" s="335" t="s">
        <v>5745</v>
      </c>
    </row>
    <row r="288" spans="1:11">
      <c r="A288" s="332"/>
      <c r="B288" s="333"/>
      <c r="C288" s="348"/>
      <c r="D288" s="335" t="s">
        <v>5746</v>
      </c>
      <c r="E288" s="339" t="s">
        <v>5747</v>
      </c>
      <c r="F288" s="84" t="s">
        <v>229</v>
      </c>
      <c r="G288" s="335" t="s">
        <v>5748</v>
      </c>
      <c r="H288" s="335" t="s">
        <v>5749</v>
      </c>
      <c r="I288" s="85" t="s">
        <v>23</v>
      </c>
      <c r="J288" s="335" t="s">
        <v>5750</v>
      </c>
      <c r="K288" s="335" t="s">
        <v>5751</v>
      </c>
    </row>
    <row r="289" spans="1:11">
      <c r="A289" s="332"/>
      <c r="B289" s="333"/>
      <c r="C289" s="348"/>
      <c r="D289" s="335" t="s">
        <v>5752</v>
      </c>
      <c r="E289" s="339" t="s">
        <v>5753</v>
      </c>
      <c r="F289" s="84" t="s">
        <v>229</v>
      </c>
      <c r="G289" s="335" t="s">
        <v>5754</v>
      </c>
      <c r="H289" s="335" t="s">
        <v>5755</v>
      </c>
      <c r="I289" s="85" t="s">
        <v>23</v>
      </c>
      <c r="J289" s="335" t="s">
        <v>5756</v>
      </c>
      <c r="K289" s="335" t="s">
        <v>5757</v>
      </c>
    </row>
    <row r="290" spans="1:11">
      <c r="A290" s="332"/>
      <c r="B290" s="333"/>
      <c r="C290" s="348"/>
      <c r="D290" s="335" t="s">
        <v>5758</v>
      </c>
      <c r="E290" s="339" t="s">
        <v>5759</v>
      </c>
      <c r="F290" s="84" t="s">
        <v>20</v>
      </c>
      <c r="G290" s="335" t="s">
        <v>5760</v>
      </c>
      <c r="H290" s="335" t="s">
        <v>5761</v>
      </c>
      <c r="I290" s="85" t="s">
        <v>23</v>
      </c>
      <c r="J290" s="335" t="s">
        <v>5762</v>
      </c>
      <c r="K290" s="335" t="s">
        <v>5763</v>
      </c>
    </row>
    <row r="291" spans="1:11">
      <c r="A291" s="332"/>
      <c r="B291" s="333"/>
      <c r="C291" s="349"/>
      <c r="D291" s="335" t="s">
        <v>5764</v>
      </c>
      <c r="E291" s="339" t="s">
        <v>5765</v>
      </c>
      <c r="F291" s="84" t="s">
        <v>20</v>
      </c>
      <c r="G291" s="335" t="s">
        <v>5766</v>
      </c>
      <c r="H291" s="335" t="s">
        <v>5767</v>
      </c>
      <c r="I291" s="85" t="s">
        <v>23</v>
      </c>
      <c r="J291" s="335" t="s">
        <v>5768</v>
      </c>
      <c r="K291" s="335" t="s">
        <v>5769</v>
      </c>
    </row>
    <row r="292" spans="1:11">
      <c r="A292" s="332"/>
      <c r="B292" s="333"/>
      <c r="C292" s="347" t="s">
        <v>5770</v>
      </c>
      <c r="D292" s="335" t="s">
        <v>5771</v>
      </c>
      <c r="E292" s="339" t="s">
        <v>5772</v>
      </c>
      <c r="F292" s="84" t="s">
        <v>20</v>
      </c>
      <c r="G292" s="335" t="s">
        <v>5773</v>
      </c>
      <c r="H292" s="335" t="s">
        <v>5774</v>
      </c>
      <c r="I292" s="85" t="s">
        <v>23</v>
      </c>
      <c r="J292" s="335" t="s">
        <v>5775</v>
      </c>
      <c r="K292" s="335" t="s">
        <v>5776</v>
      </c>
    </row>
    <row r="293" spans="1:11">
      <c r="A293" s="332"/>
      <c r="B293" s="333"/>
      <c r="C293" s="348"/>
      <c r="D293" s="335" t="s">
        <v>5777</v>
      </c>
      <c r="E293" s="339" t="s">
        <v>5778</v>
      </c>
      <c r="F293" s="84" t="s">
        <v>20</v>
      </c>
      <c r="G293" s="335" t="s">
        <v>5779</v>
      </c>
      <c r="H293" s="335" t="s">
        <v>5780</v>
      </c>
      <c r="I293" s="85" t="s">
        <v>23</v>
      </c>
      <c r="J293" s="335" t="s">
        <v>5781</v>
      </c>
      <c r="K293" s="335" t="s">
        <v>5782</v>
      </c>
    </row>
    <row r="294" spans="1:11">
      <c r="A294" s="332"/>
      <c r="B294" s="333"/>
      <c r="C294" s="348"/>
      <c r="D294" s="335" t="s">
        <v>5783</v>
      </c>
      <c r="E294" s="339" t="s">
        <v>5784</v>
      </c>
      <c r="F294" s="84" t="s">
        <v>20</v>
      </c>
      <c r="G294" s="335" t="s">
        <v>5785</v>
      </c>
      <c r="H294" s="335" t="s">
        <v>5786</v>
      </c>
      <c r="I294" s="85" t="s">
        <v>23</v>
      </c>
      <c r="J294" s="335" t="s">
        <v>5787</v>
      </c>
      <c r="K294" s="335" t="s">
        <v>5788</v>
      </c>
    </row>
    <row r="295" spans="1:11">
      <c r="A295" s="332"/>
      <c r="B295" s="333"/>
      <c r="C295" s="348"/>
      <c r="D295" s="335" t="s">
        <v>5789</v>
      </c>
      <c r="E295" s="339" t="s">
        <v>5790</v>
      </c>
      <c r="F295" s="84" t="s">
        <v>20</v>
      </c>
      <c r="G295" s="335" t="s">
        <v>5791</v>
      </c>
      <c r="H295" s="335" t="s">
        <v>5792</v>
      </c>
      <c r="I295" s="85" t="s">
        <v>23</v>
      </c>
      <c r="J295" s="335" t="s">
        <v>5793</v>
      </c>
      <c r="K295" s="335" t="s">
        <v>5794</v>
      </c>
    </row>
    <row r="296" spans="1:11">
      <c r="A296" s="332"/>
      <c r="B296" s="333"/>
      <c r="C296" s="349"/>
      <c r="D296" s="335" t="s">
        <v>5795</v>
      </c>
      <c r="E296" s="339" t="s">
        <v>5796</v>
      </c>
      <c r="F296" s="84" t="s">
        <v>20</v>
      </c>
      <c r="G296" s="335" t="s">
        <v>5797</v>
      </c>
      <c r="H296" s="335" t="s">
        <v>5798</v>
      </c>
      <c r="I296" s="85" t="s">
        <v>23</v>
      </c>
      <c r="J296" s="335" t="s">
        <v>5799</v>
      </c>
      <c r="K296" s="335" t="s">
        <v>5800</v>
      </c>
    </row>
    <row r="297" spans="1:11">
      <c r="A297" s="332"/>
      <c r="B297" s="333"/>
      <c r="C297" s="338" t="s">
        <v>5801</v>
      </c>
      <c r="D297" s="335" t="s">
        <v>5766</v>
      </c>
      <c r="E297" s="339" t="s">
        <v>5802</v>
      </c>
      <c r="F297" s="84" t="s">
        <v>229</v>
      </c>
      <c r="G297" s="335" t="s">
        <v>5803</v>
      </c>
      <c r="H297" s="335" t="s">
        <v>5804</v>
      </c>
      <c r="I297" s="85" t="s">
        <v>23</v>
      </c>
      <c r="J297" s="335" t="s">
        <v>5805</v>
      </c>
      <c r="K297" s="335" t="s">
        <v>5806</v>
      </c>
    </row>
    <row r="298" spans="1:11">
      <c r="A298" s="332"/>
      <c r="B298" s="333"/>
      <c r="C298" s="334"/>
      <c r="D298" s="335" t="s">
        <v>5807</v>
      </c>
      <c r="E298" s="339" t="s">
        <v>5808</v>
      </c>
      <c r="F298" s="84" t="s">
        <v>229</v>
      </c>
      <c r="G298" s="335" t="s">
        <v>5809</v>
      </c>
      <c r="H298" s="335" t="s">
        <v>5810</v>
      </c>
      <c r="I298" s="85" t="s">
        <v>23</v>
      </c>
      <c r="J298" s="335" t="s">
        <v>5811</v>
      </c>
      <c r="K298" s="335" t="s">
        <v>5812</v>
      </c>
    </row>
    <row r="299" spans="1:11">
      <c r="A299" s="332"/>
      <c r="B299" s="333"/>
      <c r="C299" s="334"/>
      <c r="D299" s="335" t="s">
        <v>5813</v>
      </c>
      <c r="E299" s="339" t="s">
        <v>5814</v>
      </c>
      <c r="F299" s="84" t="s">
        <v>229</v>
      </c>
      <c r="G299" s="335" t="s">
        <v>5815</v>
      </c>
      <c r="H299" s="335" t="s">
        <v>5816</v>
      </c>
      <c r="I299" s="85" t="s">
        <v>23</v>
      </c>
      <c r="J299" s="335" t="s">
        <v>5817</v>
      </c>
      <c r="K299" s="335" t="s">
        <v>5818</v>
      </c>
    </row>
    <row r="300" spans="1:11">
      <c r="A300" s="332"/>
      <c r="B300" s="333"/>
      <c r="C300" s="334"/>
      <c r="D300" s="335" t="s">
        <v>5785</v>
      </c>
      <c r="E300" s="339" t="s">
        <v>5819</v>
      </c>
      <c r="F300" s="84" t="s">
        <v>229</v>
      </c>
      <c r="G300" s="335" t="s">
        <v>5820</v>
      </c>
      <c r="H300" s="335" t="s">
        <v>5821</v>
      </c>
      <c r="I300" s="85" t="s">
        <v>23</v>
      </c>
      <c r="J300" s="335" t="s">
        <v>5822</v>
      </c>
      <c r="K300" s="335" t="s">
        <v>5823</v>
      </c>
    </row>
    <row r="301" spans="1:11">
      <c r="A301" s="332"/>
      <c r="B301" s="333"/>
      <c r="C301" s="337"/>
      <c r="D301" s="335" t="s">
        <v>5824</v>
      </c>
      <c r="E301" s="339" t="s">
        <v>5825</v>
      </c>
      <c r="F301" s="84" t="s">
        <v>229</v>
      </c>
      <c r="G301" s="335" t="s">
        <v>5826</v>
      </c>
      <c r="H301" s="335" t="s">
        <v>5827</v>
      </c>
      <c r="I301" s="85" t="s">
        <v>23</v>
      </c>
      <c r="J301" s="335" t="s">
        <v>5828</v>
      </c>
      <c r="K301" s="335" t="s">
        <v>5829</v>
      </c>
    </row>
    <row r="302" spans="1:11">
      <c r="A302" s="332"/>
      <c r="B302" s="333"/>
      <c r="C302" s="338" t="s">
        <v>5830</v>
      </c>
      <c r="D302" s="335" t="s">
        <v>5831</v>
      </c>
      <c r="E302" s="339" t="s">
        <v>5832</v>
      </c>
      <c r="F302" s="84" t="s">
        <v>229</v>
      </c>
      <c r="G302" s="335" t="s">
        <v>5833</v>
      </c>
      <c r="H302" s="335" t="s">
        <v>5834</v>
      </c>
      <c r="I302" s="85" t="s">
        <v>23</v>
      </c>
      <c r="J302" s="335" t="s">
        <v>5835</v>
      </c>
      <c r="K302" s="335" t="s">
        <v>5836</v>
      </c>
    </row>
    <row r="303" spans="1:11">
      <c r="A303" s="332"/>
      <c r="B303" s="333"/>
      <c r="C303" s="334"/>
      <c r="D303" s="335" t="s">
        <v>5837</v>
      </c>
      <c r="E303" s="339" t="s">
        <v>5838</v>
      </c>
      <c r="F303" s="84" t="s">
        <v>425</v>
      </c>
      <c r="G303" s="335" t="s">
        <v>5839</v>
      </c>
      <c r="H303" s="335" t="s">
        <v>5840</v>
      </c>
      <c r="I303" s="85" t="s">
        <v>23</v>
      </c>
      <c r="J303" s="335" t="s">
        <v>5841</v>
      </c>
      <c r="K303" s="335" t="s">
        <v>5842</v>
      </c>
    </row>
    <row r="304" spans="1:11">
      <c r="A304" s="332"/>
      <c r="B304" s="333"/>
      <c r="C304" s="334"/>
      <c r="D304" s="335" t="s">
        <v>5843</v>
      </c>
      <c r="E304" s="339" t="s">
        <v>5844</v>
      </c>
      <c r="F304" s="84" t="s">
        <v>425</v>
      </c>
      <c r="G304" s="335" t="s">
        <v>5845</v>
      </c>
      <c r="H304" s="335" t="s">
        <v>5846</v>
      </c>
      <c r="I304" s="85" t="s">
        <v>23</v>
      </c>
      <c r="J304" s="335" t="s">
        <v>5847</v>
      </c>
      <c r="K304" s="335" t="s">
        <v>5848</v>
      </c>
    </row>
    <row r="305" spans="1:11">
      <c r="A305" s="332"/>
      <c r="B305" s="333"/>
      <c r="C305" s="334"/>
      <c r="D305" s="335" t="s">
        <v>5815</v>
      </c>
      <c r="E305" s="339" t="s">
        <v>5849</v>
      </c>
      <c r="F305" s="84" t="s">
        <v>425</v>
      </c>
      <c r="G305" s="335" t="s">
        <v>5850</v>
      </c>
      <c r="H305" s="335" t="s">
        <v>5851</v>
      </c>
      <c r="I305" s="85" t="s">
        <v>23</v>
      </c>
      <c r="J305" s="335" t="s">
        <v>5852</v>
      </c>
      <c r="K305" s="335" t="s">
        <v>5853</v>
      </c>
    </row>
    <row r="306" spans="1:11">
      <c r="A306" s="332"/>
      <c r="B306" s="333"/>
      <c r="C306" s="337"/>
      <c r="D306" s="335" t="s">
        <v>5854</v>
      </c>
      <c r="E306" s="339" t="s">
        <v>5855</v>
      </c>
      <c r="F306" s="84" t="s">
        <v>20</v>
      </c>
      <c r="G306" s="335" t="s">
        <v>5856</v>
      </c>
      <c r="H306" s="335" t="s">
        <v>5857</v>
      </c>
      <c r="I306" s="85" t="s">
        <v>23</v>
      </c>
      <c r="J306" s="335" t="s">
        <v>5858</v>
      </c>
      <c r="K306" s="335" t="s">
        <v>5859</v>
      </c>
    </row>
    <row r="307" spans="1:11">
      <c r="A307" s="332"/>
      <c r="B307" s="333"/>
      <c r="C307" s="338" t="s">
        <v>5860</v>
      </c>
      <c r="D307" s="335" t="s">
        <v>5861</v>
      </c>
      <c r="E307" s="339" t="s">
        <v>5862</v>
      </c>
      <c r="F307" s="84" t="s">
        <v>20</v>
      </c>
      <c r="G307" s="335" t="s">
        <v>5863</v>
      </c>
      <c r="H307" s="335" t="s">
        <v>5864</v>
      </c>
      <c r="I307" s="85" t="s">
        <v>23</v>
      </c>
      <c r="J307" s="335" t="s">
        <v>5865</v>
      </c>
      <c r="K307" s="335" t="s">
        <v>5866</v>
      </c>
    </row>
    <row r="308" spans="1:11">
      <c r="A308" s="332"/>
      <c r="B308" s="333"/>
      <c r="C308" s="334"/>
      <c r="D308" s="335" t="s">
        <v>5867</v>
      </c>
      <c r="E308" s="339" t="s">
        <v>5868</v>
      </c>
      <c r="F308" s="84" t="s">
        <v>20</v>
      </c>
      <c r="G308" s="335" t="s">
        <v>5869</v>
      </c>
      <c r="H308" s="335" t="s">
        <v>5870</v>
      </c>
      <c r="I308" s="85" t="s">
        <v>23</v>
      </c>
      <c r="J308" s="335" t="s">
        <v>5871</v>
      </c>
      <c r="K308" s="335" t="s">
        <v>5872</v>
      </c>
    </row>
    <row r="309" spans="1:11">
      <c r="A309" s="332"/>
      <c r="B309" s="333"/>
      <c r="C309" s="334"/>
      <c r="D309" s="335" t="s">
        <v>5873</v>
      </c>
      <c r="E309" s="339" t="s">
        <v>5874</v>
      </c>
      <c r="F309" s="84" t="s">
        <v>229</v>
      </c>
      <c r="G309" s="335" t="s">
        <v>5875</v>
      </c>
      <c r="H309" s="335" t="s">
        <v>5876</v>
      </c>
      <c r="I309" s="85" t="s">
        <v>23</v>
      </c>
      <c r="J309" s="335" t="s">
        <v>5877</v>
      </c>
      <c r="K309" s="335" t="s">
        <v>5878</v>
      </c>
    </row>
    <row r="310" spans="1:11">
      <c r="A310" s="332"/>
      <c r="B310" s="333"/>
      <c r="C310" s="334"/>
      <c r="D310" s="335" t="s">
        <v>5879</v>
      </c>
      <c r="E310" s="339" t="s">
        <v>5880</v>
      </c>
      <c r="F310" s="84" t="s">
        <v>229</v>
      </c>
      <c r="G310" s="335" t="s">
        <v>5881</v>
      </c>
      <c r="H310" s="335" t="s">
        <v>5882</v>
      </c>
      <c r="I310" s="85" t="s">
        <v>23</v>
      </c>
      <c r="J310" s="335" t="s">
        <v>5883</v>
      </c>
      <c r="K310" s="335" t="s">
        <v>5884</v>
      </c>
    </row>
    <row r="311" spans="1:11">
      <c r="A311" s="332"/>
      <c r="B311" s="333"/>
      <c r="C311" s="337"/>
      <c r="D311" s="335" t="s">
        <v>5885</v>
      </c>
      <c r="E311" s="339" t="s">
        <v>5886</v>
      </c>
      <c r="F311" s="84" t="s">
        <v>229</v>
      </c>
      <c r="G311" s="335" t="s">
        <v>5887</v>
      </c>
      <c r="H311" s="335" t="s">
        <v>5888</v>
      </c>
      <c r="I311" s="85" t="s">
        <v>23</v>
      </c>
      <c r="J311" s="335" t="s">
        <v>5889</v>
      </c>
      <c r="K311" s="335" t="s">
        <v>5890</v>
      </c>
    </row>
    <row r="312" spans="1:11">
      <c r="A312" s="332"/>
      <c r="B312" s="333"/>
      <c r="C312" s="338" t="s">
        <v>5891</v>
      </c>
      <c r="D312" s="335" t="s">
        <v>5856</v>
      </c>
      <c r="E312" s="339" t="s">
        <v>5892</v>
      </c>
      <c r="F312" s="84" t="s">
        <v>229</v>
      </c>
      <c r="G312" s="335" t="s">
        <v>5893</v>
      </c>
      <c r="H312" s="335" t="s">
        <v>5894</v>
      </c>
      <c r="I312" s="85" t="s">
        <v>23</v>
      </c>
      <c r="J312" s="335" t="s">
        <v>5895</v>
      </c>
      <c r="K312" s="335" t="s">
        <v>5896</v>
      </c>
    </row>
    <row r="313" spans="1:11">
      <c r="A313" s="332"/>
      <c r="B313" s="333"/>
      <c r="C313" s="334"/>
      <c r="D313" s="342" t="s">
        <v>5897</v>
      </c>
      <c r="E313" s="343" t="s">
        <v>5898</v>
      </c>
      <c r="F313" s="84" t="s">
        <v>229</v>
      </c>
      <c r="G313" s="335" t="s">
        <v>5899</v>
      </c>
      <c r="H313" s="335" t="s">
        <v>5900</v>
      </c>
      <c r="I313" s="85" t="s">
        <v>23</v>
      </c>
      <c r="J313" s="335" t="s">
        <v>5901</v>
      </c>
      <c r="K313" s="335" t="s">
        <v>5902</v>
      </c>
    </row>
    <row r="314" spans="1:11">
      <c r="A314" s="332"/>
      <c r="B314" s="333"/>
      <c r="C314" s="334"/>
      <c r="D314" s="342" t="s">
        <v>5903</v>
      </c>
      <c r="E314" s="343" t="s">
        <v>5904</v>
      </c>
      <c r="F314" s="84" t="s">
        <v>229</v>
      </c>
      <c r="G314" s="335" t="s">
        <v>5905</v>
      </c>
      <c r="H314" s="335" t="s">
        <v>5906</v>
      </c>
      <c r="I314" s="85" t="s">
        <v>23</v>
      </c>
      <c r="J314" s="335" t="s">
        <v>5907</v>
      </c>
      <c r="K314" s="335" t="s">
        <v>5908</v>
      </c>
    </row>
    <row r="315" spans="1:11">
      <c r="A315" s="332"/>
      <c r="B315" s="333"/>
      <c r="C315" s="334"/>
      <c r="D315" s="342" t="s">
        <v>5909</v>
      </c>
      <c r="E315" s="343" t="s">
        <v>5910</v>
      </c>
      <c r="F315" s="84" t="s">
        <v>229</v>
      </c>
      <c r="G315" s="335" t="s">
        <v>5911</v>
      </c>
      <c r="H315" s="335" t="s">
        <v>5912</v>
      </c>
      <c r="I315" s="85" t="s">
        <v>23</v>
      </c>
      <c r="J315" s="335" t="s">
        <v>5913</v>
      </c>
      <c r="K315" s="335" t="s">
        <v>5914</v>
      </c>
    </row>
    <row r="316" spans="1:11">
      <c r="A316" s="332"/>
      <c r="B316" s="333"/>
      <c r="C316" s="337"/>
      <c r="D316" s="342" t="s">
        <v>5881</v>
      </c>
      <c r="E316" s="343" t="s">
        <v>5915</v>
      </c>
      <c r="F316" s="84" t="s">
        <v>229</v>
      </c>
      <c r="G316" s="335" t="s">
        <v>5916</v>
      </c>
      <c r="H316" s="335" t="s">
        <v>5917</v>
      </c>
      <c r="I316" s="85" t="s">
        <v>23</v>
      </c>
      <c r="J316" s="335" t="s">
        <v>5918</v>
      </c>
      <c r="K316" s="335" t="s">
        <v>5919</v>
      </c>
    </row>
    <row r="317" spans="1:11">
      <c r="A317" s="332"/>
      <c r="B317" s="333"/>
      <c r="C317" s="338" t="s">
        <v>5920</v>
      </c>
      <c r="D317" s="342" t="s">
        <v>5921</v>
      </c>
      <c r="E317" s="343" t="s">
        <v>5922</v>
      </c>
      <c r="F317" s="84" t="s">
        <v>229</v>
      </c>
      <c r="G317" s="335" t="s">
        <v>5923</v>
      </c>
      <c r="H317" s="335" t="s">
        <v>5924</v>
      </c>
      <c r="I317" s="85" t="s">
        <v>23</v>
      </c>
      <c r="J317" s="335" t="s">
        <v>5925</v>
      </c>
      <c r="K317" s="335" t="s">
        <v>5926</v>
      </c>
    </row>
    <row r="318" spans="1:11">
      <c r="A318" s="332"/>
      <c r="B318" s="333"/>
      <c r="C318" s="334"/>
      <c r="D318" s="342" t="s">
        <v>5927</v>
      </c>
      <c r="E318" s="343" t="s">
        <v>5928</v>
      </c>
      <c r="F318" s="84" t="s">
        <v>229</v>
      </c>
      <c r="G318" s="335" t="s">
        <v>5929</v>
      </c>
      <c r="H318" s="335" t="s">
        <v>5930</v>
      </c>
      <c r="I318" s="85" t="s">
        <v>23</v>
      </c>
      <c r="J318" s="335" t="s">
        <v>5931</v>
      </c>
      <c r="K318" s="335" t="s">
        <v>5932</v>
      </c>
    </row>
    <row r="319" spans="1:11">
      <c r="A319" s="332"/>
      <c r="B319" s="333"/>
      <c r="C319" s="334"/>
      <c r="D319" s="342" t="s">
        <v>5933</v>
      </c>
      <c r="E319" s="343" t="s">
        <v>5934</v>
      </c>
      <c r="F319" s="84" t="s">
        <v>229</v>
      </c>
      <c r="G319" s="335" t="s">
        <v>5935</v>
      </c>
      <c r="H319" s="335" t="s">
        <v>5936</v>
      </c>
      <c r="I319" s="85" t="s">
        <v>23</v>
      </c>
      <c r="J319" s="335" t="s">
        <v>5937</v>
      </c>
      <c r="K319" s="335" t="s">
        <v>5938</v>
      </c>
    </row>
    <row r="320" spans="1:11">
      <c r="A320" s="332"/>
      <c r="B320" s="333"/>
      <c r="C320" s="334"/>
      <c r="D320" s="342" t="s">
        <v>5939</v>
      </c>
      <c r="E320" s="343" t="s">
        <v>5940</v>
      </c>
      <c r="F320" s="84" t="s">
        <v>229</v>
      </c>
      <c r="G320" s="335" t="s">
        <v>5941</v>
      </c>
      <c r="H320" s="335" t="s">
        <v>5942</v>
      </c>
      <c r="I320" s="85" t="s">
        <v>23</v>
      </c>
      <c r="J320" s="335" t="s">
        <v>5943</v>
      </c>
      <c r="K320" s="335" t="s">
        <v>5944</v>
      </c>
    </row>
    <row r="321" spans="1:11" ht="15.75" thickBot="1">
      <c r="A321" s="332"/>
      <c r="B321" s="344"/>
      <c r="C321" s="340"/>
      <c r="D321" s="345" t="s">
        <v>5945</v>
      </c>
      <c r="E321" s="346" t="s">
        <v>5946</v>
      </c>
      <c r="F321" s="84" t="s">
        <v>229</v>
      </c>
      <c r="G321" s="335" t="s">
        <v>5947</v>
      </c>
      <c r="H321" s="335" t="s">
        <v>5948</v>
      </c>
      <c r="I321" s="85" t="s">
        <v>23</v>
      </c>
      <c r="J321" s="335" t="s">
        <v>5949</v>
      </c>
      <c r="K321" s="335" t="s">
        <v>5950</v>
      </c>
    </row>
    <row r="322" spans="1:11">
      <c r="A322" s="332"/>
      <c r="B322" s="327" t="s">
        <v>5951</v>
      </c>
      <c r="C322" s="355" t="s">
        <v>5952</v>
      </c>
      <c r="D322" s="341" t="s">
        <v>5953</v>
      </c>
      <c r="E322" s="330" t="s">
        <v>5954</v>
      </c>
      <c r="F322" s="84" t="s">
        <v>20</v>
      </c>
      <c r="G322" s="335" t="s">
        <v>5955</v>
      </c>
      <c r="H322" s="335" t="s">
        <v>5956</v>
      </c>
      <c r="I322" s="85" t="s">
        <v>23</v>
      </c>
      <c r="J322" s="335" t="s">
        <v>5957</v>
      </c>
      <c r="K322" s="335" t="s">
        <v>5958</v>
      </c>
    </row>
    <row r="323" spans="1:11">
      <c r="A323" s="332"/>
      <c r="B323" s="333"/>
      <c r="C323" s="348"/>
      <c r="D323" s="329" t="s">
        <v>5959</v>
      </c>
      <c r="E323" s="336" t="s">
        <v>5960</v>
      </c>
      <c r="F323" s="84" t="s">
        <v>20</v>
      </c>
      <c r="G323" s="335" t="s">
        <v>5961</v>
      </c>
      <c r="H323" s="335" t="s">
        <v>5962</v>
      </c>
      <c r="I323" s="85" t="s">
        <v>23</v>
      </c>
      <c r="J323" s="335" t="s">
        <v>5963</v>
      </c>
      <c r="K323" s="335" t="s">
        <v>5964</v>
      </c>
    </row>
    <row r="324" spans="1:11">
      <c r="A324" s="332"/>
      <c r="B324" s="333"/>
      <c r="C324" s="348"/>
      <c r="D324" s="329" t="s">
        <v>5965</v>
      </c>
      <c r="E324" s="336" t="s">
        <v>5966</v>
      </c>
      <c r="F324" s="84" t="s">
        <v>20</v>
      </c>
      <c r="G324" s="335" t="s">
        <v>5967</v>
      </c>
      <c r="H324" s="335" t="s">
        <v>5968</v>
      </c>
      <c r="I324" s="85" t="s">
        <v>23</v>
      </c>
      <c r="J324" s="335" t="s">
        <v>5969</v>
      </c>
      <c r="K324" s="335" t="s">
        <v>5970</v>
      </c>
    </row>
    <row r="325" spans="1:11">
      <c r="A325" s="332"/>
      <c r="B325" s="333"/>
      <c r="C325" s="348"/>
      <c r="D325" s="329" t="s">
        <v>5971</v>
      </c>
      <c r="E325" s="336" t="s">
        <v>5972</v>
      </c>
      <c r="F325" s="84" t="s">
        <v>20</v>
      </c>
      <c r="G325" s="335" t="s">
        <v>5973</v>
      </c>
      <c r="H325" s="335" t="s">
        <v>5974</v>
      </c>
      <c r="I325" s="85" t="s">
        <v>23</v>
      </c>
      <c r="J325" s="335" t="s">
        <v>5975</v>
      </c>
      <c r="K325" s="335" t="s">
        <v>5976</v>
      </c>
    </row>
    <row r="326" spans="1:11">
      <c r="A326" s="332"/>
      <c r="B326" s="333"/>
      <c r="C326" s="349"/>
      <c r="D326" s="329" t="s">
        <v>5977</v>
      </c>
      <c r="E326" s="336" t="s">
        <v>5978</v>
      </c>
      <c r="F326" s="84" t="s">
        <v>20</v>
      </c>
      <c r="G326" s="335" t="s">
        <v>5979</v>
      </c>
      <c r="H326" s="335" t="s">
        <v>5980</v>
      </c>
      <c r="I326" s="85" t="s">
        <v>23</v>
      </c>
      <c r="J326" s="335" t="s">
        <v>5981</v>
      </c>
      <c r="K326" s="335" t="s">
        <v>5982</v>
      </c>
    </row>
    <row r="327" spans="1:11">
      <c r="A327" s="332"/>
      <c r="B327" s="333"/>
      <c r="C327" s="347" t="s">
        <v>5739</v>
      </c>
      <c r="D327" s="335" t="s">
        <v>5929</v>
      </c>
      <c r="E327" s="339" t="s">
        <v>5983</v>
      </c>
      <c r="F327" s="84" t="s">
        <v>20</v>
      </c>
      <c r="G327" s="335" t="s">
        <v>5984</v>
      </c>
      <c r="H327" s="335" t="s">
        <v>5985</v>
      </c>
      <c r="I327" s="85" t="s">
        <v>23</v>
      </c>
      <c r="J327" s="335" t="s">
        <v>5986</v>
      </c>
      <c r="K327" s="335" t="s">
        <v>5987</v>
      </c>
    </row>
    <row r="328" spans="1:11">
      <c r="A328" s="332"/>
      <c r="B328" s="333"/>
      <c r="C328" s="348"/>
      <c r="D328" s="335" t="s">
        <v>5988</v>
      </c>
      <c r="E328" s="339" t="s">
        <v>5989</v>
      </c>
      <c r="F328" s="84" t="s">
        <v>20</v>
      </c>
      <c r="G328" s="335" t="s">
        <v>5990</v>
      </c>
      <c r="H328" s="335" t="s">
        <v>5991</v>
      </c>
      <c r="I328" s="85" t="s">
        <v>23</v>
      </c>
      <c r="J328" s="335" t="s">
        <v>5992</v>
      </c>
      <c r="K328" s="335" t="s">
        <v>5993</v>
      </c>
    </row>
    <row r="329" spans="1:11">
      <c r="A329" s="332"/>
      <c r="B329" s="333"/>
      <c r="C329" s="348"/>
      <c r="D329" s="335" t="s">
        <v>5994</v>
      </c>
      <c r="E329" s="339" t="s">
        <v>5995</v>
      </c>
      <c r="F329" s="84" t="s">
        <v>20</v>
      </c>
      <c r="G329" s="335" t="s">
        <v>5996</v>
      </c>
      <c r="H329" s="335" t="s">
        <v>5997</v>
      </c>
      <c r="I329" s="85" t="s">
        <v>23</v>
      </c>
      <c r="J329" s="335" t="s">
        <v>5998</v>
      </c>
      <c r="K329" s="335" t="s">
        <v>5999</v>
      </c>
    </row>
    <row r="330" spans="1:11">
      <c r="A330" s="332"/>
      <c r="B330" s="333"/>
      <c r="C330" s="348"/>
      <c r="D330" s="335" t="s">
        <v>6000</v>
      </c>
      <c r="E330" s="339" t="s">
        <v>6001</v>
      </c>
      <c r="F330" s="84" t="s">
        <v>20</v>
      </c>
      <c r="G330" s="335" t="s">
        <v>6002</v>
      </c>
      <c r="H330" s="335" t="s">
        <v>6003</v>
      </c>
      <c r="I330" s="85" t="s">
        <v>23</v>
      </c>
      <c r="J330" s="335" t="s">
        <v>6004</v>
      </c>
      <c r="K330" s="335" t="s">
        <v>6005</v>
      </c>
    </row>
    <row r="331" spans="1:11">
      <c r="A331" s="332"/>
      <c r="B331" s="333"/>
      <c r="C331" s="349"/>
      <c r="D331" s="335" t="s">
        <v>6006</v>
      </c>
      <c r="E331" s="339" t="s">
        <v>6007</v>
      </c>
      <c r="F331" s="84" t="s">
        <v>20</v>
      </c>
      <c r="G331" s="335" t="s">
        <v>6008</v>
      </c>
      <c r="H331" s="335" t="s">
        <v>6009</v>
      </c>
      <c r="I331" s="85" t="s">
        <v>23</v>
      </c>
      <c r="J331" s="335" t="s">
        <v>6010</v>
      </c>
      <c r="K331" s="335" t="s">
        <v>6011</v>
      </c>
    </row>
    <row r="332" spans="1:11">
      <c r="A332" s="332"/>
      <c r="B332" s="333"/>
      <c r="C332" s="338" t="s">
        <v>6012</v>
      </c>
      <c r="D332" s="335" t="s">
        <v>6013</v>
      </c>
      <c r="E332" s="339" t="s">
        <v>6014</v>
      </c>
      <c r="F332" s="84" t="s">
        <v>425</v>
      </c>
      <c r="G332" s="335" t="s">
        <v>6015</v>
      </c>
      <c r="H332" s="335" t="s">
        <v>6016</v>
      </c>
      <c r="I332" s="85" t="s">
        <v>23</v>
      </c>
      <c r="J332" s="335" t="s">
        <v>6017</v>
      </c>
      <c r="K332" s="335" t="s">
        <v>6018</v>
      </c>
    </row>
    <row r="333" spans="1:11">
      <c r="A333" s="332"/>
      <c r="B333" s="333"/>
      <c r="C333" s="334"/>
      <c r="D333" s="335" t="s">
        <v>6019</v>
      </c>
      <c r="E333" s="339" t="s">
        <v>6020</v>
      </c>
      <c r="F333" s="84" t="s">
        <v>425</v>
      </c>
      <c r="G333" s="335" t="s">
        <v>6021</v>
      </c>
      <c r="H333" s="335" t="s">
        <v>6022</v>
      </c>
      <c r="I333" s="85" t="s">
        <v>23</v>
      </c>
      <c r="J333" s="335" t="s">
        <v>6023</v>
      </c>
      <c r="K333" s="335" t="s">
        <v>6024</v>
      </c>
    </row>
    <row r="334" spans="1:11">
      <c r="A334" s="332"/>
      <c r="B334" s="333"/>
      <c r="C334" s="334"/>
      <c r="D334" s="335" t="s">
        <v>6025</v>
      </c>
      <c r="E334" s="339" t="s">
        <v>6026</v>
      </c>
      <c r="F334" s="84" t="s">
        <v>20</v>
      </c>
      <c r="G334" s="335" t="s">
        <v>6027</v>
      </c>
      <c r="H334" s="335" t="s">
        <v>6028</v>
      </c>
      <c r="I334" s="85" t="s">
        <v>23</v>
      </c>
      <c r="J334" s="335" t="s">
        <v>6029</v>
      </c>
      <c r="K334" s="335" t="s">
        <v>6030</v>
      </c>
    </row>
    <row r="335" spans="1:11">
      <c r="A335" s="332"/>
      <c r="B335" s="333"/>
      <c r="C335" s="334"/>
      <c r="D335" s="335" t="s">
        <v>6031</v>
      </c>
      <c r="E335" s="339" t="s">
        <v>6032</v>
      </c>
      <c r="F335" s="84" t="s">
        <v>20</v>
      </c>
      <c r="G335" s="335" t="s">
        <v>6033</v>
      </c>
      <c r="H335" s="335" t="s">
        <v>6034</v>
      </c>
      <c r="I335" s="85" t="s">
        <v>23</v>
      </c>
      <c r="J335" s="335" t="s">
        <v>6035</v>
      </c>
      <c r="K335" s="335" t="s">
        <v>6036</v>
      </c>
    </row>
    <row r="336" spans="1:11">
      <c r="A336" s="332"/>
      <c r="B336" s="333"/>
      <c r="C336" s="337"/>
      <c r="D336" s="335" t="s">
        <v>6037</v>
      </c>
      <c r="E336" s="339" t="s">
        <v>6038</v>
      </c>
      <c r="F336" s="84" t="s">
        <v>20</v>
      </c>
      <c r="G336" s="335" t="s">
        <v>6039</v>
      </c>
      <c r="H336" s="335" t="s">
        <v>6040</v>
      </c>
      <c r="I336" s="85" t="s">
        <v>23</v>
      </c>
      <c r="J336" s="335" t="s">
        <v>6041</v>
      </c>
      <c r="K336" s="335" t="s">
        <v>6042</v>
      </c>
    </row>
    <row r="337" spans="1:11">
      <c r="A337" s="332"/>
      <c r="B337" s="333"/>
      <c r="C337" s="347" t="s">
        <v>6043</v>
      </c>
      <c r="D337" s="335" t="s">
        <v>6044</v>
      </c>
      <c r="E337" s="339" t="s">
        <v>6045</v>
      </c>
      <c r="F337" s="84" t="s">
        <v>425</v>
      </c>
      <c r="G337" s="335" t="s">
        <v>6046</v>
      </c>
      <c r="H337" s="335" t="s">
        <v>6047</v>
      </c>
      <c r="I337" s="85" t="s">
        <v>23</v>
      </c>
      <c r="J337" s="335" t="s">
        <v>6048</v>
      </c>
      <c r="K337" s="335" t="s">
        <v>6049</v>
      </c>
    </row>
    <row r="338" spans="1:11">
      <c r="A338" s="332"/>
      <c r="B338" s="333"/>
      <c r="C338" s="348"/>
      <c r="D338" s="335" t="s">
        <v>6050</v>
      </c>
      <c r="E338" s="339" t="s">
        <v>6051</v>
      </c>
      <c r="F338" s="84" t="s">
        <v>425</v>
      </c>
      <c r="G338" s="335" t="s">
        <v>6052</v>
      </c>
      <c r="H338" s="335" t="s">
        <v>6053</v>
      </c>
      <c r="I338" s="85" t="s">
        <v>23</v>
      </c>
      <c r="J338" s="335" t="s">
        <v>6054</v>
      </c>
      <c r="K338" s="335" t="s">
        <v>6055</v>
      </c>
    </row>
    <row r="339" spans="1:11">
      <c r="A339" s="332"/>
      <c r="B339" s="333"/>
      <c r="C339" s="348"/>
      <c r="D339" s="335" t="s">
        <v>6056</v>
      </c>
      <c r="E339" s="339" t="s">
        <v>6057</v>
      </c>
      <c r="F339" s="84" t="s">
        <v>425</v>
      </c>
      <c r="G339" s="335" t="s">
        <v>6058</v>
      </c>
      <c r="H339" s="335" t="s">
        <v>6059</v>
      </c>
      <c r="I339" s="85" t="s">
        <v>23</v>
      </c>
      <c r="J339" s="335" t="s">
        <v>6060</v>
      </c>
      <c r="K339" s="335" t="s">
        <v>6061</v>
      </c>
    </row>
    <row r="340" spans="1:11">
      <c r="A340" s="332"/>
      <c r="B340" s="333"/>
      <c r="C340" s="348"/>
      <c r="D340" s="335" t="s">
        <v>6062</v>
      </c>
      <c r="E340" s="339" t="s">
        <v>6063</v>
      </c>
      <c r="F340" s="84" t="s">
        <v>20</v>
      </c>
      <c r="G340" s="335" t="s">
        <v>6064</v>
      </c>
      <c r="H340" s="335" t="s">
        <v>6065</v>
      </c>
      <c r="I340" s="85" t="s">
        <v>23</v>
      </c>
      <c r="J340" s="335" t="s">
        <v>6066</v>
      </c>
      <c r="K340" s="335" t="s">
        <v>6067</v>
      </c>
    </row>
    <row r="341" spans="1:11">
      <c r="A341" s="332"/>
      <c r="B341" s="333"/>
      <c r="C341" s="349"/>
      <c r="D341" s="335" t="s">
        <v>6068</v>
      </c>
      <c r="E341" s="339" t="s">
        <v>6069</v>
      </c>
      <c r="F341" s="84" t="s">
        <v>20</v>
      </c>
      <c r="G341" s="335" t="s">
        <v>6070</v>
      </c>
      <c r="H341" s="335" t="s">
        <v>6071</v>
      </c>
      <c r="I341" s="85" t="s">
        <v>23</v>
      </c>
      <c r="J341" s="335" t="s">
        <v>6072</v>
      </c>
      <c r="K341" s="335" t="s">
        <v>6073</v>
      </c>
    </row>
    <row r="342" spans="1:11">
      <c r="A342" s="332"/>
      <c r="B342" s="333"/>
      <c r="C342" s="338" t="s">
        <v>6074</v>
      </c>
      <c r="D342" s="335" t="s">
        <v>6075</v>
      </c>
      <c r="E342" s="339" t="s">
        <v>6076</v>
      </c>
      <c r="F342" s="84" t="s">
        <v>20</v>
      </c>
      <c r="G342" s="335" t="s">
        <v>6077</v>
      </c>
      <c r="H342" s="335" t="s">
        <v>6078</v>
      </c>
      <c r="I342" s="85" t="s">
        <v>23</v>
      </c>
      <c r="J342" s="335" t="s">
        <v>6079</v>
      </c>
      <c r="K342" s="335" t="s">
        <v>6080</v>
      </c>
    </row>
    <row r="343" spans="1:11">
      <c r="A343" s="332"/>
      <c r="B343" s="333"/>
      <c r="C343" s="334"/>
      <c r="D343" s="335" t="s">
        <v>6081</v>
      </c>
      <c r="E343" s="339" t="s">
        <v>6082</v>
      </c>
      <c r="F343" s="84" t="s">
        <v>229</v>
      </c>
      <c r="G343" s="335" t="s">
        <v>6083</v>
      </c>
      <c r="H343" s="335" t="s">
        <v>6084</v>
      </c>
      <c r="I343" s="85" t="s">
        <v>23</v>
      </c>
      <c r="J343" s="335" t="s">
        <v>6085</v>
      </c>
      <c r="K343" s="335" t="s">
        <v>6086</v>
      </c>
    </row>
    <row r="344" spans="1:11">
      <c r="A344" s="332"/>
      <c r="B344" s="333"/>
      <c r="C344" s="334"/>
      <c r="D344" s="335" t="s">
        <v>6087</v>
      </c>
      <c r="E344" s="339" t="s">
        <v>6088</v>
      </c>
      <c r="F344" s="84" t="s">
        <v>229</v>
      </c>
      <c r="G344" s="335" t="s">
        <v>6089</v>
      </c>
      <c r="H344" s="335" t="s">
        <v>6090</v>
      </c>
      <c r="I344" s="85" t="s">
        <v>23</v>
      </c>
      <c r="J344" s="335" t="s">
        <v>6091</v>
      </c>
      <c r="K344" s="335" t="s">
        <v>6092</v>
      </c>
    </row>
    <row r="345" spans="1:11">
      <c r="A345" s="332"/>
      <c r="B345" s="333"/>
      <c r="C345" s="334"/>
      <c r="D345" s="335" t="s">
        <v>6093</v>
      </c>
      <c r="E345" s="339" t="s">
        <v>6094</v>
      </c>
      <c r="F345" s="84" t="s">
        <v>229</v>
      </c>
      <c r="G345" s="335" t="s">
        <v>6095</v>
      </c>
      <c r="H345" s="335" t="s">
        <v>6096</v>
      </c>
      <c r="I345" s="85" t="s">
        <v>23</v>
      </c>
      <c r="J345" s="335" t="s">
        <v>6097</v>
      </c>
      <c r="K345" s="335" t="s">
        <v>6098</v>
      </c>
    </row>
    <row r="346" spans="1:11">
      <c r="A346" s="332"/>
      <c r="B346" s="333"/>
      <c r="C346" s="337"/>
      <c r="D346" s="335" t="s">
        <v>6099</v>
      </c>
      <c r="E346" s="339" t="s">
        <v>6100</v>
      </c>
      <c r="F346" s="84" t="s">
        <v>229</v>
      </c>
      <c r="G346" s="335" t="s">
        <v>6101</v>
      </c>
      <c r="H346" s="335" t="s">
        <v>6102</v>
      </c>
      <c r="I346" s="85" t="s">
        <v>23</v>
      </c>
      <c r="J346" s="335" t="s">
        <v>6103</v>
      </c>
      <c r="K346" s="335" t="s">
        <v>6104</v>
      </c>
    </row>
    <row r="347" spans="1:11">
      <c r="A347" s="332"/>
      <c r="B347" s="333"/>
      <c r="C347" s="347" t="s">
        <v>6105</v>
      </c>
      <c r="D347" s="335" t="s">
        <v>6106</v>
      </c>
      <c r="E347" s="339" t="s">
        <v>6107</v>
      </c>
      <c r="F347" s="84" t="s">
        <v>229</v>
      </c>
      <c r="G347" s="335" t="s">
        <v>6108</v>
      </c>
      <c r="H347" s="335" t="s">
        <v>6109</v>
      </c>
      <c r="I347" s="85" t="s">
        <v>23</v>
      </c>
      <c r="J347" s="335" t="s">
        <v>6110</v>
      </c>
      <c r="K347" s="335" t="s">
        <v>6111</v>
      </c>
    </row>
    <row r="348" spans="1:11">
      <c r="A348" s="332"/>
      <c r="B348" s="333"/>
      <c r="C348" s="348"/>
      <c r="D348" s="335" t="s">
        <v>6112</v>
      </c>
      <c r="E348" s="339" t="s">
        <v>6113</v>
      </c>
      <c r="F348" s="84" t="s">
        <v>425</v>
      </c>
      <c r="G348" s="335" t="s">
        <v>6114</v>
      </c>
      <c r="H348" s="335" t="s">
        <v>6115</v>
      </c>
      <c r="I348" s="85" t="s">
        <v>23</v>
      </c>
      <c r="J348" s="335" t="s">
        <v>6116</v>
      </c>
      <c r="K348" s="335" t="s">
        <v>6117</v>
      </c>
    </row>
    <row r="349" spans="1:11">
      <c r="A349" s="332"/>
      <c r="B349" s="333"/>
      <c r="C349" s="348"/>
      <c r="D349" s="335" t="s">
        <v>6118</v>
      </c>
      <c r="E349" s="339" t="s">
        <v>6119</v>
      </c>
      <c r="F349" s="84" t="s">
        <v>425</v>
      </c>
      <c r="G349" s="335" t="s">
        <v>6120</v>
      </c>
      <c r="H349" s="335" t="s">
        <v>6121</v>
      </c>
      <c r="I349" s="85" t="s">
        <v>23</v>
      </c>
      <c r="J349" s="335" t="s">
        <v>6122</v>
      </c>
      <c r="K349" s="335" t="s">
        <v>6123</v>
      </c>
    </row>
    <row r="350" spans="1:11">
      <c r="A350" s="332"/>
      <c r="B350" s="333"/>
      <c r="C350" s="348"/>
      <c r="D350" s="335" t="s">
        <v>6124</v>
      </c>
      <c r="E350" s="339" t="s">
        <v>6125</v>
      </c>
      <c r="F350" s="84" t="s">
        <v>425</v>
      </c>
      <c r="G350" s="335" t="s">
        <v>6126</v>
      </c>
      <c r="H350" s="335" t="s">
        <v>6127</v>
      </c>
      <c r="I350" s="85" t="s">
        <v>23</v>
      </c>
      <c r="J350" s="335" t="s">
        <v>6128</v>
      </c>
      <c r="K350" s="335" t="s">
        <v>6129</v>
      </c>
    </row>
    <row r="351" spans="1:11">
      <c r="A351" s="332"/>
      <c r="B351" s="333"/>
      <c r="C351" s="349"/>
      <c r="D351" s="335" t="s">
        <v>6130</v>
      </c>
      <c r="E351" s="339" t="s">
        <v>6131</v>
      </c>
      <c r="F351" s="84" t="s">
        <v>425</v>
      </c>
      <c r="G351" s="335" t="s">
        <v>6132</v>
      </c>
      <c r="H351" s="335" t="s">
        <v>6133</v>
      </c>
      <c r="I351" s="85" t="s">
        <v>23</v>
      </c>
      <c r="J351" s="335" t="s">
        <v>6134</v>
      </c>
      <c r="K351" s="335" t="s">
        <v>6135</v>
      </c>
    </row>
    <row r="352" spans="1:11">
      <c r="A352" s="332"/>
      <c r="B352" s="333"/>
      <c r="C352" s="338" t="s">
        <v>6136</v>
      </c>
      <c r="D352" s="335" t="s">
        <v>6137</v>
      </c>
      <c r="E352" s="339" t="s">
        <v>6138</v>
      </c>
      <c r="F352" s="84" t="s">
        <v>425</v>
      </c>
      <c r="G352" s="335" t="s">
        <v>6139</v>
      </c>
      <c r="H352" s="335" t="s">
        <v>6140</v>
      </c>
      <c r="I352" s="85" t="s">
        <v>23</v>
      </c>
      <c r="J352" s="335" t="s">
        <v>6141</v>
      </c>
      <c r="K352" s="335" t="s">
        <v>6142</v>
      </c>
    </row>
    <row r="353" spans="1:11">
      <c r="A353" s="332"/>
      <c r="B353" s="333"/>
      <c r="C353" s="334"/>
      <c r="D353" s="335" t="s">
        <v>6089</v>
      </c>
      <c r="E353" s="339" t="s">
        <v>6143</v>
      </c>
      <c r="F353" s="84" t="s">
        <v>425</v>
      </c>
      <c r="G353" s="335" t="s">
        <v>6144</v>
      </c>
      <c r="H353" s="335" t="s">
        <v>6145</v>
      </c>
      <c r="I353" s="85" t="s">
        <v>23</v>
      </c>
      <c r="J353" s="335" t="s">
        <v>6146</v>
      </c>
      <c r="K353" s="335" t="s">
        <v>6147</v>
      </c>
    </row>
    <row r="354" spans="1:11">
      <c r="A354" s="332"/>
      <c r="B354" s="333"/>
      <c r="C354" s="334"/>
      <c r="D354" s="335" t="s">
        <v>6148</v>
      </c>
      <c r="E354" s="339" t="s">
        <v>6149</v>
      </c>
      <c r="F354" s="84" t="s">
        <v>229</v>
      </c>
      <c r="G354" s="335" t="s">
        <v>6150</v>
      </c>
      <c r="H354" s="335" t="s">
        <v>6151</v>
      </c>
      <c r="I354" s="85" t="s">
        <v>23</v>
      </c>
      <c r="J354" s="335" t="s">
        <v>6152</v>
      </c>
      <c r="K354" s="335" t="s">
        <v>6153</v>
      </c>
    </row>
    <row r="355" spans="1:11">
      <c r="A355" s="332"/>
      <c r="B355" s="333"/>
      <c r="C355" s="334"/>
      <c r="D355" s="335" t="s">
        <v>6154</v>
      </c>
      <c r="E355" s="339" t="s">
        <v>6155</v>
      </c>
      <c r="F355" s="84" t="s">
        <v>229</v>
      </c>
      <c r="G355" s="335" t="s">
        <v>6156</v>
      </c>
      <c r="H355" s="335" t="s">
        <v>6157</v>
      </c>
      <c r="I355" s="85" t="s">
        <v>23</v>
      </c>
      <c r="J355" s="335" t="s">
        <v>6158</v>
      </c>
      <c r="K355" s="335" t="s">
        <v>6159</v>
      </c>
    </row>
    <row r="356" spans="1:11">
      <c r="A356" s="332"/>
      <c r="B356" s="333"/>
      <c r="C356" s="337"/>
      <c r="D356" s="335" t="s">
        <v>6160</v>
      </c>
      <c r="E356" s="339" t="s">
        <v>6161</v>
      </c>
      <c r="F356" s="84" t="s">
        <v>229</v>
      </c>
      <c r="G356" s="335" t="s">
        <v>6162</v>
      </c>
      <c r="H356" s="335" t="s">
        <v>6163</v>
      </c>
      <c r="I356" s="85" t="s">
        <v>23</v>
      </c>
      <c r="J356" s="335" t="s">
        <v>6164</v>
      </c>
      <c r="K356" s="335" t="s">
        <v>6165</v>
      </c>
    </row>
    <row r="357" spans="1:11">
      <c r="A357" s="332"/>
      <c r="B357" s="333"/>
      <c r="C357" s="347" t="s">
        <v>6166</v>
      </c>
      <c r="D357" s="335" t="s">
        <v>6167</v>
      </c>
      <c r="E357" s="339" t="s">
        <v>6168</v>
      </c>
      <c r="F357" s="84" t="s">
        <v>229</v>
      </c>
      <c r="G357" s="335" t="s">
        <v>6169</v>
      </c>
      <c r="H357" s="335" t="s">
        <v>6170</v>
      </c>
      <c r="I357" s="85" t="s">
        <v>23</v>
      </c>
      <c r="J357" s="335" t="s">
        <v>6171</v>
      </c>
      <c r="K357" s="306" t="s">
        <v>6172</v>
      </c>
    </row>
    <row r="358" spans="1:11">
      <c r="A358" s="332"/>
      <c r="B358" s="333"/>
      <c r="C358" s="348"/>
      <c r="D358" s="335" t="s">
        <v>6173</v>
      </c>
      <c r="E358" s="339" t="s">
        <v>6174</v>
      </c>
      <c r="F358" s="84" t="s">
        <v>20</v>
      </c>
      <c r="G358" s="335" t="s">
        <v>6175</v>
      </c>
      <c r="H358" s="335" t="s">
        <v>6176</v>
      </c>
      <c r="I358" s="85" t="s">
        <v>23</v>
      </c>
      <c r="J358" s="335" t="s">
        <v>6177</v>
      </c>
      <c r="K358" s="335" t="s">
        <v>6178</v>
      </c>
    </row>
    <row r="359" spans="1:11">
      <c r="A359" s="332"/>
      <c r="B359" s="333"/>
      <c r="C359" s="348"/>
      <c r="D359" s="335" t="s">
        <v>6126</v>
      </c>
      <c r="E359" s="339" t="s">
        <v>6179</v>
      </c>
      <c r="F359" s="84" t="s">
        <v>20</v>
      </c>
      <c r="G359" s="335" t="s">
        <v>6180</v>
      </c>
      <c r="H359" s="335" t="s">
        <v>6181</v>
      </c>
      <c r="I359" s="85" t="s">
        <v>23</v>
      </c>
      <c r="J359" s="335" t="s">
        <v>6182</v>
      </c>
      <c r="K359" s="335" t="s">
        <v>6183</v>
      </c>
    </row>
    <row r="360" spans="1:11">
      <c r="A360" s="332"/>
      <c r="B360" s="333"/>
      <c r="C360" s="348"/>
      <c r="D360" s="335" t="s">
        <v>6184</v>
      </c>
      <c r="E360" s="339" t="s">
        <v>6185</v>
      </c>
      <c r="F360" s="84" t="s">
        <v>20</v>
      </c>
      <c r="G360" s="335" t="s">
        <v>6186</v>
      </c>
      <c r="H360" s="335" t="s">
        <v>6187</v>
      </c>
      <c r="I360" s="85" t="s">
        <v>23</v>
      </c>
      <c r="J360" s="335" t="s">
        <v>6188</v>
      </c>
      <c r="K360" s="335" t="s">
        <v>6189</v>
      </c>
    </row>
    <row r="361" spans="1:11">
      <c r="A361" s="332"/>
      <c r="B361" s="333"/>
      <c r="C361" s="349"/>
      <c r="D361" s="335" t="s">
        <v>6190</v>
      </c>
      <c r="E361" s="339" t="s">
        <v>6191</v>
      </c>
      <c r="F361" s="84" t="s">
        <v>20</v>
      </c>
      <c r="G361" s="335" t="s">
        <v>6192</v>
      </c>
      <c r="H361" s="335" t="s">
        <v>6193</v>
      </c>
      <c r="I361" s="85" t="s">
        <v>23</v>
      </c>
      <c r="J361" s="335" t="s">
        <v>6194</v>
      </c>
      <c r="K361" s="335" t="s">
        <v>6195</v>
      </c>
    </row>
    <row r="362" spans="1:11">
      <c r="A362" s="332"/>
      <c r="B362" s="333"/>
      <c r="C362" s="347" t="s">
        <v>6196</v>
      </c>
      <c r="D362" s="335" t="s">
        <v>6197</v>
      </c>
      <c r="E362" s="339" t="s">
        <v>6198</v>
      </c>
      <c r="F362" s="84" t="s">
        <v>20</v>
      </c>
      <c r="G362" s="335" t="s">
        <v>6199</v>
      </c>
      <c r="H362" s="335" t="s">
        <v>6200</v>
      </c>
      <c r="I362" s="85" t="s">
        <v>23</v>
      </c>
      <c r="J362" s="335" t="s">
        <v>6201</v>
      </c>
      <c r="K362" s="335" t="s">
        <v>6202</v>
      </c>
    </row>
    <row r="363" spans="1:11">
      <c r="A363" s="332"/>
      <c r="B363" s="333"/>
      <c r="C363" s="348"/>
      <c r="D363" s="342" t="s">
        <v>6203</v>
      </c>
      <c r="E363" s="343" t="s">
        <v>6204</v>
      </c>
      <c r="F363" s="84" t="s">
        <v>20</v>
      </c>
      <c r="G363" s="335" t="s">
        <v>6205</v>
      </c>
      <c r="H363" s="335" t="s">
        <v>6206</v>
      </c>
      <c r="I363" s="85" t="s">
        <v>23</v>
      </c>
      <c r="J363" s="335" t="s">
        <v>6207</v>
      </c>
      <c r="K363" s="335" t="s">
        <v>6208</v>
      </c>
    </row>
    <row r="364" spans="1:11">
      <c r="A364" s="332"/>
      <c r="B364" s="333"/>
      <c r="C364" s="348"/>
      <c r="D364" s="342" t="s">
        <v>6209</v>
      </c>
      <c r="E364" s="343" t="s">
        <v>6210</v>
      </c>
      <c r="F364" s="84" t="s">
        <v>425</v>
      </c>
      <c r="G364" s="335" t="s">
        <v>6211</v>
      </c>
      <c r="H364" s="335" t="s">
        <v>6212</v>
      </c>
      <c r="I364" s="85" t="s">
        <v>23</v>
      </c>
      <c r="J364" s="335" t="s">
        <v>6213</v>
      </c>
      <c r="K364" s="335" t="s">
        <v>6214</v>
      </c>
    </row>
    <row r="365" spans="1:11">
      <c r="A365" s="332"/>
      <c r="B365" s="333"/>
      <c r="C365" s="348"/>
      <c r="D365" s="342" t="s">
        <v>6215</v>
      </c>
      <c r="E365" s="343" t="s">
        <v>6216</v>
      </c>
      <c r="F365" s="84" t="s">
        <v>425</v>
      </c>
      <c r="G365" s="335" t="s">
        <v>6217</v>
      </c>
      <c r="H365" s="335" t="s">
        <v>6218</v>
      </c>
      <c r="I365" s="85" t="s">
        <v>23</v>
      </c>
      <c r="J365" s="335" t="s">
        <v>6219</v>
      </c>
      <c r="K365" s="335" t="s">
        <v>6220</v>
      </c>
    </row>
    <row r="366" spans="1:11">
      <c r="A366" s="332"/>
      <c r="B366" s="333"/>
      <c r="C366" s="349"/>
      <c r="D366" s="342" t="s">
        <v>6221</v>
      </c>
      <c r="E366" s="343" t="s">
        <v>6222</v>
      </c>
      <c r="F366" s="84" t="s">
        <v>20</v>
      </c>
      <c r="G366" s="335" t="s">
        <v>6223</v>
      </c>
      <c r="H366" s="335" t="s">
        <v>6224</v>
      </c>
      <c r="I366" s="85" t="s">
        <v>23</v>
      </c>
      <c r="J366" s="335" t="s">
        <v>6225</v>
      </c>
      <c r="K366" s="335" t="s">
        <v>6226</v>
      </c>
    </row>
    <row r="367" spans="1:11">
      <c r="A367" s="332"/>
      <c r="B367" s="333"/>
      <c r="C367" s="338" t="s">
        <v>6227</v>
      </c>
      <c r="D367" s="342" t="s">
        <v>6228</v>
      </c>
      <c r="E367" s="343" t="s">
        <v>6229</v>
      </c>
      <c r="F367" s="84" t="s">
        <v>20</v>
      </c>
      <c r="G367" s="335" t="s">
        <v>6230</v>
      </c>
      <c r="H367" s="335" t="s">
        <v>6231</v>
      </c>
      <c r="I367" s="85" t="s">
        <v>23</v>
      </c>
      <c r="J367" s="335" t="s">
        <v>6232</v>
      </c>
      <c r="K367" s="335" t="s">
        <v>6233</v>
      </c>
    </row>
    <row r="368" spans="1:11">
      <c r="A368" s="332"/>
      <c r="B368" s="333"/>
      <c r="C368" s="334"/>
      <c r="D368" s="342" t="s">
        <v>6234</v>
      </c>
      <c r="E368" s="343" t="s">
        <v>6235</v>
      </c>
      <c r="F368" s="84" t="s">
        <v>20</v>
      </c>
      <c r="G368" s="335" t="s">
        <v>6236</v>
      </c>
      <c r="H368" s="335" t="s">
        <v>6237</v>
      </c>
      <c r="I368" s="85" t="s">
        <v>23</v>
      </c>
      <c r="J368" s="335" t="s">
        <v>6238</v>
      </c>
      <c r="K368" s="335" t="s">
        <v>6239</v>
      </c>
    </row>
    <row r="369" spans="1:11">
      <c r="A369" s="332"/>
      <c r="B369" s="333"/>
      <c r="C369" s="334"/>
      <c r="D369" s="342" t="s">
        <v>6240</v>
      </c>
      <c r="E369" s="343" t="s">
        <v>6241</v>
      </c>
      <c r="F369" s="84" t="s">
        <v>229</v>
      </c>
      <c r="G369" s="335" t="s">
        <v>6242</v>
      </c>
      <c r="H369" s="335" t="s">
        <v>6243</v>
      </c>
      <c r="I369" s="85" t="s">
        <v>23</v>
      </c>
      <c r="J369" s="335" t="s">
        <v>6244</v>
      </c>
      <c r="K369" s="335" t="s">
        <v>6245</v>
      </c>
    </row>
    <row r="370" spans="1:11">
      <c r="A370" s="332"/>
      <c r="B370" s="333"/>
      <c r="C370" s="334"/>
      <c r="D370" s="342" t="s">
        <v>6246</v>
      </c>
      <c r="E370" s="343" t="s">
        <v>6247</v>
      </c>
      <c r="F370" s="84" t="s">
        <v>229</v>
      </c>
      <c r="G370" s="335" t="s">
        <v>6248</v>
      </c>
      <c r="H370" s="335" t="s">
        <v>6249</v>
      </c>
      <c r="I370" s="85" t="s">
        <v>23</v>
      </c>
      <c r="J370" s="335" t="s">
        <v>6250</v>
      </c>
      <c r="K370" s="335" t="s">
        <v>6251</v>
      </c>
    </row>
    <row r="371" spans="1:11" ht="15.75" thickBot="1">
      <c r="A371" s="332"/>
      <c r="B371" s="344"/>
      <c r="C371" s="340"/>
      <c r="D371" s="345" t="s">
        <v>6252</v>
      </c>
      <c r="E371" s="346" t="s">
        <v>6253</v>
      </c>
      <c r="F371" s="84" t="s">
        <v>229</v>
      </c>
      <c r="G371" s="335" t="s">
        <v>6254</v>
      </c>
      <c r="H371" s="335" t="s">
        <v>6255</v>
      </c>
      <c r="I371" s="85" t="s">
        <v>23</v>
      </c>
      <c r="J371" s="335" t="s">
        <v>6256</v>
      </c>
      <c r="K371" s="335" t="s">
        <v>6257</v>
      </c>
    </row>
    <row r="372" spans="1:11">
      <c r="A372" s="332"/>
      <c r="B372" s="327" t="s">
        <v>6258</v>
      </c>
      <c r="C372" s="355" t="s">
        <v>6259</v>
      </c>
      <c r="D372" s="341" t="s">
        <v>6205</v>
      </c>
      <c r="E372" s="330" t="s">
        <v>6260</v>
      </c>
      <c r="F372" s="84" t="s">
        <v>229</v>
      </c>
      <c r="G372" s="335" t="s">
        <v>6261</v>
      </c>
      <c r="H372" s="335" t="s">
        <v>6262</v>
      </c>
      <c r="I372" s="85" t="s">
        <v>23</v>
      </c>
      <c r="J372" s="335" t="s">
        <v>6263</v>
      </c>
      <c r="K372" s="335" t="s">
        <v>6264</v>
      </c>
    </row>
    <row r="373" spans="1:11">
      <c r="A373" s="332"/>
      <c r="B373" s="333"/>
      <c r="C373" s="348"/>
      <c r="D373" s="329" t="s">
        <v>6265</v>
      </c>
      <c r="E373" s="336" t="s">
        <v>6266</v>
      </c>
      <c r="F373" s="84" t="s">
        <v>229</v>
      </c>
      <c r="G373" s="335" t="s">
        <v>6267</v>
      </c>
      <c r="H373" s="335" t="s">
        <v>6268</v>
      </c>
      <c r="I373" s="85" t="s">
        <v>23</v>
      </c>
      <c r="J373" s="335" t="s">
        <v>6269</v>
      </c>
      <c r="K373" s="335" t="s">
        <v>6270</v>
      </c>
    </row>
    <row r="374" spans="1:11">
      <c r="A374" s="332"/>
      <c r="B374" s="333"/>
      <c r="C374" s="348"/>
      <c r="D374" s="329" t="s">
        <v>6271</v>
      </c>
      <c r="E374" s="336" t="s">
        <v>6272</v>
      </c>
      <c r="F374" s="84" t="s">
        <v>20</v>
      </c>
      <c r="G374" s="335" t="s">
        <v>6273</v>
      </c>
      <c r="H374" s="335" t="s">
        <v>6274</v>
      </c>
      <c r="I374" s="85" t="s">
        <v>23</v>
      </c>
      <c r="J374" s="335" t="s">
        <v>6275</v>
      </c>
      <c r="K374" s="335" t="s">
        <v>6276</v>
      </c>
    </row>
    <row r="375" spans="1:11">
      <c r="A375" s="332"/>
      <c r="B375" s="333"/>
      <c r="C375" s="348"/>
      <c r="D375" s="329" t="s">
        <v>6277</v>
      </c>
      <c r="E375" s="336" t="s">
        <v>6278</v>
      </c>
      <c r="F375" s="84" t="s">
        <v>20</v>
      </c>
      <c r="G375" s="335" t="s">
        <v>6279</v>
      </c>
      <c r="H375" s="335" t="s">
        <v>6280</v>
      </c>
      <c r="I375" s="85" t="s">
        <v>23</v>
      </c>
      <c r="J375" s="335" t="s">
        <v>6281</v>
      </c>
      <c r="K375" s="335" t="s">
        <v>6282</v>
      </c>
    </row>
    <row r="376" spans="1:11">
      <c r="A376" s="332"/>
      <c r="B376" s="333"/>
      <c r="C376" s="349"/>
      <c r="D376" s="329" t="s">
        <v>6283</v>
      </c>
      <c r="E376" s="336" t="s">
        <v>6284</v>
      </c>
      <c r="F376" s="84" t="s">
        <v>20</v>
      </c>
      <c r="G376" s="335" t="s">
        <v>6285</v>
      </c>
      <c r="H376" s="335" t="s">
        <v>6286</v>
      </c>
      <c r="I376" s="85" t="s">
        <v>23</v>
      </c>
      <c r="J376" s="335" t="s">
        <v>6287</v>
      </c>
      <c r="K376" s="335" t="s">
        <v>6288</v>
      </c>
    </row>
    <row r="377" spans="1:11">
      <c r="A377" s="332"/>
      <c r="B377" s="333"/>
      <c r="C377" s="338" t="s">
        <v>6289</v>
      </c>
      <c r="D377" s="335" t="s">
        <v>6290</v>
      </c>
      <c r="E377" s="339" t="s">
        <v>6291</v>
      </c>
      <c r="F377" s="84" t="s">
        <v>425</v>
      </c>
      <c r="G377" s="335" t="s">
        <v>6292</v>
      </c>
      <c r="H377" s="335" t="s">
        <v>6293</v>
      </c>
      <c r="I377" s="85" t="s">
        <v>23</v>
      </c>
      <c r="J377" s="335" t="s">
        <v>6294</v>
      </c>
      <c r="K377" s="335" t="s">
        <v>6295</v>
      </c>
    </row>
    <row r="378" spans="1:11">
      <c r="A378" s="332"/>
      <c r="B378" s="333"/>
      <c r="C378" s="334"/>
      <c r="D378" s="335" t="s">
        <v>6296</v>
      </c>
      <c r="E378" s="339" t="s">
        <v>6297</v>
      </c>
      <c r="F378" s="84" t="s">
        <v>425</v>
      </c>
      <c r="G378" s="335" t="s">
        <v>6298</v>
      </c>
      <c r="H378" s="335" t="s">
        <v>6299</v>
      </c>
      <c r="I378" s="85" t="s">
        <v>23</v>
      </c>
      <c r="J378" s="335" t="s">
        <v>6300</v>
      </c>
      <c r="K378" s="335" t="s">
        <v>6301</v>
      </c>
    </row>
    <row r="379" spans="1:11">
      <c r="A379" s="332"/>
      <c r="B379" s="333"/>
      <c r="C379" s="334"/>
      <c r="D379" s="335" t="s">
        <v>6302</v>
      </c>
      <c r="E379" s="339" t="s">
        <v>6303</v>
      </c>
      <c r="F379" s="84" t="s">
        <v>425</v>
      </c>
      <c r="G379" s="335" t="s">
        <v>6304</v>
      </c>
      <c r="H379" s="335" t="s">
        <v>6305</v>
      </c>
      <c r="I379" s="85" t="s">
        <v>23</v>
      </c>
      <c r="J379" s="335" t="s">
        <v>6306</v>
      </c>
      <c r="K379" s="335" t="s">
        <v>6307</v>
      </c>
    </row>
    <row r="380" spans="1:11">
      <c r="A380" s="332"/>
      <c r="B380" s="333"/>
      <c r="C380" s="334"/>
      <c r="D380" s="335" t="s">
        <v>6308</v>
      </c>
      <c r="E380" s="339" t="s">
        <v>6309</v>
      </c>
      <c r="F380" s="84" t="s">
        <v>425</v>
      </c>
      <c r="G380" s="335" t="s">
        <v>6310</v>
      </c>
      <c r="H380" s="335" t="s">
        <v>6311</v>
      </c>
      <c r="I380" s="85" t="s">
        <v>23</v>
      </c>
      <c r="J380" s="335" t="s">
        <v>6312</v>
      </c>
      <c r="K380" s="335" t="s">
        <v>6313</v>
      </c>
    </row>
    <row r="381" spans="1:11">
      <c r="A381" s="332"/>
      <c r="B381" s="333"/>
      <c r="C381" s="337"/>
      <c r="D381" s="335" t="s">
        <v>6314</v>
      </c>
      <c r="E381" s="339" t="s">
        <v>6315</v>
      </c>
      <c r="F381" s="84" t="s">
        <v>425</v>
      </c>
      <c r="G381" s="335" t="s">
        <v>6316</v>
      </c>
      <c r="H381" s="335" t="s">
        <v>6317</v>
      </c>
      <c r="I381" s="85" t="s">
        <v>23</v>
      </c>
      <c r="J381" s="335" t="s">
        <v>6318</v>
      </c>
      <c r="K381" s="335" t="s">
        <v>6319</v>
      </c>
    </row>
    <row r="382" spans="1:11">
      <c r="A382" s="332"/>
      <c r="B382" s="333"/>
      <c r="C382" s="338" t="s">
        <v>6320</v>
      </c>
      <c r="D382" s="335" t="s">
        <v>6321</v>
      </c>
      <c r="E382" s="339" t="s">
        <v>6322</v>
      </c>
      <c r="F382" s="84" t="s">
        <v>229</v>
      </c>
      <c r="G382" s="335" t="s">
        <v>6323</v>
      </c>
      <c r="H382" s="335" t="s">
        <v>6324</v>
      </c>
      <c r="I382" s="85" t="s">
        <v>23</v>
      </c>
      <c r="J382" s="335" t="s">
        <v>6325</v>
      </c>
      <c r="K382" s="335" t="s">
        <v>6326</v>
      </c>
    </row>
    <row r="383" spans="1:11">
      <c r="A383" s="332"/>
      <c r="B383" s="333"/>
      <c r="C383" s="334"/>
      <c r="D383" s="335" t="s">
        <v>6327</v>
      </c>
      <c r="E383" s="339" t="s">
        <v>6328</v>
      </c>
      <c r="F383" s="84" t="s">
        <v>229</v>
      </c>
      <c r="G383" s="335" t="s">
        <v>6329</v>
      </c>
      <c r="H383" s="335" t="s">
        <v>6330</v>
      </c>
      <c r="I383" s="85" t="s">
        <v>23</v>
      </c>
      <c r="J383" s="335" t="s">
        <v>6331</v>
      </c>
      <c r="K383" s="335" t="s">
        <v>6332</v>
      </c>
    </row>
    <row r="384" spans="1:11">
      <c r="A384" s="332"/>
      <c r="B384" s="333"/>
      <c r="C384" s="334"/>
      <c r="D384" s="335" t="s">
        <v>6333</v>
      </c>
      <c r="E384" s="339" t="s">
        <v>6334</v>
      </c>
      <c r="F384" s="84" t="s">
        <v>229</v>
      </c>
      <c r="G384" s="335" t="s">
        <v>6335</v>
      </c>
      <c r="H384" s="335" t="s">
        <v>6336</v>
      </c>
      <c r="I384" s="85" t="s">
        <v>23</v>
      </c>
      <c r="J384" s="335" t="s">
        <v>6337</v>
      </c>
      <c r="K384" s="335" t="s">
        <v>6338</v>
      </c>
    </row>
    <row r="385" spans="1:11">
      <c r="A385" s="332"/>
      <c r="B385" s="333"/>
      <c r="C385" s="334"/>
      <c r="D385" s="335" t="s">
        <v>6339</v>
      </c>
      <c r="E385" s="339" t="s">
        <v>6340</v>
      </c>
      <c r="F385" s="84" t="s">
        <v>229</v>
      </c>
      <c r="G385" s="335" t="s">
        <v>6341</v>
      </c>
      <c r="H385" s="335" t="s">
        <v>6342</v>
      </c>
      <c r="I385" s="85" t="s">
        <v>23</v>
      </c>
      <c r="J385" s="335" t="s">
        <v>6343</v>
      </c>
      <c r="K385" s="335" t="s">
        <v>6344</v>
      </c>
    </row>
    <row r="386" spans="1:11">
      <c r="A386" s="332"/>
      <c r="B386" s="333"/>
      <c r="C386" s="337"/>
      <c r="D386" s="335" t="s">
        <v>6345</v>
      </c>
      <c r="E386" s="339" t="s">
        <v>6346</v>
      </c>
      <c r="F386" s="84" t="s">
        <v>229</v>
      </c>
      <c r="G386" s="335" t="s">
        <v>6347</v>
      </c>
      <c r="H386" s="335" t="s">
        <v>6348</v>
      </c>
      <c r="I386" s="85" t="s">
        <v>23</v>
      </c>
      <c r="J386" s="335" t="s">
        <v>6349</v>
      </c>
      <c r="K386" s="335" t="s">
        <v>6350</v>
      </c>
    </row>
    <row r="387" spans="1:11">
      <c r="A387" s="332"/>
      <c r="B387" s="333"/>
      <c r="C387" s="338" t="s">
        <v>6351</v>
      </c>
      <c r="D387" s="335" t="s">
        <v>6352</v>
      </c>
      <c r="E387" s="339" t="s">
        <v>6353</v>
      </c>
      <c r="F387" s="84" t="s">
        <v>20</v>
      </c>
      <c r="G387" s="335" t="s">
        <v>6354</v>
      </c>
      <c r="H387" s="335" t="s">
        <v>6355</v>
      </c>
      <c r="I387" s="85" t="s">
        <v>23</v>
      </c>
      <c r="J387" s="335" t="s">
        <v>6356</v>
      </c>
      <c r="K387" s="335" t="s">
        <v>6357</v>
      </c>
    </row>
    <row r="388" spans="1:11">
      <c r="A388" s="332"/>
      <c r="B388" s="333"/>
      <c r="C388" s="334"/>
      <c r="D388" s="335" t="s">
        <v>6304</v>
      </c>
      <c r="E388" s="339" t="s">
        <v>6358</v>
      </c>
      <c r="F388" s="84" t="s">
        <v>20</v>
      </c>
      <c r="G388" s="335" t="s">
        <v>6359</v>
      </c>
      <c r="H388" s="335" t="s">
        <v>6360</v>
      </c>
      <c r="I388" s="85" t="s">
        <v>23</v>
      </c>
      <c r="J388" s="335" t="s">
        <v>6361</v>
      </c>
      <c r="K388" s="335" t="s">
        <v>6362</v>
      </c>
    </row>
    <row r="389" spans="1:11">
      <c r="A389" s="332"/>
      <c r="B389" s="333"/>
      <c r="C389" s="334"/>
      <c r="D389" s="335" t="s">
        <v>6310</v>
      </c>
      <c r="E389" s="339" t="s">
        <v>6363</v>
      </c>
      <c r="F389" s="84" t="s">
        <v>20</v>
      </c>
      <c r="G389" s="335" t="s">
        <v>6364</v>
      </c>
      <c r="H389" s="335" t="s">
        <v>6365</v>
      </c>
      <c r="I389" s="85" t="s">
        <v>23</v>
      </c>
      <c r="J389" s="335" t="s">
        <v>6366</v>
      </c>
      <c r="K389" s="335" t="s">
        <v>6367</v>
      </c>
    </row>
    <row r="390" spans="1:11">
      <c r="A390" s="332"/>
      <c r="B390" s="333"/>
      <c r="C390" s="334"/>
      <c r="D390" s="335" t="s">
        <v>6368</v>
      </c>
      <c r="E390" s="339" t="s">
        <v>6369</v>
      </c>
      <c r="F390" s="84" t="s">
        <v>425</v>
      </c>
      <c r="G390" s="335" t="s">
        <v>6370</v>
      </c>
      <c r="H390" s="335" t="s">
        <v>6371</v>
      </c>
      <c r="I390" s="85" t="s">
        <v>23</v>
      </c>
      <c r="J390" s="335" t="s">
        <v>6372</v>
      </c>
      <c r="K390" s="335" t="s">
        <v>6373</v>
      </c>
    </row>
    <row r="391" spans="1:11">
      <c r="A391" s="332"/>
      <c r="B391" s="333"/>
      <c r="C391" s="337"/>
      <c r="D391" s="335" t="s">
        <v>6374</v>
      </c>
      <c r="E391" s="339" t="s">
        <v>6375</v>
      </c>
      <c r="F391" s="84" t="s">
        <v>229</v>
      </c>
      <c r="G391" s="335" t="s">
        <v>6376</v>
      </c>
      <c r="H391" s="335" t="s">
        <v>6377</v>
      </c>
      <c r="I391" s="85" t="s">
        <v>23</v>
      </c>
      <c r="J391" s="335" t="s">
        <v>6378</v>
      </c>
      <c r="K391" s="335" t="s">
        <v>6379</v>
      </c>
    </row>
    <row r="392" spans="1:11">
      <c r="A392" s="332"/>
      <c r="B392" s="333"/>
      <c r="C392" s="347" t="s">
        <v>6380</v>
      </c>
      <c r="D392" s="335" t="s">
        <v>6329</v>
      </c>
      <c r="E392" s="339" t="s">
        <v>6381</v>
      </c>
      <c r="F392" s="84" t="s">
        <v>229</v>
      </c>
      <c r="G392" s="335" t="s">
        <v>6382</v>
      </c>
      <c r="H392" s="335" t="s">
        <v>6383</v>
      </c>
      <c r="I392" s="85" t="s">
        <v>23</v>
      </c>
      <c r="J392" s="335" t="s">
        <v>6384</v>
      </c>
      <c r="K392" s="335" t="s">
        <v>6385</v>
      </c>
    </row>
    <row r="393" spans="1:11">
      <c r="A393" s="332"/>
      <c r="B393" s="333"/>
      <c r="C393" s="348"/>
      <c r="D393" s="335" t="s">
        <v>6386</v>
      </c>
      <c r="E393" s="339" t="s">
        <v>6387</v>
      </c>
      <c r="F393" s="84" t="s">
        <v>229</v>
      </c>
      <c r="G393" s="335" t="s">
        <v>6388</v>
      </c>
      <c r="H393" s="335" t="s">
        <v>6389</v>
      </c>
      <c r="I393" s="85" t="s">
        <v>23</v>
      </c>
      <c r="J393" s="335" t="s">
        <v>6390</v>
      </c>
      <c r="K393" s="335" t="s">
        <v>6391</v>
      </c>
    </row>
    <row r="394" spans="1:11">
      <c r="A394" s="332"/>
      <c r="B394" s="333"/>
      <c r="C394" s="348"/>
      <c r="D394" s="335" t="s">
        <v>6392</v>
      </c>
      <c r="E394" s="339" t="s">
        <v>6393</v>
      </c>
      <c r="F394" s="84" t="s">
        <v>229</v>
      </c>
      <c r="G394" s="335" t="s">
        <v>6394</v>
      </c>
      <c r="H394" s="335" t="s">
        <v>6395</v>
      </c>
      <c r="I394" s="85" t="s">
        <v>23</v>
      </c>
      <c r="J394" s="335" t="s">
        <v>6396</v>
      </c>
      <c r="K394" s="335" t="s">
        <v>6397</v>
      </c>
    </row>
    <row r="395" spans="1:11">
      <c r="A395" s="332"/>
      <c r="B395" s="333"/>
      <c r="C395" s="348"/>
      <c r="D395" s="335" t="s">
        <v>6398</v>
      </c>
      <c r="E395" s="339" t="s">
        <v>6399</v>
      </c>
      <c r="F395" s="84" t="s">
        <v>20</v>
      </c>
      <c r="G395" s="335" t="s">
        <v>6400</v>
      </c>
      <c r="H395" s="335" t="s">
        <v>6401</v>
      </c>
      <c r="I395" s="85" t="s">
        <v>23</v>
      </c>
      <c r="J395" s="335" t="s">
        <v>6402</v>
      </c>
      <c r="K395" s="335" t="s">
        <v>6403</v>
      </c>
    </row>
    <row r="396" spans="1:11">
      <c r="A396" s="332"/>
      <c r="B396" s="333"/>
      <c r="C396" s="349"/>
      <c r="D396" s="335" t="s">
        <v>6404</v>
      </c>
      <c r="E396" s="339" t="s">
        <v>6405</v>
      </c>
      <c r="F396" s="84" t="s">
        <v>20</v>
      </c>
      <c r="G396" s="335" t="s">
        <v>6406</v>
      </c>
      <c r="H396" s="335" t="s">
        <v>6407</v>
      </c>
      <c r="I396" s="85" t="s">
        <v>23</v>
      </c>
      <c r="J396" s="335" t="s">
        <v>6408</v>
      </c>
      <c r="K396" s="335" t="s">
        <v>6409</v>
      </c>
    </row>
    <row r="397" spans="1:11">
      <c r="A397" s="332"/>
      <c r="B397" s="333"/>
      <c r="C397" s="338" t="s">
        <v>6410</v>
      </c>
      <c r="D397" s="335" t="s">
        <v>6411</v>
      </c>
      <c r="E397" s="339" t="s">
        <v>6412</v>
      </c>
      <c r="F397" s="84" t="s">
        <v>20</v>
      </c>
      <c r="G397" s="335" t="s">
        <v>6413</v>
      </c>
      <c r="H397" s="335" t="s">
        <v>6414</v>
      </c>
      <c r="I397" s="85" t="s">
        <v>23</v>
      </c>
      <c r="J397" s="335" t="s">
        <v>6415</v>
      </c>
      <c r="K397" s="335" t="s">
        <v>6416</v>
      </c>
    </row>
    <row r="398" spans="1:11">
      <c r="A398" s="332"/>
      <c r="B398" s="333"/>
      <c r="C398" s="334"/>
      <c r="D398" s="335" t="s">
        <v>6417</v>
      </c>
      <c r="E398" s="339" t="s">
        <v>6418</v>
      </c>
      <c r="F398" s="84" t="s">
        <v>20</v>
      </c>
      <c r="G398" s="335" t="s">
        <v>6419</v>
      </c>
      <c r="H398" s="335" t="s">
        <v>6420</v>
      </c>
      <c r="I398" s="85" t="s">
        <v>23</v>
      </c>
      <c r="J398" s="335" t="s">
        <v>6421</v>
      </c>
      <c r="K398" s="335" t="s">
        <v>6422</v>
      </c>
    </row>
    <row r="399" spans="1:11">
      <c r="A399" s="332"/>
      <c r="B399" s="333"/>
      <c r="C399" s="334"/>
      <c r="D399" s="335" t="s">
        <v>6423</v>
      </c>
      <c r="E399" s="339" t="s">
        <v>6424</v>
      </c>
      <c r="F399" s="84" t="s">
        <v>20</v>
      </c>
      <c r="G399" s="335" t="s">
        <v>6425</v>
      </c>
      <c r="H399" s="335" t="s">
        <v>6426</v>
      </c>
      <c r="I399" s="85" t="s">
        <v>23</v>
      </c>
      <c r="J399" s="335" t="s">
        <v>6427</v>
      </c>
      <c r="K399" s="335" t="s">
        <v>6428</v>
      </c>
    </row>
    <row r="400" spans="1:11">
      <c r="A400" s="332"/>
      <c r="B400" s="333"/>
      <c r="C400" s="334"/>
      <c r="D400" s="335" t="s">
        <v>6429</v>
      </c>
      <c r="E400" s="339" t="s">
        <v>6430</v>
      </c>
      <c r="F400" s="84" t="s">
        <v>20</v>
      </c>
      <c r="G400" s="335" t="s">
        <v>6431</v>
      </c>
      <c r="H400" s="335" t="s">
        <v>6432</v>
      </c>
      <c r="I400" s="85" t="s">
        <v>23</v>
      </c>
      <c r="J400" s="335" t="s">
        <v>6433</v>
      </c>
      <c r="K400" s="335" t="s">
        <v>6434</v>
      </c>
    </row>
    <row r="401" spans="1:11">
      <c r="A401" s="332"/>
      <c r="B401" s="333"/>
      <c r="C401" s="337"/>
      <c r="D401" s="335" t="s">
        <v>6435</v>
      </c>
      <c r="E401" s="339" t="s">
        <v>6436</v>
      </c>
      <c r="F401" s="84" t="s">
        <v>20</v>
      </c>
      <c r="G401" s="335" t="s">
        <v>6437</v>
      </c>
      <c r="H401" s="335" t="s">
        <v>6438</v>
      </c>
      <c r="I401" s="85" t="s">
        <v>23</v>
      </c>
      <c r="J401" s="335" t="s">
        <v>6439</v>
      </c>
      <c r="K401" s="335" t="s">
        <v>6440</v>
      </c>
    </row>
    <row r="402" spans="1:11">
      <c r="A402" s="332"/>
      <c r="B402" s="333"/>
      <c r="C402" s="338" t="s">
        <v>6441</v>
      </c>
      <c r="D402" s="335" t="s">
        <v>6442</v>
      </c>
      <c r="E402" s="339" t="s">
        <v>6443</v>
      </c>
      <c r="F402" s="84" t="s">
        <v>425</v>
      </c>
      <c r="G402" s="335" t="s">
        <v>6444</v>
      </c>
      <c r="H402" s="335" t="s">
        <v>6445</v>
      </c>
      <c r="I402" s="85" t="s">
        <v>23</v>
      </c>
      <c r="J402" s="335" t="s">
        <v>6446</v>
      </c>
      <c r="K402" s="335" t="s">
        <v>6447</v>
      </c>
    </row>
    <row r="403" spans="1:11">
      <c r="A403" s="332"/>
      <c r="B403" s="333"/>
      <c r="C403" s="334"/>
      <c r="D403" s="335" t="s">
        <v>6448</v>
      </c>
      <c r="E403" s="339" t="s">
        <v>6449</v>
      </c>
      <c r="F403" s="84" t="s">
        <v>425</v>
      </c>
      <c r="G403" s="335" t="s">
        <v>6450</v>
      </c>
      <c r="H403" s="335" t="s">
        <v>6451</v>
      </c>
      <c r="I403" s="85" t="s">
        <v>23</v>
      </c>
      <c r="J403" s="335" t="s">
        <v>6452</v>
      </c>
      <c r="K403" s="335" t="s">
        <v>6453</v>
      </c>
    </row>
    <row r="404" spans="1:11">
      <c r="A404" s="332"/>
      <c r="B404" s="333"/>
      <c r="C404" s="334"/>
      <c r="D404" s="335" t="s">
        <v>6454</v>
      </c>
      <c r="E404" s="339" t="s">
        <v>6455</v>
      </c>
      <c r="F404" s="84" t="s">
        <v>425</v>
      </c>
      <c r="G404" s="335" t="s">
        <v>6456</v>
      </c>
      <c r="H404" s="335" t="s">
        <v>6457</v>
      </c>
      <c r="I404" s="85" t="s">
        <v>23</v>
      </c>
      <c r="J404" s="335" t="s">
        <v>6458</v>
      </c>
      <c r="K404" s="335" t="s">
        <v>6459</v>
      </c>
    </row>
    <row r="405" spans="1:11">
      <c r="A405" s="332"/>
      <c r="B405" s="333"/>
      <c r="C405" s="334"/>
      <c r="D405" s="335" t="s">
        <v>6460</v>
      </c>
      <c r="E405" s="339" t="s">
        <v>6461</v>
      </c>
      <c r="F405" s="84" t="s">
        <v>425</v>
      </c>
      <c r="G405" s="356" t="s">
        <v>6462</v>
      </c>
      <c r="H405" s="335" t="s">
        <v>6463</v>
      </c>
      <c r="I405" s="85" t="s">
        <v>23</v>
      </c>
      <c r="J405" s="335" t="s">
        <v>6464</v>
      </c>
      <c r="K405" s="335" t="s">
        <v>6465</v>
      </c>
    </row>
    <row r="406" spans="1:11">
      <c r="A406" s="332"/>
      <c r="B406" s="333"/>
      <c r="C406" s="337"/>
      <c r="D406" s="335" t="s">
        <v>6413</v>
      </c>
      <c r="E406" s="339" t="s">
        <v>6466</v>
      </c>
      <c r="F406" s="84" t="s">
        <v>425</v>
      </c>
      <c r="G406" s="356" t="s">
        <v>6467</v>
      </c>
      <c r="H406" s="335" t="s">
        <v>6468</v>
      </c>
      <c r="I406" s="85" t="s">
        <v>23</v>
      </c>
      <c r="J406" s="335" t="s">
        <v>6469</v>
      </c>
      <c r="K406" s="335" t="s">
        <v>6470</v>
      </c>
    </row>
    <row r="407" spans="1:11">
      <c r="A407" s="332"/>
      <c r="B407" s="333"/>
      <c r="C407" s="347" t="s">
        <v>6471</v>
      </c>
      <c r="D407" s="335" t="s">
        <v>6472</v>
      </c>
      <c r="E407" s="339" t="s">
        <v>6473</v>
      </c>
      <c r="F407" s="84" t="s">
        <v>425</v>
      </c>
      <c r="G407" s="356" t="s">
        <v>6474</v>
      </c>
      <c r="H407" s="335" t="s">
        <v>6475</v>
      </c>
      <c r="I407" s="85" t="s">
        <v>23</v>
      </c>
      <c r="J407" s="335" t="s">
        <v>6476</v>
      </c>
      <c r="K407" s="335" t="s">
        <v>6477</v>
      </c>
    </row>
    <row r="408" spans="1:11">
      <c r="A408" s="332"/>
      <c r="B408" s="333"/>
      <c r="C408" s="348"/>
      <c r="D408" s="335" t="s">
        <v>6478</v>
      </c>
      <c r="E408" s="339" t="s">
        <v>6479</v>
      </c>
      <c r="F408" s="84" t="s">
        <v>20</v>
      </c>
      <c r="G408" s="356" t="s">
        <v>6480</v>
      </c>
      <c r="H408" s="335" t="s">
        <v>6481</v>
      </c>
      <c r="I408" s="85" t="s">
        <v>23</v>
      </c>
      <c r="J408" s="335" t="s">
        <v>6482</v>
      </c>
      <c r="K408" s="335" t="s">
        <v>6483</v>
      </c>
    </row>
    <row r="409" spans="1:11">
      <c r="A409" s="332"/>
      <c r="B409" s="333"/>
      <c r="C409" s="348"/>
      <c r="D409" s="335" t="s">
        <v>6484</v>
      </c>
      <c r="E409" s="339" t="s">
        <v>6485</v>
      </c>
      <c r="F409" s="84" t="s">
        <v>20</v>
      </c>
      <c r="G409" s="356" t="s">
        <v>6486</v>
      </c>
      <c r="H409" s="335" t="s">
        <v>6487</v>
      </c>
      <c r="I409" s="85" t="s">
        <v>23</v>
      </c>
      <c r="J409" s="335" t="s">
        <v>6488</v>
      </c>
      <c r="K409" s="335" t="s">
        <v>6489</v>
      </c>
    </row>
    <row r="410" spans="1:11">
      <c r="A410" s="332"/>
      <c r="B410" s="333"/>
      <c r="C410" s="348"/>
      <c r="D410" s="335" t="s">
        <v>6490</v>
      </c>
      <c r="E410" s="339" t="s">
        <v>6491</v>
      </c>
      <c r="F410" s="84" t="s">
        <v>20</v>
      </c>
      <c r="G410" s="356" t="s">
        <v>6492</v>
      </c>
      <c r="H410" s="335" t="s">
        <v>6493</v>
      </c>
      <c r="I410" s="85" t="s">
        <v>23</v>
      </c>
      <c r="J410" s="335" t="s">
        <v>6494</v>
      </c>
      <c r="K410" s="335" t="s">
        <v>6495</v>
      </c>
    </row>
    <row r="411" spans="1:11">
      <c r="A411" s="332"/>
      <c r="B411" s="333"/>
      <c r="C411" s="349"/>
      <c r="D411" s="335" t="s">
        <v>6496</v>
      </c>
      <c r="E411" s="339" t="s">
        <v>6497</v>
      </c>
      <c r="F411" s="84" t="s">
        <v>20</v>
      </c>
      <c r="G411" s="356" t="s">
        <v>6498</v>
      </c>
      <c r="H411" s="335" t="s">
        <v>6499</v>
      </c>
      <c r="I411" s="85" t="s">
        <v>23</v>
      </c>
      <c r="J411" s="335" t="s">
        <v>6500</v>
      </c>
      <c r="K411" s="335" t="s">
        <v>6501</v>
      </c>
    </row>
    <row r="412" spans="1:11">
      <c r="A412" s="332"/>
      <c r="B412" s="333"/>
      <c r="C412" s="338" t="s">
        <v>6502</v>
      </c>
      <c r="D412" s="335" t="s">
        <v>6503</v>
      </c>
      <c r="E412" s="339" t="s">
        <v>6504</v>
      </c>
      <c r="F412" s="84" t="s">
        <v>20</v>
      </c>
      <c r="G412" s="356" t="s">
        <v>6505</v>
      </c>
      <c r="H412" s="335" t="s">
        <v>6506</v>
      </c>
      <c r="I412" s="85" t="s">
        <v>23</v>
      </c>
      <c r="J412" s="335" t="s">
        <v>6507</v>
      </c>
      <c r="K412" s="335" t="s">
        <v>6508</v>
      </c>
    </row>
    <row r="413" spans="1:11">
      <c r="A413" s="332"/>
      <c r="B413" s="333"/>
      <c r="C413" s="334"/>
      <c r="D413" s="335" t="s">
        <v>6509</v>
      </c>
      <c r="E413" s="339" t="s">
        <v>6510</v>
      </c>
      <c r="F413" s="84" t="s">
        <v>20</v>
      </c>
      <c r="G413" s="356" t="s">
        <v>6511</v>
      </c>
      <c r="H413" s="335" t="s">
        <v>6512</v>
      </c>
      <c r="I413" s="85" t="s">
        <v>23</v>
      </c>
      <c r="J413" s="335" t="s">
        <v>6513</v>
      </c>
      <c r="K413" s="335" t="s">
        <v>6514</v>
      </c>
    </row>
    <row r="414" spans="1:11">
      <c r="A414" s="332"/>
      <c r="B414" s="333"/>
      <c r="C414" s="334"/>
      <c r="D414" s="335" t="s">
        <v>6515</v>
      </c>
      <c r="E414" s="339" t="s">
        <v>6516</v>
      </c>
      <c r="F414" s="84" t="s">
        <v>20</v>
      </c>
      <c r="G414" s="356" t="s">
        <v>6517</v>
      </c>
      <c r="H414" s="335" t="s">
        <v>6518</v>
      </c>
      <c r="I414" s="85" t="s">
        <v>23</v>
      </c>
      <c r="J414" s="335" t="s">
        <v>6519</v>
      </c>
      <c r="K414" s="335" t="s">
        <v>6520</v>
      </c>
    </row>
    <row r="415" spans="1:11">
      <c r="A415" s="332"/>
      <c r="B415" s="333"/>
      <c r="C415" s="334"/>
      <c r="D415" s="335" t="s">
        <v>6304</v>
      </c>
      <c r="E415" s="339" t="s">
        <v>6521</v>
      </c>
      <c r="F415" s="84" t="s">
        <v>20</v>
      </c>
      <c r="G415" s="356" t="s">
        <v>6522</v>
      </c>
      <c r="H415" s="335" t="s">
        <v>6523</v>
      </c>
      <c r="I415" s="85" t="s">
        <v>23</v>
      </c>
      <c r="J415" s="335" t="s">
        <v>6524</v>
      </c>
      <c r="K415" s="335" t="s">
        <v>6525</v>
      </c>
    </row>
    <row r="416" spans="1:11">
      <c r="A416" s="332"/>
      <c r="B416" s="333"/>
      <c r="C416" s="337"/>
      <c r="D416" s="335" t="s">
        <v>6526</v>
      </c>
      <c r="E416" s="339" t="s">
        <v>6527</v>
      </c>
      <c r="F416" s="84" t="s">
        <v>20</v>
      </c>
      <c r="G416" s="356" t="s">
        <v>6526</v>
      </c>
      <c r="H416" s="335" t="s">
        <v>6528</v>
      </c>
      <c r="I416" s="85" t="s">
        <v>23</v>
      </c>
      <c r="J416" s="335" t="s">
        <v>6529</v>
      </c>
      <c r="K416" s="335" t="s">
        <v>6530</v>
      </c>
    </row>
    <row r="417" spans="1:11">
      <c r="A417" s="332"/>
      <c r="B417" s="333"/>
      <c r="C417" s="347" t="s">
        <v>6531</v>
      </c>
      <c r="D417" s="335" t="s">
        <v>6532</v>
      </c>
      <c r="E417" s="339" t="s">
        <v>6533</v>
      </c>
      <c r="F417" s="84" t="s">
        <v>20</v>
      </c>
      <c r="G417" s="356" t="s">
        <v>6534</v>
      </c>
      <c r="H417" s="335" t="s">
        <v>6535</v>
      </c>
      <c r="I417" s="85" t="s">
        <v>23</v>
      </c>
      <c r="J417" s="335" t="s">
        <v>6536</v>
      </c>
      <c r="K417" s="335" t="s">
        <v>6537</v>
      </c>
    </row>
    <row r="418" spans="1:11">
      <c r="A418" s="332"/>
      <c r="B418" s="333"/>
      <c r="C418" s="348"/>
      <c r="D418" s="335" t="s">
        <v>6538</v>
      </c>
      <c r="E418" s="339" t="s">
        <v>6539</v>
      </c>
      <c r="F418" s="84" t="s">
        <v>20</v>
      </c>
      <c r="G418" s="356" t="s">
        <v>6540</v>
      </c>
      <c r="H418" s="335" t="s">
        <v>6541</v>
      </c>
      <c r="I418" s="85" t="s">
        <v>23</v>
      </c>
      <c r="J418" s="335" t="s">
        <v>6542</v>
      </c>
      <c r="K418" s="335" t="s">
        <v>6543</v>
      </c>
    </row>
    <row r="419" spans="1:11">
      <c r="A419" s="332"/>
      <c r="B419" s="333"/>
      <c r="C419" s="348"/>
      <c r="D419" s="335" t="s">
        <v>6544</v>
      </c>
      <c r="E419" s="339" t="s">
        <v>6545</v>
      </c>
      <c r="F419" s="84" t="s">
        <v>20</v>
      </c>
      <c r="G419" s="356" t="s">
        <v>6546</v>
      </c>
      <c r="H419" s="335" t="s">
        <v>6547</v>
      </c>
      <c r="I419" s="85" t="s">
        <v>23</v>
      </c>
      <c r="J419" s="335" t="s">
        <v>6548</v>
      </c>
      <c r="K419" s="335" t="s">
        <v>6549</v>
      </c>
    </row>
    <row r="420" spans="1:11">
      <c r="A420" s="332"/>
      <c r="B420" s="333"/>
      <c r="C420" s="348"/>
      <c r="D420" s="335" t="s">
        <v>6550</v>
      </c>
      <c r="E420" s="339" t="s">
        <v>6551</v>
      </c>
      <c r="F420" s="84" t="s">
        <v>20</v>
      </c>
      <c r="G420" s="356" t="s">
        <v>6552</v>
      </c>
      <c r="H420" s="335" t="s">
        <v>6553</v>
      </c>
      <c r="I420" s="85" t="s">
        <v>23</v>
      </c>
      <c r="J420" s="335" t="s">
        <v>6554</v>
      </c>
      <c r="K420" s="335" t="s">
        <v>6555</v>
      </c>
    </row>
    <row r="421" spans="1:11">
      <c r="A421" s="332"/>
      <c r="B421" s="333"/>
      <c r="C421" s="349"/>
      <c r="D421" s="335" t="s">
        <v>6556</v>
      </c>
      <c r="E421" s="339" t="s">
        <v>6557</v>
      </c>
      <c r="F421" s="84" t="s">
        <v>20</v>
      </c>
      <c r="G421" s="356" t="s">
        <v>6556</v>
      </c>
      <c r="H421" s="335" t="s">
        <v>6558</v>
      </c>
      <c r="I421" s="85" t="s">
        <v>23</v>
      </c>
      <c r="J421" s="335" t="s">
        <v>6559</v>
      </c>
      <c r="K421" s="335" t="s">
        <v>6560</v>
      </c>
    </row>
    <row r="422" spans="1:11">
      <c r="A422" s="332"/>
      <c r="B422" s="333"/>
      <c r="C422" s="347" t="s">
        <v>6561</v>
      </c>
      <c r="D422" s="335" t="s">
        <v>6562</v>
      </c>
      <c r="E422" s="339" t="s">
        <v>6563</v>
      </c>
      <c r="F422" s="84" t="s">
        <v>20</v>
      </c>
      <c r="G422" s="356" t="s">
        <v>6564</v>
      </c>
      <c r="H422" s="335" t="s">
        <v>6565</v>
      </c>
      <c r="I422" s="85" t="s">
        <v>23</v>
      </c>
      <c r="J422" s="335" t="s">
        <v>6566</v>
      </c>
      <c r="K422" s="335" t="s">
        <v>6567</v>
      </c>
    </row>
    <row r="423" spans="1:11">
      <c r="A423" s="332"/>
      <c r="B423" s="333"/>
      <c r="C423" s="348"/>
      <c r="D423" s="342" t="s">
        <v>6568</v>
      </c>
      <c r="E423" s="343" t="s">
        <v>6569</v>
      </c>
      <c r="F423" s="84" t="s">
        <v>20</v>
      </c>
      <c r="G423" s="356" t="s">
        <v>6570</v>
      </c>
      <c r="H423" s="335" t="s">
        <v>6571</v>
      </c>
      <c r="I423" s="85" t="s">
        <v>23</v>
      </c>
      <c r="J423" s="335" t="s">
        <v>6572</v>
      </c>
      <c r="K423" s="335" t="s">
        <v>6573</v>
      </c>
    </row>
    <row r="424" spans="1:11">
      <c r="A424" s="332"/>
      <c r="B424" s="333"/>
      <c r="C424" s="348"/>
      <c r="D424" s="342" t="s">
        <v>6574</v>
      </c>
      <c r="E424" s="343" t="s">
        <v>6575</v>
      </c>
      <c r="F424" s="84" t="s">
        <v>20</v>
      </c>
      <c r="G424" s="356" t="s">
        <v>6576</v>
      </c>
      <c r="H424" s="335" t="s">
        <v>6577</v>
      </c>
      <c r="I424" s="85" t="s">
        <v>23</v>
      </c>
      <c r="J424" s="335" t="s">
        <v>6578</v>
      </c>
      <c r="K424" s="335" t="s">
        <v>6579</v>
      </c>
    </row>
    <row r="425" spans="1:11">
      <c r="A425" s="332"/>
      <c r="B425" s="333"/>
      <c r="C425" s="348"/>
      <c r="D425" s="342" t="s">
        <v>6580</v>
      </c>
      <c r="E425" s="343" t="s">
        <v>6581</v>
      </c>
      <c r="F425" s="84" t="s">
        <v>20</v>
      </c>
      <c r="G425" s="356" t="s">
        <v>6582</v>
      </c>
      <c r="H425" s="335" t="s">
        <v>6583</v>
      </c>
      <c r="I425" s="85" t="s">
        <v>23</v>
      </c>
      <c r="J425" s="335" t="s">
        <v>6584</v>
      </c>
      <c r="K425" s="335" t="s">
        <v>6585</v>
      </c>
    </row>
    <row r="426" spans="1:11">
      <c r="A426" s="332"/>
      <c r="B426" s="333"/>
      <c r="C426" s="349"/>
      <c r="D426" s="342" t="s">
        <v>6586</v>
      </c>
      <c r="E426" s="343" t="s">
        <v>6587</v>
      </c>
      <c r="F426" s="84" t="s">
        <v>229</v>
      </c>
      <c r="G426" s="356" t="s">
        <v>6588</v>
      </c>
      <c r="H426" s="335" t="s">
        <v>6589</v>
      </c>
      <c r="I426" s="85" t="s">
        <v>23</v>
      </c>
      <c r="J426" s="335" t="s">
        <v>6590</v>
      </c>
      <c r="K426" s="335" t="s">
        <v>6591</v>
      </c>
    </row>
    <row r="427" spans="1:11">
      <c r="A427" s="332"/>
      <c r="B427" s="333"/>
      <c r="C427" s="338" t="s">
        <v>6592</v>
      </c>
      <c r="D427" s="342" t="s">
        <v>6593</v>
      </c>
      <c r="E427" s="343" t="s">
        <v>6594</v>
      </c>
      <c r="F427" s="84" t="s">
        <v>229</v>
      </c>
      <c r="G427" s="356" t="s">
        <v>6595</v>
      </c>
      <c r="H427" s="335" t="s">
        <v>6596</v>
      </c>
      <c r="I427" s="85" t="s">
        <v>23</v>
      </c>
      <c r="J427" s="335" t="s">
        <v>6597</v>
      </c>
      <c r="K427" s="335" t="s">
        <v>6598</v>
      </c>
    </row>
    <row r="428" spans="1:11">
      <c r="A428" s="332"/>
      <c r="B428" s="333"/>
      <c r="C428" s="334"/>
      <c r="D428" s="342" t="s">
        <v>6599</v>
      </c>
      <c r="E428" s="343" t="s">
        <v>6600</v>
      </c>
      <c r="F428" s="84" t="s">
        <v>229</v>
      </c>
      <c r="G428" s="356" t="s">
        <v>6601</v>
      </c>
      <c r="H428" s="335" t="s">
        <v>6602</v>
      </c>
      <c r="I428" s="85" t="s">
        <v>23</v>
      </c>
      <c r="J428" s="335" t="s">
        <v>6603</v>
      </c>
      <c r="K428" s="335" t="s">
        <v>6604</v>
      </c>
    </row>
    <row r="429" spans="1:11">
      <c r="A429" s="332"/>
      <c r="B429" s="333"/>
      <c r="C429" s="334"/>
      <c r="D429" s="342" t="s">
        <v>6605</v>
      </c>
      <c r="E429" s="343" t="s">
        <v>6606</v>
      </c>
      <c r="F429" s="84" t="s">
        <v>20</v>
      </c>
      <c r="G429" s="356" t="s">
        <v>6607</v>
      </c>
      <c r="H429" s="335" t="s">
        <v>6608</v>
      </c>
      <c r="I429" s="85" t="s">
        <v>23</v>
      </c>
      <c r="J429" s="335" t="s">
        <v>6609</v>
      </c>
      <c r="K429" s="335" t="s">
        <v>6610</v>
      </c>
    </row>
    <row r="430" spans="1:11">
      <c r="A430" s="332"/>
      <c r="B430" s="333"/>
      <c r="C430" s="334"/>
      <c r="D430" s="342" t="s">
        <v>6611</v>
      </c>
      <c r="E430" s="343" t="s">
        <v>6612</v>
      </c>
      <c r="F430" s="84" t="s">
        <v>20</v>
      </c>
      <c r="G430" s="356" t="s">
        <v>6613</v>
      </c>
      <c r="H430" s="335" t="s">
        <v>6614</v>
      </c>
      <c r="I430" s="85" t="s">
        <v>23</v>
      </c>
      <c r="J430" s="335" t="s">
        <v>6615</v>
      </c>
      <c r="K430" s="335" t="s">
        <v>6616</v>
      </c>
    </row>
    <row r="431" spans="1:11" ht="15.75" thickBot="1">
      <c r="A431" s="332"/>
      <c r="B431" s="344"/>
      <c r="C431" s="340"/>
      <c r="D431" s="345" t="s">
        <v>6617</v>
      </c>
      <c r="E431" s="346" t="s">
        <v>6618</v>
      </c>
      <c r="F431" s="84" t="s">
        <v>20</v>
      </c>
      <c r="G431" s="356" t="s">
        <v>6619</v>
      </c>
      <c r="H431" s="335" t="s">
        <v>6620</v>
      </c>
      <c r="I431" s="85" t="s">
        <v>23</v>
      </c>
      <c r="J431" s="335" t="s">
        <v>6621</v>
      </c>
      <c r="K431" s="335" t="s">
        <v>6622</v>
      </c>
    </row>
    <row r="432" spans="1:11">
      <c r="A432" s="332"/>
      <c r="B432" s="327" t="s">
        <v>6623</v>
      </c>
      <c r="C432" s="328" t="s">
        <v>6624</v>
      </c>
      <c r="D432" s="341" t="s">
        <v>6625</v>
      </c>
      <c r="E432" s="330" t="s">
        <v>6626</v>
      </c>
      <c r="F432" s="84" t="s">
        <v>20</v>
      </c>
      <c r="G432" s="356" t="s">
        <v>6625</v>
      </c>
      <c r="H432" s="335" t="s">
        <v>6627</v>
      </c>
      <c r="I432" s="85" t="s">
        <v>23</v>
      </c>
      <c r="J432" s="335" t="s">
        <v>6628</v>
      </c>
      <c r="K432" s="335" t="s">
        <v>6629</v>
      </c>
    </row>
    <row r="433" spans="1:11">
      <c r="A433" s="332"/>
      <c r="B433" s="333"/>
      <c r="C433" s="334"/>
      <c r="D433" s="329" t="s">
        <v>6630</v>
      </c>
      <c r="E433" s="336" t="s">
        <v>6631</v>
      </c>
      <c r="F433" s="84" t="s">
        <v>229</v>
      </c>
      <c r="G433" s="356" t="s">
        <v>6632</v>
      </c>
      <c r="H433" s="335" t="s">
        <v>6633</v>
      </c>
      <c r="I433" s="85" t="s">
        <v>23</v>
      </c>
      <c r="J433" s="335" t="s">
        <v>6634</v>
      </c>
      <c r="K433" s="335" t="s">
        <v>6635</v>
      </c>
    </row>
    <row r="434" spans="1:11">
      <c r="A434" s="332"/>
      <c r="B434" s="333"/>
      <c r="C434" s="334"/>
      <c r="D434" s="329" t="s">
        <v>6636</v>
      </c>
      <c r="E434" s="336" t="s">
        <v>6637</v>
      </c>
      <c r="F434" s="84" t="s">
        <v>229</v>
      </c>
      <c r="G434" s="356" t="s">
        <v>6638</v>
      </c>
      <c r="H434" s="335" t="s">
        <v>6639</v>
      </c>
      <c r="I434" s="85" t="s">
        <v>23</v>
      </c>
      <c r="J434" s="335" t="s">
        <v>6640</v>
      </c>
      <c r="K434" s="335" t="s">
        <v>6641</v>
      </c>
    </row>
    <row r="435" spans="1:11">
      <c r="A435" s="332"/>
      <c r="B435" s="333"/>
      <c r="C435" s="334"/>
      <c r="D435" s="329" t="s">
        <v>6642</v>
      </c>
      <c r="E435" s="336" t="s">
        <v>6643</v>
      </c>
      <c r="F435" s="84" t="s">
        <v>229</v>
      </c>
      <c r="G435" s="356" t="s">
        <v>6644</v>
      </c>
      <c r="H435" s="335" t="s">
        <v>6645</v>
      </c>
      <c r="I435" s="85" t="s">
        <v>23</v>
      </c>
      <c r="J435" s="335" t="s">
        <v>6646</v>
      </c>
      <c r="K435" s="335" t="s">
        <v>6647</v>
      </c>
    </row>
    <row r="436" spans="1:11">
      <c r="A436" s="332"/>
      <c r="B436" s="333"/>
      <c r="C436" s="337"/>
      <c r="D436" s="329" t="s">
        <v>6648</v>
      </c>
      <c r="E436" s="336" t="s">
        <v>6649</v>
      </c>
      <c r="F436" s="84" t="s">
        <v>229</v>
      </c>
      <c r="G436" s="356" t="s">
        <v>6648</v>
      </c>
      <c r="H436" s="335" t="s">
        <v>6650</v>
      </c>
      <c r="I436" s="85" t="s">
        <v>23</v>
      </c>
      <c r="J436" s="335" t="s">
        <v>6651</v>
      </c>
      <c r="K436" s="335" t="s">
        <v>6652</v>
      </c>
    </row>
    <row r="437" spans="1:11">
      <c r="A437" s="332"/>
      <c r="B437" s="333"/>
      <c r="C437" s="347" t="s">
        <v>6653</v>
      </c>
      <c r="D437" s="335" t="s">
        <v>6654</v>
      </c>
      <c r="E437" s="339" t="s">
        <v>6655</v>
      </c>
      <c r="F437" s="84" t="s">
        <v>229</v>
      </c>
      <c r="G437" s="356" t="s">
        <v>6656</v>
      </c>
      <c r="H437" s="335" t="s">
        <v>6657</v>
      </c>
      <c r="I437" s="85" t="s">
        <v>23</v>
      </c>
      <c r="J437" s="335" t="s">
        <v>6658</v>
      </c>
      <c r="K437" s="335" t="s">
        <v>6659</v>
      </c>
    </row>
    <row r="438" spans="1:11">
      <c r="A438" s="332"/>
      <c r="B438" s="333"/>
      <c r="C438" s="348"/>
      <c r="D438" s="335" t="s">
        <v>6660</v>
      </c>
      <c r="E438" s="339" t="s">
        <v>6661</v>
      </c>
      <c r="F438" s="84" t="s">
        <v>229</v>
      </c>
      <c r="G438" s="356" t="s">
        <v>6662</v>
      </c>
      <c r="H438" s="335" t="s">
        <v>6663</v>
      </c>
      <c r="I438" s="85" t="s">
        <v>23</v>
      </c>
      <c r="J438" s="335" t="s">
        <v>6664</v>
      </c>
      <c r="K438" s="335" t="s">
        <v>6665</v>
      </c>
    </row>
    <row r="439" spans="1:11">
      <c r="A439" s="332"/>
      <c r="B439" s="333"/>
      <c r="C439" s="348"/>
      <c r="D439" s="335" t="s">
        <v>6666</v>
      </c>
      <c r="E439" s="339" t="s">
        <v>6667</v>
      </c>
      <c r="F439" s="84" t="s">
        <v>20</v>
      </c>
      <c r="G439" s="356" t="s">
        <v>6668</v>
      </c>
      <c r="H439" s="335" t="s">
        <v>6669</v>
      </c>
      <c r="I439" s="85" t="s">
        <v>94</v>
      </c>
      <c r="J439" s="335" t="s">
        <v>6670</v>
      </c>
      <c r="K439" s="335" t="s">
        <v>6671</v>
      </c>
    </row>
    <row r="440" spans="1:11">
      <c r="A440" s="332"/>
      <c r="B440" s="333"/>
      <c r="C440" s="348"/>
      <c r="D440" s="335" t="s">
        <v>6672</v>
      </c>
      <c r="E440" s="339" t="s">
        <v>6673</v>
      </c>
      <c r="F440" s="84" t="s">
        <v>20</v>
      </c>
      <c r="G440" s="356" t="s">
        <v>6674</v>
      </c>
      <c r="H440" s="335" t="s">
        <v>6675</v>
      </c>
      <c r="I440" s="85" t="s">
        <v>94</v>
      </c>
      <c r="J440" s="335" t="s">
        <v>6676</v>
      </c>
      <c r="K440" s="335" t="s">
        <v>6677</v>
      </c>
    </row>
    <row r="441" spans="1:11">
      <c r="A441" s="332"/>
      <c r="B441" s="333"/>
      <c r="C441" s="349"/>
      <c r="D441" s="335" t="s">
        <v>6678</v>
      </c>
      <c r="E441" s="339" t="s">
        <v>6679</v>
      </c>
      <c r="F441" s="84" t="s">
        <v>20</v>
      </c>
      <c r="G441" s="356" t="s">
        <v>6680</v>
      </c>
      <c r="H441" s="335" t="s">
        <v>6681</v>
      </c>
      <c r="I441" s="85" t="s">
        <v>94</v>
      </c>
      <c r="J441" s="335" t="s">
        <v>6682</v>
      </c>
      <c r="K441" s="335" t="s">
        <v>6683</v>
      </c>
    </row>
    <row r="442" spans="1:11">
      <c r="A442" s="332"/>
      <c r="B442" s="333"/>
      <c r="C442" s="347" t="s">
        <v>6684</v>
      </c>
      <c r="D442" s="335" t="s">
        <v>6685</v>
      </c>
      <c r="E442" s="339" t="s">
        <v>6686</v>
      </c>
      <c r="F442" s="84" t="s">
        <v>20</v>
      </c>
      <c r="G442" s="356" t="s">
        <v>6687</v>
      </c>
      <c r="H442" s="335" t="s">
        <v>6688</v>
      </c>
      <c r="I442" s="85" t="s">
        <v>94</v>
      </c>
      <c r="J442" s="335" t="s">
        <v>6689</v>
      </c>
      <c r="K442" s="335" t="s">
        <v>6690</v>
      </c>
    </row>
    <row r="443" spans="1:11">
      <c r="A443" s="332"/>
      <c r="B443" s="333"/>
      <c r="C443" s="348"/>
      <c r="D443" s="335" t="s">
        <v>6691</v>
      </c>
      <c r="E443" s="339" t="s">
        <v>6692</v>
      </c>
      <c r="F443" s="84" t="s">
        <v>425</v>
      </c>
      <c r="G443" s="356" t="s">
        <v>6693</v>
      </c>
      <c r="H443" s="335" t="s">
        <v>6694</v>
      </c>
      <c r="I443" s="85" t="s">
        <v>94</v>
      </c>
      <c r="J443" s="335" t="s">
        <v>6695</v>
      </c>
      <c r="K443" s="335" t="s">
        <v>6696</v>
      </c>
    </row>
    <row r="444" spans="1:11">
      <c r="A444" s="332"/>
      <c r="B444" s="333"/>
      <c r="C444" s="348"/>
      <c r="D444" s="335" t="s">
        <v>6697</v>
      </c>
      <c r="E444" s="339" t="s">
        <v>6698</v>
      </c>
      <c r="F444" s="84" t="s">
        <v>425</v>
      </c>
      <c r="G444" s="356" t="s">
        <v>6699</v>
      </c>
      <c r="H444" s="335" t="s">
        <v>6700</v>
      </c>
      <c r="I444" s="85" t="s">
        <v>94</v>
      </c>
      <c r="J444" s="335" t="s">
        <v>6701</v>
      </c>
      <c r="K444" s="335" t="s">
        <v>6702</v>
      </c>
    </row>
    <row r="445" spans="1:11">
      <c r="A445" s="332"/>
      <c r="B445" s="333"/>
      <c r="C445" s="348"/>
      <c r="D445" s="335" t="s">
        <v>6703</v>
      </c>
      <c r="E445" s="339" t="s">
        <v>6704</v>
      </c>
      <c r="F445" s="84" t="s">
        <v>20</v>
      </c>
      <c r="G445" s="356" t="s">
        <v>6703</v>
      </c>
      <c r="H445" s="335" t="s">
        <v>6705</v>
      </c>
      <c r="I445" s="85" t="s">
        <v>94</v>
      </c>
      <c r="J445" s="335" t="s">
        <v>6706</v>
      </c>
      <c r="K445" s="335" t="s">
        <v>6707</v>
      </c>
    </row>
    <row r="446" spans="1:11">
      <c r="A446" s="332"/>
      <c r="B446" s="333"/>
      <c r="C446" s="349"/>
      <c r="D446" s="335" t="s">
        <v>6708</v>
      </c>
      <c r="E446" s="339" t="s">
        <v>6709</v>
      </c>
      <c r="F446" s="84" t="s">
        <v>20</v>
      </c>
      <c r="G446" s="356" t="s">
        <v>6710</v>
      </c>
      <c r="H446" s="335" t="s">
        <v>6711</v>
      </c>
      <c r="I446" s="85" t="s">
        <v>94</v>
      </c>
      <c r="J446" s="335" t="s">
        <v>6712</v>
      </c>
      <c r="K446" s="335" t="s">
        <v>6713</v>
      </c>
    </row>
    <row r="447" spans="1:11">
      <c r="A447" s="332"/>
      <c r="B447" s="333"/>
      <c r="C447" s="338" t="s">
        <v>6714</v>
      </c>
      <c r="D447" s="335" t="s">
        <v>6715</v>
      </c>
      <c r="E447" s="339" t="s">
        <v>6716</v>
      </c>
      <c r="F447" s="84" t="s">
        <v>20</v>
      </c>
      <c r="G447" s="356" t="s">
        <v>6717</v>
      </c>
      <c r="H447" s="335" t="s">
        <v>6718</v>
      </c>
      <c r="I447" s="85" t="s">
        <v>23</v>
      </c>
      <c r="J447" s="335" t="s">
        <v>6719</v>
      </c>
      <c r="K447" s="335" t="s">
        <v>6720</v>
      </c>
    </row>
    <row r="448" spans="1:11">
      <c r="A448" s="332"/>
      <c r="B448" s="333"/>
      <c r="C448" s="334"/>
      <c r="D448" s="335" t="s">
        <v>6721</v>
      </c>
      <c r="E448" s="339" t="s">
        <v>6722</v>
      </c>
      <c r="F448" s="84" t="s">
        <v>20</v>
      </c>
      <c r="G448" s="356" t="s">
        <v>6723</v>
      </c>
      <c r="H448" s="335" t="s">
        <v>6724</v>
      </c>
      <c r="I448" s="85" t="s">
        <v>23</v>
      </c>
      <c r="J448" s="335" t="s">
        <v>6725</v>
      </c>
      <c r="K448" s="335" t="s">
        <v>6726</v>
      </c>
    </row>
    <row r="449" spans="1:11">
      <c r="A449" s="332"/>
      <c r="B449" s="333"/>
      <c r="C449" s="334"/>
      <c r="D449" s="335" t="s">
        <v>6727</v>
      </c>
      <c r="E449" s="339" t="s">
        <v>6728</v>
      </c>
      <c r="F449" s="84" t="s">
        <v>229</v>
      </c>
      <c r="G449" s="356" t="s">
        <v>6729</v>
      </c>
      <c r="H449" s="335" t="s">
        <v>6730</v>
      </c>
      <c r="I449" s="85" t="s">
        <v>23</v>
      </c>
      <c r="J449" s="335" t="s">
        <v>6731</v>
      </c>
      <c r="K449" s="335" t="s">
        <v>6732</v>
      </c>
    </row>
    <row r="450" spans="1:11">
      <c r="A450" s="332"/>
      <c r="B450" s="333"/>
      <c r="C450" s="334"/>
      <c r="D450" s="335" t="s">
        <v>6733</v>
      </c>
      <c r="E450" s="339" t="s">
        <v>6734</v>
      </c>
      <c r="F450" s="84" t="s">
        <v>229</v>
      </c>
      <c r="G450" s="356" t="s">
        <v>6735</v>
      </c>
      <c r="H450" s="335" t="s">
        <v>6736</v>
      </c>
      <c r="I450" s="85" t="s">
        <v>23</v>
      </c>
      <c r="J450" s="335" t="s">
        <v>6737</v>
      </c>
      <c r="K450" s="335" t="s">
        <v>6738</v>
      </c>
    </row>
    <row r="451" spans="1:11">
      <c r="A451" s="332"/>
      <c r="B451" s="333"/>
      <c r="C451" s="337"/>
      <c r="D451" s="335" t="s">
        <v>6739</v>
      </c>
      <c r="E451" s="339" t="s">
        <v>6740</v>
      </c>
      <c r="F451" s="84" t="s">
        <v>229</v>
      </c>
      <c r="G451" s="356" t="s">
        <v>6741</v>
      </c>
      <c r="H451" s="335" t="s">
        <v>6742</v>
      </c>
      <c r="I451" s="85" t="s">
        <v>23</v>
      </c>
      <c r="J451" s="335" t="s">
        <v>6743</v>
      </c>
      <c r="K451" s="335" t="s">
        <v>6744</v>
      </c>
    </row>
    <row r="452" spans="1:11">
      <c r="A452" s="332"/>
      <c r="B452" s="333"/>
      <c r="C452" s="347" t="s">
        <v>6745</v>
      </c>
      <c r="D452" s="335" t="s">
        <v>6746</v>
      </c>
      <c r="E452" s="339" t="s">
        <v>6747</v>
      </c>
      <c r="F452" s="84" t="s">
        <v>229</v>
      </c>
      <c r="G452" s="356" t="s">
        <v>6748</v>
      </c>
      <c r="H452" s="335" t="s">
        <v>6749</v>
      </c>
      <c r="I452" s="85" t="s">
        <v>23</v>
      </c>
      <c r="J452" s="335" t="s">
        <v>6750</v>
      </c>
      <c r="K452" s="335" t="s">
        <v>6751</v>
      </c>
    </row>
    <row r="453" spans="1:11">
      <c r="A453" s="332"/>
      <c r="B453" s="333"/>
      <c r="C453" s="348"/>
      <c r="D453" s="335" t="s">
        <v>6752</v>
      </c>
      <c r="E453" s="339" t="s">
        <v>6753</v>
      </c>
      <c r="F453" s="84" t="s">
        <v>229</v>
      </c>
      <c r="G453" s="356" t="s">
        <v>6754</v>
      </c>
      <c r="H453" s="335" t="s">
        <v>6755</v>
      </c>
      <c r="I453" s="85" t="s">
        <v>23</v>
      </c>
      <c r="J453" s="335" t="s">
        <v>6756</v>
      </c>
      <c r="K453" s="335" t="s">
        <v>6757</v>
      </c>
    </row>
    <row r="454" spans="1:11">
      <c r="A454" s="332"/>
      <c r="B454" s="333"/>
      <c r="C454" s="348"/>
      <c r="D454" s="335" t="s">
        <v>6758</v>
      </c>
      <c r="E454" s="339" t="s">
        <v>6759</v>
      </c>
      <c r="F454" s="84" t="s">
        <v>229</v>
      </c>
      <c r="G454" s="356" t="s">
        <v>6760</v>
      </c>
      <c r="H454" s="335" t="s">
        <v>6761</v>
      </c>
      <c r="I454" s="85" t="s">
        <v>23</v>
      </c>
      <c r="J454" s="335" t="s">
        <v>6762</v>
      </c>
      <c r="K454" s="335" t="s">
        <v>6763</v>
      </c>
    </row>
    <row r="455" spans="1:11">
      <c r="A455" s="332"/>
      <c r="B455" s="333"/>
      <c r="C455" s="348"/>
      <c r="D455" s="335" t="s">
        <v>6764</v>
      </c>
      <c r="E455" s="339" t="s">
        <v>6765</v>
      </c>
      <c r="F455" s="84" t="s">
        <v>229</v>
      </c>
      <c r="G455" s="356" t="s">
        <v>6766</v>
      </c>
      <c r="H455" s="335" t="s">
        <v>6767</v>
      </c>
      <c r="I455" s="85" t="s">
        <v>23</v>
      </c>
      <c r="J455" s="335" t="s">
        <v>6768</v>
      </c>
      <c r="K455" s="335" t="s">
        <v>6769</v>
      </c>
    </row>
    <row r="456" spans="1:11">
      <c r="A456" s="332"/>
      <c r="B456" s="333"/>
      <c r="C456" s="349"/>
      <c r="D456" s="335" t="s">
        <v>6754</v>
      </c>
      <c r="E456" s="339" t="s">
        <v>6770</v>
      </c>
      <c r="F456" s="84" t="s">
        <v>229</v>
      </c>
      <c r="G456" s="356" t="s">
        <v>6771</v>
      </c>
      <c r="H456" s="335" t="s">
        <v>6772</v>
      </c>
      <c r="I456" s="85" t="s">
        <v>23</v>
      </c>
      <c r="J456" s="335" t="s">
        <v>6773</v>
      </c>
      <c r="K456" s="335" t="s">
        <v>6774</v>
      </c>
    </row>
    <row r="457" spans="1:11">
      <c r="A457" s="332"/>
      <c r="B457" s="333"/>
      <c r="C457" s="347" t="s">
        <v>6775</v>
      </c>
      <c r="D457" s="335" t="s">
        <v>6776</v>
      </c>
      <c r="E457" s="339" t="s">
        <v>6777</v>
      </c>
      <c r="F457" s="84" t="s">
        <v>20</v>
      </c>
      <c r="G457" s="356" t="s">
        <v>6778</v>
      </c>
      <c r="H457" s="335" t="s">
        <v>6779</v>
      </c>
      <c r="I457" s="85" t="s">
        <v>23</v>
      </c>
      <c r="J457" s="335" t="s">
        <v>6780</v>
      </c>
      <c r="K457" s="335" t="s">
        <v>6781</v>
      </c>
    </row>
    <row r="458" spans="1:11">
      <c r="A458" s="332"/>
      <c r="B458" s="333"/>
      <c r="C458" s="348"/>
      <c r="D458" s="335" t="s">
        <v>6782</v>
      </c>
      <c r="E458" s="339" t="s">
        <v>6783</v>
      </c>
      <c r="F458" s="84" t="s">
        <v>20</v>
      </c>
      <c r="G458" s="356" t="s">
        <v>6784</v>
      </c>
      <c r="H458" s="335" t="s">
        <v>6785</v>
      </c>
      <c r="I458" s="85" t="s">
        <v>23</v>
      </c>
      <c r="J458" s="335" t="s">
        <v>6786</v>
      </c>
      <c r="K458" s="335" t="s">
        <v>6787</v>
      </c>
    </row>
    <row r="459" spans="1:11">
      <c r="A459" s="332"/>
      <c r="B459" s="333"/>
      <c r="C459" s="348"/>
      <c r="D459" s="335" t="s">
        <v>6788</v>
      </c>
      <c r="E459" s="339" t="s">
        <v>6789</v>
      </c>
      <c r="F459" s="84" t="s">
        <v>20</v>
      </c>
      <c r="G459" s="356" t="s">
        <v>6790</v>
      </c>
      <c r="H459" s="335" t="s">
        <v>6791</v>
      </c>
      <c r="I459" s="85" t="s">
        <v>23</v>
      </c>
      <c r="J459" s="335" t="s">
        <v>6792</v>
      </c>
      <c r="K459" s="335" t="s">
        <v>6793</v>
      </c>
    </row>
    <row r="460" spans="1:11">
      <c r="A460" s="332"/>
      <c r="B460" s="333"/>
      <c r="C460" s="348"/>
      <c r="D460" s="335" t="s">
        <v>6766</v>
      </c>
      <c r="E460" s="339" t="s">
        <v>6794</v>
      </c>
      <c r="F460" s="84" t="s">
        <v>20</v>
      </c>
      <c r="G460" s="356" t="s">
        <v>6795</v>
      </c>
      <c r="H460" s="335" t="s">
        <v>6796</v>
      </c>
      <c r="I460" s="85" t="s">
        <v>23</v>
      </c>
      <c r="J460" s="335" t="s">
        <v>6797</v>
      </c>
      <c r="K460" s="335" t="s">
        <v>6798</v>
      </c>
    </row>
    <row r="461" spans="1:11">
      <c r="A461" s="332"/>
      <c r="B461" s="333"/>
      <c r="C461" s="349"/>
      <c r="D461" s="335" t="s">
        <v>6799</v>
      </c>
      <c r="E461" s="339" t="s">
        <v>6800</v>
      </c>
      <c r="F461" s="84" t="s">
        <v>20</v>
      </c>
      <c r="G461" s="356" t="s">
        <v>6801</v>
      </c>
      <c r="H461" s="335" t="s">
        <v>6802</v>
      </c>
      <c r="I461" s="85" t="s">
        <v>23</v>
      </c>
      <c r="J461" s="335" t="s">
        <v>6803</v>
      </c>
      <c r="K461" s="335" t="s">
        <v>6804</v>
      </c>
    </row>
    <row r="462" spans="1:11">
      <c r="A462" s="332"/>
      <c r="B462" s="333"/>
      <c r="C462" s="338" t="s">
        <v>6805</v>
      </c>
      <c r="D462" s="335" t="s">
        <v>6806</v>
      </c>
      <c r="E462" s="339" t="s">
        <v>6807</v>
      </c>
      <c r="F462" s="84" t="s">
        <v>229</v>
      </c>
      <c r="G462" s="356" t="s">
        <v>6808</v>
      </c>
      <c r="H462" s="335" t="s">
        <v>6809</v>
      </c>
      <c r="I462" s="85" t="s">
        <v>23</v>
      </c>
      <c r="J462" s="335" t="s">
        <v>6810</v>
      </c>
      <c r="K462" s="335" t="s">
        <v>6811</v>
      </c>
    </row>
    <row r="463" spans="1:11">
      <c r="A463" s="332"/>
      <c r="B463" s="333"/>
      <c r="C463" s="334"/>
      <c r="D463" s="335" t="s">
        <v>6812</v>
      </c>
      <c r="E463" s="339" t="s">
        <v>6813</v>
      </c>
      <c r="F463" s="84" t="s">
        <v>229</v>
      </c>
      <c r="G463" s="356" t="s">
        <v>6814</v>
      </c>
      <c r="H463" s="335" t="s">
        <v>6815</v>
      </c>
      <c r="I463" s="85" t="s">
        <v>23</v>
      </c>
      <c r="J463" s="335" t="s">
        <v>6816</v>
      </c>
      <c r="K463" s="335" t="s">
        <v>6817</v>
      </c>
    </row>
    <row r="464" spans="1:11">
      <c r="A464" s="332"/>
      <c r="B464" s="333"/>
      <c r="C464" s="334"/>
      <c r="D464" s="335" t="s">
        <v>6818</v>
      </c>
      <c r="E464" s="339" t="s">
        <v>6819</v>
      </c>
      <c r="F464" s="84" t="s">
        <v>229</v>
      </c>
      <c r="G464" s="356" t="s">
        <v>6820</v>
      </c>
      <c r="H464" s="335" t="s">
        <v>6821</v>
      </c>
      <c r="I464" s="85" t="s">
        <v>23</v>
      </c>
      <c r="J464" s="335" t="s">
        <v>6822</v>
      </c>
      <c r="K464" s="335" t="s">
        <v>6823</v>
      </c>
    </row>
    <row r="465" spans="1:11">
      <c r="A465" s="332"/>
      <c r="B465" s="333"/>
      <c r="C465" s="334"/>
      <c r="D465" s="335" t="s">
        <v>6824</v>
      </c>
      <c r="E465" s="339" t="s">
        <v>6825</v>
      </c>
      <c r="F465" s="84" t="s">
        <v>229</v>
      </c>
      <c r="G465" s="356" t="s">
        <v>6826</v>
      </c>
      <c r="H465" s="335" t="s">
        <v>6827</v>
      </c>
      <c r="I465" s="85" t="s">
        <v>23</v>
      </c>
      <c r="J465" s="335" t="s">
        <v>6828</v>
      </c>
      <c r="K465" s="335" t="s">
        <v>6829</v>
      </c>
    </row>
    <row r="466" spans="1:11">
      <c r="A466" s="332"/>
      <c r="B466" s="333"/>
      <c r="C466" s="337"/>
      <c r="D466" s="335" t="s">
        <v>6830</v>
      </c>
      <c r="E466" s="339" t="s">
        <v>6831</v>
      </c>
      <c r="F466" s="84" t="s">
        <v>229</v>
      </c>
      <c r="G466" s="356" t="s">
        <v>6832</v>
      </c>
      <c r="H466" s="335" t="s">
        <v>6833</v>
      </c>
      <c r="I466" s="85" t="s">
        <v>23</v>
      </c>
      <c r="J466" s="335" t="s">
        <v>6834</v>
      </c>
      <c r="K466" s="335" t="s">
        <v>6835</v>
      </c>
    </row>
    <row r="467" spans="1:11">
      <c r="A467" s="332"/>
      <c r="B467" s="333"/>
      <c r="C467" s="338" t="s">
        <v>6836</v>
      </c>
      <c r="D467" s="335" t="s">
        <v>6837</v>
      </c>
      <c r="E467" s="339" t="s">
        <v>6838</v>
      </c>
      <c r="F467" s="84" t="s">
        <v>229</v>
      </c>
      <c r="G467" s="356" t="s">
        <v>6839</v>
      </c>
      <c r="H467" s="335" t="s">
        <v>6840</v>
      </c>
      <c r="I467" s="85" t="s">
        <v>23</v>
      </c>
      <c r="J467" s="335" t="s">
        <v>6841</v>
      </c>
      <c r="K467" s="335" t="s">
        <v>6842</v>
      </c>
    </row>
    <row r="468" spans="1:11">
      <c r="A468" s="332"/>
      <c r="B468" s="333"/>
      <c r="C468" s="334"/>
      <c r="D468" s="335" t="s">
        <v>6843</v>
      </c>
      <c r="E468" s="339" t="s">
        <v>6844</v>
      </c>
      <c r="F468" s="84" t="s">
        <v>229</v>
      </c>
      <c r="G468" s="356" t="s">
        <v>6845</v>
      </c>
      <c r="H468" s="335" t="s">
        <v>6846</v>
      </c>
      <c r="I468" s="85" t="s">
        <v>23</v>
      </c>
      <c r="J468" s="335" t="s">
        <v>6847</v>
      </c>
      <c r="K468" s="335" t="s">
        <v>6848</v>
      </c>
    </row>
    <row r="469" spans="1:11">
      <c r="A469" s="332"/>
      <c r="B469" s="333"/>
      <c r="C469" s="334"/>
      <c r="D469" s="335" t="s">
        <v>6849</v>
      </c>
      <c r="E469" s="339" t="s">
        <v>6850</v>
      </c>
      <c r="F469" s="84" t="s">
        <v>20</v>
      </c>
      <c r="G469" s="356" t="s">
        <v>6851</v>
      </c>
      <c r="H469" s="335" t="s">
        <v>6852</v>
      </c>
      <c r="I469" s="85" t="s">
        <v>23</v>
      </c>
      <c r="J469" s="335" t="s">
        <v>6853</v>
      </c>
      <c r="K469" s="335" t="s">
        <v>6854</v>
      </c>
    </row>
    <row r="470" spans="1:11">
      <c r="A470" s="332"/>
      <c r="B470" s="333"/>
      <c r="C470" s="334"/>
      <c r="D470" s="335" t="s">
        <v>6826</v>
      </c>
      <c r="E470" s="339" t="s">
        <v>6855</v>
      </c>
      <c r="F470" s="84" t="s">
        <v>20</v>
      </c>
      <c r="G470" s="356" t="s">
        <v>6856</v>
      </c>
      <c r="H470" s="335" t="s">
        <v>6857</v>
      </c>
      <c r="I470" s="85" t="s">
        <v>23</v>
      </c>
      <c r="J470" s="335" t="s">
        <v>6858</v>
      </c>
      <c r="K470" s="335" t="s">
        <v>6859</v>
      </c>
    </row>
    <row r="471" spans="1:11">
      <c r="A471" s="332"/>
      <c r="B471" s="333"/>
      <c r="C471" s="337"/>
      <c r="D471" s="335" t="s">
        <v>6860</v>
      </c>
      <c r="E471" s="339" t="s">
        <v>6861</v>
      </c>
      <c r="F471" s="84" t="s">
        <v>20</v>
      </c>
      <c r="G471" s="356" t="s">
        <v>6862</v>
      </c>
      <c r="H471" s="335" t="s">
        <v>6863</v>
      </c>
      <c r="I471" s="85" t="s">
        <v>23</v>
      </c>
      <c r="J471" s="335" t="s">
        <v>6864</v>
      </c>
      <c r="K471" s="335" t="s">
        <v>6865</v>
      </c>
    </row>
    <row r="472" spans="1:11">
      <c r="A472" s="332"/>
      <c r="B472" s="333"/>
      <c r="C472" s="347" t="s">
        <v>6866</v>
      </c>
      <c r="D472" s="335" t="s">
        <v>6867</v>
      </c>
      <c r="E472" s="339" t="s">
        <v>6868</v>
      </c>
      <c r="F472" s="84" t="s">
        <v>20</v>
      </c>
      <c r="G472" s="356" t="s">
        <v>6869</v>
      </c>
      <c r="H472" s="335" t="s">
        <v>6870</v>
      </c>
      <c r="I472" s="85" t="s">
        <v>23</v>
      </c>
      <c r="J472" s="335" t="s">
        <v>6871</v>
      </c>
      <c r="K472" s="335" t="s">
        <v>6872</v>
      </c>
    </row>
    <row r="473" spans="1:11">
      <c r="A473" s="332"/>
      <c r="B473" s="333"/>
      <c r="C473" s="348"/>
      <c r="D473" s="335" t="s">
        <v>6845</v>
      </c>
      <c r="E473" s="339" t="s">
        <v>6873</v>
      </c>
      <c r="F473" s="84" t="s">
        <v>425</v>
      </c>
      <c r="G473" s="356" t="s">
        <v>6874</v>
      </c>
      <c r="H473" s="335" t="s">
        <v>6875</v>
      </c>
      <c r="I473" s="85" t="s">
        <v>23</v>
      </c>
      <c r="J473" s="335" t="s">
        <v>6876</v>
      </c>
      <c r="K473" s="335" t="s">
        <v>6877</v>
      </c>
    </row>
    <row r="474" spans="1:11">
      <c r="A474" s="332"/>
      <c r="B474" s="333"/>
      <c r="C474" s="348"/>
      <c r="D474" s="335" t="s">
        <v>6851</v>
      </c>
      <c r="E474" s="339" t="s">
        <v>6878</v>
      </c>
      <c r="F474" s="84" t="s">
        <v>425</v>
      </c>
      <c r="G474" s="356" t="s">
        <v>6879</v>
      </c>
      <c r="H474" s="335" t="s">
        <v>6880</v>
      </c>
      <c r="I474" s="85" t="s">
        <v>23</v>
      </c>
      <c r="J474" s="335" t="s">
        <v>6881</v>
      </c>
      <c r="K474" s="335" t="s">
        <v>6882</v>
      </c>
    </row>
    <row r="475" spans="1:11">
      <c r="A475" s="332"/>
      <c r="B475" s="333"/>
      <c r="C475" s="348"/>
      <c r="D475" s="335" t="s">
        <v>6883</v>
      </c>
      <c r="E475" s="339" t="s">
        <v>6884</v>
      </c>
      <c r="F475" s="84" t="s">
        <v>425</v>
      </c>
      <c r="G475" s="356" t="s">
        <v>6885</v>
      </c>
      <c r="H475" s="335" t="s">
        <v>6886</v>
      </c>
      <c r="I475" s="85" t="s">
        <v>23</v>
      </c>
      <c r="J475" s="335" t="s">
        <v>6887</v>
      </c>
      <c r="K475" s="335" t="s">
        <v>6888</v>
      </c>
    </row>
    <row r="476" spans="1:11">
      <c r="A476" s="332"/>
      <c r="B476" s="333"/>
      <c r="C476" s="349"/>
      <c r="D476" s="335" t="s">
        <v>6889</v>
      </c>
      <c r="E476" s="339" t="s">
        <v>6890</v>
      </c>
      <c r="F476" s="84" t="s">
        <v>425</v>
      </c>
      <c r="G476" s="356" t="s">
        <v>6891</v>
      </c>
      <c r="H476" s="335" t="s">
        <v>6892</v>
      </c>
      <c r="I476" s="85" t="s">
        <v>23</v>
      </c>
      <c r="J476" s="335" t="s">
        <v>6893</v>
      </c>
      <c r="K476" s="335" t="s">
        <v>6894</v>
      </c>
    </row>
    <row r="477" spans="1:11">
      <c r="A477" s="332"/>
      <c r="B477" s="333"/>
      <c r="C477" s="338" t="s">
        <v>6895</v>
      </c>
      <c r="D477" s="335" t="s">
        <v>6896</v>
      </c>
      <c r="E477" s="339" t="s">
        <v>6897</v>
      </c>
      <c r="F477" s="84" t="s">
        <v>20</v>
      </c>
      <c r="G477" s="356" t="s">
        <v>6898</v>
      </c>
      <c r="H477" s="335" t="s">
        <v>6899</v>
      </c>
      <c r="I477" s="85" t="s">
        <v>23</v>
      </c>
      <c r="J477" s="335" t="s">
        <v>6900</v>
      </c>
      <c r="K477" s="335" t="s">
        <v>6901</v>
      </c>
    </row>
    <row r="478" spans="1:11">
      <c r="A478" s="332"/>
      <c r="B478" s="333"/>
      <c r="C478" s="334"/>
      <c r="D478" s="335" t="s">
        <v>6874</v>
      </c>
      <c r="E478" s="339" t="s">
        <v>6902</v>
      </c>
      <c r="F478" s="84" t="s">
        <v>20</v>
      </c>
      <c r="G478" s="356" t="s">
        <v>6903</v>
      </c>
      <c r="H478" s="335" t="s">
        <v>6904</v>
      </c>
      <c r="I478" s="85" t="s">
        <v>23</v>
      </c>
      <c r="J478" s="335" t="s">
        <v>6905</v>
      </c>
      <c r="K478" s="335" t="s">
        <v>6906</v>
      </c>
    </row>
    <row r="479" spans="1:11">
      <c r="A479" s="332"/>
      <c r="B479" s="333"/>
      <c r="C479" s="334"/>
      <c r="D479" s="335" t="s">
        <v>6907</v>
      </c>
      <c r="E479" s="339" t="s">
        <v>6908</v>
      </c>
      <c r="F479" s="84" t="s">
        <v>20</v>
      </c>
      <c r="G479" s="356" t="s">
        <v>6909</v>
      </c>
      <c r="H479" s="335" t="s">
        <v>6910</v>
      </c>
      <c r="I479" s="85" t="s">
        <v>23</v>
      </c>
      <c r="J479" s="335" t="s">
        <v>6911</v>
      </c>
      <c r="K479" s="335" t="s">
        <v>6912</v>
      </c>
    </row>
    <row r="480" spans="1:11">
      <c r="A480" s="332"/>
      <c r="B480" s="333"/>
      <c r="C480" s="334"/>
      <c r="D480" s="335" t="s">
        <v>6913</v>
      </c>
      <c r="E480" s="339" t="s">
        <v>6914</v>
      </c>
      <c r="F480" s="84" t="s">
        <v>20</v>
      </c>
      <c r="G480" s="356" t="s">
        <v>6915</v>
      </c>
      <c r="H480" s="335" t="s">
        <v>6916</v>
      </c>
      <c r="I480" s="85" t="s">
        <v>23</v>
      </c>
      <c r="J480" s="335" t="s">
        <v>6917</v>
      </c>
      <c r="K480" s="335" t="s">
        <v>6918</v>
      </c>
    </row>
    <row r="481" spans="1:11">
      <c r="A481" s="332"/>
      <c r="B481" s="333"/>
      <c r="C481" s="337"/>
      <c r="D481" s="335" t="s">
        <v>6919</v>
      </c>
      <c r="E481" s="339" t="s">
        <v>6920</v>
      </c>
      <c r="F481" s="84" t="s">
        <v>20</v>
      </c>
      <c r="G481" s="356" t="s">
        <v>6921</v>
      </c>
      <c r="H481" s="335" t="s">
        <v>6922</v>
      </c>
      <c r="I481" s="85" t="s">
        <v>23</v>
      </c>
      <c r="J481" s="335" t="s">
        <v>6923</v>
      </c>
      <c r="K481" s="335" t="s">
        <v>6924</v>
      </c>
    </row>
    <row r="482" spans="1:11">
      <c r="A482" s="332"/>
      <c r="B482" s="333"/>
      <c r="C482" s="338" t="s">
        <v>6925</v>
      </c>
      <c r="D482" s="335" t="s">
        <v>6898</v>
      </c>
      <c r="E482" s="339" t="s">
        <v>6926</v>
      </c>
      <c r="F482" s="84" t="s">
        <v>20</v>
      </c>
      <c r="G482" s="356" t="s">
        <v>6927</v>
      </c>
      <c r="H482" s="335" t="s">
        <v>6928</v>
      </c>
      <c r="I482" s="85" t="s">
        <v>23</v>
      </c>
      <c r="J482" s="335" t="s">
        <v>6929</v>
      </c>
      <c r="K482" s="335" t="s">
        <v>6930</v>
      </c>
    </row>
    <row r="483" spans="1:11">
      <c r="A483" s="332"/>
      <c r="B483" s="333"/>
      <c r="C483" s="334"/>
      <c r="D483" s="335" t="s">
        <v>6903</v>
      </c>
      <c r="E483" s="339" t="s">
        <v>6931</v>
      </c>
      <c r="F483" s="84" t="s">
        <v>20</v>
      </c>
      <c r="G483" s="356" t="s">
        <v>6932</v>
      </c>
      <c r="H483" s="335" t="s">
        <v>6933</v>
      </c>
      <c r="I483" s="85" t="s">
        <v>23</v>
      </c>
      <c r="J483" s="335" t="s">
        <v>6934</v>
      </c>
      <c r="K483" s="335" t="s">
        <v>6935</v>
      </c>
    </row>
    <row r="484" spans="1:11">
      <c r="A484" s="332"/>
      <c r="B484" s="333"/>
      <c r="C484" s="334"/>
      <c r="D484" s="335" t="s">
        <v>6909</v>
      </c>
      <c r="E484" s="339" t="s">
        <v>6936</v>
      </c>
      <c r="F484" s="84" t="s">
        <v>229</v>
      </c>
      <c r="G484" s="356" t="s">
        <v>6937</v>
      </c>
      <c r="H484" s="335" t="s">
        <v>6938</v>
      </c>
      <c r="I484" s="85" t="s">
        <v>94</v>
      </c>
      <c r="J484" s="335" t="s">
        <v>6939</v>
      </c>
      <c r="K484" s="335" t="s">
        <v>6940</v>
      </c>
    </row>
    <row r="485" spans="1:11">
      <c r="A485" s="332"/>
      <c r="B485" s="333"/>
      <c r="C485" s="334"/>
      <c r="D485" s="335" t="s">
        <v>6941</v>
      </c>
      <c r="E485" s="339" t="s">
        <v>6942</v>
      </c>
      <c r="F485" s="84" t="s">
        <v>229</v>
      </c>
      <c r="G485" s="356" t="s">
        <v>6943</v>
      </c>
      <c r="H485" s="335" t="s">
        <v>6944</v>
      </c>
      <c r="I485" s="85" t="s">
        <v>94</v>
      </c>
      <c r="J485" s="335" t="s">
        <v>6945</v>
      </c>
      <c r="K485" s="335" t="s">
        <v>6946</v>
      </c>
    </row>
    <row r="486" spans="1:11">
      <c r="A486" s="332"/>
      <c r="B486" s="333"/>
      <c r="C486" s="337"/>
      <c r="D486" s="335" t="s">
        <v>6921</v>
      </c>
      <c r="E486" s="339" t="s">
        <v>6947</v>
      </c>
      <c r="F486" s="84" t="s">
        <v>229</v>
      </c>
      <c r="G486" s="356" t="s">
        <v>6948</v>
      </c>
      <c r="H486" s="335" t="s">
        <v>6949</v>
      </c>
      <c r="I486" s="85" t="s">
        <v>23</v>
      </c>
      <c r="J486" s="335" t="s">
        <v>6950</v>
      </c>
      <c r="K486" s="335" t="s">
        <v>6951</v>
      </c>
    </row>
    <row r="487" spans="1:11">
      <c r="A487" s="332"/>
      <c r="B487" s="333"/>
      <c r="C487" s="347" t="s">
        <v>6952</v>
      </c>
      <c r="D487" s="335" t="s">
        <v>6953</v>
      </c>
      <c r="E487" s="339" t="s">
        <v>6954</v>
      </c>
      <c r="F487" s="84" t="s">
        <v>229</v>
      </c>
      <c r="G487" s="356" t="s">
        <v>6955</v>
      </c>
      <c r="H487" s="335" t="s">
        <v>6956</v>
      </c>
      <c r="I487" s="85" t="s">
        <v>94</v>
      </c>
      <c r="J487" s="335" t="s">
        <v>6957</v>
      </c>
      <c r="K487" s="335" t="s">
        <v>6958</v>
      </c>
    </row>
    <row r="488" spans="1:11">
      <c r="A488" s="332"/>
      <c r="B488" s="333"/>
      <c r="C488" s="348"/>
      <c r="D488" s="342" t="s">
        <v>6932</v>
      </c>
      <c r="E488" s="343" t="s">
        <v>6959</v>
      </c>
      <c r="F488" s="84" t="s">
        <v>229</v>
      </c>
      <c r="G488" s="356" t="s">
        <v>6960</v>
      </c>
      <c r="H488" s="335" t="s">
        <v>6961</v>
      </c>
      <c r="I488" s="85" t="s">
        <v>23</v>
      </c>
      <c r="J488" s="335" t="s">
        <v>6962</v>
      </c>
      <c r="K488" s="335" t="s">
        <v>6963</v>
      </c>
    </row>
    <row r="489" spans="1:11">
      <c r="A489" s="332"/>
      <c r="B489" s="333"/>
      <c r="C489" s="348"/>
      <c r="D489" s="342" t="s">
        <v>6937</v>
      </c>
      <c r="E489" s="343" t="s">
        <v>6964</v>
      </c>
      <c r="F489" s="84" t="s">
        <v>229</v>
      </c>
      <c r="G489" s="356" t="s">
        <v>6965</v>
      </c>
      <c r="H489" s="335" t="s">
        <v>6966</v>
      </c>
      <c r="I489" s="85" t="s">
        <v>94</v>
      </c>
      <c r="J489" s="335" t="s">
        <v>6967</v>
      </c>
      <c r="K489" s="335" t="s">
        <v>6968</v>
      </c>
    </row>
    <row r="490" spans="1:11">
      <c r="A490" s="332"/>
      <c r="B490" s="333"/>
      <c r="C490" s="348"/>
      <c r="D490" s="342" t="s">
        <v>6969</v>
      </c>
      <c r="E490" s="343" t="s">
        <v>6970</v>
      </c>
      <c r="F490" s="84" t="s">
        <v>229</v>
      </c>
      <c r="G490" s="356" t="s">
        <v>6971</v>
      </c>
      <c r="H490" s="335" t="s">
        <v>6972</v>
      </c>
      <c r="I490" s="85" t="s">
        <v>94</v>
      </c>
      <c r="J490" s="335" t="s">
        <v>6973</v>
      </c>
      <c r="K490" s="335" t="s">
        <v>6974</v>
      </c>
    </row>
    <row r="491" spans="1:11">
      <c r="A491" s="332"/>
      <c r="B491" s="333"/>
      <c r="C491" s="349"/>
      <c r="D491" s="342" t="s">
        <v>6948</v>
      </c>
      <c r="E491" s="343" t="s">
        <v>6975</v>
      </c>
      <c r="F491" s="84" t="s">
        <v>229</v>
      </c>
      <c r="G491" s="356" t="s">
        <v>6976</v>
      </c>
      <c r="H491" s="335" t="s">
        <v>6977</v>
      </c>
      <c r="I491" s="85" t="s">
        <v>23</v>
      </c>
      <c r="J491" s="335" t="s">
        <v>6978</v>
      </c>
      <c r="K491" s="335" t="s">
        <v>6979</v>
      </c>
    </row>
    <row r="492" spans="1:11">
      <c r="A492" s="332"/>
      <c r="B492" s="333"/>
      <c r="C492" s="338" t="s">
        <v>6980</v>
      </c>
      <c r="D492" s="342" t="s">
        <v>6981</v>
      </c>
      <c r="E492" s="343" t="s">
        <v>6982</v>
      </c>
      <c r="F492" s="84" t="s">
        <v>20</v>
      </c>
      <c r="G492" s="335" t="s">
        <v>6983</v>
      </c>
      <c r="H492" s="335" t="s">
        <v>6984</v>
      </c>
      <c r="I492" s="85" t="s">
        <v>94</v>
      </c>
      <c r="J492" s="335" t="s">
        <v>6985</v>
      </c>
      <c r="K492" s="335" t="s">
        <v>6986</v>
      </c>
    </row>
    <row r="493" spans="1:11">
      <c r="A493" s="332"/>
      <c r="B493" s="333"/>
      <c r="C493" s="334"/>
      <c r="D493" s="342" t="s">
        <v>6987</v>
      </c>
      <c r="E493" s="343" t="s">
        <v>6988</v>
      </c>
      <c r="F493" s="84" t="s">
        <v>20</v>
      </c>
      <c r="G493" s="335" t="s">
        <v>6989</v>
      </c>
      <c r="H493" s="335" t="s">
        <v>6990</v>
      </c>
      <c r="I493" s="85" t="s">
        <v>94</v>
      </c>
      <c r="J493" s="335" t="s">
        <v>6991</v>
      </c>
      <c r="K493" s="335" t="s">
        <v>6992</v>
      </c>
    </row>
    <row r="494" spans="1:11">
      <c r="A494" s="332"/>
      <c r="B494" s="333"/>
      <c r="C494" s="334"/>
      <c r="D494" s="342" t="s">
        <v>6993</v>
      </c>
      <c r="E494" s="343" t="s">
        <v>6994</v>
      </c>
      <c r="F494" s="84" t="s">
        <v>20</v>
      </c>
      <c r="G494" s="335" t="s">
        <v>6995</v>
      </c>
      <c r="H494" s="335" t="s">
        <v>6996</v>
      </c>
      <c r="I494" s="85" t="s">
        <v>94</v>
      </c>
      <c r="J494" s="335" t="s">
        <v>6997</v>
      </c>
      <c r="K494" s="335" t="s">
        <v>6998</v>
      </c>
    </row>
    <row r="495" spans="1:11">
      <c r="A495" s="332"/>
      <c r="B495" s="333"/>
      <c r="C495" s="334"/>
      <c r="D495" s="342" t="s">
        <v>6999</v>
      </c>
      <c r="E495" s="343" t="s">
        <v>7000</v>
      </c>
      <c r="F495" s="84" t="s">
        <v>20</v>
      </c>
      <c r="G495" s="335" t="s">
        <v>7001</v>
      </c>
      <c r="H495" s="335" t="s">
        <v>7002</v>
      </c>
      <c r="I495" s="85" t="s">
        <v>94</v>
      </c>
      <c r="J495" s="335" t="s">
        <v>7003</v>
      </c>
      <c r="K495" s="335" t="s">
        <v>7004</v>
      </c>
    </row>
    <row r="496" spans="1:11" ht="15.75" thickBot="1">
      <c r="A496" s="332"/>
      <c r="B496" s="344"/>
      <c r="C496" s="340"/>
      <c r="D496" s="345" t="s">
        <v>7005</v>
      </c>
      <c r="E496" s="346" t="s">
        <v>7006</v>
      </c>
      <c r="F496" s="84" t="s">
        <v>20</v>
      </c>
      <c r="G496" s="335" t="s">
        <v>7007</v>
      </c>
      <c r="H496" s="335" t="s">
        <v>7008</v>
      </c>
      <c r="I496" s="85" t="s">
        <v>94</v>
      </c>
      <c r="J496" s="335" t="s">
        <v>7009</v>
      </c>
      <c r="K496" s="335" t="s">
        <v>7010</v>
      </c>
    </row>
    <row r="497" spans="1:11">
      <c r="A497" s="332"/>
      <c r="B497" s="327" t="s">
        <v>7011</v>
      </c>
      <c r="C497" s="355" t="s">
        <v>7012</v>
      </c>
      <c r="D497" s="341" t="s">
        <v>7013</v>
      </c>
      <c r="E497" s="330" t="s">
        <v>7014</v>
      </c>
      <c r="F497" s="84" t="s">
        <v>229</v>
      </c>
      <c r="G497" s="335" t="s">
        <v>7015</v>
      </c>
      <c r="H497" s="335" t="s">
        <v>7016</v>
      </c>
      <c r="I497" s="85" t="s">
        <v>23</v>
      </c>
      <c r="J497" s="335" t="s">
        <v>7017</v>
      </c>
      <c r="K497" s="335" t="s">
        <v>7018</v>
      </c>
    </row>
    <row r="498" spans="1:11">
      <c r="A498" s="332"/>
      <c r="B498" s="333"/>
      <c r="C498" s="348"/>
      <c r="D498" s="329" t="s">
        <v>7019</v>
      </c>
      <c r="E498" s="336" t="s">
        <v>7020</v>
      </c>
      <c r="F498" s="84" t="s">
        <v>425</v>
      </c>
      <c r="G498" s="335" t="s">
        <v>7021</v>
      </c>
      <c r="H498" s="335" t="s">
        <v>7022</v>
      </c>
      <c r="I498" s="85" t="s">
        <v>94</v>
      </c>
      <c r="J498" s="335" t="s">
        <v>7023</v>
      </c>
      <c r="K498" s="335" t="s">
        <v>7024</v>
      </c>
    </row>
    <row r="499" spans="1:11">
      <c r="A499" s="332"/>
      <c r="B499" s="333"/>
      <c r="C499" s="348"/>
      <c r="D499" s="329" t="s">
        <v>7025</v>
      </c>
      <c r="E499" s="336" t="s">
        <v>7026</v>
      </c>
      <c r="F499" s="84" t="s">
        <v>20</v>
      </c>
      <c r="G499" s="335" t="s">
        <v>7027</v>
      </c>
      <c r="H499" s="335" t="s">
        <v>7028</v>
      </c>
      <c r="I499" s="85" t="s">
        <v>94</v>
      </c>
      <c r="J499" s="335" t="s">
        <v>7029</v>
      </c>
      <c r="K499" s="335" t="s">
        <v>7030</v>
      </c>
    </row>
    <row r="500" spans="1:11">
      <c r="A500" s="332"/>
      <c r="B500" s="333"/>
      <c r="C500" s="348"/>
      <c r="D500" s="329" t="s">
        <v>7031</v>
      </c>
      <c r="E500" s="336" t="s">
        <v>7032</v>
      </c>
      <c r="F500" s="84" t="s">
        <v>20</v>
      </c>
      <c r="G500" s="335" t="s">
        <v>7033</v>
      </c>
      <c r="H500" s="335" t="s">
        <v>7034</v>
      </c>
      <c r="I500" s="85" t="s">
        <v>23</v>
      </c>
      <c r="J500" s="335" t="s">
        <v>7035</v>
      </c>
      <c r="K500" s="335" t="s">
        <v>7036</v>
      </c>
    </row>
    <row r="501" spans="1:11">
      <c r="A501" s="332"/>
      <c r="B501" s="333"/>
      <c r="C501" s="349"/>
      <c r="D501" s="329" t="s">
        <v>7037</v>
      </c>
      <c r="E501" s="336" t="s">
        <v>7038</v>
      </c>
      <c r="F501" s="84" t="s">
        <v>20</v>
      </c>
      <c r="G501" s="335" t="s">
        <v>7039</v>
      </c>
      <c r="H501" s="335" t="s">
        <v>7040</v>
      </c>
      <c r="I501" s="85" t="s">
        <v>94</v>
      </c>
      <c r="J501" s="335" t="s">
        <v>7041</v>
      </c>
      <c r="K501" s="335" t="s">
        <v>7042</v>
      </c>
    </row>
    <row r="502" spans="1:11">
      <c r="A502" s="332"/>
      <c r="B502" s="333"/>
      <c r="C502" s="338" t="s">
        <v>7043</v>
      </c>
      <c r="D502" s="335" t="s">
        <v>7044</v>
      </c>
      <c r="E502" s="339" t="s">
        <v>7045</v>
      </c>
      <c r="F502" s="84" t="s">
        <v>20</v>
      </c>
      <c r="G502" s="335" t="s">
        <v>7046</v>
      </c>
      <c r="H502" s="335" t="s">
        <v>7047</v>
      </c>
      <c r="I502" s="85" t="s">
        <v>94</v>
      </c>
      <c r="J502" s="335" t="s">
        <v>7048</v>
      </c>
      <c r="K502" s="335" t="s">
        <v>7049</v>
      </c>
    </row>
    <row r="503" spans="1:11">
      <c r="A503" s="332"/>
      <c r="B503" s="333"/>
      <c r="C503" s="334"/>
      <c r="D503" s="335" t="s">
        <v>7050</v>
      </c>
      <c r="E503" s="339" t="s">
        <v>7051</v>
      </c>
      <c r="F503" s="84" t="s">
        <v>20</v>
      </c>
      <c r="G503" s="335" t="s">
        <v>7052</v>
      </c>
      <c r="H503" s="335" t="s">
        <v>7053</v>
      </c>
      <c r="I503" s="85" t="s">
        <v>23</v>
      </c>
      <c r="J503" s="335" t="s">
        <v>7054</v>
      </c>
      <c r="K503" s="335" t="s">
        <v>7055</v>
      </c>
    </row>
    <row r="504" spans="1:11">
      <c r="A504" s="332"/>
      <c r="B504" s="333"/>
      <c r="C504" s="334"/>
      <c r="D504" s="335" t="s">
        <v>7056</v>
      </c>
      <c r="E504" s="339" t="s">
        <v>7057</v>
      </c>
      <c r="F504" s="84" t="s">
        <v>229</v>
      </c>
      <c r="G504" s="335" t="s">
        <v>7058</v>
      </c>
      <c r="H504" s="335" t="s">
        <v>7059</v>
      </c>
      <c r="I504" s="85" t="s">
        <v>23</v>
      </c>
      <c r="J504" s="335" t="s">
        <v>7060</v>
      </c>
      <c r="K504" s="335" t="s">
        <v>7061</v>
      </c>
    </row>
    <row r="505" spans="1:11">
      <c r="A505" s="332"/>
      <c r="B505" s="333"/>
      <c r="C505" s="334"/>
      <c r="D505" s="335" t="s">
        <v>7062</v>
      </c>
      <c r="E505" s="339" t="s">
        <v>7063</v>
      </c>
      <c r="F505" s="84" t="s">
        <v>229</v>
      </c>
      <c r="G505" s="335" t="s">
        <v>7064</v>
      </c>
      <c r="H505" s="335" t="s">
        <v>7065</v>
      </c>
      <c r="I505" s="85" t="s">
        <v>23</v>
      </c>
      <c r="J505" s="335" t="s">
        <v>7066</v>
      </c>
      <c r="K505" s="335" t="s">
        <v>7067</v>
      </c>
    </row>
    <row r="506" spans="1:11">
      <c r="A506" s="332"/>
      <c r="B506" s="333"/>
      <c r="C506" s="337"/>
      <c r="D506" s="335" t="s">
        <v>7068</v>
      </c>
      <c r="E506" s="339" t="s">
        <v>7069</v>
      </c>
      <c r="F506" s="84" t="s">
        <v>229</v>
      </c>
      <c r="G506" s="335" t="s">
        <v>7070</v>
      </c>
      <c r="H506" s="335" t="s">
        <v>7071</v>
      </c>
      <c r="I506" s="85" t="s">
        <v>23</v>
      </c>
      <c r="J506" s="335" t="s">
        <v>7072</v>
      </c>
      <c r="K506" s="335" t="s">
        <v>7073</v>
      </c>
    </row>
    <row r="507" spans="1:11">
      <c r="A507" s="332"/>
      <c r="B507" s="333"/>
      <c r="C507" s="338" t="s">
        <v>7074</v>
      </c>
      <c r="D507" s="335" t="s">
        <v>7075</v>
      </c>
      <c r="E507" s="339" t="s">
        <v>7076</v>
      </c>
      <c r="F507" s="84" t="s">
        <v>229</v>
      </c>
      <c r="G507" s="335" t="s">
        <v>7077</v>
      </c>
      <c r="H507" s="335" t="s">
        <v>7078</v>
      </c>
      <c r="I507" s="85" t="s">
        <v>23</v>
      </c>
      <c r="J507" s="335" t="s">
        <v>7079</v>
      </c>
      <c r="K507" s="335" t="s">
        <v>7080</v>
      </c>
    </row>
    <row r="508" spans="1:11">
      <c r="A508" s="332"/>
      <c r="B508" s="333"/>
      <c r="C508" s="334"/>
      <c r="D508" s="335" t="s">
        <v>7081</v>
      </c>
      <c r="E508" s="339" t="s">
        <v>7082</v>
      </c>
      <c r="F508" s="84" t="s">
        <v>20</v>
      </c>
      <c r="G508" s="335" t="s">
        <v>7083</v>
      </c>
      <c r="H508" s="335" t="s">
        <v>7084</v>
      </c>
      <c r="I508" s="85" t="s">
        <v>23</v>
      </c>
      <c r="J508" s="335" t="s">
        <v>7085</v>
      </c>
      <c r="K508" s="335" t="s">
        <v>7086</v>
      </c>
    </row>
    <row r="509" spans="1:11">
      <c r="A509" s="332"/>
      <c r="B509" s="333"/>
      <c r="C509" s="334"/>
      <c r="D509" s="335" t="s">
        <v>7087</v>
      </c>
      <c r="E509" s="339" t="s">
        <v>7088</v>
      </c>
      <c r="F509" s="84" t="s">
        <v>20</v>
      </c>
      <c r="G509" s="335" t="s">
        <v>7089</v>
      </c>
      <c r="H509" s="335" t="s">
        <v>7090</v>
      </c>
      <c r="I509" s="85" t="s">
        <v>23</v>
      </c>
      <c r="J509" s="335" t="s">
        <v>7091</v>
      </c>
      <c r="K509" s="335" t="s">
        <v>7092</v>
      </c>
    </row>
    <row r="510" spans="1:11">
      <c r="A510" s="332"/>
      <c r="B510" s="333"/>
      <c r="C510" s="334"/>
      <c r="D510" s="335" t="s">
        <v>7093</v>
      </c>
      <c r="E510" s="339" t="s">
        <v>7094</v>
      </c>
      <c r="F510" s="84" t="s">
        <v>20</v>
      </c>
      <c r="G510" s="335" t="s">
        <v>7095</v>
      </c>
      <c r="H510" s="335" t="s">
        <v>7096</v>
      </c>
      <c r="I510" s="85" t="s">
        <v>23</v>
      </c>
      <c r="J510" s="335" t="s">
        <v>7097</v>
      </c>
      <c r="K510" s="335" t="s">
        <v>7098</v>
      </c>
    </row>
    <row r="511" spans="1:11">
      <c r="A511" s="332"/>
      <c r="B511" s="333"/>
      <c r="C511" s="337"/>
      <c r="D511" s="335" t="s">
        <v>7099</v>
      </c>
      <c r="E511" s="339" t="s">
        <v>7100</v>
      </c>
      <c r="F511" s="84" t="s">
        <v>20</v>
      </c>
      <c r="G511" s="335" t="s">
        <v>7083</v>
      </c>
      <c r="H511" s="335" t="s">
        <v>7101</v>
      </c>
      <c r="I511" s="85" t="s">
        <v>23</v>
      </c>
      <c r="J511" s="335" t="s">
        <v>7102</v>
      </c>
      <c r="K511" s="335" t="s">
        <v>7103</v>
      </c>
    </row>
    <row r="512" spans="1:11">
      <c r="A512" s="332"/>
      <c r="B512" s="333"/>
      <c r="C512" s="338" t="s">
        <v>7104</v>
      </c>
      <c r="D512" s="335" t="s">
        <v>7105</v>
      </c>
      <c r="E512" s="339" t="s">
        <v>7106</v>
      </c>
      <c r="F512" s="84" t="s">
        <v>20</v>
      </c>
      <c r="G512" s="335" t="s">
        <v>7089</v>
      </c>
      <c r="H512" s="335" t="s">
        <v>7107</v>
      </c>
      <c r="I512" s="85" t="s">
        <v>23</v>
      </c>
      <c r="J512" s="335" t="s">
        <v>7108</v>
      </c>
      <c r="K512" s="335" t="s">
        <v>7109</v>
      </c>
    </row>
    <row r="513" spans="1:11">
      <c r="A513" s="332"/>
      <c r="B513" s="333"/>
      <c r="C513" s="334"/>
      <c r="D513" s="335" t="s">
        <v>7110</v>
      </c>
      <c r="E513" s="339" t="s">
        <v>7111</v>
      </c>
      <c r="F513" s="84" t="s">
        <v>425</v>
      </c>
      <c r="G513" s="335" t="s">
        <v>7112</v>
      </c>
      <c r="H513" s="335" t="s">
        <v>7113</v>
      </c>
      <c r="I513" s="85" t="s">
        <v>23</v>
      </c>
      <c r="J513" s="335" t="s">
        <v>7114</v>
      </c>
      <c r="K513" s="335" t="s">
        <v>7115</v>
      </c>
    </row>
    <row r="514" spans="1:11">
      <c r="A514" s="332"/>
      <c r="B514" s="333"/>
      <c r="C514" s="334"/>
      <c r="D514" s="335" t="s">
        <v>7116</v>
      </c>
      <c r="E514" s="339" t="s">
        <v>7117</v>
      </c>
      <c r="F514" s="84" t="s">
        <v>20</v>
      </c>
      <c r="G514" s="335" t="s">
        <v>7118</v>
      </c>
      <c r="H514" s="335" t="s">
        <v>7119</v>
      </c>
      <c r="I514" s="85" t="s">
        <v>23</v>
      </c>
      <c r="J514" s="335" t="s">
        <v>7120</v>
      </c>
      <c r="K514" s="335" t="s">
        <v>7121</v>
      </c>
    </row>
    <row r="515" spans="1:11">
      <c r="A515" s="332"/>
      <c r="B515" s="333"/>
      <c r="C515" s="334"/>
      <c r="D515" s="335" t="s">
        <v>7122</v>
      </c>
      <c r="E515" s="339" t="s">
        <v>7123</v>
      </c>
      <c r="F515" s="84" t="s">
        <v>20</v>
      </c>
      <c r="G515" s="335" t="s">
        <v>7124</v>
      </c>
      <c r="H515" s="335" t="s">
        <v>7125</v>
      </c>
      <c r="I515" s="85" t="s">
        <v>23</v>
      </c>
      <c r="J515" s="335" t="s">
        <v>7126</v>
      </c>
      <c r="K515" s="335" t="s">
        <v>7127</v>
      </c>
    </row>
    <row r="516" spans="1:11">
      <c r="A516" s="332"/>
      <c r="B516" s="333"/>
      <c r="C516" s="337"/>
      <c r="D516" s="335" t="s">
        <v>7128</v>
      </c>
      <c r="E516" s="339" t="s">
        <v>7129</v>
      </c>
      <c r="F516" s="84" t="s">
        <v>20</v>
      </c>
      <c r="G516" s="335" t="s">
        <v>7130</v>
      </c>
      <c r="H516" s="335" t="s">
        <v>7131</v>
      </c>
      <c r="I516" s="85" t="s">
        <v>23</v>
      </c>
      <c r="J516" s="335" t="s">
        <v>7132</v>
      </c>
      <c r="K516" s="335" t="s">
        <v>7133</v>
      </c>
    </row>
    <row r="517" spans="1:11">
      <c r="A517" s="332"/>
      <c r="B517" s="333"/>
      <c r="C517" s="338" t="s">
        <v>7134</v>
      </c>
      <c r="D517" s="335" t="s">
        <v>7135</v>
      </c>
      <c r="E517" s="339" t="s">
        <v>7136</v>
      </c>
      <c r="F517" s="84" t="s">
        <v>20</v>
      </c>
      <c r="G517" s="335" t="s">
        <v>7137</v>
      </c>
      <c r="H517" s="335" t="s">
        <v>7138</v>
      </c>
      <c r="I517" s="85" t="s">
        <v>23</v>
      </c>
      <c r="J517" s="335" t="s">
        <v>7139</v>
      </c>
      <c r="K517" s="335" t="s">
        <v>7140</v>
      </c>
    </row>
    <row r="518" spans="1:11">
      <c r="A518" s="332"/>
      <c r="B518" s="333"/>
      <c r="C518" s="334"/>
      <c r="D518" s="335" t="s">
        <v>7141</v>
      </c>
      <c r="E518" s="339" t="s">
        <v>7142</v>
      </c>
      <c r="F518" s="84" t="s">
        <v>20</v>
      </c>
      <c r="G518" s="335" t="s">
        <v>7141</v>
      </c>
      <c r="H518" s="335" t="s">
        <v>7143</v>
      </c>
      <c r="I518" s="85" t="s">
        <v>94</v>
      </c>
      <c r="J518" s="335" t="s">
        <v>7144</v>
      </c>
      <c r="K518" s="335" t="s">
        <v>7145</v>
      </c>
    </row>
    <row r="519" spans="1:11">
      <c r="A519" s="332"/>
      <c r="B519" s="333"/>
      <c r="C519" s="334"/>
      <c r="D519" s="335" t="s">
        <v>7146</v>
      </c>
      <c r="E519" s="339" t="s">
        <v>7147</v>
      </c>
      <c r="F519" s="84" t="s">
        <v>425</v>
      </c>
      <c r="G519" s="335" t="s">
        <v>7146</v>
      </c>
      <c r="H519" s="335" t="s">
        <v>7148</v>
      </c>
      <c r="I519" s="85" t="s">
        <v>23</v>
      </c>
      <c r="J519" s="335" t="s">
        <v>7149</v>
      </c>
      <c r="K519" s="335" t="s">
        <v>7150</v>
      </c>
    </row>
    <row r="520" spans="1:11">
      <c r="A520" s="332"/>
      <c r="B520" s="333"/>
      <c r="C520" s="334"/>
      <c r="D520" s="335" t="s">
        <v>7151</v>
      </c>
      <c r="E520" s="339" t="s">
        <v>7152</v>
      </c>
      <c r="F520" s="84" t="s">
        <v>425</v>
      </c>
      <c r="G520" s="335" t="s">
        <v>7153</v>
      </c>
      <c r="H520" s="335" t="s">
        <v>7154</v>
      </c>
      <c r="I520" s="85" t="s">
        <v>94</v>
      </c>
      <c r="J520" s="335" t="s">
        <v>7155</v>
      </c>
      <c r="K520" s="335" t="s">
        <v>7156</v>
      </c>
    </row>
    <row r="521" spans="1:11">
      <c r="A521" s="332"/>
      <c r="B521" s="333"/>
      <c r="C521" s="337"/>
      <c r="D521" s="335" t="s">
        <v>7157</v>
      </c>
      <c r="E521" s="339" t="s">
        <v>7158</v>
      </c>
      <c r="F521" s="84" t="s">
        <v>229</v>
      </c>
      <c r="G521" s="335" t="s">
        <v>7159</v>
      </c>
      <c r="H521" s="335" t="s">
        <v>7160</v>
      </c>
      <c r="I521" s="85" t="s">
        <v>94</v>
      </c>
      <c r="J521" s="335" t="s">
        <v>7161</v>
      </c>
      <c r="K521" s="335" t="s">
        <v>7162</v>
      </c>
    </row>
    <row r="522" spans="1:11">
      <c r="A522" s="332"/>
      <c r="B522" s="333"/>
      <c r="C522" s="338" t="s">
        <v>7163</v>
      </c>
      <c r="D522" s="335" t="s">
        <v>7164</v>
      </c>
      <c r="E522" s="339" t="s">
        <v>7165</v>
      </c>
      <c r="F522" s="84" t="s">
        <v>229</v>
      </c>
      <c r="G522" s="335" t="s">
        <v>7164</v>
      </c>
      <c r="H522" s="335" t="s">
        <v>7166</v>
      </c>
      <c r="I522" s="85" t="s">
        <v>23</v>
      </c>
      <c r="J522" s="335" t="s">
        <v>7167</v>
      </c>
      <c r="K522" s="335" t="s">
        <v>7168</v>
      </c>
    </row>
    <row r="523" spans="1:11">
      <c r="A523" s="332"/>
      <c r="B523" s="333"/>
      <c r="C523" s="334"/>
      <c r="D523" s="335" t="s">
        <v>7169</v>
      </c>
      <c r="E523" s="339" t="s">
        <v>7170</v>
      </c>
      <c r="F523" s="84" t="s">
        <v>229</v>
      </c>
      <c r="G523" s="335" t="s">
        <v>7171</v>
      </c>
      <c r="H523" s="335" t="s">
        <v>7172</v>
      </c>
      <c r="I523" s="85" t="s">
        <v>23</v>
      </c>
      <c r="J523" s="335" t="s">
        <v>7173</v>
      </c>
      <c r="K523" s="335" t="s">
        <v>7174</v>
      </c>
    </row>
    <row r="524" spans="1:11">
      <c r="A524" s="332"/>
      <c r="B524" s="333"/>
      <c r="C524" s="334"/>
      <c r="D524" s="335" t="s">
        <v>7175</v>
      </c>
      <c r="E524" s="339" t="s">
        <v>7176</v>
      </c>
      <c r="F524" s="84" t="s">
        <v>229</v>
      </c>
      <c r="G524" s="335" t="s">
        <v>7177</v>
      </c>
      <c r="H524" s="335" t="s">
        <v>7178</v>
      </c>
      <c r="I524" s="85" t="s">
        <v>23</v>
      </c>
      <c r="J524" s="335" t="s">
        <v>7179</v>
      </c>
      <c r="K524" s="335" t="s">
        <v>7180</v>
      </c>
    </row>
    <row r="525" spans="1:11">
      <c r="A525" s="332"/>
      <c r="B525" s="333"/>
      <c r="C525" s="334"/>
      <c r="D525" s="335" t="s">
        <v>7181</v>
      </c>
      <c r="E525" s="339" t="s">
        <v>7182</v>
      </c>
      <c r="F525" s="84" t="s">
        <v>229</v>
      </c>
      <c r="G525" s="335" t="s">
        <v>7183</v>
      </c>
      <c r="H525" s="335" t="s">
        <v>7184</v>
      </c>
      <c r="I525" s="85" t="s">
        <v>23</v>
      </c>
      <c r="J525" s="335" t="s">
        <v>7185</v>
      </c>
      <c r="K525" s="335" t="s">
        <v>7186</v>
      </c>
    </row>
    <row r="526" spans="1:11">
      <c r="A526" s="332"/>
      <c r="B526" s="333"/>
      <c r="C526" s="337"/>
      <c r="D526" s="335" t="s">
        <v>7187</v>
      </c>
      <c r="E526" s="339" t="s">
        <v>7188</v>
      </c>
      <c r="F526" s="84" t="s">
        <v>20</v>
      </c>
      <c r="G526" s="335" t="s">
        <v>7189</v>
      </c>
      <c r="H526" s="335" t="s">
        <v>7190</v>
      </c>
      <c r="I526" s="85" t="s">
        <v>23</v>
      </c>
      <c r="J526" s="335" t="s">
        <v>7191</v>
      </c>
      <c r="K526" s="335" t="s">
        <v>7192</v>
      </c>
    </row>
    <row r="527" spans="1:11">
      <c r="A527" s="332"/>
      <c r="B527" s="333"/>
      <c r="C527" s="338" t="s">
        <v>7193</v>
      </c>
      <c r="D527" s="335" t="s">
        <v>7194</v>
      </c>
      <c r="E527" s="339" t="s">
        <v>7195</v>
      </c>
      <c r="F527" s="84" t="s">
        <v>20</v>
      </c>
      <c r="G527" s="335" t="s">
        <v>7196</v>
      </c>
      <c r="H527" s="335" t="s">
        <v>7197</v>
      </c>
      <c r="I527" s="85" t="s">
        <v>23</v>
      </c>
      <c r="J527" s="335" t="s">
        <v>7198</v>
      </c>
      <c r="K527" s="335" t="s">
        <v>7199</v>
      </c>
    </row>
    <row r="528" spans="1:11">
      <c r="A528" s="332"/>
      <c r="B528" s="333"/>
      <c r="C528" s="334"/>
      <c r="D528" s="335" t="s">
        <v>7200</v>
      </c>
      <c r="E528" s="339" t="s">
        <v>7201</v>
      </c>
      <c r="F528" s="84" t="s">
        <v>20</v>
      </c>
      <c r="G528" s="335" t="s">
        <v>7202</v>
      </c>
      <c r="H528" s="335" t="s">
        <v>7203</v>
      </c>
      <c r="I528" s="85" t="s">
        <v>23</v>
      </c>
      <c r="J528" s="335" t="s">
        <v>7204</v>
      </c>
      <c r="K528" s="335" t="s">
        <v>7205</v>
      </c>
    </row>
    <row r="529" spans="1:11">
      <c r="A529" s="332"/>
      <c r="B529" s="333"/>
      <c r="C529" s="334"/>
      <c r="D529" s="335" t="s">
        <v>7206</v>
      </c>
      <c r="E529" s="339" t="s">
        <v>7207</v>
      </c>
      <c r="F529" s="84" t="s">
        <v>20</v>
      </c>
      <c r="G529" s="335" t="s">
        <v>7208</v>
      </c>
      <c r="H529" s="335" t="s">
        <v>7209</v>
      </c>
      <c r="I529" s="85" t="s">
        <v>23</v>
      </c>
      <c r="J529" s="335" t="s">
        <v>7210</v>
      </c>
      <c r="K529" s="335" t="s">
        <v>7211</v>
      </c>
    </row>
    <row r="530" spans="1:11">
      <c r="A530" s="332"/>
      <c r="B530" s="333"/>
      <c r="C530" s="334"/>
      <c r="D530" s="335" t="s">
        <v>7212</v>
      </c>
      <c r="E530" s="339" t="s">
        <v>7213</v>
      </c>
      <c r="F530" s="84" t="s">
        <v>20</v>
      </c>
      <c r="G530" s="335" t="s">
        <v>7214</v>
      </c>
      <c r="H530" s="335" t="s">
        <v>7215</v>
      </c>
      <c r="I530" s="85" t="s">
        <v>23</v>
      </c>
      <c r="J530" s="335" t="s">
        <v>7216</v>
      </c>
      <c r="K530" s="335" t="s">
        <v>7217</v>
      </c>
    </row>
    <row r="531" spans="1:11">
      <c r="A531" s="332"/>
      <c r="B531" s="333"/>
      <c r="C531" s="337"/>
      <c r="D531" s="335" t="s">
        <v>7218</v>
      </c>
      <c r="E531" s="339" t="s">
        <v>7219</v>
      </c>
      <c r="F531" s="84" t="s">
        <v>425</v>
      </c>
      <c r="G531" s="335" t="s">
        <v>7220</v>
      </c>
      <c r="H531" s="335" t="s">
        <v>7221</v>
      </c>
      <c r="I531" s="85" t="s">
        <v>23</v>
      </c>
      <c r="J531" s="335" t="s">
        <v>7222</v>
      </c>
      <c r="K531" s="335" t="s">
        <v>7223</v>
      </c>
    </row>
    <row r="532" spans="1:11">
      <c r="A532" s="332"/>
      <c r="B532" s="333"/>
      <c r="C532" s="338" t="s">
        <v>7224</v>
      </c>
      <c r="D532" s="335" t="s">
        <v>7225</v>
      </c>
      <c r="E532" s="339" t="s">
        <v>7226</v>
      </c>
      <c r="F532" s="84" t="s">
        <v>20</v>
      </c>
      <c r="G532" s="335" t="s">
        <v>7227</v>
      </c>
      <c r="H532" s="335" t="s">
        <v>7228</v>
      </c>
      <c r="I532" s="85" t="s">
        <v>23</v>
      </c>
      <c r="J532" s="335" t="s">
        <v>7229</v>
      </c>
      <c r="K532" s="335" t="s">
        <v>7230</v>
      </c>
    </row>
    <row r="533" spans="1:11">
      <c r="A533" s="332"/>
      <c r="B533" s="333"/>
      <c r="C533" s="334"/>
      <c r="D533" s="335" t="s">
        <v>7231</v>
      </c>
      <c r="E533" s="339" t="s">
        <v>7232</v>
      </c>
      <c r="F533" s="84" t="s">
        <v>20</v>
      </c>
      <c r="G533" s="335" t="s">
        <v>7233</v>
      </c>
      <c r="H533" s="335" t="s">
        <v>7234</v>
      </c>
      <c r="I533" s="85" t="s">
        <v>23</v>
      </c>
      <c r="J533" s="335" t="s">
        <v>7235</v>
      </c>
      <c r="K533" s="335" t="s">
        <v>7236</v>
      </c>
    </row>
    <row r="534" spans="1:11">
      <c r="A534" s="332"/>
      <c r="B534" s="333"/>
      <c r="C534" s="334"/>
      <c r="D534" s="335" t="s">
        <v>7237</v>
      </c>
      <c r="E534" s="339" t="s">
        <v>7238</v>
      </c>
      <c r="F534" s="84" t="s">
        <v>20</v>
      </c>
      <c r="G534" s="335" t="s">
        <v>7239</v>
      </c>
      <c r="H534" s="335" t="s">
        <v>7240</v>
      </c>
      <c r="I534" s="85" t="s">
        <v>94</v>
      </c>
      <c r="J534" s="335" t="s">
        <v>7241</v>
      </c>
      <c r="K534" s="335" t="s">
        <v>7242</v>
      </c>
    </row>
    <row r="535" spans="1:11">
      <c r="A535" s="332"/>
      <c r="B535" s="333"/>
      <c r="C535" s="334"/>
      <c r="D535" s="335" t="s">
        <v>7243</v>
      </c>
      <c r="E535" s="339" t="s">
        <v>7244</v>
      </c>
      <c r="F535" s="84" t="s">
        <v>229</v>
      </c>
      <c r="G535" s="335" t="s">
        <v>7243</v>
      </c>
      <c r="H535" s="335" t="s">
        <v>7245</v>
      </c>
      <c r="I535" s="85" t="s">
        <v>94</v>
      </c>
      <c r="J535" s="335" t="s">
        <v>7246</v>
      </c>
      <c r="K535" s="335" t="s">
        <v>7247</v>
      </c>
    </row>
    <row r="536" spans="1:11">
      <c r="A536" s="332"/>
      <c r="B536" s="333"/>
      <c r="C536" s="337"/>
      <c r="D536" s="335" t="s">
        <v>7248</v>
      </c>
      <c r="E536" s="339" t="s">
        <v>7249</v>
      </c>
      <c r="F536" s="84" t="s">
        <v>229</v>
      </c>
      <c r="G536" s="335" t="s">
        <v>7250</v>
      </c>
      <c r="H536" s="335" t="s">
        <v>7251</v>
      </c>
      <c r="I536" s="85" t="s">
        <v>94</v>
      </c>
      <c r="J536" s="335" t="s">
        <v>7252</v>
      </c>
      <c r="K536" s="335" t="s">
        <v>7253</v>
      </c>
    </row>
    <row r="537" spans="1:11">
      <c r="A537" s="332"/>
      <c r="B537" s="333"/>
      <c r="C537" s="347" t="s">
        <v>7254</v>
      </c>
      <c r="D537" s="335" t="s">
        <v>7255</v>
      </c>
      <c r="E537" s="339" t="s">
        <v>7256</v>
      </c>
      <c r="F537" s="84" t="s">
        <v>229</v>
      </c>
      <c r="G537" s="335" t="s">
        <v>7257</v>
      </c>
      <c r="H537" s="335" t="s">
        <v>7258</v>
      </c>
      <c r="I537" s="85" t="s">
        <v>94</v>
      </c>
      <c r="J537" s="335" t="s">
        <v>7259</v>
      </c>
      <c r="K537" s="335" t="s">
        <v>7260</v>
      </c>
    </row>
    <row r="538" spans="1:11">
      <c r="A538" s="332"/>
      <c r="B538" s="333"/>
      <c r="C538" s="348"/>
      <c r="D538" s="335" t="s">
        <v>7261</v>
      </c>
      <c r="E538" s="339" t="s">
        <v>7262</v>
      </c>
      <c r="F538" s="84" t="s">
        <v>229</v>
      </c>
      <c r="G538" s="335" t="s">
        <v>7263</v>
      </c>
      <c r="H538" s="335" t="s">
        <v>7264</v>
      </c>
      <c r="I538" s="85" t="s">
        <v>23</v>
      </c>
      <c r="J538" s="335" t="s">
        <v>7265</v>
      </c>
      <c r="K538" s="335" t="s">
        <v>7266</v>
      </c>
    </row>
    <row r="539" spans="1:11">
      <c r="A539" s="332"/>
      <c r="B539" s="333"/>
      <c r="C539" s="348"/>
      <c r="D539" s="335" t="s">
        <v>7267</v>
      </c>
      <c r="E539" s="339" t="s">
        <v>7268</v>
      </c>
      <c r="F539" s="84" t="s">
        <v>229</v>
      </c>
      <c r="G539" s="335" t="s">
        <v>7269</v>
      </c>
      <c r="H539" s="335" t="s">
        <v>7270</v>
      </c>
      <c r="I539" s="85" t="s">
        <v>94</v>
      </c>
      <c r="J539" s="335" t="s">
        <v>7271</v>
      </c>
      <c r="K539" s="335" t="s">
        <v>7272</v>
      </c>
    </row>
    <row r="540" spans="1:11">
      <c r="A540" s="332"/>
      <c r="B540" s="333"/>
      <c r="C540" s="348"/>
      <c r="D540" s="335" t="s">
        <v>7273</v>
      </c>
      <c r="E540" s="339" t="s">
        <v>7274</v>
      </c>
      <c r="F540" s="84" t="s">
        <v>229</v>
      </c>
      <c r="G540" s="335" t="s">
        <v>7275</v>
      </c>
      <c r="H540" s="335" t="s">
        <v>6438</v>
      </c>
      <c r="I540" s="85" t="s">
        <v>94</v>
      </c>
      <c r="J540" s="335" t="s">
        <v>7276</v>
      </c>
      <c r="K540" s="335" t="s">
        <v>7277</v>
      </c>
    </row>
    <row r="541" spans="1:11">
      <c r="A541" s="332"/>
      <c r="B541" s="333"/>
      <c r="C541" s="349"/>
      <c r="D541" s="335" t="s">
        <v>7278</v>
      </c>
      <c r="E541" s="339" t="s">
        <v>7279</v>
      </c>
      <c r="F541" s="84" t="s">
        <v>229</v>
      </c>
      <c r="G541" s="335" t="s">
        <v>7280</v>
      </c>
      <c r="H541" s="335" t="s">
        <v>7281</v>
      </c>
      <c r="I541" s="85" t="s">
        <v>94</v>
      </c>
      <c r="J541" s="335" t="s">
        <v>7282</v>
      </c>
      <c r="K541" s="335" t="s">
        <v>7283</v>
      </c>
    </row>
    <row r="542" spans="1:11">
      <c r="A542" s="332"/>
      <c r="B542" s="333"/>
      <c r="C542" s="338" t="s">
        <v>7284</v>
      </c>
      <c r="D542" s="335" t="s">
        <v>7285</v>
      </c>
      <c r="E542" s="339" t="s">
        <v>7286</v>
      </c>
      <c r="F542" s="84" t="s">
        <v>229</v>
      </c>
      <c r="G542" s="335" t="s">
        <v>7287</v>
      </c>
      <c r="H542" s="335" t="s">
        <v>7288</v>
      </c>
      <c r="I542" s="85" t="s">
        <v>2560</v>
      </c>
      <c r="J542" s="335" t="s">
        <v>7289</v>
      </c>
      <c r="K542" s="335" t="s">
        <v>7290</v>
      </c>
    </row>
    <row r="543" spans="1:11">
      <c r="A543" s="332"/>
      <c r="B543" s="333"/>
      <c r="C543" s="334"/>
      <c r="D543" s="335" t="s">
        <v>7291</v>
      </c>
      <c r="E543" s="339" t="s">
        <v>7292</v>
      </c>
      <c r="F543" s="84" t="s">
        <v>425</v>
      </c>
      <c r="G543" s="335" t="s">
        <v>7293</v>
      </c>
      <c r="H543" s="335" t="s">
        <v>7294</v>
      </c>
      <c r="I543" s="85" t="s">
        <v>94</v>
      </c>
      <c r="J543" s="335" t="s">
        <v>7295</v>
      </c>
      <c r="K543" s="335" t="s">
        <v>7296</v>
      </c>
    </row>
    <row r="544" spans="1:11">
      <c r="A544" s="332"/>
      <c r="B544" s="333"/>
      <c r="C544" s="334"/>
      <c r="D544" s="335" t="s">
        <v>7297</v>
      </c>
      <c r="E544" s="339" t="s">
        <v>7298</v>
      </c>
      <c r="F544" s="84" t="s">
        <v>425</v>
      </c>
      <c r="G544" s="335" t="s">
        <v>7299</v>
      </c>
      <c r="H544" s="335" t="s">
        <v>7300</v>
      </c>
      <c r="I544" s="85" t="s">
        <v>94</v>
      </c>
      <c r="J544" s="335" t="s">
        <v>7301</v>
      </c>
      <c r="K544" s="335" t="s">
        <v>7302</v>
      </c>
    </row>
    <row r="545" spans="1:11">
      <c r="A545" s="332"/>
      <c r="B545" s="333"/>
      <c r="C545" s="334"/>
      <c r="D545" s="335" t="s">
        <v>7303</v>
      </c>
      <c r="E545" s="339" t="s">
        <v>7304</v>
      </c>
      <c r="F545" s="84" t="s">
        <v>229</v>
      </c>
      <c r="G545" s="335" t="s">
        <v>7305</v>
      </c>
      <c r="H545" s="335" t="s">
        <v>7306</v>
      </c>
      <c r="I545" s="85" t="s">
        <v>94</v>
      </c>
      <c r="J545" s="335" t="s">
        <v>7307</v>
      </c>
      <c r="K545" s="335" t="s">
        <v>7308</v>
      </c>
    </row>
    <row r="546" spans="1:11">
      <c r="A546" s="332"/>
      <c r="B546" s="333"/>
      <c r="C546" s="337"/>
      <c r="D546" s="335" t="s">
        <v>7309</v>
      </c>
      <c r="E546" s="339" t="s">
        <v>7310</v>
      </c>
      <c r="F546" s="84" t="s">
        <v>229</v>
      </c>
      <c r="G546" s="335" t="s">
        <v>7311</v>
      </c>
      <c r="H546" s="335" t="s">
        <v>7312</v>
      </c>
      <c r="I546" s="85" t="s">
        <v>23</v>
      </c>
      <c r="J546" s="335" t="s">
        <v>7313</v>
      </c>
      <c r="K546" s="335" t="s">
        <v>7314</v>
      </c>
    </row>
    <row r="547" spans="1:11">
      <c r="A547" s="332"/>
      <c r="B547" s="333"/>
      <c r="C547" s="338" t="s">
        <v>7315</v>
      </c>
      <c r="D547" s="335" t="s">
        <v>7316</v>
      </c>
      <c r="E547" s="339" t="s">
        <v>7317</v>
      </c>
      <c r="F547" s="84" t="s">
        <v>229</v>
      </c>
      <c r="G547" s="335" t="s">
        <v>7318</v>
      </c>
      <c r="H547" s="335" t="s">
        <v>7319</v>
      </c>
      <c r="I547" s="85" t="s">
        <v>23</v>
      </c>
      <c r="J547" s="335" t="s">
        <v>7320</v>
      </c>
      <c r="K547" s="335" t="s">
        <v>7321</v>
      </c>
    </row>
    <row r="548" spans="1:11">
      <c r="A548" s="332"/>
      <c r="B548" s="333"/>
      <c r="C548" s="334"/>
      <c r="D548" s="342" t="s">
        <v>7322</v>
      </c>
      <c r="E548" s="343" t="s">
        <v>7323</v>
      </c>
      <c r="F548" s="84" t="s">
        <v>229</v>
      </c>
      <c r="G548" s="335" t="s">
        <v>7324</v>
      </c>
      <c r="H548" s="335" t="s">
        <v>7325</v>
      </c>
      <c r="I548" s="85" t="s">
        <v>23</v>
      </c>
      <c r="J548" s="335" t="s">
        <v>7326</v>
      </c>
      <c r="K548" s="335" t="s">
        <v>7327</v>
      </c>
    </row>
    <row r="549" spans="1:11">
      <c r="A549" s="332"/>
      <c r="B549" s="333"/>
      <c r="C549" s="334"/>
      <c r="D549" s="342" t="s">
        <v>7328</v>
      </c>
      <c r="E549" s="343" t="s">
        <v>7329</v>
      </c>
      <c r="F549" s="84" t="s">
        <v>20</v>
      </c>
      <c r="G549" s="335" t="s">
        <v>7330</v>
      </c>
      <c r="H549" s="335" t="s">
        <v>7331</v>
      </c>
      <c r="I549" s="85" t="s">
        <v>23</v>
      </c>
      <c r="J549" s="335" t="s">
        <v>7332</v>
      </c>
      <c r="K549" s="335" t="s">
        <v>7333</v>
      </c>
    </row>
    <row r="550" spans="1:11">
      <c r="A550" s="332"/>
      <c r="B550" s="333"/>
      <c r="C550" s="334"/>
      <c r="D550" s="342" t="s">
        <v>7334</v>
      </c>
      <c r="E550" s="343" t="s">
        <v>7335</v>
      </c>
      <c r="F550" s="84" t="s">
        <v>20</v>
      </c>
      <c r="G550" s="335" t="s">
        <v>7336</v>
      </c>
      <c r="H550" s="335" t="s">
        <v>7337</v>
      </c>
      <c r="I550" s="85" t="s">
        <v>23</v>
      </c>
      <c r="J550" s="335" t="s">
        <v>7338</v>
      </c>
      <c r="K550" s="335" t="s">
        <v>7339</v>
      </c>
    </row>
    <row r="551" spans="1:11">
      <c r="A551" s="332"/>
      <c r="B551" s="333"/>
      <c r="C551" s="337"/>
      <c r="D551" s="342" t="s">
        <v>7336</v>
      </c>
      <c r="E551" s="343" t="s">
        <v>7340</v>
      </c>
      <c r="F551" s="84" t="s">
        <v>20</v>
      </c>
      <c r="G551" s="335" t="s">
        <v>7341</v>
      </c>
      <c r="H551" s="335" t="s">
        <v>7342</v>
      </c>
      <c r="I551" s="85" t="s">
        <v>23</v>
      </c>
      <c r="J551" s="335" t="s">
        <v>7343</v>
      </c>
      <c r="K551" s="335" t="s">
        <v>7344</v>
      </c>
    </row>
    <row r="552" spans="1:11">
      <c r="A552" s="332"/>
      <c r="B552" s="333"/>
      <c r="C552" s="338" t="s">
        <v>7345</v>
      </c>
      <c r="D552" s="342" t="s">
        <v>7346</v>
      </c>
      <c r="E552" s="343" t="s">
        <v>7347</v>
      </c>
      <c r="F552" s="84" t="s">
        <v>20</v>
      </c>
      <c r="G552" s="335" t="s">
        <v>7348</v>
      </c>
      <c r="H552" s="335" t="s">
        <v>7349</v>
      </c>
      <c r="I552" s="85" t="s">
        <v>23</v>
      </c>
      <c r="J552" s="335" t="s">
        <v>7350</v>
      </c>
      <c r="K552" s="335" t="s">
        <v>7351</v>
      </c>
    </row>
    <row r="553" spans="1:11">
      <c r="A553" s="332"/>
      <c r="B553" s="333"/>
      <c r="C553" s="334"/>
      <c r="D553" s="342" t="s">
        <v>7352</v>
      </c>
      <c r="E553" s="343" t="s">
        <v>7353</v>
      </c>
      <c r="F553" s="84" t="s">
        <v>20</v>
      </c>
      <c r="G553" s="335" t="s">
        <v>7354</v>
      </c>
      <c r="H553" s="335" t="s">
        <v>7355</v>
      </c>
      <c r="I553" s="85" t="s">
        <v>23</v>
      </c>
      <c r="J553" s="335" t="s">
        <v>7356</v>
      </c>
      <c r="K553" s="335" t="s">
        <v>7357</v>
      </c>
    </row>
    <row r="554" spans="1:11">
      <c r="A554" s="332"/>
      <c r="B554" s="333"/>
      <c r="C554" s="334"/>
      <c r="D554" s="342" t="s">
        <v>7354</v>
      </c>
      <c r="E554" s="343" t="s">
        <v>7358</v>
      </c>
      <c r="F554" s="84" t="s">
        <v>20</v>
      </c>
      <c r="G554" s="335" t="s">
        <v>7359</v>
      </c>
      <c r="H554" s="335" t="s">
        <v>7360</v>
      </c>
      <c r="I554" s="85" t="s">
        <v>23</v>
      </c>
      <c r="J554" s="335" t="s">
        <v>7361</v>
      </c>
      <c r="K554" s="335" t="s">
        <v>7362</v>
      </c>
    </row>
    <row r="555" spans="1:11">
      <c r="A555" s="332"/>
      <c r="B555" s="333"/>
      <c r="C555" s="334"/>
      <c r="D555" s="342" t="s">
        <v>7363</v>
      </c>
      <c r="E555" s="343" t="s">
        <v>7364</v>
      </c>
      <c r="F555" s="84" t="s">
        <v>20</v>
      </c>
      <c r="G555" s="335" t="s">
        <v>7365</v>
      </c>
      <c r="H555" s="335" t="s">
        <v>7366</v>
      </c>
      <c r="I555" s="85" t="s">
        <v>23</v>
      </c>
      <c r="J555" s="335" t="s">
        <v>7367</v>
      </c>
      <c r="K555" s="335" t="s">
        <v>7368</v>
      </c>
    </row>
    <row r="556" spans="1:11" ht="15.75" thickBot="1">
      <c r="A556" s="332"/>
      <c r="B556" s="344"/>
      <c r="C556" s="340"/>
      <c r="D556" s="345" t="s">
        <v>7365</v>
      </c>
      <c r="E556" s="346" t="s">
        <v>7369</v>
      </c>
      <c r="F556" s="84" t="s">
        <v>20</v>
      </c>
      <c r="G556" s="335" t="s">
        <v>7370</v>
      </c>
      <c r="H556" s="335" t="s">
        <v>7371</v>
      </c>
      <c r="I556" s="85" t="s">
        <v>23</v>
      </c>
      <c r="J556" s="335" t="s">
        <v>7372</v>
      </c>
      <c r="K556" s="335" t="s">
        <v>7373</v>
      </c>
    </row>
    <row r="557" spans="1:11">
      <c r="A557" s="332"/>
      <c r="B557" s="327" t="s">
        <v>7374</v>
      </c>
      <c r="C557" s="328" t="s">
        <v>7375</v>
      </c>
      <c r="D557" s="341" t="s">
        <v>7376</v>
      </c>
      <c r="E557" s="330" t="s">
        <v>7377</v>
      </c>
      <c r="F557" s="84" t="s">
        <v>20</v>
      </c>
      <c r="G557" s="335" t="s">
        <v>7378</v>
      </c>
      <c r="H557" s="335" t="s">
        <v>7379</v>
      </c>
      <c r="I557" s="85" t="s">
        <v>23</v>
      </c>
      <c r="J557" s="335" t="s">
        <v>7380</v>
      </c>
      <c r="K557" s="335" t="s">
        <v>7381</v>
      </c>
    </row>
    <row r="558" spans="1:11">
      <c r="A558" s="332"/>
      <c r="B558" s="333"/>
      <c r="C558" s="334"/>
      <c r="D558" s="329" t="s">
        <v>7382</v>
      </c>
      <c r="E558" s="336" t="s">
        <v>7383</v>
      </c>
      <c r="F558" s="84" t="s">
        <v>425</v>
      </c>
      <c r="G558" s="335" t="s">
        <v>7384</v>
      </c>
      <c r="H558" s="335" t="s">
        <v>7385</v>
      </c>
      <c r="I558" s="85" t="s">
        <v>23</v>
      </c>
      <c r="J558" s="335" t="s">
        <v>7386</v>
      </c>
      <c r="K558" s="335" t="s">
        <v>7387</v>
      </c>
    </row>
    <row r="559" spans="1:11">
      <c r="A559" s="332"/>
      <c r="B559" s="333"/>
      <c r="C559" s="334"/>
      <c r="D559" s="329" t="s">
        <v>7388</v>
      </c>
      <c r="E559" s="336" t="s">
        <v>7389</v>
      </c>
      <c r="F559" s="84" t="s">
        <v>20</v>
      </c>
      <c r="G559" s="335" t="s">
        <v>7390</v>
      </c>
      <c r="H559" s="335" t="s">
        <v>7391</v>
      </c>
      <c r="I559" s="85" t="s">
        <v>23</v>
      </c>
      <c r="J559" s="335" t="s">
        <v>7392</v>
      </c>
      <c r="K559" s="335" t="s">
        <v>7393</v>
      </c>
    </row>
    <row r="560" spans="1:11">
      <c r="A560" s="332"/>
      <c r="B560" s="333"/>
      <c r="C560" s="334"/>
      <c r="D560" s="329" t="s">
        <v>7390</v>
      </c>
      <c r="E560" s="336" t="s">
        <v>7394</v>
      </c>
      <c r="F560" s="84" t="s">
        <v>20</v>
      </c>
      <c r="G560" s="335" t="s">
        <v>7395</v>
      </c>
      <c r="H560" s="335" t="s">
        <v>7396</v>
      </c>
      <c r="I560" s="85" t="s">
        <v>94</v>
      </c>
      <c r="J560" s="335" t="s">
        <v>7397</v>
      </c>
      <c r="K560" s="335" t="s">
        <v>7398</v>
      </c>
    </row>
    <row r="561" spans="1:11">
      <c r="A561" s="332"/>
      <c r="B561" s="333"/>
      <c r="C561" s="337"/>
      <c r="D561" s="329" t="s">
        <v>7399</v>
      </c>
      <c r="E561" s="336" t="s">
        <v>7400</v>
      </c>
      <c r="F561" s="84" t="s">
        <v>20</v>
      </c>
      <c r="G561" s="335" t="s">
        <v>7401</v>
      </c>
      <c r="H561" s="335" t="s">
        <v>7402</v>
      </c>
      <c r="I561" s="85" t="s">
        <v>23</v>
      </c>
      <c r="J561" s="335" t="s">
        <v>7403</v>
      </c>
      <c r="K561" s="335" t="s">
        <v>7404</v>
      </c>
    </row>
    <row r="562" spans="1:11">
      <c r="A562" s="332"/>
      <c r="B562" s="333"/>
      <c r="C562" s="338" t="s">
        <v>7405</v>
      </c>
      <c r="D562" s="335" t="s">
        <v>7406</v>
      </c>
      <c r="E562" s="339" t="s">
        <v>7407</v>
      </c>
      <c r="F562" s="84" t="s">
        <v>20</v>
      </c>
      <c r="G562" s="335" t="s">
        <v>7408</v>
      </c>
      <c r="H562" s="335" t="s">
        <v>7409</v>
      </c>
      <c r="I562" s="85" t="s">
        <v>23</v>
      </c>
      <c r="J562" s="335" t="s">
        <v>7410</v>
      </c>
      <c r="K562" s="335" t="s">
        <v>7411</v>
      </c>
    </row>
    <row r="563" spans="1:11">
      <c r="A563" s="332"/>
      <c r="B563" s="333"/>
      <c r="C563" s="334"/>
      <c r="D563" s="335" t="s">
        <v>7412</v>
      </c>
      <c r="E563" s="339" t="s">
        <v>7413</v>
      </c>
      <c r="F563" s="84" t="s">
        <v>20</v>
      </c>
      <c r="G563" s="335" t="s">
        <v>7414</v>
      </c>
      <c r="H563" s="335" t="s">
        <v>7415</v>
      </c>
      <c r="I563" s="85" t="s">
        <v>23</v>
      </c>
      <c r="J563" s="335" t="s">
        <v>7416</v>
      </c>
      <c r="K563" s="335" t="s">
        <v>7417</v>
      </c>
    </row>
    <row r="564" spans="1:11">
      <c r="A564" s="332"/>
      <c r="B564" s="333"/>
      <c r="C564" s="334"/>
      <c r="D564" s="335" t="s">
        <v>7418</v>
      </c>
      <c r="E564" s="339" t="s">
        <v>7419</v>
      </c>
      <c r="F564" s="84" t="s">
        <v>20</v>
      </c>
      <c r="G564" s="335" t="s">
        <v>7420</v>
      </c>
      <c r="H564" s="335" t="s">
        <v>7421</v>
      </c>
      <c r="I564" s="85" t="s">
        <v>23</v>
      </c>
      <c r="J564" s="335" t="s">
        <v>7422</v>
      </c>
      <c r="K564" s="335" t="s">
        <v>7423</v>
      </c>
    </row>
    <row r="565" spans="1:11">
      <c r="A565" s="332"/>
      <c r="B565" s="333"/>
      <c r="C565" s="334"/>
      <c r="D565" s="335" t="s">
        <v>7424</v>
      </c>
      <c r="E565" s="339" t="s">
        <v>7425</v>
      </c>
      <c r="F565" s="84" t="s">
        <v>20</v>
      </c>
      <c r="G565" s="335" t="s">
        <v>7426</v>
      </c>
      <c r="H565" s="335" t="s">
        <v>7427</v>
      </c>
      <c r="I565" s="85" t="s">
        <v>23</v>
      </c>
      <c r="J565" s="335" t="s">
        <v>7428</v>
      </c>
      <c r="K565" s="335" t="s">
        <v>7429</v>
      </c>
    </row>
    <row r="566" spans="1:11">
      <c r="A566" s="332"/>
      <c r="B566" s="333"/>
      <c r="C566" s="337"/>
      <c r="D566" s="335" t="s">
        <v>7426</v>
      </c>
      <c r="E566" s="339" t="s">
        <v>7430</v>
      </c>
      <c r="F566" s="84" t="s">
        <v>20</v>
      </c>
      <c r="G566" s="335" t="s">
        <v>7431</v>
      </c>
      <c r="H566" s="335" t="s">
        <v>7432</v>
      </c>
      <c r="I566" s="85" t="s">
        <v>23</v>
      </c>
      <c r="J566" s="335" t="s">
        <v>7433</v>
      </c>
      <c r="K566" s="335" t="s">
        <v>7434</v>
      </c>
    </row>
    <row r="567" spans="1:11">
      <c r="A567" s="332"/>
      <c r="B567" s="333"/>
      <c r="C567" s="338" t="s">
        <v>7435</v>
      </c>
      <c r="D567" s="335" t="s">
        <v>7436</v>
      </c>
      <c r="E567" s="339" t="s">
        <v>7437</v>
      </c>
      <c r="F567" s="84" t="s">
        <v>20</v>
      </c>
      <c r="G567" s="335" t="s">
        <v>7438</v>
      </c>
      <c r="H567" s="335" t="s">
        <v>7439</v>
      </c>
      <c r="I567" s="85" t="s">
        <v>23</v>
      </c>
      <c r="J567" s="335" t="s">
        <v>7440</v>
      </c>
      <c r="K567" s="335" t="s">
        <v>7441</v>
      </c>
    </row>
    <row r="568" spans="1:11">
      <c r="A568" s="332"/>
      <c r="B568" s="333"/>
      <c r="C568" s="334"/>
      <c r="D568" s="335" t="s">
        <v>7438</v>
      </c>
      <c r="E568" s="339" t="s">
        <v>7442</v>
      </c>
      <c r="F568" s="84" t="s">
        <v>20</v>
      </c>
      <c r="G568" s="335" t="s">
        <v>7443</v>
      </c>
      <c r="H568" s="335" t="s">
        <v>7444</v>
      </c>
      <c r="I568" s="85" t="s">
        <v>23</v>
      </c>
      <c r="J568" s="335" t="s">
        <v>7445</v>
      </c>
      <c r="K568" s="335" t="s">
        <v>7446</v>
      </c>
    </row>
    <row r="569" spans="1:11">
      <c r="A569" s="332"/>
      <c r="B569" s="333"/>
      <c r="C569" s="334"/>
      <c r="D569" s="335" t="s">
        <v>7447</v>
      </c>
      <c r="E569" s="339" t="s">
        <v>7448</v>
      </c>
      <c r="F569" s="84" t="s">
        <v>229</v>
      </c>
      <c r="G569" s="335" t="s">
        <v>7449</v>
      </c>
      <c r="H569" s="335" t="s">
        <v>7450</v>
      </c>
      <c r="I569" s="85" t="s">
        <v>23</v>
      </c>
      <c r="J569" s="335" t="s">
        <v>7451</v>
      </c>
      <c r="K569" s="335" t="s">
        <v>7452</v>
      </c>
    </row>
    <row r="570" spans="1:11">
      <c r="A570" s="332"/>
      <c r="B570" s="333"/>
      <c r="C570" s="334"/>
      <c r="D570" s="335" t="s">
        <v>7453</v>
      </c>
      <c r="E570" s="339" t="s">
        <v>7454</v>
      </c>
      <c r="F570" s="84" t="s">
        <v>229</v>
      </c>
      <c r="G570" s="335" t="s">
        <v>7455</v>
      </c>
      <c r="H570" s="335" t="s">
        <v>7456</v>
      </c>
      <c r="I570" s="85" t="s">
        <v>94</v>
      </c>
      <c r="J570" s="335" t="s">
        <v>7457</v>
      </c>
      <c r="K570" s="335" t="s">
        <v>7458</v>
      </c>
    </row>
    <row r="571" spans="1:11">
      <c r="A571" s="332"/>
      <c r="B571" s="333"/>
      <c r="C571" s="337"/>
      <c r="D571" s="335" t="s">
        <v>7459</v>
      </c>
      <c r="E571" s="339" t="s">
        <v>7460</v>
      </c>
      <c r="F571" s="84" t="s">
        <v>229</v>
      </c>
      <c r="G571" s="335" t="s">
        <v>7461</v>
      </c>
      <c r="H571" s="335" t="s">
        <v>7462</v>
      </c>
      <c r="I571" s="85" t="s">
        <v>23</v>
      </c>
      <c r="J571" s="335" t="s">
        <v>7463</v>
      </c>
      <c r="K571" s="335" t="s">
        <v>7464</v>
      </c>
    </row>
    <row r="572" spans="1:11">
      <c r="A572" s="332"/>
      <c r="B572" s="333"/>
      <c r="C572" s="338" t="s">
        <v>7465</v>
      </c>
      <c r="D572" s="335" t="s">
        <v>7466</v>
      </c>
      <c r="E572" s="339" t="s">
        <v>7467</v>
      </c>
      <c r="F572" s="84" t="s">
        <v>229</v>
      </c>
      <c r="G572" s="335" t="s">
        <v>7468</v>
      </c>
      <c r="H572" s="335" t="s">
        <v>7469</v>
      </c>
      <c r="I572" s="85" t="s">
        <v>23</v>
      </c>
      <c r="J572" s="335" t="s">
        <v>7470</v>
      </c>
      <c r="K572" s="335" t="s">
        <v>7471</v>
      </c>
    </row>
    <row r="573" spans="1:11">
      <c r="A573" s="332"/>
      <c r="B573" s="333"/>
      <c r="C573" s="334"/>
      <c r="D573" s="335" t="s">
        <v>7468</v>
      </c>
      <c r="E573" s="339" t="s">
        <v>7472</v>
      </c>
      <c r="F573" s="84" t="s">
        <v>229</v>
      </c>
      <c r="G573" s="335" t="s">
        <v>7473</v>
      </c>
      <c r="H573" s="335" t="s">
        <v>7474</v>
      </c>
      <c r="I573" s="85" t="s">
        <v>23</v>
      </c>
      <c r="J573" s="335" t="s">
        <v>7475</v>
      </c>
      <c r="K573" s="335" t="s">
        <v>7476</v>
      </c>
    </row>
    <row r="574" spans="1:11">
      <c r="A574" s="332"/>
      <c r="B574" s="333"/>
      <c r="C574" s="334"/>
      <c r="D574" s="335" t="s">
        <v>7477</v>
      </c>
      <c r="E574" s="339" t="s">
        <v>7478</v>
      </c>
      <c r="F574" s="84" t="s">
        <v>229</v>
      </c>
      <c r="G574" s="335" t="s">
        <v>7479</v>
      </c>
      <c r="H574" s="335" t="s">
        <v>7480</v>
      </c>
      <c r="I574" s="85" t="s">
        <v>23</v>
      </c>
      <c r="J574" s="335" t="s">
        <v>7481</v>
      </c>
      <c r="K574" s="335" t="s">
        <v>7482</v>
      </c>
    </row>
    <row r="575" spans="1:11">
      <c r="A575" s="332"/>
      <c r="B575" s="333"/>
      <c r="C575" s="334"/>
      <c r="D575" s="335" t="s">
        <v>7483</v>
      </c>
      <c r="E575" s="339" t="s">
        <v>7484</v>
      </c>
      <c r="F575" s="84" t="s">
        <v>229</v>
      </c>
      <c r="G575" s="335" t="s">
        <v>7485</v>
      </c>
      <c r="H575" s="335" t="s">
        <v>7486</v>
      </c>
      <c r="I575" s="85" t="s">
        <v>23</v>
      </c>
      <c r="J575" s="335" t="s">
        <v>7487</v>
      </c>
      <c r="K575" s="335" t="s">
        <v>7488</v>
      </c>
    </row>
    <row r="576" spans="1:11">
      <c r="A576" s="332"/>
      <c r="B576" s="333"/>
      <c r="C576" s="337"/>
      <c r="D576" s="335" t="s">
        <v>7485</v>
      </c>
      <c r="E576" s="339" t="s">
        <v>7489</v>
      </c>
      <c r="F576" s="84" t="s">
        <v>20</v>
      </c>
      <c r="G576" s="335" t="s">
        <v>7490</v>
      </c>
      <c r="H576" s="335" t="s">
        <v>7491</v>
      </c>
      <c r="I576" s="85" t="s">
        <v>23</v>
      </c>
      <c r="J576" s="335" t="s">
        <v>7492</v>
      </c>
      <c r="K576" s="335" t="s">
        <v>7493</v>
      </c>
    </row>
    <row r="577" spans="1:11">
      <c r="A577" s="332"/>
      <c r="B577" s="333"/>
      <c r="C577" s="338" t="s">
        <v>7494</v>
      </c>
      <c r="D577" s="335" t="s">
        <v>7495</v>
      </c>
      <c r="E577" s="339" t="s">
        <v>7496</v>
      </c>
      <c r="F577" s="84" t="s">
        <v>20</v>
      </c>
      <c r="G577" s="335" t="s">
        <v>7497</v>
      </c>
      <c r="H577" s="335" t="s">
        <v>7498</v>
      </c>
      <c r="I577" s="85" t="s">
        <v>23</v>
      </c>
      <c r="J577" s="335" t="s">
        <v>7499</v>
      </c>
      <c r="K577" s="335" t="s">
        <v>7500</v>
      </c>
    </row>
    <row r="578" spans="1:11">
      <c r="A578" s="332"/>
      <c r="B578" s="333"/>
      <c r="C578" s="334"/>
      <c r="D578" s="335" t="s">
        <v>7501</v>
      </c>
      <c r="E578" s="339" t="s">
        <v>7502</v>
      </c>
      <c r="F578" s="84" t="s">
        <v>20</v>
      </c>
      <c r="G578" s="335" t="s">
        <v>7503</v>
      </c>
      <c r="H578" s="335" t="s">
        <v>7504</v>
      </c>
      <c r="I578" s="85" t="s">
        <v>23</v>
      </c>
      <c r="J578" s="335" t="s">
        <v>7505</v>
      </c>
      <c r="K578" s="335" t="s">
        <v>7506</v>
      </c>
    </row>
    <row r="579" spans="1:11">
      <c r="A579" s="332"/>
      <c r="B579" s="333"/>
      <c r="C579" s="334"/>
      <c r="D579" s="335" t="s">
        <v>7507</v>
      </c>
      <c r="E579" s="339" t="s">
        <v>7508</v>
      </c>
      <c r="F579" s="84" t="s">
        <v>20</v>
      </c>
      <c r="G579" s="335" t="s">
        <v>7509</v>
      </c>
      <c r="H579" s="335" t="s">
        <v>7510</v>
      </c>
      <c r="I579" s="85" t="s">
        <v>23</v>
      </c>
      <c r="J579" s="335" t="s">
        <v>7511</v>
      </c>
      <c r="K579" s="335" t="s">
        <v>7512</v>
      </c>
    </row>
    <row r="580" spans="1:11">
      <c r="A580" s="332"/>
      <c r="B580" s="333"/>
      <c r="C580" s="334"/>
      <c r="D580" s="335" t="s">
        <v>7509</v>
      </c>
      <c r="E580" s="339" t="s">
        <v>7513</v>
      </c>
      <c r="F580" s="84" t="s">
        <v>20</v>
      </c>
      <c r="G580" s="335" t="s">
        <v>7514</v>
      </c>
      <c r="H580" s="335" t="s">
        <v>7515</v>
      </c>
      <c r="I580" s="85" t="s">
        <v>23</v>
      </c>
      <c r="J580" s="335" t="s">
        <v>7516</v>
      </c>
      <c r="K580" s="335" t="s">
        <v>7517</v>
      </c>
    </row>
    <row r="581" spans="1:11">
      <c r="A581" s="332"/>
      <c r="B581" s="333"/>
      <c r="C581" s="337"/>
      <c r="D581" s="335" t="s">
        <v>7518</v>
      </c>
      <c r="E581" s="339" t="s">
        <v>7519</v>
      </c>
      <c r="F581" s="84" t="s">
        <v>20</v>
      </c>
      <c r="G581" s="335" t="s">
        <v>7520</v>
      </c>
      <c r="H581" s="335" t="s">
        <v>7521</v>
      </c>
      <c r="I581" s="85" t="s">
        <v>23</v>
      </c>
      <c r="J581" s="335" t="s">
        <v>7522</v>
      </c>
      <c r="K581" s="335" t="s">
        <v>7523</v>
      </c>
    </row>
    <row r="582" spans="1:11">
      <c r="A582" s="332"/>
      <c r="B582" s="333"/>
      <c r="C582" s="338" t="s">
        <v>7524</v>
      </c>
      <c r="D582" s="335" t="s">
        <v>7525</v>
      </c>
      <c r="E582" s="339" t="s">
        <v>7526</v>
      </c>
      <c r="F582" s="84" t="s">
        <v>425</v>
      </c>
      <c r="G582" s="335" t="s">
        <v>7527</v>
      </c>
      <c r="H582" s="335" t="s">
        <v>7528</v>
      </c>
      <c r="I582" s="85" t="s">
        <v>23</v>
      </c>
      <c r="J582" s="335" t="s">
        <v>7529</v>
      </c>
      <c r="K582" s="335" t="s">
        <v>7530</v>
      </c>
    </row>
    <row r="583" spans="1:11">
      <c r="A583" s="332"/>
      <c r="B583" s="333"/>
      <c r="C583" s="334"/>
      <c r="D583" s="335" t="s">
        <v>7531</v>
      </c>
      <c r="E583" s="339" t="s">
        <v>7532</v>
      </c>
      <c r="F583" s="84" t="s">
        <v>425</v>
      </c>
      <c r="G583" s="335" t="s">
        <v>7533</v>
      </c>
      <c r="H583" s="335" t="s">
        <v>7534</v>
      </c>
      <c r="I583" s="85" t="s">
        <v>23</v>
      </c>
      <c r="J583" s="335" t="s">
        <v>7535</v>
      </c>
      <c r="K583" s="335" t="s">
        <v>7536</v>
      </c>
    </row>
    <row r="584" spans="1:11">
      <c r="A584" s="332"/>
      <c r="B584" s="333"/>
      <c r="C584" s="334"/>
      <c r="D584" s="335" t="s">
        <v>7537</v>
      </c>
      <c r="E584" s="339" t="s">
        <v>7538</v>
      </c>
      <c r="F584" s="84" t="s">
        <v>20</v>
      </c>
      <c r="G584" s="335" t="s">
        <v>7539</v>
      </c>
      <c r="H584" s="335" t="s">
        <v>7540</v>
      </c>
      <c r="I584" s="85" t="s">
        <v>23</v>
      </c>
      <c r="J584" s="335" t="s">
        <v>7541</v>
      </c>
      <c r="K584" s="335" t="s">
        <v>7542</v>
      </c>
    </row>
    <row r="585" spans="1:11">
      <c r="A585" s="332"/>
      <c r="B585" s="333"/>
      <c r="C585" s="334"/>
      <c r="D585" s="335" t="s">
        <v>7533</v>
      </c>
      <c r="E585" s="339" t="s">
        <v>7543</v>
      </c>
      <c r="F585" s="84" t="s">
        <v>20</v>
      </c>
      <c r="G585" s="335" t="s">
        <v>7544</v>
      </c>
      <c r="H585" s="335" t="s">
        <v>7545</v>
      </c>
      <c r="I585" s="85" t="s">
        <v>23</v>
      </c>
      <c r="J585" s="335" t="s">
        <v>7546</v>
      </c>
      <c r="K585" s="335" t="s">
        <v>7547</v>
      </c>
    </row>
    <row r="586" spans="1:11">
      <c r="A586" s="332"/>
      <c r="B586" s="333"/>
      <c r="C586" s="337"/>
      <c r="D586" s="335" t="s">
        <v>7539</v>
      </c>
      <c r="E586" s="339" t="s">
        <v>7548</v>
      </c>
      <c r="F586" s="84" t="s">
        <v>20</v>
      </c>
      <c r="G586" s="335" t="s">
        <v>7549</v>
      </c>
      <c r="H586" s="335" t="s">
        <v>7550</v>
      </c>
      <c r="I586" s="85" t="s">
        <v>23</v>
      </c>
      <c r="J586" s="335" t="s">
        <v>7551</v>
      </c>
      <c r="K586" s="335" t="s">
        <v>7552</v>
      </c>
    </row>
    <row r="587" spans="1:11">
      <c r="A587" s="332"/>
      <c r="B587" s="333"/>
      <c r="C587" s="338" t="s">
        <v>7553</v>
      </c>
      <c r="D587" s="335" t="s">
        <v>7554</v>
      </c>
      <c r="E587" s="339" t="s">
        <v>7555</v>
      </c>
      <c r="F587" s="84" t="s">
        <v>20</v>
      </c>
      <c r="G587" s="335" t="s">
        <v>7556</v>
      </c>
      <c r="H587" s="335" t="s">
        <v>7557</v>
      </c>
      <c r="I587" s="85" t="s">
        <v>23</v>
      </c>
      <c r="J587" s="335" t="s">
        <v>7558</v>
      </c>
      <c r="K587" s="335" t="s">
        <v>7559</v>
      </c>
    </row>
    <row r="588" spans="1:11">
      <c r="A588" s="332"/>
      <c r="B588" s="333"/>
      <c r="C588" s="334"/>
      <c r="D588" s="335" t="s">
        <v>7560</v>
      </c>
      <c r="E588" s="339" t="s">
        <v>7561</v>
      </c>
      <c r="F588" s="84" t="s">
        <v>425</v>
      </c>
      <c r="G588" s="335" t="s">
        <v>7562</v>
      </c>
      <c r="H588" s="335" t="s">
        <v>7563</v>
      </c>
      <c r="I588" s="85" t="s">
        <v>23</v>
      </c>
      <c r="J588" s="335" t="s">
        <v>7564</v>
      </c>
      <c r="K588" s="335" t="s">
        <v>7565</v>
      </c>
    </row>
    <row r="589" spans="1:11">
      <c r="A589" s="332"/>
      <c r="B589" s="333"/>
      <c r="C589" s="334"/>
      <c r="D589" s="335" t="s">
        <v>7566</v>
      </c>
      <c r="E589" s="339" t="s">
        <v>7567</v>
      </c>
      <c r="F589" s="84" t="s">
        <v>20</v>
      </c>
      <c r="G589" s="335" t="s">
        <v>7568</v>
      </c>
      <c r="H589" s="335" t="s">
        <v>7569</v>
      </c>
      <c r="I589" s="85" t="s">
        <v>23</v>
      </c>
      <c r="J589" s="335" t="s">
        <v>7570</v>
      </c>
      <c r="K589" s="335" t="s">
        <v>7571</v>
      </c>
    </row>
    <row r="590" spans="1:11">
      <c r="A590" s="332"/>
      <c r="B590" s="333"/>
      <c r="C590" s="334"/>
      <c r="D590" s="335" t="s">
        <v>7562</v>
      </c>
      <c r="E590" s="339" t="s">
        <v>7572</v>
      </c>
      <c r="F590" s="84" t="s">
        <v>20</v>
      </c>
      <c r="G590" s="335" t="s">
        <v>7573</v>
      </c>
      <c r="H590" s="335" t="s">
        <v>7574</v>
      </c>
      <c r="I590" s="85" t="s">
        <v>23</v>
      </c>
      <c r="J590" s="335" t="s">
        <v>7575</v>
      </c>
      <c r="K590" s="335" t="s">
        <v>7576</v>
      </c>
    </row>
    <row r="591" spans="1:11">
      <c r="A591" s="332"/>
      <c r="B591" s="333"/>
      <c r="C591" s="337"/>
      <c r="D591" s="335" t="s">
        <v>7568</v>
      </c>
      <c r="E591" s="339" t="s">
        <v>7577</v>
      </c>
      <c r="F591" s="84" t="s">
        <v>20</v>
      </c>
      <c r="G591" s="335" t="s">
        <v>7568</v>
      </c>
      <c r="H591" s="335" t="s">
        <v>7578</v>
      </c>
      <c r="I591" s="85" t="s">
        <v>23</v>
      </c>
      <c r="J591" s="335" t="s">
        <v>7579</v>
      </c>
      <c r="K591" s="335" t="s">
        <v>7580</v>
      </c>
    </row>
    <row r="592" spans="1:11">
      <c r="A592" s="332"/>
      <c r="B592" s="333"/>
      <c r="C592" s="338" t="s">
        <v>7581</v>
      </c>
      <c r="D592" s="335" t="s">
        <v>7582</v>
      </c>
      <c r="E592" s="339" t="s">
        <v>7583</v>
      </c>
      <c r="F592" s="84" t="s">
        <v>425</v>
      </c>
      <c r="G592" s="335" t="s">
        <v>7573</v>
      </c>
      <c r="H592" s="335" t="s">
        <v>7584</v>
      </c>
      <c r="I592" s="85" t="s">
        <v>23</v>
      </c>
      <c r="J592" s="335" t="s">
        <v>7585</v>
      </c>
      <c r="K592" s="335" t="s">
        <v>7586</v>
      </c>
    </row>
    <row r="593" spans="1:11">
      <c r="A593" s="332"/>
      <c r="B593" s="333"/>
      <c r="C593" s="334"/>
      <c r="D593" s="335" t="s">
        <v>7587</v>
      </c>
      <c r="E593" s="339" t="s">
        <v>7588</v>
      </c>
      <c r="F593" s="84" t="s">
        <v>20</v>
      </c>
      <c r="G593" s="335" t="s">
        <v>7589</v>
      </c>
      <c r="H593" s="335" t="s">
        <v>7590</v>
      </c>
      <c r="I593" s="85" t="s">
        <v>23</v>
      </c>
      <c r="J593" s="335" t="s">
        <v>7591</v>
      </c>
      <c r="K593" s="335" t="s">
        <v>7592</v>
      </c>
    </row>
    <row r="594" spans="1:11">
      <c r="A594" s="332"/>
      <c r="B594" s="333"/>
      <c r="C594" s="334"/>
      <c r="D594" s="335" t="s">
        <v>7593</v>
      </c>
      <c r="E594" s="339" t="s">
        <v>7594</v>
      </c>
      <c r="F594" s="84" t="s">
        <v>20</v>
      </c>
      <c r="G594" s="335" t="s">
        <v>7595</v>
      </c>
      <c r="H594" s="335" t="s">
        <v>7596</v>
      </c>
      <c r="I594" s="85" t="s">
        <v>23</v>
      </c>
      <c r="J594" s="335" t="s">
        <v>7597</v>
      </c>
      <c r="K594" s="335" t="s">
        <v>7598</v>
      </c>
    </row>
    <row r="595" spans="1:11">
      <c r="A595" s="332"/>
      <c r="B595" s="333"/>
      <c r="C595" s="334"/>
      <c r="D595" s="335" t="s">
        <v>7599</v>
      </c>
      <c r="E595" s="339" t="s">
        <v>7600</v>
      </c>
      <c r="F595" s="84" t="s">
        <v>229</v>
      </c>
      <c r="G595" s="335" t="s">
        <v>7599</v>
      </c>
      <c r="H595" s="335" t="s">
        <v>7601</v>
      </c>
      <c r="I595" s="85" t="s">
        <v>23</v>
      </c>
      <c r="J595" s="335" t="s">
        <v>7602</v>
      </c>
      <c r="K595" s="335" t="s">
        <v>7603</v>
      </c>
    </row>
    <row r="596" spans="1:11">
      <c r="A596" s="332"/>
      <c r="B596" s="333"/>
      <c r="C596" s="337"/>
      <c r="D596" s="335" t="s">
        <v>7604</v>
      </c>
      <c r="E596" s="339" t="s">
        <v>7605</v>
      </c>
      <c r="F596" s="84" t="s">
        <v>229</v>
      </c>
      <c r="G596" s="335" t="s">
        <v>7604</v>
      </c>
      <c r="H596" s="335" t="s">
        <v>7606</v>
      </c>
      <c r="I596" s="85" t="s">
        <v>23</v>
      </c>
      <c r="J596" s="335" t="s">
        <v>7607</v>
      </c>
      <c r="K596" s="335" t="s">
        <v>7608</v>
      </c>
    </row>
    <row r="597" spans="1:11">
      <c r="A597" s="332"/>
      <c r="B597" s="333"/>
      <c r="C597" s="338" t="s">
        <v>7609</v>
      </c>
      <c r="D597" s="335" t="s">
        <v>7610</v>
      </c>
      <c r="E597" s="339" t="s">
        <v>7611</v>
      </c>
      <c r="F597" s="84" t="s">
        <v>229</v>
      </c>
      <c r="G597" s="335" t="s">
        <v>7610</v>
      </c>
      <c r="H597" s="335" t="s">
        <v>7612</v>
      </c>
      <c r="I597" s="85" t="s">
        <v>94</v>
      </c>
      <c r="J597" s="335" t="s">
        <v>7613</v>
      </c>
      <c r="K597" s="335" t="s">
        <v>7614</v>
      </c>
    </row>
    <row r="598" spans="1:11">
      <c r="A598" s="332"/>
      <c r="B598" s="333"/>
      <c r="C598" s="334"/>
      <c r="D598" s="342" t="s">
        <v>7615</v>
      </c>
      <c r="E598" s="343" t="s">
        <v>7616</v>
      </c>
      <c r="F598" s="84" t="s">
        <v>229</v>
      </c>
      <c r="G598" s="335" t="s">
        <v>7617</v>
      </c>
      <c r="H598" s="335" t="s">
        <v>7618</v>
      </c>
      <c r="I598" s="85" t="s">
        <v>94</v>
      </c>
      <c r="J598" s="335" t="s">
        <v>7619</v>
      </c>
      <c r="K598" s="335" t="s">
        <v>7620</v>
      </c>
    </row>
    <row r="599" spans="1:11">
      <c r="A599" s="332"/>
      <c r="B599" s="333"/>
      <c r="C599" s="334"/>
      <c r="D599" s="342" t="s">
        <v>7621</v>
      </c>
      <c r="E599" s="343" t="s">
        <v>7622</v>
      </c>
      <c r="F599" s="84" t="s">
        <v>229</v>
      </c>
      <c r="G599" s="335" t="s">
        <v>7623</v>
      </c>
      <c r="H599" s="335" t="s">
        <v>7624</v>
      </c>
      <c r="I599" s="85" t="s">
        <v>94</v>
      </c>
      <c r="J599" s="335" t="s">
        <v>7625</v>
      </c>
      <c r="K599" s="335" t="s">
        <v>7626</v>
      </c>
    </row>
    <row r="600" spans="1:11">
      <c r="A600" s="332"/>
      <c r="B600" s="333"/>
      <c r="C600" s="334"/>
      <c r="D600" s="342" t="s">
        <v>7627</v>
      </c>
      <c r="E600" s="343" t="s">
        <v>7628</v>
      </c>
      <c r="F600" s="84" t="s">
        <v>20</v>
      </c>
      <c r="G600" s="335" t="s">
        <v>7627</v>
      </c>
      <c r="H600" s="335" t="s">
        <v>7629</v>
      </c>
      <c r="I600" s="85" t="s">
        <v>23</v>
      </c>
      <c r="J600" s="335" t="s">
        <v>7630</v>
      </c>
      <c r="K600" s="335" t="s">
        <v>7631</v>
      </c>
    </row>
    <row r="601" spans="1:11">
      <c r="A601" s="332"/>
      <c r="B601" s="333"/>
      <c r="C601" s="337"/>
      <c r="D601" s="342" t="s">
        <v>7632</v>
      </c>
      <c r="E601" s="343" t="s">
        <v>7633</v>
      </c>
      <c r="F601" s="84" t="s">
        <v>20</v>
      </c>
      <c r="G601" s="335" t="s">
        <v>7632</v>
      </c>
      <c r="H601" s="335" t="s">
        <v>7634</v>
      </c>
      <c r="I601" s="85" t="s">
        <v>23</v>
      </c>
      <c r="J601" s="335" t="s">
        <v>7635</v>
      </c>
      <c r="K601" s="335" t="s">
        <v>7636</v>
      </c>
    </row>
    <row r="602" spans="1:11">
      <c r="A602" s="332"/>
      <c r="B602" s="333"/>
      <c r="C602" s="347" t="s">
        <v>7637</v>
      </c>
      <c r="D602" s="342" t="s">
        <v>7638</v>
      </c>
      <c r="E602" s="343" t="s">
        <v>7639</v>
      </c>
      <c r="F602" s="84" t="s">
        <v>229</v>
      </c>
      <c r="G602" s="335" t="s">
        <v>7640</v>
      </c>
      <c r="H602" s="335" t="s">
        <v>7641</v>
      </c>
      <c r="I602" s="85" t="s">
        <v>23</v>
      </c>
      <c r="J602" s="335" t="s">
        <v>7642</v>
      </c>
      <c r="K602" s="335" t="s">
        <v>7643</v>
      </c>
    </row>
    <row r="603" spans="1:11">
      <c r="A603" s="332"/>
      <c r="B603" s="333"/>
      <c r="C603" s="348"/>
      <c r="D603" s="342" t="s">
        <v>7644</v>
      </c>
      <c r="E603" s="343" t="s">
        <v>7645</v>
      </c>
      <c r="F603" s="84" t="s">
        <v>229</v>
      </c>
      <c r="G603" s="335" t="s">
        <v>7646</v>
      </c>
      <c r="H603" s="335" t="s">
        <v>7647</v>
      </c>
      <c r="I603" s="85" t="s">
        <v>23</v>
      </c>
      <c r="J603" s="335" t="s">
        <v>7648</v>
      </c>
      <c r="K603" s="335" t="s">
        <v>7649</v>
      </c>
    </row>
    <row r="604" spans="1:11">
      <c r="A604" s="332"/>
      <c r="B604" s="333"/>
      <c r="C604" s="348"/>
      <c r="D604" s="342" t="s">
        <v>7650</v>
      </c>
      <c r="E604" s="343" t="s">
        <v>7651</v>
      </c>
      <c r="F604" s="84" t="s">
        <v>229</v>
      </c>
      <c r="G604" s="335" t="s">
        <v>7652</v>
      </c>
      <c r="H604" s="335" t="s">
        <v>7653</v>
      </c>
      <c r="I604" s="85" t="s">
        <v>23</v>
      </c>
      <c r="J604" s="335" t="s">
        <v>7654</v>
      </c>
      <c r="K604" s="335" t="s">
        <v>7655</v>
      </c>
    </row>
    <row r="605" spans="1:11">
      <c r="A605" s="332"/>
      <c r="B605" s="333"/>
      <c r="C605" s="348"/>
      <c r="D605" s="342" t="s">
        <v>7656</v>
      </c>
      <c r="E605" s="343" t="s">
        <v>7657</v>
      </c>
      <c r="F605" s="84" t="s">
        <v>20</v>
      </c>
      <c r="G605" s="335" t="s">
        <v>7656</v>
      </c>
      <c r="H605" s="335" t="s">
        <v>7658</v>
      </c>
      <c r="I605" s="85" t="s">
        <v>23</v>
      </c>
      <c r="J605" s="335" t="s">
        <v>7659</v>
      </c>
      <c r="K605" s="335" t="s">
        <v>7660</v>
      </c>
    </row>
    <row r="606" spans="1:11" ht="15.75" thickBot="1">
      <c r="A606" s="332"/>
      <c r="B606" s="344"/>
      <c r="C606" s="350"/>
      <c r="D606" s="345" t="s">
        <v>7661</v>
      </c>
      <c r="E606" s="346" t="s">
        <v>7662</v>
      </c>
      <c r="F606" s="84" t="s">
        <v>20</v>
      </c>
      <c r="G606" s="335" t="s">
        <v>7663</v>
      </c>
      <c r="H606" s="335" t="s">
        <v>7664</v>
      </c>
      <c r="I606" s="85" t="s">
        <v>23</v>
      </c>
      <c r="J606" s="335" t="s">
        <v>7665</v>
      </c>
      <c r="K606" s="335" t="s">
        <v>7666</v>
      </c>
    </row>
    <row r="607" spans="1:11">
      <c r="A607" s="332"/>
      <c r="B607" s="327" t="s">
        <v>7667</v>
      </c>
      <c r="C607" s="328" t="s">
        <v>7668</v>
      </c>
      <c r="D607" s="341" t="s">
        <v>7669</v>
      </c>
      <c r="E607" s="330" t="s">
        <v>7670</v>
      </c>
      <c r="F607" s="84" t="s">
        <v>229</v>
      </c>
      <c r="G607" s="335" t="s">
        <v>7669</v>
      </c>
      <c r="H607" s="335" t="s">
        <v>7671</v>
      </c>
      <c r="I607" s="85" t="s">
        <v>23</v>
      </c>
      <c r="J607" s="335" t="s">
        <v>7672</v>
      </c>
      <c r="K607" s="335" t="s">
        <v>7673</v>
      </c>
    </row>
    <row r="608" spans="1:11">
      <c r="A608" s="332"/>
      <c r="B608" s="333"/>
      <c r="C608" s="334"/>
      <c r="D608" s="329" t="s">
        <v>7674</v>
      </c>
      <c r="E608" s="336" t="s">
        <v>7675</v>
      </c>
      <c r="F608" s="84" t="s">
        <v>229</v>
      </c>
      <c r="G608" s="335" t="s">
        <v>7674</v>
      </c>
      <c r="H608" s="335" t="s">
        <v>7676</v>
      </c>
      <c r="I608" s="85" t="s">
        <v>23</v>
      </c>
      <c r="J608" s="335" t="s">
        <v>7677</v>
      </c>
      <c r="K608" s="335" t="s">
        <v>7678</v>
      </c>
    </row>
    <row r="609" spans="1:11">
      <c r="A609" s="332"/>
      <c r="B609" s="333"/>
      <c r="C609" s="334"/>
      <c r="D609" s="329" t="s">
        <v>7679</v>
      </c>
      <c r="E609" s="336" t="s">
        <v>7680</v>
      </c>
      <c r="F609" s="84" t="s">
        <v>229</v>
      </c>
      <c r="G609" s="335" t="s">
        <v>7679</v>
      </c>
      <c r="H609" s="335" t="s">
        <v>7681</v>
      </c>
      <c r="I609" s="85" t="s">
        <v>23</v>
      </c>
      <c r="J609" s="335" t="s">
        <v>7682</v>
      </c>
      <c r="K609" s="335" t="s">
        <v>7683</v>
      </c>
    </row>
    <row r="610" spans="1:11">
      <c r="A610" s="332"/>
      <c r="B610" s="333"/>
      <c r="C610" s="334"/>
      <c r="D610" s="329" t="s">
        <v>7684</v>
      </c>
      <c r="E610" s="336" t="s">
        <v>7685</v>
      </c>
      <c r="F610" s="84" t="s">
        <v>229</v>
      </c>
      <c r="G610" s="335" t="s">
        <v>7686</v>
      </c>
      <c r="H610" s="335" t="s">
        <v>7687</v>
      </c>
      <c r="I610" s="85" t="s">
        <v>23</v>
      </c>
      <c r="J610" s="335" t="s">
        <v>7688</v>
      </c>
      <c r="K610" s="335" t="s">
        <v>7689</v>
      </c>
    </row>
    <row r="611" spans="1:11">
      <c r="A611" s="332"/>
      <c r="B611" s="333"/>
      <c r="C611" s="337"/>
      <c r="D611" s="329" t="s">
        <v>7690</v>
      </c>
      <c r="E611" s="336" t="s">
        <v>7691</v>
      </c>
      <c r="F611" s="84" t="s">
        <v>20</v>
      </c>
      <c r="G611" s="335" t="s">
        <v>7692</v>
      </c>
      <c r="H611" s="335" t="s">
        <v>7693</v>
      </c>
      <c r="I611" s="85" t="s">
        <v>23</v>
      </c>
      <c r="J611" s="335" t="s">
        <v>7694</v>
      </c>
      <c r="K611" s="335" t="s">
        <v>7695</v>
      </c>
    </row>
    <row r="612" spans="1:11">
      <c r="A612" s="332"/>
      <c r="B612" s="333"/>
      <c r="C612" s="347" t="s">
        <v>7696</v>
      </c>
      <c r="D612" s="335" t="s">
        <v>7697</v>
      </c>
      <c r="E612" s="339" t="s">
        <v>7698</v>
      </c>
      <c r="F612" s="84" t="s">
        <v>20</v>
      </c>
      <c r="G612" s="335" t="s">
        <v>7699</v>
      </c>
      <c r="H612" s="335" t="s">
        <v>7700</v>
      </c>
      <c r="I612" s="85" t="s">
        <v>23</v>
      </c>
      <c r="J612" s="335" t="s">
        <v>7701</v>
      </c>
      <c r="K612" s="335" t="s">
        <v>7702</v>
      </c>
    </row>
    <row r="613" spans="1:11">
      <c r="A613" s="332"/>
      <c r="B613" s="333"/>
      <c r="C613" s="348"/>
      <c r="D613" s="335" t="s">
        <v>7703</v>
      </c>
      <c r="E613" s="339" t="s">
        <v>7704</v>
      </c>
      <c r="F613" s="84" t="s">
        <v>20</v>
      </c>
      <c r="G613" s="335" t="s">
        <v>7705</v>
      </c>
      <c r="H613" s="335" t="s">
        <v>7706</v>
      </c>
      <c r="I613" s="85" t="s">
        <v>23</v>
      </c>
      <c r="J613" s="335" t="s">
        <v>7707</v>
      </c>
      <c r="K613" s="335" t="s">
        <v>7708</v>
      </c>
    </row>
    <row r="614" spans="1:11">
      <c r="A614" s="332"/>
      <c r="B614" s="333"/>
      <c r="C614" s="348"/>
      <c r="D614" s="335" t="s">
        <v>7709</v>
      </c>
      <c r="E614" s="339" t="s">
        <v>7710</v>
      </c>
      <c r="F614" s="84" t="s">
        <v>20</v>
      </c>
      <c r="G614" s="335" t="s">
        <v>7709</v>
      </c>
      <c r="H614" s="335" t="s">
        <v>7711</v>
      </c>
      <c r="I614" s="85" t="s">
        <v>23</v>
      </c>
      <c r="J614" s="335" t="s">
        <v>7712</v>
      </c>
      <c r="K614" s="335" t="s">
        <v>7713</v>
      </c>
    </row>
    <row r="615" spans="1:11">
      <c r="A615" s="332"/>
      <c r="B615" s="333"/>
      <c r="C615" s="348"/>
      <c r="D615" s="335" t="s">
        <v>7714</v>
      </c>
      <c r="E615" s="339" t="s">
        <v>7715</v>
      </c>
      <c r="F615" s="84" t="s">
        <v>425</v>
      </c>
      <c r="G615" s="335" t="s">
        <v>7716</v>
      </c>
      <c r="H615" s="335" t="s">
        <v>7717</v>
      </c>
      <c r="I615" s="85" t="s">
        <v>23</v>
      </c>
      <c r="J615" s="335" t="s">
        <v>7718</v>
      </c>
      <c r="K615" s="335" t="s">
        <v>7719</v>
      </c>
    </row>
    <row r="616" spans="1:11">
      <c r="A616" s="332"/>
      <c r="B616" s="333"/>
      <c r="C616" s="349"/>
      <c r="D616" s="335" t="s">
        <v>7720</v>
      </c>
      <c r="E616" s="339" t="s">
        <v>7721</v>
      </c>
      <c r="F616" s="84" t="s">
        <v>20</v>
      </c>
      <c r="G616" s="335" t="s">
        <v>7722</v>
      </c>
      <c r="H616" s="335" t="s">
        <v>7723</v>
      </c>
      <c r="I616" s="85" t="s">
        <v>23</v>
      </c>
      <c r="J616" s="335" t="s">
        <v>7724</v>
      </c>
      <c r="K616" s="335" t="s">
        <v>7725</v>
      </c>
    </row>
    <row r="617" spans="1:11">
      <c r="A617" s="332"/>
      <c r="B617" s="333"/>
      <c r="C617" s="338" t="s">
        <v>7726</v>
      </c>
      <c r="D617" s="335" t="s">
        <v>7727</v>
      </c>
      <c r="E617" s="339" t="s">
        <v>7728</v>
      </c>
      <c r="F617" s="84" t="s">
        <v>20</v>
      </c>
      <c r="G617" s="335" t="s">
        <v>7727</v>
      </c>
      <c r="H617" s="335" t="s">
        <v>7729</v>
      </c>
      <c r="I617" s="85" t="s">
        <v>23</v>
      </c>
      <c r="J617" s="335" t="s">
        <v>7730</v>
      </c>
      <c r="K617" s="335" t="s">
        <v>7731</v>
      </c>
    </row>
    <row r="618" spans="1:11">
      <c r="A618" s="332"/>
      <c r="B618" s="333"/>
      <c r="C618" s="334"/>
      <c r="D618" s="335" t="s">
        <v>7732</v>
      </c>
      <c r="E618" s="339" t="s">
        <v>7733</v>
      </c>
      <c r="F618" s="84" t="s">
        <v>20</v>
      </c>
      <c r="G618" s="335" t="s">
        <v>7734</v>
      </c>
      <c r="H618" s="335" t="s">
        <v>7735</v>
      </c>
      <c r="I618" s="85" t="s">
        <v>23</v>
      </c>
      <c r="J618" s="335" t="s">
        <v>7736</v>
      </c>
      <c r="K618" s="335" t="s">
        <v>7737</v>
      </c>
    </row>
    <row r="619" spans="1:11">
      <c r="A619" s="332"/>
      <c r="B619" s="333"/>
      <c r="C619" s="334"/>
      <c r="D619" s="335" t="s">
        <v>7738</v>
      </c>
      <c r="E619" s="339" t="s">
        <v>7739</v>
      </c>
      <c r="F619" s="84" t="s">
        <v>229</v>
      </c>
      <c r="G619" s="335" t="s">
        <v>7740</v>
      </c>
      <c r="H619" s="335" t="s">
        <v>7741</v>
      </c>
      <c r="I619" s="85" t="s">
        <v>23</v>
      </c>
      <c r="J619" s="335" t="s">
        <v>7742</v>
      </c>
      <c r="K619" s="335" t="s">
        <v>7743</v>
      </c>
    </row>
    <row r="620" spans="1:11">
      <c r="A620" s="332"/>
      <c r="B620" s="333"/>
      <c r="C620" s="334"/>
      <c r="D620" s="335" t="s">
        <v>7744</v>
      </c>
      <c r="E620" s="339" t="s">
        <v>7745</v>
      </c>
      <c r="F620" s="84" t="s">
        <v>229</v>
      </c>
      <c r="G620" s="335" t="s">
        <v>7746</v>
      </c>
      <c r="H620" s="335" t="s">
        <v>7747</v>
      </c>
      <c r="I620" s="85" t="s">
        <v>23</v>
      </c>
      <c r="J620" s="335" t="s">
        <v>7748</v>
      </c>
      <c r="K620" s="335" t="s">
        <v>7749</v>
      </c>
    </row>
    <row r="621" spans="1:11">
      <c r="A621" s="332"/>
      <c r="B621" s="333"/>
      <c r="C621" s="337"/>
      <c r="D621" s="335" t="s">
        <v>7750</v>
      </c>
      <c r="E621" s="339" t="s">
        <v>7751</v>
      </c>
      <c r="F621" s="84" t="s">
        <v>229</v>
      </c>
      <c r="G621" s="335" t="s">
        <v>7752</v>
      </c>
      <c r="H621" s="335" t="s">
        <v>7753</v>
      </c>
      <c r="I621" s="85" t="s">
        <v>23</v>
      </c>
      <c r="J621" s="335" t="s">
        <v>7754</v>
      </c>
      <c r="K621" s="335" t="s">
        <v>7755</v>
      </c>
    </row>
    <row r="622" spans="1:11">
      <c r="A622" s="332"/>
      <c r="B622" s="333"/>
      <c r="C622" s="347" t="s">
        <v>7756</v>
      </c>
      <c r="D622" s="335" t="s">
        <v>7757</v>
      </c>
      <c r="E622" s="339" t="s">
        <v>7758</v>
      </c>
      <c r="F622" s="84" t="s">
        <v>229</v>
      </c>
      <c r="G622" s="335" t="s">
        <v>7757</v>
      </c>
      <c r="H622" s="335" t="s">
        <v>7759</v>
      </c>
      <c r="I622" s="85" t="s">
        <v>23</v>
      </c>
      <c r="J622" s="335" t="s">
        <v>7760</v>
      </c>
      <c r="K622" s="335" t="s">
        <v>7761</v>
      </c>
    </row>
    <row r="623" spans="1:11">
      <c r="A623" s="332"/>
      <c r="B623" s="333"/>
      <c r="C623" s="348"/>
      <c r="D623" s="335" t="s">
        <v>7762</v>
      </c>
      <c r="E623" s="339" t="s">
        <v>7763</v>
      </c>
      <c r="F623" s="84" t="s">
        <v>229</v>
      </c>
      <c r="G623" s="335" t="s">
        <v>7764</v>
      </c>
      <c r="H623" s="335" t="s">
        <v>7765</v>
      </c>
      <c r="I623" s="85" t="s">
        <v>23</v>
      </c>
      <c r="J623" s="335" t="s">
        <v>7766</v>
      </c>
      <c r="K623" s="335" t="s">
        <v>7767</v>
      </c>
    </row>
    <row r="624" spans="1:11">
      <c r="A624" s="332"/>
      <c r="B624" s="333"/>
      <c r="C624" s="348"/>
      <c r="D624" s="335" t="s">
        <v>7768</v>
      </c>
      <c r="E624" s="339" t="s">
        <v>7769</v>
      </c>
      <c r="F624" s="84" t="s">
        <v>229</v>
      </c>
      <c r="G624" s="335" t="s">
        <v>7768</v>
      </c>
      <c r="H624" s="335" t="s">
        <v>7770</v>
      </c>
      <c r="I624" s="85" t="s">
        <v>23</v>
      </c>
      <c r="J624" s="335" t="s">
        <v>7771</v>
      </c>
      <c r="K624" s="335" t="s">
        <v>7772</v>
      </c>
    </row>
    <row r="625" spans="1:11">
      <c r="A625" s="332"/>
      <c r="B625" s="333"/>
      <c r="C625" s="348"/>
      <c r="D625" s="335" t="s">
        <v>7773</v>
      </c>
      <c r="E625" s="339" t="s">
        <v>7774</v>
      </c>
      <c r="F625" s="84" t="s">
        <v>229</v>
      </c>
      <c r="G625" s="335" t="s">
        <v>7775</v>
      </c>
      <c r="H625" s="335" t="s">
        <v>7776</v>
      </c>
      <c r="I625" s="85" t="s">
        <v>23</v>
      </c>
      <c r="J625" s="335" t="s">
        <v>7777</v>
      </c>
      <c r="K625" s="335" t="s">
        <v>7778</v>
      </c>
    </row>
    <row r="626" spans="1:11">
      <c r="A626" s="332"/>
      <c r="B626" s="333"/>
      <c r="C626" s="349"/>
      <c r="D626" s="335" t="s">
        <v>7779</v>
      </c>
      <c r="E626" s="339" t="s">
        <v>7780</v>
      </c>
      <c r="F626" s="84" t="s">
        <v>229</v>
      </c>
      <c r="G626" s="335" t="s">
        <v>7779</v>
      </c>
      <c r="H626" s="335" t="s">
        <v>7781</v>
      </c>
      <c r="I626" s="85" t="s">
        <v>23</v>
      </c>
      <c r="J626" s="335" t="s">
        <v>7782</v>
      </c>
      <c r="K626" s="335" t="s">
        <v>7783</v>
      </c>
    </row>
    <row r="627" spans="1:11">
      <c r="A627" s="332"/>
      <c r="B627" s="333"/>
      <c r="C627" s="347" t="s">
        <v>7784</v>
      </c>
      <c r="D627" s="335" t="s">
        <v>7785</v>
      </c>
      <c r="E627" s="339" t="s">
        <v>7786</v>
      </c>
      <c r="F627" s="84" t="s">
        <v>229</v>
      </c>
      <c r="G627" s="335" t="s">
        <v>7787</v>
      </c>
      <c r="H627" s="335" t="s">
        <v>7788</v>
      </c>
      <c r="I627" s="85" t="s">
        <v>23</v>
      </c>
      <c r="J627" s="335" t="s">
        <v>7789</v>
      </c>
      <c r="K627" s="335" t="s">
        <v>7790</v>
      </c>
    </row>
    <row r="628" spans="1:11">
      <c r="A628" s="332"/>
      <c r="B628" s="333"/>
      <c r="C628" s="348"/>
      <c r="D628" s="335" t="s">
        <v>7791</v>
      </c>
      <c r="E628" s="339" t="s">
        <v>7792</v>
      </c>
      <c r="F628" s="84" t="s">
        <v>229</v>
      </c>
      <c r="G628" s="335" t="s">
        <v>7793</v>
      </c>
      <c r="H628" s="335" t="s">
        <v>7794</v>
      </c>
      <c r="I628" s="85" t="s">
        <v>23</v>
      </c>
      <c r="J628" s="335" t="s">
        <v>7795</v>
      </c>
      <c r="K628" s="335" t="s">
        <v>7796</v>
      </c>
    </row>
    <row r="629" spans="1:11">
      <c r="A629" s="332"/>
      <c r="B629" s="333"/>
      <c r="C629" s="348"/>
      <c r="D629" s="335" t="s">
        <v>7797</v>
      </c>
      <c r="E629" s="339" t="s">
        <v>7798</v>
      </c>
      <c r="F629" s="84" t="s">
        <v>20</v>
      </c>
      <c r="G629" s="335" t="s">
        <v>7797</v>
      </c>
      <c r="H629" s="335" t="s">
        <v>7799</v>
      </c>
      <c r="I629" s="85" t="s">
        <v>23</v>
      </c>
      <c r="J629" s="335" t="s">
        <v>7800</v>
      </c>
      <c r="K629" s="335" t="s">
        <v>7801</v>
      </c>
    </row>
    <row r="630" spans="1:11">
      <c r="A630" s="332"/>
      <c r="B630" s="333"/>
      <c r="C630" s="348"/>
      <c r="D630" s="335" t="s">
        <v>7802</v>
      </c>
      <c r="E630" s="339" t="s">
        <v>7803</v>
      </c>
      <c r="F630" s="84" t="s">
        <v>20</v>
      </c>
      <c r="G630" s="335" t="s">
        <v>7802</v>
      </c>
      <c r="H630" s="335" t="s">
        <v>7804</v>
      </c>
      <c r="I630" s="85" t="s">
        <v>23</v>
      </c>
      <c r="J630" s="335" t="s">
        <v>7805</v>
      </c>
      <c r="K630" s="335" t="s">
        <v>7806</v>
      </c>
    </row>
    <row r="631" spans="1:11">
      <c r="A631" s="332"/>
      <c r="B631" s="333"/>
      <c r="C631" s="349"/>
      <c r="D631" s="335" t="s">
        <v>7807</v>
      </c>
      <c r="E631" s="339" t="s">
        <v>7808</v>
      </c>
      <c r="F631" s="84" t="s">
        <v>20</v>
      </c>
      <c r="G631" s="335" t="s">
        <v>7809</v>
      </c>
      <c r="H631" s="335" t="s">
        <v>7810</v>
      </c>
      <c r="I631" s="85" t="s">
        <v>23</v>
      </c>
      <c r="J631" s="335" t="s">
        <v>7811</v>
      </c>
      <c r="K631" s="335" t="s">
        <v>7812</v>
      </c>
    </row>
    <row r="632" spans="1:11">
      <c r="A632" s="332"/>
      <c r="B632" s="333"/>
      <c r="C632" s="338" t="s">
        <v>7813</v>
      </c>
      <c r="D632" s="335" t="s">
        <v>7814</v>
      </c>
      <c r="E632" s="339" t="s">
        <v>7815</v>
      </c>
      <c r="F632" s="84" t="s">
        <v>20</v>
      </c>
      <c r="G632" s="335" t="s">
        <v>7816</v>
      </c>
      <c r="H632" s="335" t="s">
        <v>7817</v>
      </c>
      <c r="I632" s="85" t="s">
        <v>23</v>
      </c>
      <c r="J632" s="335" t="s">
        <v>7818</v>
      </c>
      <c r="K632" s="335" t="s">
        <v>7819</v>
      </c>
    </row>
    <row r="633" spans="1:11">
      <c r="A633" s="332"/>
      <c r="B633" s="333"/>
      <c r="C633" s="334"/>
      <c r="D633" s="335" t="s">
        <v>7820</v>
      </c>
      <c r="E633" s="339" t="s">
        <v>7821</v>
      </c>
      <c r="F633" s="84" t="s">
        <v>20</v>
      </c>
      <c r="G633" s="335" t="s">
        <v>7820</v>
      </c>
      <c r="H633" s="335" t="s">
        <v>7822</v>
      </c>
      <c r="I633" s="85" t="s">
        <v>23</v>
      </c>
      <c r="J633" s="335" t="s">
        <v>7823</v>
      </c>
      <c r="K633" s="335" t="s">
        <v>7824</v>
      </c>
    </row>
    <row r="634" spans="1:11">
      <c r="A634" s="332"/>
      <c r="B634" s="333"/>
      <c r="C634" s="334"/>
      <c r="D634" s="335" t="s">
        <v>7825</v>
      </c>
      <c r="E634" s="339" t="s">
        <v>7826</v>
      </c>
      <c r="F634" s="84" t="s">
        <v>20</v>
      </c>
      <c r="G634" s="335" t="s">
        <v>7825</v>
      </c>
      <c r="H634" s="335" t="s">
        <v>7827</v>
      </c>
      <c r="I634" s="85" t="s">
        <v>23</v>
      </c>
      <c r="J634" s="335" t="s">
        <v>7828</v>
      </c>
      <c r="K634" s="335" t="s">
        <v>7829</v>
      </c>
    </row>
    <row r="635" spans="1:11">
      <c r="A635" s="332"/>
      <c r="B635" s="333"/>
      <c r="C635" s="334"/>
      <c r="D635" s="335" t="s">
        <v>7830</v>
      </c>
      <c r="E635" s="339" t="s">
        <v>7831</v>
      </c>
      <c r="F635" s="84" t="s">
        <v>20</v>
      </c>
      <c r="G635" s="335" t="s">
        <v>7832</v>
      </c>
      <c r="H635" s="335" t="s">
        <v>7833</v>
      </c>
      <c r="I635" s="85" t="s">
        <v>23</v>
      </c>
      <c r="J635" s="335" t="s">
        <v>7834</v>
      </c>
      <c r="K635" s="335" t="s">
        <v>7835</v>
      </c>
    </row>
    <row r="636" spans="1:11">
      <c r="A636" s="332"/>
      <c r="B636" s="333"/>
      <c r="C636" s="337"/>
      <c r="D636" s="335" t="s">
        <v>7836</v>
      </c>
      <c r="E636" s="339" t="s">
        <v>7837</v>
      </c>
      <c r="F636" s="84" t="s">
        <v>229</v>
      </c>
      <c r="G636" s="335" t="s">
        <v>7838</v>
      </c>
      <c r="H636" s="335" t="s">
        <v>7839</v>
      </c>
      <c r="I636" s="85" t="s">
        <v>23</v>
      </c>
      <c r="J636" s="335" t="s">
        <v>7840</v>
      </c>
      <c r="K636" s="335" t="s">
        <v>7841</v>
      </c>
    </row>
    <row r="637" spans="1:11">
      <c r="A637" s="332"/>
      <c r="B637" s="333"/>
      <c r="C637" s="338" t="s">
        <v>7842</v>
      </c>
      <c r="D637" s="335" t="s">
        <v>7843</v>
      </c>
      <c r="E637" s="339" t="s">
        <v>7844</v>
      </c>
      <c r="F637" s="84" t="s">
        <v>229</v>
      </c>
      <c r="G637" s="335" t="s">
        <v>7843</v>
      </c>
      <c r="H637" s="335" t="s">
        <v>7845</v>
      </c>
      <c r="I637" s="85" t="s">
        <v>23</v>
      </c>
      <c r="J637" s="335" t="s">
        <v>7846</v>
      </c>
      <c r="K637" s="335" t="s">
        <v>7847</v>
      </c>
    </row>
    <row r="638" spans="1:11">
      <c r="A638" s="332"/>
      <c r="B638" s="333"/>
      <c r="C638" s="334"/>
      <c r="D638" s="342" t="s">
        <v>7848</v>
      </c>
      <c r="E638" s="343" t="s">
        <v>7849</v>
      </c>
      <c r="F638" s="84" t="s">
        <v>229</v>
      </c>
      <c r="G638" s="335" t="s">
        <v>7850</v>
      </c>
      <c r="H638" s="335" t="s">
        <v>7851</v>
      </c>
      <c r="I638" s="85" t="s">
        <v>23</v>
      </c>
      <c r="J638" s="335" t="s">
        <v>7852</v>
      </c>
      <c r="K638" s="335" t="s">
        <v>7853</v>
      </c>
    </row>
    <row r="639" spans="1:11">
      <c r="A639" s="332"/>
      <c r="B639" s="333"/>
      <c r="C639" s="334"/>
      <c r="D639" s="342" t="s">
        <v>7854</v>
      </c>
      <c r="E639" s="343" t="s">
        <v>7855</v>
      </c>
      <c r="F639" s="84" t="s">
        <v>229</v>
      </c>
      <c r="G639" s="335" t="s">
        <v>7856</v>
      </c>
      <c r="H639" s="335" t="s">
        <v>7857</v>
      </c>
      <c r="I639" s="85" t="s">
        <v>23</v>
      </c>
      <c r="J639" s="335" t="s">
        <v>7858</v>
      </c>
      <c r="K639" s="335" t="s">
        <v>7859</v>
      </c>
    </row>
    <row r="640" spans="1:11">
      <c r="A640" s="332"/>
      <c r="B640" s="333"/>
      <c r="C640" s="334"/>
      <c r="D640" s="342" t="s">
        <v>7860</v>
      </c>
      <c r="E640" s="343" t="s">
        <v>7861</v>
      </c>
      <c r="F640" s="84" t="s">
        <v>20</v>
      </c>
      <c r="G640" s="335" t="s">
        <v>7862</v>
      </c>
      <c r="H640" s="335" t="s">
        <v>7863</v>
      </c>
      <c r="I640" s="85" t="s">
        <v>23</v>
      </c>
      <c r="J640" s="335" t="s">
        <v>7864</v>
      </c>
      <c r="K640" s="335" t="s">
        <v>7865</v>
      </c>
    </row>
    <row r="641" spans="1:11">
      <c r="A641" s="332"/>
      <c r="B641" s="333"/>
      <c r="C641" s="337"/>
      <c r="D641" s="342" t="s">
        <v>7866</v>
      </c>
      <c r="E641" s="343" t="s">
        <v>7867</v>
      </c>
      <c r="F641" s="84" t="s">
        <v>20</v>
      </c>
      <c r="G641" s="335" t="s">
        <v>7868</v>
      </c>
      <c r="H641" s="335" t="s">
        <v>7869</v>
      </c>
      <c r="I641" s="85" t="s">
        <v>23</v>
      </c>
      <c r="J641" s="335" t="s">
        <v>7870</v>
      </c>
      <c r="K641" s="335" t="s">
        <v>7871</v>
      </c>
    </row>
    <row r="642" spans="1:11">
      <c r="A642" s="332"/>
      <c r="B642" s="333"/>
      <c r="C642" s="338" t="s">
        <v>7872</v>
      </c>
      <c r="D642" s="342" t="s">
        <v>7873</v>
      </c>
      <c r="E642" s="343" t="s">
        <v>7874</v>
      </c>
      <c r="F642" s="84" t="s">
        <v>20</v>
      </c>
      <c r="G642" s="335" t="s">
        <v>7875</v>
      </c>
      <c r="H642" s="335" t="s">
        <v>7876</v>
      </c>
      <c r="I642" s="85" t="s">
        <v>23</v>
      </c>
      <c r="J642" s="335" t="s">
        <v>7877</v>
      </c>
      <c r="K642" s="335" t="s">
        <v>7878</v>
      </c>
    </row>
    <row r="643" spans="1:11">
      <c r="A643" s="332"/>
      <c r="B643" s="333"/>
      <c r="C643" s="334"/>
      <c r="D643" s="342" t="s">
        <v>7879</v>
      </c>
      <c r="E643" s="343" t="s">
        <v>7880</v>
      </c>
      <c r="F643" s="84" t="s">
        <v>20</v>
      </c>
      <c r="G643" s="335" t="s">
        <v>7881</v>
      </c>
      <c r="H643" s="335" t="s">
        <v>7882</v>
      </c>
      <c r="I643" s="85" t="s">
        <v>23</v>
      </c>
      <c r="J643" s="335" t="s">
        <v>7883</v>
      </c>
      <c r="K643" s="335" t="s">
        <v>7884</v>
      </c>
    </row>
    <row r="644" spans="1:11">
      <c r="A644" s="332"/>
      <c r="B644" s="333"/>
      <c r="C644" s="334"/>
      <c r="D644" s="342" t="s">
        <v>7885</v>
      </c>
      <c r="E644" s="343" t="s">
        <v>7886</v>
      </c>
      <c r="F644" s="84" t="s">
        <v>425</v>
      </c>
      <c r="G644" s="335" t="s">
        <v>7887</v>
      </c>
      <c r="H644" s="335" t="s">
        <v>7888</v>
      </c>
      <c r="I644" s="85" t="s">
        <v>23</v>
      </c>
      <c r="J644" s="335" t="s">
        <v>7889</v>
      </c>
      <c r="K644" s="335" t="s">
        <v>7890</v>
      </c>
    </row>
    <row r="645" spans="1:11">
      <c r="A645" s="332"/>
      <c r="B645" s="333"/>
      <c r="C645" s="334"/>
      <c r="D645" s="342" t="s">
        <v>7891</v>
      </c>
      <c r="E645" s="343" t="s">
        <v>7892</v>
      </c>
      <c r="F645" s="84" t="s">
        <v>425</v>
      </c>
      <c r="G645" s="335" t="s">
        <v>7893</v>
      </c>
      <c r="H645" s="335" t="s">
        <v>7894</v>
      </c>
      <c r="I645" s="85" t="s">
        <v>23</v>
      </c>
      <c r="J645" s="335" t="s">
        <v>7895</v>
      </c>
      <c r="K645" s="335" t="s">
        <v>7896</v>
      </c>
    </row>
    <row r="646" spans="1:11" ht="15.75" thickBot="1">
      <c r="A646" s="332"/>
      <c r="B646" s="344"/>
      <c r="C646" s="340"/>
      <c r="D646" s="345" t="s">
        <v>7897</v>
      </c>
      <c r="E646" s="346" t="s">
        <v>7898</v>
      </c>
      <c r="F646" s="84" t="s">
        <v>20</v>
      </c>
      <c r="G646" s="335" t="s">
        <v>7897</v>
      </c>
      <c r="H646" s="335" t="s">
        <v>7899</v>
      </c>
      <c r="I646" s="85" t="s">
        <v>23</v>
      </c>
      <c r="J646" s="335" t="s">
        <v>7900</v>
      </c>
      <c r="K646" s="335" t="s">
        <v>7901</v>
      </c>
    </row>
    <row r="647" spans="1:11">
      <c r="A647" s="332"/>
      <c r="B647" s="327" t="s">
        <v>7902</v>
      </c>
      <c r="C647" s="328" t="s">
        <v>7903</v>
      </c>
      <c r="D647" s="341" t="s">
        <v>7904</v>
      </c>
      <c r="E647" s="330" t="s">
        <v>7905</v>
      </c>
      <c r="F647" s="84" t="s">
        <v>20</v>
      </c>
      <c r="G647" s="335" t="s">
        <v>7906</v>
      </c>
      <c r="H647" s="335" t="s">
        <v>7907</v>
      </c>
      <c r="I647" s="85" t="s">
        <v>23</v>
      </c>
      <c r="J647" s="335" t="s">
        <v>7908</v>
      </c>
      <c r="K647" s="335" t="s">
        <v>7909</v>
      </c>
    </row>
    <row r="648" spans="1:11">
      <c r="A648" s="332"/>
      <c r="B648" s="333"/>
      <c r="C648" s="334"/>
      <c r="D648" s="329" t="s">
        <v>7910</v>
      </c>
      <c r="E648" s="336" t="s">
        <v>7911</v>
      </c>
      <c r="F648" s="84" t="s">
        <v>20</v>
      </c>
      <c r="G648" s="335" t="s">
        <v>7912</v>
      </c>
      <c r="H648" s="335" t="s">
        <v>7913</v>
      </c>
      <c r="I648" s="85" t="s">
        <v>23</v>
      </c>
      <c r="J648" s="335" t="s">
        <v>7914</v>
      </c>
      <c r="K648" s="335" t="s">
        <v>7915</v>
      </c>
    </row>
    <row r="649" spans="1:11">
      <c r="A649" s="332"/>
      <c r="B649" s="333"/>
      <c r="C649" s="334"/>
      <c r="D649" s="329" t="s">
        <v>7916</v>
      </c>
      <c r="E649" s="336" t="s">
        <v>7917</v>
      </c>
      <c r="F649" s="84" t="s">
        <v>229</v>
      </c>
      <c r="G649" s="335" t="s">
        <v>7916</v>
      </c>
      <c r="H649" s="335" t="s">
        <v>7918</v>
      </c>
      <c r="I649" s="85" t="s">
        <v>23</v>
      </c>
      <c r="J649" s="335" t="s">
        <v>7919</v>
      </c>
      <c r="K649" s="335" t="s">
        <v>7920</v>
      </c>
    </row>
    <row r="650" spans="1:11">
      <c r="A650" s="332"/>
      <c r="B650" s="333"/>
      <c r="C650" s="334"/>
      <c r="D650" s="329" t="s">
        <v>7921</v>
      </c>
      <c r="E650" s="336" t="s">
        <v>7922</v>
      </c>
      <c r="F650" s="84" t="s">
        <v>229</v>
      </c>
      <c r="G650" s="335" t="s">
        <v>7923</v>
      </c>
      <c r="H650" s="335" t="s">
        <v>7924</v>
      </c>
      <c r="I650" s="85" t="s">
        <v>23</v>
      </c>
      <c r="J650" s="335" t="s">
        <v>7925</v>
      </c>
      <c r="K650" s="335" t="s">
        <v>7926</v>
      </c>
    </row>
    <row r="651" spans="1:11">
      <c r="A651" s="332"/>
      <c r="B651" s="333"/>
      <c r="C651" s="337"/>
      <c r="D651" s="329" t="s">
        <v>7927</v>
      </c>
      <c r="E651" s="336" t="s">
        <v>7928</v>
      </c>
      <c r="F651" s="84" t="s">
        <v>229</v>
      </c>
      <c r="G651" s="335" t="s">
        <v>7927</v>
      </c>
      <c r="H651" s="335" t="s">
        <v>7929</v>
      </c>
      <c r="I651" s="85" t="s">
        <v>23</v>
      </c>
      <c r="J651" s="335" t="s">
        <v>7930</v>
      </c>
      <c r="K651" s="335" t="s">
        <v>7931</v>
      </c>
    </row>
    <row r="652" spans="1:11">
      <c r="A652" s="332"/>
      <c r="B652" s="333"/>
      <c r="C652" s="338" t="s">
        <v>7932</v>
      </c>
      <c r="D652" s="335" t="s">
        <v>7933</v>
      </c>
      <c r="E652" s="339" t="s">
        <v>7934</v>
      </c>
      <c r="F652" s="84" t="s">
        <v>229</v>
      </c>
      <c r="G652" s="335" t="s">
        <v>7935</v>
      </c>
      <c r="H652" s="335" t="s">
        <v>7936</v>
      </c>
      <c r="I652" s="85" t="s">
        <v>23</v>
      </c>
      <c r="J652" s="335" t="s">
        <v>7937</v>
      </c>
      <c r="K652" s="335" t="s">
        <v>7938</v>
      </c>
    </row>
    <row r="653" spans="1:11">
      <c r="A653" s="332"/>
      <c r="B653" s="333"/>
      <c r="C653" s="334"/>
      <c r="D653" s="335" t="s">
        <v>7939</v>
      </c>
      <c r="E653" s="339" t="s">
        <v>7940</v>
      </c>
      <c r="F653" s="84" t="s">
        <v>229</v>
      </c>
      <c r="G653" s="335" t="s">
        <v>7941</v>
      </c>
      <c r="H653" s="335" t="s">
        <v>7942</v>
      </c>
      <c r="I653" s="85" t="s">
        <v>23</v>
      </c>
      <c r="J653" s="335" t="s">
        <v>7943</v>
      </c>
      <c r="K653" s="335" t="s">
        <v>7944</v>
      </c>
    </row>
    <row r="654" spans="1:11">
      <c r="A654" s="332"/>
      <c r="B654" s="333"/>
      <c r="C654" s="334"/>
      <c r="D654" s="335" t="s">
        <v>7945</v>
      </c>
      <c r="E654" s="339" t="s">
        <v>7946</v>
      </c>
      <c r="F654" s="84" t="s">
        <v>229</v>
      </c>
      <c r="G654" s="335" t="s">
        <v>7947</v>
      </c>
      <c r="H654" s="335" t="s">
        <v>7948</v>
      </c>
      <c r="I654" s="85" t="s">
        <v>23</v>
      </c>
      <c r="J654" s="335" t="s">
        <v>7949</v>
      </c>
      <c r="K654" s="335" t="s">
        <v>7950</v>
      </c>
    </row>
    <row r="655" spans="1:11">
      <c r="A655" s="332"/>
      <c r="B655" s="333"/>
      <c r="C655" s="334"/>
      <c r="D655" s="335" t="s">
        <v>7951</v>
      </c>
      <c r="E655" s="339" t="s">
        <v>7952</v>
      </c>
      <c r="F655" s="84" t="s">
        <v>20</v>
      </c>
      <c r="G655" s="335" t="s">
        <v>7953</v>
      </c>
      <c r="H655" s="335" t="s">
        <v>7954</v>
      </c>
      <c r="I655" s="85" t="s">
        <v>23</v>
      </c>
      <c r="J655" s="335" t="s">
        <v>7955</v>
      </c>
      <c r="K655" s="335" t="s">
        <v>7956</v>
      </c>
    </row>
    <row r="656" spans="1:11">
      <c r="A656" s="332"/>
      <c r="B656" s="333"/>
      <c r="C656" s="337"/>
      <c r="D656" s="335" t="s">
        <v>7957</v>
      </c>
      <c r="E656" s="339" t="s">
        <v>7958</v>
      </c>
      <c r="F656" s="84" t="s">
        <v>20</v>
      </c>
      <c r="G656" s="335" t="s">
        <v>7959</v>
      </c>
      <c r="H656" s="335" t="s">
        <v>7960</v>
      </c>
      <c r="I656" s="85" t="s">
        <v>23</v>
      </c>
      <c r="J656" s="335" t="s">
        <v>7961</v>
      </c>
      <c r="K656" s="335" t="s">
        <v>7962</v>
      </c>
    </row>
    <row r="657" spans="1:11">
      <c r="A657" s="332"/>
      <c r="B657" s="333"/>
      <c r="C657" s="338" t="s">
        <v>7963</v>
      </c>
      <c r="D657" s="335" t="s">
        <v>7964</v>
      </c>
      <c r="E657" s="339" t="s">
        <v>7965</v>
      </c>
      <c r="F657" s="84" t="s">
        <v>20</v>
      </c>
      <c r="G657" s="335" t="s">
        <v>7966</v>
      </c>
      <c r="H657" s="335" t="s">
        <v>7967</v>
      </c>
      <c r="I657" s="85" t="s">
        <v>23</v>
      </c>
      <c r="J657" s="335" t="s">
        <v>7968</v>
      </c>
      <c r="K657" s="335" t="s">
        <v>7969</v>
      </c>
    </row>
    <row r="658" spans="1:11">
      <c r="A658" s="332"/>
      <c r="B658" s="333"/>
      <c r="C658" s="334"/>
      <c r="D658" s="335" t="s">
        <v>7970</v>
      </c>
      <c r="E658" s="339" t="s">
        <v>7971</v>
      </c>
      <c r="F658" s="84" t="s">
        <v>425</v>
      </c>
      <c r="G658" s="335" t="s">
        <v>7972</v>
      </c>
      <c r="H658" s="335" t="s">
        <v>7973</v>
      </c>
      <c r="I658" s="85" t="s">
        <v>23</v>
      </c>
      <c r="J658" s="335" t="s">
        <v>7974</v>
      </c>
      <c r="K658" s="335" t="s">
        <v>7975</v>
      </c>
    </row>
    <row r="659" spans="1:11">
      <c r="A659" s="332"/>
      <c r="B659" s="333"/>
      <c r="C659" s="334"/>
      <c r="D659" s="335" t="s">
        <v>7976</v>
      </c>
      <c r="E659" s="339" t="s">
        <v>7977</v>
      </c>
      <c r="F659" s="84" t="s">
        <v>425</v>
      </c>
      <c r="G659" s="335" t="s">
        <v>7976</v>
      </c>
      <c r="H659" s="335" t="s">
        <v>7978</v>
      </c>
      <c r="I659" s="85" t="s">
        <v>23</v>
      </c>
      <c r="J659" s="335" t="s">
        <v>7979</v>
      </c>
      <c r="K659" s="335" t="s">
        <v>7980</v>
      </c>
    </row>
    <row r="660" spans="1:11">
      <c r="A660" s="332"/>
      <c r="B660" s="333"/>
      <c r="C660" s="334"/>
      <c r="D660" s="335" t="s">
        <v>7981</v>
      </c>
      <c r="E660" s="339" t="s">
        <v>7982</v>
      </c>
      <c r="F660" s="84" t="s">
        <v>425</v>
      </c>
      <c r="G660" s="335" t="s">
        <v>7983</v>
      </c>
      <c r="H660" s="335" t="s">
        <v>7984</v>
      </c>
      <c r="I660" s="85" t="s">
        <v>2560</v>
      </c>
      <c r="J660" s="335" t="s">
        <v>7985</v>
      </c>
      <c r="K660" s="335" t="s">
        <v>7986</v>
      </c>
    </row>
    <row r="661" spans="1:11">
      <c r="A661" s="332"/>
      <c r="B661" s="333"/>
      <c r="C661" s="337"/>
      <c r="D661" s="335" t="s">
        <v>7987</v>
      </c>
      <c r="E661" s="339" t="s">
        <v>7988</v>
      </c>
      <c r="F661" s="84" t="s">
        <v>425</v>
      </c>
      <c r="G661" s="335" t="s">
        <v>7987</v>
      </c>
      <c r="H661" s="335" t="s">
        <v>7989</v>
      </c>
      <c r="I661" s="85" t="s">
        <v>23</v>
      </c>
      <c r="J661" s="335" t="s">
        <v>7990</v>
      </c>
      <c r="K661" s="335" t="s">
        <v>7991</v>
      </c>
    </row>
    <row r="662" spans="1:11">
      <c r="A662" s="332"/>
      <c r="B662" s="333"/>
      <c r="C662" s="338" t="s">
        <v>7992</v>
      </c>
      <c r="D662" s="335" t="s">
        <v>7993</v>
      </c>
      <c r="E662" s="339" t="s">
        <v>7994</v>
      </c>
      <c r="F662" s="84" t="s">
        <v>20</v>
      </c>
      <c r="G662" s="335" t="s">
        <v>7995</v>
      </c>
      <c r="H662" s="335" t="s">
        <v>7996</v>
      </c>
      <c r="I662" s="85" t="s">
        <v>23</v>
      </c>
      <c r="J662" s="335" t="s">
        <v>7997</v>
      </c>
      <c r="K662" s="335" t="s">
        <v>7998</v>
      </c>
    </row>
    <row r="663" spans="1:11">
      <c r="A663" s="332"/>
      <c r="B663" s="333"/>
      <c r="C663" s="334"/>
      <c r="D663" s="342" t="s">
        <v>7999</v>
      </c>
      <c r="E663" s="343" t="s">
        <v>8000</v>
      </c>
      <c r="F663" s="84" t="s">
        <v>20</v>
      </c>
      <c r="G663" s="335" t="s">
        <v>8001</v>
      </c>
      <c r="H663" s="335" t="s">
        <v>8002</v>
      </c>
      <c r="I663" s="85" t="s">
        <v>23</v>
      </c>
      <c r="J663" s="335" t="s">
        <v>8003</v>
      </c>
      <c r="K663" s="335" t="s">
        <v>8004</v>
      </c>
    </row>
    <row r="664" spans="1:11">
      <c r="A664" s="332"/>
      <c r="B664" s="333"/>
      <c r="C664" s="334"/>
      <c r="D664" s="342" t="s">
        <v>8005</v>
      </c>
      <c r="E664" s="343" t="s">
        <v>8006</v>
      </c>
      <c r="F664" s="84" t="s">
        <v>20</v>
      </c>
      <c r="G664" s="335" t="s">
        <v>8007</v>
      </c>
      <c r="H664" s="335" t="s">
        <v>8008</v>
      </c>
      <c r="I664" s="85" t="s">
        <v>23</v>
      </c>
      <c r="J664" s="335" t="s">
        <v>8009</v>
      </c>
      <c r="K664" s="335" t="s">
        <v>8010</v>
      </c>
    </row>
    <row r="665" spans="1:11">
      <c r="A665" s="332"/>
      <c r="B665" s="333"/>
      <c r="C665" s="334"/>
      <c r="D665" s="342" t="s">
        <v>8011</v>
      </c>
      <c r="E665" s="343" t="s">
        <v>8012</v>
      </c>
      <c r="F665" s="84" t="s">
        <v>20</v>
      </c>
      <c r="G665" s="335" t="s">
        <v>8013</v>
      </c>
      <c r="H665" s="335" t="s">
        <v>8014</v>
      </c>
      <c r="I665" s="85" t="s">
        <v>23</v>
      </c>
      <c r="J665" s="335" t="s">
        <v>8015</v>
      </c>
      <c r="K665" s="335" t="s">
        <v>8016</v>
      </c>
    </row>
    <row r="666" spans="1:11">
      <c r="A666" s="332"/>
      <c r="B666" s="333"/>
      <c r="C666" s="337"/>
      <c r="D666" s="342" t="s">
        <v>8017</v>
      </c>
      <c r="E666" s="343" t="s">
        <v>8018</v>
      </c>
      <c r="F666" s="84" t="s">
        <v>229</v>
      </c>
      <c r="G666" s="335" t="s">
        <v>8017</v>
      </c>
      <c r="H666" s="335" t="s">
        <v>8019</v>
      </c>
      <c r="I666" s="85" t="s">
        <v>23</v>
      </c>
      <c r="J666" s="335" t="s">
        <v>8020</v>
      </c>
      <c r="K666" s="335" t="s">
        <v>8021</v>
      </c>
    </row>
    <row r="667" spans="1:11">
      <c r="A667" s="332"/>
      <c r="B667" s="333"/>
      <c r="C667" s="338" t="s">
        <v>8022</v>
      </c>
      <c r="D667" s="342" t="s">
        <v>8023</v>
      </c>
      <c r="E667" s="343" t="s">
        <v>8024</v>
      </c>
      <c r="F667" s="84" t="s">
        <v>229</v>
      </c>
      <c r="G667" s="335" t="s">
        <v>8025</v>
      </c>
      <c r="H667" s="335" t="s">
        <v>8026</v>
      </c>
      <c r="I667" s="85" t="s">
        <v>23</v>
      </c>
      <c r="J667" s="335" t="s">
        <v>8027</v>
      </c>
      <c r="K667" s="335" t="s">
        <v>8028</v>
      </c>
    </row>
    <row r="668" spans="1:11">
      <c r="A668" s="332"/>
      <c r="B668" s="333"/>
      <c r="C668" s="334"/>
      <c r="D668" s="342" t="s">
        <v>8029</v>
      </c>
      <c r="E668" s="343" t="s">
        <v>8030</v>
      </c>
      <c r="F668" s="84" t="s">
        <v>229</v>
      </c>
      <c r="G668" s="335" t="s">
        <v>8031</v>
      </c>
      <c r="H668" s="335" t="s">
        <v>8032</v>
      </c>
      <c r="I668" s="85" t="s">
        <v>23</v>
      </c>
      <c r="J668" s="335" t="s">
        <v>8033</v>
      </c>
      <c r="K668" s="335" t="s">
        <v>8034</v>
      </c>
    </row>
    <row r="669" spans="1:11">
      <c r="A669" s="332"/>
      <c r="B669" s="333"/>
      <c r="C669" s="334"/>
      <c r="D669" s="342" t="s">
        <v>8035</v>
      </c>
      <c r="E669" s="343" t="s">
        <v>8036</v>
      </c>
      <c r="F669" s="84" t="s">
        <v>229</v>
      </c>
      <c r="G669" s="335" t="s">
        <v>8037</v>
      </c>
      <c r="H669" s="335" t="s">
        <v>8038</v>
      </c>
      <c r="I669" s="85" t="s">
        <v>23</v>
      </c>
      <c r="J669" s="335" t="s">
        <v>8039</v>
      </c>
      <c r="K669" s="335" t="s">
        <v>8040</v>
      </c>
    </row>
    <row r="670" spans="1:11">
      <c r="A670" s="332"/>
      <c r="B670" s="333"/>
      <c r="C670" s="334"/>
      <c r="D670" s="342" t="s">
        <v>8041</v>
      </c>
      <c r="E670" s="343" t="s">
        <v>8042</v>
      </c>
      <c r="F670" s="84" t="s">
        <v>229</v>
      </c>
      <c r="G670" s="335" t="s">
        <v>8041</v>
      </c>
      <c r="H670" s="335" t="s">
        <v>8043</v>
      </c>
      <c r="I670" s="85" t="s">
        <v>94</v>
      </c>
      <c r="J670" s="335" t="s">
        <v>8044</v>
      </c>
      <c r="K670" s="335" t="s">
        <v>8045</v>
      </c>
    </row>
    <row r="671" spans="1:11" ht="15.75" thickBot="1">
      <c r="A671" s="332"/>
      <c r="B671" s="344"/>
      <c r="C671" s="340"/>
      <c r="D671" s="345" t="s">
        <v>8046</v>
      </c>
      <c r="E671" s="346" t="s">
        <v>8047</v>
      </c>
      <c r="F671" s="84" t="s">
        <v>229</v>
      </c>
      <c r="G671" s="335" t="s">
        <v>8048</v>
      </c>
      <c r="H671" s="335" t="s">
        <v>8049</v>
      </c>
      <c r="I671" s="85" t="s">
        <v>94</v>
      </c>
      <c r="J671" s="335" t="s">
        <v>8050</v>
      </c>
      <c r="K671" s="335"/>
    </row>
  </sheetData>
  <mergeCells count="150">
    <mergeCell ref="B647:B671"/>
    <mergeCell ref="C647:C651"/>
    <mergeCell ref="C652:C656"/>
    <mergeCell ref="C657:C661"/>
    <mergeCell ref="C662:C666"/>
    <mergeCell ref="C667:C671"/>
    <mergeCell ref="B607:B646"/>
    <mergeCell ref="C607:C611"/>
    <mergeCell ref="C612:C616"/>
    <mergeCell ref="C617:C621"/>
    <mergeCell ref="C622:C626"/>
    <mergeCell ref="C627:C631"/>
    <mergeCell ref="C632:C636"/>
    <mergeCell ref="C637:C641"/>
    <mergeCell ref="C642:C646"/>
    <mergeCell ref="C577:C581"/>
    <mergeCell ref="C582:C586"/>
    <mergeCell ref="C587:C591"/>
    <mergeCell ref="C592:C596"/>
    <mergeCell ref="C597:C601"/>
    <mergeCell ref="C602:C606"/>
    <mergeCell ref="C532:C536"/>
    <mergeCell ref="C537:C541"/>
    <mergeCell ref="C542:C546"/>
    <mergeCell ref="C547:C551"/>
    <mergeCell ref="C552:C556"/>
    <mergeCell ref="B557:B606"/>
    <mergeCell ref="C557:C561"/>
    <mergeCell ref="C562:C566"/>
    <mergeCell ref="C567:C571"/>
    <mergeCell ref="C572:C576"/>
    <mergeCell ref="C487:C491"/>
    <mergeCell ref="C492:C496"/>
    <mergeCell ref="B497:B556"/>
    <mergeCell ref="C497:C501"/>
    <mergeCell ref="C502:C506"/>
    <mergeCell ref="C507:C511"/>
    <mergeCell ref="C512:C516"/>
    <mergeCell ref="C517:C521"/>
    <mergeCell ref="C522:C526"/>
    <mergeCell ref="C527:C531"/>
    <mergeCell ref="C457:C461"/>
    <mergeCell ref="C462:C466"/>
    <mergeCell ref="C467:C471"/>
    <mergeCell ref="C472:C476"/>
    <mergeCell ref="C477:C481"/>
    <mergeCell ref="C482:C486"/>
    <mergeCell ref="C412:C416"/>
    <mergeCell ref="C417:C421"/>
    <mergeCell ref="C422:C426"/>
    <mergeCell ref="C427:C431"/>
    <mergeCell ref="B432:B496"/>
    <mergeCell ref="C432:C436"/>
    <mergeCell ref="C437:C441"/>
    <mergeCell ref="C442:C446"/>
    <mergeCell ref="C447:C451"/>
    <mergeCell ref="C452:C456"/>
    <mergeCell ref="C367:C371"/>
    <mergeCell ref="B372:B431"/>
    <mergeCell ref="C372:C376"/>
    <mergeCell ref="C377:C381"/>
    <mergeCell ref="C382:C386"/>
    <mergeCell ref="C387:C391"/>
    <mergeCell ref="C392:C396"/>
    <mergeCell ref="C397:C401"/>
    <mergeCell ref="C402:C406"/>
    <mergeCell ref="C407:C411"/>
    <mergeCell ref="B322:B371"/>
    <mergeCell ref="C322:C326"/>
    <mergeCell ref="C327:C331"/>
    <mergeCell ref="C332:C336"/>
    <mergeCell ref="C337:C341"/>
    <mergeCell ref="C342:C346"/>
    <mergeCell ref="C347:C351"/>
    <mergeCell ref="C352:C356"/>
    <mergeCell ref="C357:C361"/>
    <mergeCell ref="C362:C366"/>
    <mergeCell ref="B282:B321"/>
    <mergeCell ref="C282:C286"/>
    <mergeCell ref="C287:C291"/>
    <mergeCell ref="C292:C296"/>
    <mergeCell ref="C297:C301"/>
    <mergeCell ref="C302:C306"/>
    <mergeCell ref="C307:C311"/>
    <mergeCell ref="C312:C316"/>
    <mergeCell ref="C317:C321"/>
    <mergeCell ref="B242:B281"/>
    <mergeCell ref="C242:C246"/>
    <mergeCell ref="C247:C251"/>
    <mergeCell ref="C252:C256"/>
    <mergeCell ref="C257:C261"/>
    <mergeCell ref="C262:C266"/>
    <mergeCell ref="C267:C271"/>
    <mergeCell ref="C272:C276"/>
    <mergeCell ref="C277:C281"/>
    <mergeCell ref="B202:B241"/>
    <mergeCell ref="C202:C206"/>
    <mergeCell ref="C207:C211"/>
    <mergeCell ref="C212:C216"/>
    <mergeCell ref="C217:C221"/>
    <mergeCell ref="C222:C226"/>
    <mergeCell ref="C227:C231"/>
    <mergeCell ref="C232:C236"/>
    <mergeCell ref="C237:C241"/>
    <mergeCell ref="C157:C161"/>
    <mergeCell ref="B162:B201"/>
    <mergeCell ref="C162:C166"/>
    <mergeCell ref="C167:C171"/>
    <mergeCell ref="C172:C176"/>
    <mergeCell ref="C177:C181"/>
    <mergeCell ref="C182:C186"/>
    <mergeCell ref="C187:C191"/>
    <mergeCell ref="C192:C196"/>
    <mergeCell ref="C197:C201"/>
    <mergeCell ref="B112:B161"/>
    <mergeCell ref="C112:C116"/>
    <mergeCell ref="C117:C121"/>
    <mergeCell ref="C122:C126"/>
    <mergeCell ref="C127:C131"/>
    <mergeCell ref="C132:C136"/>
    <mergeCell ref="C137:C141"/>
    <mergeCell ref="C142:C146"/>
    <mergeCell ref="C147:C151"/>
    <mergeCell ref="C152:C156"/>
    <mergeCell ref="C82:C86"/>
    <mergeCell ref="C87:C91"/>
    <mergeCell ref="C92:C96"/>
    <mergeCell ref="C97:C101"/>
    <mergeCell ref="C102:C106"/>
    <mergeCell ref="C107:C111"/>
    <mergeCell ref="C37:C41"/>
    <mergeCell ref="C42:C46"/>
    <mergeCell ref="C47:C51"/>
    <mergeCell ref="C52:C56"/>
    <mergeCell ref="C57:C61"/>
    <mergeCell ref="B62:B111"/>
    <mergeCell ref="C62:C66"/>
    <mergeCell ref="C67:C71"/>
    <mergeCell ref="C72:C76"/>
    <mergeCell ref="C77:C81"/>
    <mergeCell ref="A2:A671"/>
    <mergeCell ref="B2:B26"/>
    <mergeCell ref="C2:C6"/>
    <mergeCell ref="C7:C11"/>
    <mergeCell ref="C12:C16"/>
    <mergeCell ref="C17:C21"/>
    <mergeCell ref="C22:C26"/>
    <mergeCell ref="B27:B61"/>
    <mergeCell ref="C27:C31"/>
    <mergeCell ref="C32:C36"/>
  </mergeCells>
  <conditionalFormatting sqref="I2:I671">
    <cfRule type="containsText" dxfId="38" priority="1" operator="containsText" text="Faible">
      <formula>NOT(ISERROR(SEARCH("Faible",I2)))</formula>
    </cfRule>
    <cfRule type="containsText" dxfId="37" priority="2" operator="containsText" text="Elevée">
      <formula>NOT(ISERROR(SEARCH("Elevée",I2)))</formula>
    </cfRule>
    <cfRule type="containsText" dxfId="36" priority="3" operator="containsText" text="Moyenne">
      <formula>NOT(ISERROR(SEARCH("Moyenne",I2)))</formula>
    </cfRule>
  </conditionalFormatting>
  <dataValidations count="1">
    <dataValidation type="list" allowBlank="1" showInputMessage="1" showErrorMessage="1" sqref="I2:I671">
      <formula1>"Elevée,Moyenne,Faible"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opLeftCell="D147" workbookViewId="0">
      <selection activeCell="F1" sqref="F1:F1048576"/>
    </sheetView>
  </sheetViews>
  <sheetFormatPr baseColWidth="10" defaultRowHeight="15"/>
  <cols>
    <col min="1" max="1" width="29.140625" style="306" customWidth="1"/>
    <col min="2" max="2" width="34.42578125" style="306" customWidth="1"/>
    <col min="3" max="3" width="43.140625" style="306" customWidth="1"/>
    <col min="4" max="4" width="44.42578125" style="306" customWidth="1"/>
    <col min="5" max="5" width="87.5703125" style="360" customWidth="1"/>
    <col min="6" max="6" width="9.85546875" style="306" customWidth="1"/>
    <col min="7" max="7" width="67.5703125" style="360" customWidth="1"/>
    <col min="8" max="8" width="37.28515625" style="306" customWidth="1"/>
    <col min="9" max="9" width="11.42578125" style="306"/>
    <col min="10" max="10" width="43.28515625" style="306" customWidth="1"/>
    <col min="11" max="11" width="69.85546875" style="306" bestFit="1" customWidth="1"/>
    <col min="12" max="16384" width="11.42578125" style="306"/>
  </cols>
  <sheetData>
    <row r="1" spans="1:11">
      <c r="A1" s="374" t="s">
        <v>1677</v>
      </c>
      <c r="B1" s="357" t="s">
        <v>8051</v>
      </c>
      <c r="C1" s="357" t="s">
        <v>8052</v>
      </c>
      <c r="D1" s="357" t="s">
        <v>8053</v>
      </c>
      <c r="E1" s="357" t="s">
        <v>8054</v>
      </c>
      <c r="F1" s="358" t="s">
        <v>8056</v>
      </c>
      <c r="G1" s="357" t="s">
        <v>8055</v>
      </c>
      <c r="H1" s="357" t="s">
        <v>8057</v>
      </c>
      <c r="I1" s="357" t="s">
        <v>12</v>
      </c>
      <c r="J1" s="357" t="s">
        <v>8058</v>
      </c>
      <c r="K1" s="357" t="s">
        <v>1678</v>
      </c>
    </row>
    <row r="2" spans="1:11" ht="15" customHeight="1">
      <c r="A2" s="353" t="s">
        <v>8947</v>
      </c>
      <c r="B2" s="353" t="s">
        <v>8059</v>
      </c>
      <c r="C2" s="353" t="s">
        <v>8060</v>
      </c>
      <c r="D2" s="353" t="s">
        <v>8061</v>
      </c>
      <c r="E2" s="356" t="s">
        <v>8062</v>
      </c>
      <c r="F2" s="356" t="s">
        <v>229</v>
      </c>
      <c r="G2" s="356" t="s">
        <v>8063</v>
      </c>
      <c r="H2" s="356" t="s">
        <v>8064</v>
      </c>
      <c r="I2" s="356" t="s">
        <v>23</v>
      </c>
      <c r="J2" s="356" t="s">
        <v>8065</v>
      </c>
      <c r="K2" s="356" t="s">
        <v>8066</v>
      </c>
    </row>
    <row r="3" spans="1:11" ht="30">
      <c r="A3" s="353"/>
      <c r="B3" s="353"/>
      <c r="C3" s="353"/>
      <c r="D3" s="353" t="s">
        <v>8067</v>
      </c>
      <c r="E3" s="356" t="s">
        <v>8068</v>
      </c>
      <c r="F3" s="356" t="s">
        <v>20</v>
      </c>
      <c r="G3" s="356" t="s">
        <v>8069</v>
      </c>
      <c r="H3" s="356" t="s">
        <v>8070</v>
      </c>
      <c r="I3" s="356" t="s">
        <v>94</v>
      </c>
      <c r="J3" s="356" t="s">
        <v>8071</v>
      </c>
      <c r="K3" s="356" t="s">
        <v>8072</v>
      </c>
    </row>
    <row r="4" spans="1:11">
      <c r="A4" s="353"/>
      <c r="B4" s="353"/>
      <c r="C4" s="353"/>
      <c r="D4" s="353" t="s">
        <v>8073</v>
      </c>
      <c r="E4" s="356" t="s">
        <v>8074</v>
      </c>
      <c r="F4" s="356" t="s">
        <v>20</v>
      </c>
      <c r="G4" s="356" t="s">
        <v>8075</v>
      </c>
      <c r="H4" s="356" t="s">
        <v>8076</v>
      </c>
      <c r="I4" s="356" t="s">
        <v>94</v>
      </c>
      <c r="J4" s="356" t="s">
        <v>8077</v>
      </c>
      <c r="K4" s="356" t="s">
        <v>8078</v>
      </c>
    </row>
    <row r="5" spans="1:11">
      <c r="A5" s="353"/>
      <c r="B5" s="353"/>
      <c r="C5" s="353"/>
      <c r="D5" s="353" t="s">
        <v>8079</v>
      </c>
      <c r="E5" s="356" t="s">
        <v>8080</v>
      </c>
      <c r="F5" s="356" t="s">
        <v>20</v>
      </c>
      <c r="G5" s="356" t="s">
        <v>8081</v>
      </c>
      <c r="H5" s="356" t="s">
        <v>8082</v>
      </c>
      <c r="I5" s="356" t="s">
        <v>23</v>
      </c>
      <c r="J5" s="356" t="s">
        <v>8083</v>
      </c>
      <c r="K5" s="356" t="s">
        <v>8084</v>
      </c>
    </row>
    <row r="6" spans="1:11">
      <c r="A6" s="353"/>
      <c r="B6" s="353"/>
      <c r="C6" s="353"/>
      <c r="D6" s="353" t="s">
        <v>8085</v>
      </c>
      <c r="E6" s="356" t="s">
        <v>8086</v>
      </c>
      <c r="F6" s="356" t="s">
        <v>229</v>
      </c>
      <c r="G6" s="356" t="s">
        <v>8087</v>
      </c>
      <c r="H6" s="356" t="s">
        <v>8088</v>
      </c>
      <c r="I6" s="356" t="s">
        <v>94</v>
      </c>
      <c r="J6" s="356" t="s">
        <v>8089</v>
      </c>
      <c r="K6" s="356" t="s">
        <v>8090</v>
      </c>
    </row>
    <row r="7" spans="1:11">
      <c r="A7" s="353"/>
      <c r="B7" s="353"/>
      <c r="C7" s="353" t="s">
        <v>8091</v>
      </c>
      <c r="D7" s="353" t="s">
        <v>8092</v>
      </c>
      <c r="E7" s="356" t="s">
        <v>8093</v>
      </c>
      <c r="F7" s="356" t="s">
        <v>229</v>
      </c>
      <c r="G7" s="356" t="s">
        <v>8094</v>
      </c>
      <c r="H7" s="356" t="s">
        <v>8095</v>
      </c>
      <c r="I7" s="356" t="s">
        <v>23</v>
      </c>
      <c r="J7" s="356" t="s">
        <v>8096</v>
      </c>
      <c r="K7" s="356" t="s">
        <v>8097</v>
      </c>
    </row>
    <row r="8" spans="1:11">
      <c r="A8" s="353"/>
      <c r="B8" s="353"/>
      <c r="C8" s="353"/>
      <c r="D8" s="353" t="s">
        <v>8098</v>
      </c>
      <c r="E8" s="356" t="s">
        <v>8099</v>
      </c>
      <c r="F8" s="356" t="s">
        <v>229</v>
      </c>
      <c r="G8" s="356" t="s">
        <v>8100</v>
      </c>
      <c r="H8" s="356" t="s">
        <v>8101</v>
      </c>
      <c r="I8" s="356" t="s">
        <v>94</v>
      </c>
      <c r="J8" s="356" t="s">
        <v>8102</v>
      </c>
      <c r="K8" s="356" t="s">
        <v>8103</v>
      </c>
    </row>
    <row r="9" spans="1:11">
      <c r="A9" s="353"/>
      <c r="B9" s="353"/>
      <c r="C9" s="353"/>
      <c r="D9" s="353" t="s">
        <v>8104</v>
      </c>
      <c r="E9" s="356" t="s">
        <v>8105</v>
      </c>
      <c r="F9" s="356" t="s">
        <v>229</v>
      </c>
      <c r="G9" s="356" t="s">
        <v>8106</v>
      </c>
      <c r="H9" s="356" t="s">
        <v>8107</v>
      </c>
      <c r="I9" s="356" t="s">
        <v>94</v>
      </c>
      <c r="J9" s="356" t="s">
        <v>8108</v>
      </c>
      <c r="K9" s="356" t="s">
        <v>8109</v>
      </c>
    </row>
    <row r="10" spans="1:11">
      <c r="A10" s="353"/>
      <c r="B10" s="353"/>
      <c r="C10" s="353"/>
      <c r="D10" s="353" t="s">
        <v>8110</v>
      </c>
      <c r="E10" s="356" t="s">
        <v>8111</v>
      </c>
      <c r="F10" s="356" t="s">
        <v>425</v>
      </c>
      <c r="G10" s="356" t="s">
        <v>8112</v>
      </c>
      <c r="H10" s="356" t="s">
        <v>8113</v>
      </c>
      <c r="I10" s="356" t="s">
        <v>23</v>
      </c>
      <c r="J10" s="356" t="s">
        <v>8114</v>
      </c>
      <c r="K10" s="356" t="s">
        <v>8115</v>
      </c>
    </row>
    <row r="11" spans="1:11">
      <c r="A11" s="353"/>
      <c r="B11" s="353"/>
      <c r="C11" s="353"/>
      <c r="D11" s="353" t="s">
        <v>8116</v>
      </c>
      <c r="E11" s="356" t="s">
        <v>8117</v>
      </c>
      <c r="F11" s="356" t="s">
        <v>229</v>
      </c>
      <c r="G11" s="356" t="s">
        <v>8118</v>
      </c>
      <c r="H11" s="356" t="s">
        <v>8119</v>
      </c>
      <c r="I11" s="356" t="s">
        <v>94</v>
      </c>
      <c r="J11" s="356" t="s">
        <v>2891</v>
      </c>
      <c r="K11" s="356" t="s">
        <v>8120</v>
      </c>
    </row>
    <row r="12" spans="1:11">
      <c r="A12" s="353"/>
      <c r="B12" s="353"/>
      <c r="C12" s="353" t="s">
        <v>8121</v>
      </c>
      <c r="D12" s="353" t="s">
        <v>8122</v>
      </c>
      <c r="E12" s="356" t="s">
        <v>8123</v>
      </c>
      <c r="F12" s="356" t="s">
        <v>229</v>
      </c>
      <c r="G12" s="356" t="s">
        <v>8124</v>
      </c>
      <c r="H12" s="356" t="s">
        <v>8125</v>
      </c>
      <c r="I12" s="356" t="s">
        <v>94</v>
      </c>
      <c r="J12" s="356" t="s">
        <v>8126</v>
      </c>
      <c r="K12" s="356" t="s">
        <v>8127</v>
      </c>
    </row>
    <row r="13" spans="1:11">
      <c r="A13" s="353"/>
      <c r="B13" s="353"/>
      <c r="C13" s="353"/>
      <c r="D13" s="353" t="s">
        <v>8128</v>
      </c>
      <c r="E13" s="356" t="s">
        <v>8129</v>
      </c>
      <c r="F13" s="356" t="s">
        <v>229</v>
      </c>
      <c r="G13" s="356" t="s">
        <v>8130</v>
      </c>
      <c r="H13" s="356" t="s">
        <v>8131</v>
      </c>
      <c r="I13" s="356" t="s">
        <v>94</v>
      </c>
      <c r="J13" s="356" t="s">
        <v>8132</v>
      </c>
      <c r="K13" s="356" t="s">
        <v>8133</v>
      </c>
    </row>
    <row r="14" spans="1:11">
      <c r="A14" s="353"/>
      <c r="B14" s="353"/>
      <c r="C14" s="353"/>
      <c r="D14" s="353" t="s">
        <v>8134</v>
      </c>
      <c r="E14" s="356" t="s">
        <v>8135</v>
      </c>
      <c r="F14" s="356" t="s">
        <v>229</v>
      </c>
      <c r="G14" s="356" t="s">
        <v>8136</v>
      </c>
      <c r="H14" s="356" t="s">
        <v>8137</v>
      </c>
      <c r="I14" s="356" t="s">
        <v>23</v>
      </c>
      <c r="J14" s="356" t="s">
        <v>8138</v>
      </c>
      <c r="K14" s="356" t="s">
        <v>8139</v>
      </c>
    </row>
    <row r="15" spans="1:11">
      <c r="A15" s="353"/>
      <c r="B15" s="353"/>
      <c r="C15" s="353"/>
      <c r="D15" s="353" t="s">
        <v>8140</v>
      </c>
      <c r="E15" s="356" t="s">
        <v>8141</v>
      </c>
      <c r="F15" s="356" t="s">
        <v>20</v>
      </c>
      <c r="G15" s="356" t="s">
        <v>8142</v>
      </c>
      <c r="H15" s="356" t="s">
        <v>8143</v>
      </c>
      <c r="I15" s="356" t="s">
        <v>23</v>
      </c>
      <c r="J15" s="356" t="s">
        <v>8144</v>
      </c>
      <c r="K15" s="356" t="s">
        <v>8145</v>
      </c>
    </row>
    <row r="16" spans="1:11">
      <c r="A16" s="353"/>
      <c r="B16" s="353"/>
      <c r="C16" s="353"/>
      <c r="D16" s="353" t="s">
        <v>8146</v>
      </c>
      <c r="E16" s="356" t="s">
        <v>8147</v>
      </c>
      <c r="F16" s="356" t="s">
        <v>20</v>
      </c>
      <c r="G16" s="356" t="s">
        <v>8148</v>
      </c>
      <c r="H16" s="356" t="s">
        <v>3298</v>
      </c>
      <c r="I16" s="356" t="s">
        <v>94</v>
      </c>
      <c r="J16" s="356" t="s">
        <v>8149</v>
      </c>
      <c r="K16" s="356" t="s">
        <v>8150</v>
      </c>
    </row>
    <row r="17" spans="1:11">
      <c r="A17" s="353"/>
      <c r="B17" s="353"/>
      <c r="C17" s="353" t="s">
        <v>8151</v>
      </c>
      <c r="D17" s="353" t="s">
        <v>8152</v>
      </c>
      <c r="E17" s="356" t="s">
        <v>8153</v>
      </c>
      <c r="F17" s="356" t="s">
        <v>20</v>
      </c>
      <c r="G17" s="356" t="s">
        <v>8154</v>
      </c>
      <c r="H17" s="356" t="s">
        <v>8155</v>
      </c>
      <c r="I17" s="356" t="s">
        <v>94</v>
      </c>
      <c r="J17" s="356" t="s">
        <v>8156</v>
      </c>
      <c r="K17" s="356" t="s">
        <v>8157</v>
      </c>
    </row>
    <row r="18" spans="1:11">
      <c r="A18" s="353"/>
      <c r="B18" s="353"/>
      <c r="C18" s="353"/>
      <c r="D18" s="353" t="s">
        <v>8158</v>
      </c>
      <c r="E18" s="356" t="s">
        <v>8159</v>
      </c>
      <c r="F18" s="356" t="s">
        <v>425</v>
      </c>
      <c r="G18" s="356" t="s">
        <v>8160</v>
      </c>
      <c r="H18" s="356" t="s">
        <v>8161</v>
      </c>
      <c r="I18" s="356" t="s">
        <v>23</v>
      </c>
      <c r="J18" s="356" t="s">
        <v>8162</v>
      </c>
      <c r="K18" s="356" t="s">
        <v>8163</v>
      </c>
    </row>
    <row r="19" spans="1:11">
      <c r="A19" s="353"/>
      <c r="B19" s="353"/>
      <c r="C19" s="353"/>
      <c r="D19" s="353" t="s">
        <v>8164</v>
      </c>
      <c r="E19" s="356" t="s">
        <v>8165</v>
      </c>
      <c r="F19" s="356" t="s">
        <v>20</v>
      </c>
      <c r="G19" s="356" t="s">
        <v>8166</v>
      </c>
      <c r="H19" s="356" t="s">
        <v>8167</v>
      </c>
      <c r="I19" s="356" t="s">
        <v>23</v>
      </c>
      <c r="J19" s="356" t="s">
        <v>2657</v>
      </c>
      <c r="K19" s="356" t="s">
        <v>8168</v>
      </c>
    </row>
    <row r="20" spans="1:11">
      <c r="A20" s="353"/>
      <c r="B20" s="353"/>
      <c r="C20" s="353"/>
      <c r="D20" s="353" t="s">
        <v>8169</v>
      </c>
      <c r="E20" s="356" t="s">
        <v>8170</v>
      </c>
      <c r="F20" s="356" t="s">
        <v>229</v>
      </c>
      <c r="G20" s="356" t="s">
        <v>8171</v>
      </c>
      <c r="H20" s="356" t="s">
        <v>8172</v>
      </c>
      <c r="I20" s="356" t="s">
        <v>94</v>
      </c>
      <c r="J20" s="356" t="s">
        <v>8173</v>
      </c>
      <c r="K20" s="356" t="s">
        <v>8174</v>
      </c>
    </row>
    <row r="21" spans="1:11">
      <c r="A21" s="353"/>
      <c r="B21" s="353"/>
      <c r="C21" s="353"/>
      <c r="D21" s="353" t="s">
        <v>8175</v>
      </c>
      <c r="E21" s="356" t="s">
        <v>8176</v>
      </c>
      <c r="F21" s="356" t="s">
        <v>425</v>
      </c>
      <c r="G21" s="356" t="s">
        <v>8177</v>
      </c>
      <c r="H21" s="356" t="s">
        <v>8178</v>
      </c>
      <c r="I21" s="356" t="s">
        <v>23</v>
      </c>
      <c r="J21" s="356" t="s">
        <v>8179</v>
      </c>
      <c r="K21" s="356" t="s">
        <v>8180</v>
      </c>
    </row>
    <row r="22" spans="1:11">
      <c r="A22" s="353"/>
      <c r="B22" s="353"/>
      <c r="C22" s="353" t="s">
        <v>8181</v>
      </c>
      <c r="D22" s="353" t="s">
        <v>8182</v>
      </c>
      <c r="E22" s="356" t="s">
        <v>8183</v>
      </c>
      <c r="F22" s="356" t="s">
        <v>229</v>
      </c>
      <c r="G22" s="356" t="s">
        <v>8184</v>
      </c>
      <c r="H22" s="356" t="s">
        <v>8185</v>
      </c>
      <c r="I22" s="356" t="s">
        <v>23</v>
      </c>
      <c r="J22" s="356" t="s">
        <v>8186</v>
      </c>
      <c r="K22" s="356" t="s">
        <v>8187</v>
      </c>
    </row>
    <row r="23" spans="1:11">
      <c r="A23" s="353"/>
      <c r="B23" s="353"/>
      <c r="C23" s="353"/>
      <c r="D23" s="353" t="s">
        <v>8188</v>
      </c>
      <c r="E23" s="356" t="s">
        <v>8189</v>
      </c>
      <c r="F23" s="356" t="s">
        <v>229</v>
      </c>
      <c r="G23" s="356" t="s">
        <v>8190</v>
      </c>
      <c r="H23" s="356" t="s">
        <v>8191</v>
      </c>
      <c r="I23" s="356" t="s">
        <v>23</v>
      </c>
      <c r="J23" s="356" t="s">
        <v>8192</v>
      </c>
      <c r="K23" s="356" t="s">
        <v>8193</v>
      </c>
    </row>
    <row r="24" spans="1:11">
      <c r="A24" s="353"/>
      <c r="B24" s="353"/>
      <c r="C24" s="353"/>
      <c r="D24" s="353" t="s">
        <v>8194</v>
      </c>
      <c r="E24" s="356" t="s">
        <v>8195</v>
      </c>
      <c r="F24" s="356" t="s">
        <v>229</v>
      </c>
      <c r="G24" s="356" t="s">
        <v>8196</v>
      </c>
      <c r="H24" s="356" t="s">
        <v>8197</v>
      </c>
      <c r="I24" s="356" t="s">
        <v>23</v>
      </c>
      <c r="J24" s="356" t="s">
        <v>8198</v>
      </c>
      <c r="K24" s="356" t="s">
        <v>8199</v>
      </c>
    </row>
    <row r="25" spans="1:11">
      <c r="A25" s="353"/>
      <c r="B25" s="353"/>
      <c r="C25" s="353"/>
      <c r="D25" s="353" t="s">
        <v>8200</v>
      </c>
      <c r="E25" s="356" t="s">
        <v>8201</v>
      </c>
      <c r="F25" s="356" t="s">
        <v>20</v>
      </c>
      <c r="G25" s="356" t="s">
        <v>3432</v>
      </c>
      <c r="H25" s="356" t="s">
        <v>8202</v>
      </c>
      <c r="I25" s="356" t="s">
        <v>94</v>
      </c>
      <c r="J25" s="356" t="s">
        <v>8203</v>
      </c>
      <c r="K25" s="356" t="s">
        <v>8204</v>
      </c>
    </row>
    <row r="26" spans="1:11">
      <c r="A26" s="353"/>
      <c r="B26" s="353"/>
      <c r="C26" s="353"/>
      <c r="D26" s="353" t="s">
        <v>8205</v>
      </c>
      <c r="E26" s="356" t="s">
        <v>8206</v>
      </c>
      <c r="F26" s="356" t="s">
        <v>20</v>
      </c>
      <c r="G26" s="356" t="s">
        <v>8207</v>
      </c>
      <c r="H26" s="356" t="s">
        <v>8208</v>
      </c>
      <c r="I26" s="356" t="s">
        <v>23</v>
      </c>
      <c r="J26" s="356" t="s">
        <v>8209</v>
      </c>
      <c r="K26" s="356" t="s">
        <v>8210</v>
      </c>
    </row>
    <row r="27" spans="1:11">
      <c r="A27" s="353"/>
      <c r="B27" s="353"/>
      <c r="C27" s="353" t="s">
        <v>8211</v>
      </c>
      <c r="D27" s="353" t="s">
        <v>8212</v>
      </c>
      <c r="E27" s="356" t="s">
        <v>8213</v>
      </c>
      <c r="F27" s="356" t="s">
        <v>20</v>
      </c>
      <c r="G27" s="356" t="s">
        <v>8214</v>
      </c>
      <c r="H27" s="356" t="s">
        <v>8215</v>
      </c>
      <c r="I27" s="356" t="s">
        <v>94</v>
      </c>
      <c r="J27" s="356" t="s">
        <v>8216</v>
      </c>
      <c r="K27" s="356" t="s">
        <v>8217</v>
      </c>
    </row>
    <row r="28" spans="1:11">
      <c r="A28" s="353"/>
      <c r="B28" s="353"/>
      <c r="C28" s="353"/>
      <c r="D28" s="353" t="s">
        <v>8218</v>
      </c>
      <c r="E28" s="356" t="s">
        <v>8219</v>
      </c>
      <c r="F28" s="356" t="s">
        <v>20</v>
      </c>
      <c r="G28" s="356" t="s">
        <v>8220</v>
      </c>
      <c r="H28" s="356" t="s">
        <v>8221</v>
      </c>
      <c r="I28" s="356" t="s">
        <v>94</v>
      </c>
      <c r="J28" s="356" t="s">
        <v>8222</v>
      </c>
      <c r="K28" s="356" t="s">
        <v>8223</v>
      </c>
    </row>
    <row r="29" spans="1:11">
      <c r="A29" s="353"/>
      <c r="B29" s="353"/>
      <c r="C29" s="353"/>
      <c r="D29" s="353" t="s">
        <v>8224</v>
      </c>
      <c r="E29" s="356" t="s">
        <v>8225</v>
      </c>
      <c r="F29" s="356" t="s">
        <v>20</v>
      </c>
      <c r="G29" s="356" t="s">
        <v>8226</v>
      </c>
      <c r="H29" s="356" t="s">
        <v>8227</v>
      </c>
      <c r="I29" s="356" t="s">
        <v>23</v>
      </c>
      <c r="J29" s="356" t="s">
        <v>8228</v>
      </c>
      <c r="K29" s="356" t="s">
        <v>8229</v>
      </c>
    </row>
    <row r="30" spans="1:11">
      <c r="A30" s="353"/>
      <c r="B30" s="353"/>
      <c r="C30" s="353"/>
      <c r="D30" s="353" t="s">
        <v>8230</v>
      </c>
      <c r="E30" s="356" t="s">
        <v>8231</v>
      </c>
      <c r="F30" s="356" t="s">
        <v>229</v>
      </c>
      <c r="G30" s="356" t="s">
        <v>8232</v>
      </c>
      <c r="H30" s="356" t="s">
        <v>8233</v>
      </c>
      <c r="I30" s="356" t="s">
        <v>94</v>
      </c>
      <c r="J30" s="356" t="s">
        <v>3934</v>
      </c>
      <c r="K30" s="356" t="s">
        <v>8234</v>
      </c>
    </row>
    <row r="31" spans="1:11">
      <c r="A31" s="353"/>
      <c r="B31" s="353"/>
      <c r="C31" s="353"/>
      <c r="D31" s="353" t="s">
        <v>8235</v>
      </c>
      <c r="E31" s="356" t="s">
        <v>8236</v>
      </c>
      <c r="F31" s="356" t="s">
        <v>229</v>
      </c>
      <c r="G31" s="356" t="s">
        <v>8237</v>
      </c>
      <c r="H31" s="356" t="s">
        <v>3559</v>
      </c>
      <c r="I31" s="356" t="s">
        <v>94</v>
      </c>
      <c r="J31" s="356" t="s">
        <v>8238</v>
      </c>
      <c r="K31" s="356" t="s">
        <v>8239</v>
      </c>
    </row>
    <row r="32" spans="1:11">
      <c r="A32" s="353"/>
      <c r="B32" s="353"/>
      <c r="C32" s="353" t="s">
        <v>8240</v>
      </c>
      <c r="D32" s="353" t="s">
        <v>8241</v>
      </c>
      <c r="E32" s="356" t="s">
        <v>8242</v>
      </c>
      <c r="F32" s="356" t="s">
        <v>229</v>
      </c>
      <c r="G32" s="356" t="s">
        <v>8243</v>
      </c>
      <c r="H32" s="356" t="s">
        <v>8244</v>
      </c>
      <c r="I32" s="356" t="s">
        <v>94</v>
      </c>
      <c r="J32" s="356" t="s">
        <v>8071</v>
      </c>
      <c r="K32" s="356" t="s">
        <v>8245</v>
      </c>
    </row>
    <row r="33" spans="1:11">
      <c r="A33" s="353"/>
      <c r="B33" s="353"/>
      <c r="C33" s="353"/>
      <c r="D33" s="353" t="s">
        <v>8246</v>
      </c>
      <c r="E33" s="356" t="s">
        <v>8247</v>
      </c>
      <c r="F33" s="356" t="s">
        <v>229</v>
      </c>
      <c r="G33" s="356" t="s">
        <v>8248</v>
      </c>
      <c r="H33" s="356" t="s">
        <v>8249</v>
      </c>
      <c r="I33" s="356" t="s">
        <v>23</v>
      </c>
      <c r="J33" s="356" t="s">
        <v>3089</v>
      </c>
      <c r="K33" s="356" t="s">
        <v>8250</v>
      </c>
    </row>
    <row r="34" spans="1:11">
      <c r="A34" s="353"/>
      <c r="B34" s="353"/>
      <c r="C34" s="353"/>
      <c r="D34" s="353" t="s">
        <v>8251</v>
      </c>
      <c r="E34" s="356" t="s">
        <v>8252</v>
      </c>
      <c r="F34" s="356" t="s">
        <v>425</v>
      </c>
      <c r="G34" s="356" t="s">
        <v>8253</v>
      </c>
      <c r="H34" s="356" t="s">
        <v>8254</v>
      </c>
      <c r="I34" s="356" t="s">
        <v>23</v>
      </c>
      <c r="J34" s="356" t="s">
        <v>8255</v>
      </c>
      <c r="K34" s="356" t="s">
        <v>8256</v>
      </c>
    </row>
    <row r="35" spans="1:11">
      <c r="A35" s="353"/>
      <c r="B35" s="353"/>
      <c r="C35" s="353"/>
      <c r="D35" s="353" t="s">
        <v>8257</v>
      </c>
      <c r="E35" s="356" t="s">
        <v>8258</v>
      </c>
      <c r="F35" s="356" t="s">
        <v>229</v>
      </c>
      <c r="G35" s="356" t="s">
        <v>8259</v>
      </c>
      <c r="H35" s="356" t="s">
        <v>8260</v>
      </c>
      <c r="I35" s="356" t="s">
        <v>94</v>
      </c>
      <c r="J35" s="356" t="s">
        <v>8261</v>
      </c>
      <c r="K35" s="356" t="s">
        <v>8262</v>
      </c>
    </row>
    <row r="36" spans="1:11">
      <c r="A36" s="353"/>
      <c r="B36" s="353"/>
      <c r="C36" s="353"/>
      <c r="D36" s="353" t="s">
        <v>8263</v>
      </c>
      <c r="E36" s="356" t="s">
        <v>8264</v>
      </c>
      <c r="F36" s="356" t="s">
        <v>229</v>
      </c>
      <c r="G36" s="356" t="s">
        <v>8265</v>
      </c>
      <c r="H36" s="356" t="s">
        <v>8266</v>
      </c>
      <c r="I36" s="356" t="s">
        <v>94</v>
      </c>
      <c r="J36" s="356" t="s">
        <v>8267</v>
      </c>
      <c r="K36" s="356" t="s">
        <v>8268</v>
      </c>
    </row>
    <row r="37" spans="1:11">
      <c r="A37" s="353"/>
      <c r="B37" s="353"/>
      <c r="C37" s="353" t="s">
        <v>8269</v>
      </c>
      <c r="D37" s="353" t="s">
        <v>8270</v>
      </c>
      <c r="E37" s="356" t="s">
        <v>8271</v>
      </c>
      <c r="F37" s="356" t="s">
        <v>229</v>
      </c>
      <c r="G37" s="356" t="s">
        <v>8272</v>
      </c>
      <c r="H37" s="356" t="s">
        <v>8273</v>
      </c>
      <c r="I37" s="356" t="s">
        <v>23</v>
      </c>
      <c r="J37" s="356" t="s">
        <v>8274</v>
      </c>
      <c r="K37" s="356" t="s">
        <v>8275</v>
      </c>
    </row>
    <row r="38" spans="1:11">
      <c r="A38" s="353"/>
      <c r="B38" s="353"/>
      <c r="C38" s="353"/>
      <c r="D38" s="353" t="s">
        <v>8276</v>
      </c>
      <c r="E38" s="356" t="s">
        <v>8277</v>
      </c>
      <c r="F38" s="356" t="s">
        <v>229</v>
      </c>
      <c r="G38" s="356" t="s">
        <v>8278</v>
      </c>
      <c r="H38" s="356" t="s">
        <v>8279</v>
      </c>
      <c r="I38" s="356" t="s">
        <v>23</v>
      </c>
      <c r="J38" s="356" t="s">
        <v>8280</v>
      </c>
      <c r="K38" s="356" t="s">
        <v>8281</v>
      </c>
    </row>
    <row r="39" spans="1:11">
      <c r="A39" s="353"/>
      <c r="B39" s="353"/>
      <c r="C39" s="353"/>
      <c r="D39" s="353" t="s">
        <v>8282</v>
      </c>
      <c r="E39" s="356" t="s">
        <v>8283</v>
      </c>
      <c r="F39" s="356" t="s">
        <v>20</v>
      </c>
      <c r="G39" s="356" t="s">
        <v>8284</v>
      </c>
      <c r="H39" s="356" t="s">
        <v>8285</v>
      </c>
      <c r="I39" s="356" t="s">
        <v>94</v>
      </c>
      <c r="J39" s="356" t="s">
        <v>8286</v>
      </c>
      <c r="K39" s="356" t="s">
        <v>8287</v>
      </c>
    </row>
    <row r="40" spans="1:11">
      <c r="A40" s="353"/>
      <c r="B40" s="353"/>
      <c r="C40" s="353"/>
      <c r="D40" s="353" t="s">
        <v>8288</v>
      </c>
      <c r="E40" s="356" t="s">
        <v>8289</v>
      </c>
      <c r="F40" s="356" t="s">
        <v>20</v>
      </c>
      <c r="G40" s="356" t="s">
        <v>8290</v>
      </c>
      <c r="H40" s="356" t="s">
        <v>8291</v>
      </c>
      <c r="I40" s="356" t="s">
        <v>23</v>
      </c>
      <c r="J40" s="356" t="s">
        <v>8292</v>
      </c>
      <c r="K40" s="356" t="s">
        <v>8293</v>
      </c>
    </row>
    <row r="41" spans="1:11">
      <c r="A41" s="353"/>
      <c r="B41" s="353"/>
      <c r="C41" s="353"/>
      <c r="D41" s="353" t="s">
        <v>8294</v>
      </c>
      <c r="E41" s="356" t="s">
        <v>8295</v>
      </c>
      <c r="F41" s="356" t="s">
        <v>20</v>
      </c>
      <c r="G41" s="356" t="s">
        <v>8296</v>
      </c>
      <c r="H41" s="356" t="s">
        <v>8297</v>
      </c>
      <c r="I41" s="356" t="s">
        <v>94</v>
      </c>
      <c r="J41" s="356" t="s">
        <v>8298</v>
      </c>
      <c r="K41" s="356" t="s">
        <v>8299</v>
      </c>
    </row>
    <row r="42" spans="1:11" ht="15" customHeight="1">
      <c r="A42" s="353"/>
      <c r="B42" s="353"/>
      <c r="C42" s="353" t="s">
        <v>8300</v>
      </c>
      <c r="D42" s="353" t="s">
        <v>8301</v>
      </c>
      <c r="E42" s="356" t="s">
        <v>8302</v>
      </c>
      <c r="F42" s="356" t="s">
        <v>425</v>
      </c>
      <c r="G42" s="356" t="s">
        <v>8303</v>
      </c>
      <c r="H42" s="356" t="s">
        <v>8304</v>
      </c>
      <c r="I42" s="356" t="s">
        <v>23</v>
      </c>
      <c r="J42" s="356" t="s">
        <v>8305</v>
      </c>
      <c r="K42" s="356" t="s">
        <v>8306</v>
      </c>
    </row>
    <row r="43" spans="1:11">
      <c r="A43" s="353"/>
      <c r="B43" s="353"/>
      <c r="C43" s="353"/>
      <c r="D43" s="353" t="s">
        <v>8307</v>
      </c>
      <c r="E43" s="356" t="s">
        <v>8308</v>
      </c>
      <c r="F43" s="356" t="s">
        <v>20</v>
      </c>
      <c r="G43" s="356" t="s">
        <v>8309</v>
      </c>
      <c r="H43" s="356" t="s">
        <v>8310</v>
      </c>
      <c r="I43" s="356" t="s">
        <v>23</v>
      </c>
      <c r="J43" s="356" t="s">
        <v>8311</v>
      </c>
      <c r="K43" s="356" t="s">
        <v>8312</v>
      </c>
    </row>
    <row r="44" spans="1:11">
      <c r="A44" s="353"/>
      <c r="B44" s="353"/>
      <c r="C44" s="353"/>
      <c r="D44" s="353" t="s">
        <v>8313</v>
      </c>
      <c r="E44" s="356" t="s">
        <v>8314</v>
      </c>
      <c r="F44" s="356" t="s">
        <v>229</v>
      </c>
      <c r="G44" s="356" t="s">
        <v>8315</v>
      </c>
      <c r="H44" s="356" t="s">
        <v>8316</v>
      </c>
      <c r="I44" s="356" t="s">
        <v>94</v>
      </c>
      <c r="J44" s="356" t="s">
        <v>8317</v>
      </c>
      <c r="K44" s="356" t="s">
        <v>8318</v>
      </c>
    </row>
    <row r="45" spans="1:11">
      <c r="A45" s="353"/>
      <c r="B45" s="353"/>
      <c r="C45" s="353"/>
      <c r="D45" s="353" t="s">
        <v>8319</v>
      </c>
      <c r="E45" s="356" t="s">
        <v>8320</v>
      </c>
      <c r="F45" s="356" t="s">
        <v>425</v>
      </c>
      <c r="G45" s="356" t="s">
        <v>8321</v>
      </c>
      <c r="H45" s="356" t="s">
        <v>8322</v>
      </c>
      <c r="I45" s="356" t="s">
        <v>23</v>
      </c>
      <c r="J45" s="356" t="s">
        <v>8323</v>
      </c>
      <c r="K45" s="356" t="s">
        <v>8324</v>
      </c>
    </row>
    <row r="46" spans="1:11">
      <c r="A46" s="353"/>
      <c r="B46" s="353"/>
      <c r="C46" s="353"/>
      <c r="D46" s="353" t="s">
        <v>8325</v>
      </c>
      <c r="E46" s="356" t="s">
        <v>8326</v>
      </c>
      <c r="F46" s="356" t="s">
        <v>425</v>
      </c>
      <c r="G46" s="356" t="s">
        <v>8327</v>
      </c>
      <c r="H46" s="356" t="s">
        <v>8328</v>
      </c>
      <c r="I46" s="356" t="s">
        <v>23</v>
      </c>
      <c r="J46" s="356" t="s">
        <v>8329</v>
      </c>
      <c r="K46" s="356" t="s">
        <v>8330</v>
      </c>
    </row>
    <row r="47" spans="1:11">
      <c r="A47" s="353"/>
      <c r="B47" s="353"/>
      <c r="C47" s="353" t="s">
        <v>8331</v>
      </c>
      <c r="D47" s="353" t="s">
        <v>8332</v>
      </c>
      <c r="E47" s="356" t="s">
        <v>8333</v>
      </c>
      <c r="F47" s="356" t="s">
        <v>425</v>
      </c>
      <c r="G47" s="356" t="s">
        <v>8334</v>
      </c>
      <c r="H47" s="356" t="s">
        <v>8335</v>
      </c>
      <c r="I47" s="356" t="s">
        <v>23</v>
      </c>
      <c r="J47" s="356" t="s">
        <v>8336</v>
      </c>
      <c r="K47" s="356" t="s">
        <v>8337</v>
      </c>
    </row>
    <row r="48" spans="1:11">
      <c r="A48" s="353"/>
      <c r="B48" s="353"/>
      <c r="C48" s="353"/>
      <c r="D48" s="353" t="s">
        <v>8338</v>
      </c>
      <c r="E48" s="356" t="s">
        <v>8339</v>
      </c>
      <c r="F48" s="356" t="s">
        <v>229</v>
      </c>
      <c r="G48" s="356" t="s">
        <v>8340</v>
      </c>
      <c r="H48" s="356" t="s">
        <v>8341</v>
      </c>
      <c r="I48" s="356" t="s">
        <v>23</v>
      </c>
      <c r="J48" s="356" t="s">
        <v>8342</v>
      </c>
      <c r="K48" s="356" t="s">
        <v>8343</v>
      </c>
    </row>
    <row r="49" spans="1:11">
      <c r="A49" s="353"/>
      <c r="B49" s="353"/>
      <c r="C49" s="353"/>
      <c r="D49" s="353" t="s">
        <v>8344</v>
      </c>
      <c r="E49" s="356" t="s">
        <v>8345</v>
      </c>
      <c r="F49" s="356" t="s">
        <v>229</v>
      </c>
      <c r="G49" s="356" t="s">
        <v>8346</v>
      </c>
      <c r="H49" s="356" t="s">
        <v>8347</v>
      </c>
      <c r="I49" s="356" t="s">
        <v>94</v>
      </c>
      <c r="J49" s="356" t="s">
        <v>8348</v>
      </c>
      <c r="K49" s="356" t="s">
        <v>8349</v>
      </c>
    </row>
    <row r="50" spans="1:11">
      <c r="A50" s="353"/>
      <c r="B50" s="353"/>
      <c r="C50" s="353"/>
      <c r="D50" s="353" t="s">
        <v>8350</v>
      </c>
      <c r="E50" s="356" t="s">
        <v>8351</v>
      </c>
      <c r="F50" s="356" t="s">
        <v>20</v>
      </c>
      <c r="G50" s="356" t="s">
        <v>8352</v>
      </c>
      <c r="H50" s="356" t="s">
        <v>8353</v>
      </c>
      <c r="I50" s="356" t="s">
        <v>23</v>
      </c>
      <c r="J50" s="356" t="s">
        <v>8354</v>
      </c>
      <c r="K50" s="356" t="s">
        <v>8355</v>
      </c>
    </row>
    <row r="51" spans="1:11" ht="30">
      <c r="A51" s="353"/>
      <c r="B51" s="353"/>
      <c r="C51" s="353"/>
      <c r="D51" s="353" t="s">
        <v>8356</v>
      </c>
      <c r="E51" s="356" t="s">
        <v>8357</v>
      </c>
      <c r="F51" s="356" t="s">
        <v>20</v>
      </c>
      <c r="G51" s="356" t="s">
        <v>8358</v>
      </c>
      <c r="H51" s="356" t="s">
        <v>8359</v>
      </c>
      <c r="I51" s="356" t="s">
        <v>94</v>
      </c>
      <c r="J51" s="356" t="s">
        <v>8360</v>
      </c>
      <c r="K51" s="356" t="s">
        <v>8361</v>
      </c>
    </row>
    <row r="52" spans="1:11">
      <c r="A52" s="353"/>
      <c r="B52" s="353"/>
      <c r="C52" s="353" t="s">
        <v>8362</v>
      </c>
      <c r="D52" s="353" t="s">
        <v>8363</v>
      </c>
      <c r="E52" s="356" t="s">
        <v>8364</v>
      </c>
      <c r="F52" s="356" t="s">
        <v>20</v>
      </c>
      <c r="G52" s="356" t="s">
        <v>8365</v>
      </c>
      <c r="H52" s="356" t="s">
        <v>8366</v>
      </c>
      <c r="I52" s="356" t="s">
        <v>94</v>
      </c>
      <c r="J52" s="356" t="s">
        <v>8367</v>
      </c>
      <c r="K52" s="356" t="s">
        <v>8368</v>
      </c>
    </row>
    <row r="53" spans="1:11">
      <c r="A53" s="353"/>
      <c r="B53" s="353"/>
      <c r="C53" s="353"/>
      <c r="D53" s="353" t="s">
        <v>8369</v>
      </c>
      <c r="E53" s="356" t="s">
        <v>8370</v>
      </c>
      <c r="F53" s="356" t="s">
        <v>20</v>
      </c>
      <c r="G53" s="356" t="s">
        <v>8371</v>
      </c>
      <c r="H53" s="356" t="s">
        <v>8372</v>
      </c>
      <c r="I53" s="356" t="s">
        <v>23</v>
      </c>
      <c r="J53" s="356" t="s">
        <v>8373</v>
      </c>
      <c r="K53" s="356" t="s">
        <v>8374</v>
      </c>
    </row>
    <row r="54" spans="1:11">
      <c r="A54" s="353"/>
      <c r="B54" s="353"/>
      <c r="C54" s="353"/>
      <c r="D54" s="353" t="s">
        <v>8375</v>
      </c>
      <c r="E54" s="356" t="s">
        <v>8376</v>
      </c>
      <c r="F54" s="356" t="s">
        <v>20</v>
      </c>
      <c r="G54" s="356" t="s">
        <v>8377</v>
      </c>
      <c r="H54" s="356" t="s">
        <v>8378</v>
      </c>
      <c r="I54" s="356" t="s">
        <v>94</v>
      </c>
      <c r="J54" s="356" t="s">
        <v>8379</v>
      </c>
      <c r="K54" s="356" t="s">
        <v>8380</v>
      </c>
    </row>
    <row r="55" spans="1:11">
      <c r="A55" s="353"/>
      <c r="B55" s="353"/>
      <c r="C55" s="353"/>
      <c r="D55" s="353" t="s">
        <v>8381</v>
      </c>
      <c r="E55" s="356" t="s">
        <v>8382</v>
      </c>
      <c r="F55" s="356" t="s">
        <v>20</v>
      </c>
      <c r="G55" s="356" t="s">
        <v>8383</v>
      </c>
      <c r="H55" s="356" t="s">
        <v>8384</v>
      </c>
      <c r="I55" s="356" t="s">
        <v>23</v>
      </c>
      <c r="J55" s="356" t="s">
        <v>8385</v>
      </c>
      <c r="K55" s="356" t="s">
        <v>8386</v>
      </c>
    </row>
    <row r="56" spans="1:11">
      <c r="A56" s="353"/>
      <c r="B56" s="353"/>
      <c r="C56" s="353"/>
      <c r="D56" s="353" t="s">
        <v>8387</v>
      </c>
      <c r="E56" s="356" t="s">
        <v>8388</v>
      </c>
      <c r="F56" s="356" t="s">
        <v>20</v>
      </c>
      <c r="G56" s="356" t="s">
        <v>8389</v>
      </c>
      <c r="H56" s="356" t="s">
        <v>8390</v>
      </c>
      <c r="I56" s="356" t="s">
        <v>94</v>
      </c>
      <c r="J56" s="356" t="s">
        <v>8391</v>
      </c>
      <c r="K56" s="356" t="s">
        <v>8392</v>
      </c>
    </row>
    <row r="57" spans="1:11">
      <c r="A57" s="353"/>
      <c r="B57" s="353"/>
      <c r="C57" s="353" t="s">
        <v>8393</v>
      </c>
      <c r="D57" s="353" t="s">
        <v>8394</v>
      </c>
      <c r="E57" s="356" t="s">
        <v>8395</v>
      </c>
      <c r="F57" s="356" t="s">
        <v>20</v>
      </c>
      <c r="G57" s="356" t="s">
        <v>8396</v>
      </c>
      <c r="H57" s="356" t="s">
        <v>8397</v>
      </c>
      <c r="I57" s="356" t="s">
        <v>94</v>
      </c>
      <c r="J57" s="356" t="s">
        <v>8336</v>
      </c>
      <c r="K57" s="356" t="s">
        <v>8398</v>
      </c>
    </row>
    <row r="58" spans="1:11">
      <c r="A58" s="353"/>
      <c r="B58" s="353"/>
      <c r="C58" s="353"/>
      <c r="D58" s="353" t="s">
        <v>8399</v>
      </c>
      <c r="E58" s="356" t="s">
        <v>8400</v>
      </c>
      <c r="F58" s="356" t="s">
        <v>20</v>
      </c>
      <c r="G58" s="356" t="s">
        <v>8401</v>
      </c>
      <c r="H58" s="356" t="s">
        <v>8402</v>
      </c>
      <c r="I58" s="356" t="s">
        <v>23</v>
      </c>
      <c r="J58" s="356" t="s">
        <v>8403</v>
      </c>
      <c r="K58" s="356" t="s">
        <v>8404</v>
      </c>
    </row>
    <row r="59" spans="1:11">
      <c r="A59" s="353"/>
      <c r="B59" s="353"/>
      <c r="C59" s="353"/>
      <c r="D59" s="353" t="s">
        <v>8405</v>
      </c>
      <c r="E59" s="356" t="s">
        <v>8406</v>
      </c>
      <c r="F59" s="356" t="s">
        <v>20</v>
      </c>
      <c r="G59" s="356" t="s">
        <v>8407</v>
      </c>
      <c r="H59" s="356" t="s">
        <v>8408</v>
      </c>
      <c r="I59" s="356" t="s">
        <v>23</v>
      </c>
      <c r="J59" s="356" t="s">
        <v>8409</v>
      </c>
      <c r="K59" s="356" t="s">
        <v>8410</v>
      </c>
    </row>
    <row r="60" spans="1:11">
      <c r="A60" s="353"/>
      <c r="B60" s="353"/>
      <c r="C60" s="353"/>
      <c r="D60" s="353" t="s">
        <v>8411</v>
      </c>
      <c r="E60" s="356" t="s">
        <v>8412</v>
      </c>
      <c r="F60" s="356" t="s">
        <v>229</v>
      </c>
      <c r="G60" s="356" t="s">
        <v>8413</v>
      </c>
      <c r="H60" s="356" t="s">
        <v>8414</v>
      </c>
      <c r="I60" s="356" t="s">
        <v>94</v>
      </c>
      <c r="J60" s="356" t="s">
        <v>8415</v>
      </c>
      <c r="K60" s="356" t="s">
        <v>8416</v>
      </c>
    </row>
    <row r="61" spans="1:11">
      <c r="A61" s="353"/>
      <c r="B61" s="353"/>
      <c r="C61" s="353"/>
      <c r="D61" s="353" t="s">
        <v>8417</v>
      </c>
      <c r="E61" s="356" t="s">
        <v>8418</v>
      </c>
      <c r="F61" s="356" t="s">
        <v>229</v>
      </c>
      <c r="G61" s="356" t="s">
        <v>8419</v>
      </c>
      <c r="H61" s="356" t="s">
        <v>8420</v>
      </c>
      <c r="I61" s="356" t="s">
        <v>23</v>
      </c>
      <c r="J61" s="356" t="s">
        <v>8421</v>
      </c>
      <c r="K61" s="356" t="s">
        <v>8422</v>
      </c>
    </row>
    <row r="62" spans="1:11">
      <c r="A62" s="353"/>
      <c r="B62" s="353"/>
      <c r="C62" s="353" t="s">
        <v>8423</v>
      </c>
      <c r="D62" s="353" t="s">
        <v>8424</v>
      </c>
      <c r="E62" s="356" t="s">
        <v>8425</v>
      </c>
      <c r="F62" s="356" t="s">
        <v>229</v>
      </c>
      <c r="G62" s="356"/>
      <c r="H62" s="356"/>
      <c r="I62" s="356" t="s">
        <v>94</v>
      </c>
      <c r="J62" s="356"/>
      <c r="K62" s="356"/>
    </row>
    <row r="63" spans="1:11">
      <c r="A63" s="353"/>
      <c r="B63" s="353"/>
      <c r="C63" s="353"/>
      <c r="D63" s="353" t="s">
        <v>8426</v>
      </c>
      <c r="E63" s="356" t="s">
        <v>8427</v>
      </c>
      <c r="F63" s="356" t="s">
        <v>20</v>
      </c>
      <c r="G63" s="356"/>
      <c r="H63" s="356"/>
      <c r="I63" s="356" t="s">
        <v>23</v>
      </c>
      <c r="J63" s="356"/>
      <c r="K63" s="356"/>
    </row>
    <row r="64" spans="1:11">
      <c r="A64" s="353"/>
      <c r="B64" s="353"/>
      <c r="C64" s="353"/>
      <c r="D64" s="353" t="s">
        <v>8428</v>
      </c>
      <c r="E64" s="356" t="s">
        <v>8429</v>
      </c>
      <c r="F64" s="356" t="s">
        <v>20</v>
      </c>
      <c r="G64" s="356"/>
      <c r="H64" s="356"/>
      <c r="I64" s="356" t="s">
        <v>23</v>
      </c>
      <c r="J64" s="356"/>
      <c r="K64" s="356"/>
    </row>
    <row r="65" spans="1:11">
      <c r="A65" s="353"/>
      <c r="B65" s="353"/>
      <c r="C65" s="353"/>
      <c r="D65" s="353" t="s">
        <v>8430</v>
      </c>
      <c r="E65" s="356" t="s">
        <v>8431</v>
      </c>
      <c r="F65" s="356" t="s">
        <v>20</v>
      </c>
      <c r="G65" s="356"/>
      <c r="H65" s="356"/>
      <c r="I65" s="356" t="s">
        <v>94</v>
      </c>
      <c r="J65" s="356"/>
      <c r="K65" s="356"/>
    </row>
    <row r="66" spans="1:11">
      <c r="A66" s="353"/>
      <c r="B66" s="353"/>
      <c r="C66" s="353"/>
      <c r="D66" s="353" t="s">
        <v>8432</v>
      </c>
      <c r="E66" s="356" t="s">
        <v>8433</v>
      </c>
      <c r="F66" s="356" t="s">
        <v>20</v>
      </c>
      <c r="G66" s="356"/>
      <c r="H66" s="356"/>
      <c r="I66" s="356" t="s">
        <v>23</v>
      </c>
      <c r="J66" s="356"/>
      <c r="K66" s="356"/>
    </row>
    <row r="67" spans="1:11">
      <c r="A67" s="353"/>
      <c r="B67" s="353"/>
      <c r="C67" s="353" t="s">
        <v>8434</v>
      </c>
      <c r="D67" s="353" t="s">
        <v>8435</v>
      </c>
      <c r="E67" s="356" t="s">
        <v>8436</v>
      </c>
      <c r="F67" s="356" t="s">
        <v>229</v>
      </c>
      <c r="G67" s="356" t="s">
        <v>8437</v>
      </c>
      <c r="H67" s="356" t="s">
        <v>8438</v>
      </c>
      <c r="I67" s="356" t="s">
        <v>23</v>
      </c>
      <c r="J67" s="356" t="s">
        <v>8439</v>
      </c>
      <c r="K67" s="356" t="s">
        <v>8440</v>
      </c>
    </row>
    <row r="68" spans="1:11">
      <c r="A68" s="353"/>
      <c r="B68" s="353"/>
      <c r="C68" s="353"/>
      <c r="D68" s="353" t="s">
        <v>8441</v>
      </c>
      <c r="E68" s="356" t="s">
        <v>8442</v>
      </c>
      <c r="F68" s="356" t="s">
        <v>229</v>
      </c>
      <c r="G68" s="356" t="s">
        <v>8443</v>
      </c>
      <c r="H68" s="356" t="s">
        <v>8444</v>
      </c>
      <c r="I68" s="356" t="s">
        <v>23</v>
      </c>
      <c r="J68" s="356" t="s">
        <v>8445</v>
      </c>
      <c r="K68" s="356" t="s">
        <v>8446</v>
      </c>
    </row>
    <row r="69" spans="1:11">
      <c r="A69" s="353"/>
      <c r="B69" s="353"/>
      <c r="C69" s="353"/>
      <c r="D69" s="353" t="s">
        <v>8447</v>
      </c>
      <c r="E69" s="356" t="s">
        <v>8448</v>
      </c>
      <c r="F69" s="356" t="s">
        <v>229</v>
      </c>
      <c r="G69" s="356" t="s">
        <v>8449</v>
      </c>
      <c r="H69" s="356" t="s">
        <v>8450</v>
      </c>
      <c r="I69" s="356" t="s">
        <v>23</v>
      </c>
      <c r="J69" s="356" t="s">
        <v>8451</v>
      </c>
      <c r="K69" s="356" t="s">
        <v>8452</v>
      </c>
    </row>
    <row r="70" spans="1:11">
      <c r="A70" s="353"/>
      <c r="B70" s="353"/>
      <c r="C70" s="353"/>
      <c r="D70" s="353" t="s">
        <v>8453</v>
      </c>
      <c r="E70" s="356" t="s">
        <v>8454</v>
      </c>
      <c r="F70" s="356" t="s">
        <v>229</v>
      </c>
      <c r="G70" s="356" t="s">
        <v>8455</v>
      </c>
      <c r="H70" s="356" t="s">
        <v>8341</v>
      </c>
      <c r="I70" s="356" t="s">
        <v>94</v>
      </c>
      <c r="J70" s="356" t="s">
        <v>8456</v>
      </c>
      <c r="K70" s="356" t="s">
        <v>8457</v>
      </c>
    </row>
    <row r="71" spans="1:11">
      <c r="A71" s="353"/>
      <c r="B71" s="353"/>
      <c r="C71" s="353"/>
      <c r="D71" s="353" t="s">
        <v>8458</v>
      </c>
      <c r="E71" s="356" t="s">
        <v>8459</v>
      </c>
      <c r="F71" s="356" t="s">
        <v>425</v>
      </c>
      <c r="G71" s="356" t="s">
        <v>8460</v>
      </c>
      <c r="H71" s="356" t="s">
        <v>8461</v>
      </c>
      <c r="I71" s="356" t="s">
        <v>94</v>
      </c>
      <c r="J71" s="356" t="s">
        <v>8385</v>
      </c>
      <c r="K71" s="356" t="s">
        <v>8462</v>
      </c>
    </row>
    <row r="72" spans="1:11">
      <c r="A72" s="353"/>
      <c r="B72" s="353"/>
      <c r="C72" s="353" t="s">
        <v>8463</v>
      </c>
      <c r="D72" s="353" t="s">
        <v>8464</v>
      </c>
      <c r="E72" s="356" t="s">
        <v>8465</v>
      </c>
      <c r="F72" s="356" t="s">
        <v>229</v>
      </c>
      <c r="G72" s="356" t="s">
        <v>8466</v>
      </c>
      <c r="H72" s="356" t="s">
        <v>8467</v>
      </c>
      <c r="I72" s="356" t="s">
        <v>23</v>
      </c>
      <c r="J72" s="356" t="s">
        <v>8468</v>
      </c>
      <c r="K72" s="356" t="s">
        <v>8469</v>
      </c>
    </row>
    <row r="73" spans="1:11">
      <c r="A73" s="353"/>
      <c r="B73" s="353"/>
      <c r="C73" s="353"/>
      <c r="D73" s="353" t="s">
        <v>8470</v>
      </c>
      <c r="E73" s="356" t="s">
        <v>8471</v>
      </c>
      <c r="F73" s="356" t="s">
        <v>229</v>
      </c>
      <c r="G73" s="356" t="s">
        <v>8472</v>
      </c>
      <c r="H73" s="356" t="s">
        <v>8473</v>
      </c>
      <c r="I73" s="356" t="s">
        <v>94</v>
      </c>
      <c r="J73" s="356" t="s">
        <v>8474</v>
      </c>
      <c r="K73" s="356" t="s">
        <v>8475</v>
      </c>
    </row>
    <row r="74" spans="1:11">
      <c r="A74" s="353"/>
      <c r="B74" s="353"/>
      <c r="C74" s="353"/>
      <c r="D74" s="353" t="s">
        <v>8476</v>
      </c>
      <c r="E74" s="356" t="s">
        <v>8477</v>
      </c>
      <c r="F74" s="356" t="s">
        <v>229</v>
      </c>
      <c r="G74" s="356" t="s">
        <v>8478</v>
      </c>
      <c r="H74" s="356" t="s">
        <v>8479</v>
      </c>
      <c r="I74" s="356" t="s">
        <v>23</v>
      </c>
      <c r="J74" s="356" t="s">
        <v>8480</v>
      </c>
      <c r="K74" s="356" t="s">
        <v>8481</v>
      </c>
    </row>
    <row r="75" spans="1:11">
      <c r="A75" s="353"/>
      <c r="B75" s="353"/>
      <c r="C75" s="353"/>
      <c r="D75" s="353" t="s">
        <v>8482</v>
      </c>
      <c r="E75" s="356" t="s">
        <v>8483</v>
      </c>
      <c r="F75" s="356" t="s">
        <v>229</v>
      </c>
      <c r="G75" s="356" t="s">
        <v>8484</v>
      </c>
      <c r="H75" s="356" t="s">
        <v>8485</v>
      </c>
      <c r="I75" s="356" t="s">
        <v>94</v>
      </c>
      <c r="J75" s="356" t="s">
        <v>8486</v>
      </c>
      <c r="K75" s="356" t="s">
        <v>8487</v>
      </c>
    </row>
    <row r="76" spans="1:11">
      <c r="A76" s="353"/>
      <c r="B76" s="353"/>
      <c r="C76" s="353"/>
      <c r="D76" s="353" t="s">
        <v>8488</v>
      </c>
      <c r="E76" s="356" t="s">
        <v>8489</v>
      </c>
      <c r="F76" s="356" t="s">
        <v>20</v>
      </c>
      <c r="G76" s="356" t="s">
        <v>8490</v>
      </c>
      <c r="H76" s="356" t="s">
        <v>8491</v>
      </c>
      <c r="I76" s="356" t="s">
        <v>94</v>
      </c>
      <c r="J76" s="356" t="s">
        <v>8492</v>
      </c>
      <c r="K76" s="356" t="s">
        <v>8493</v>
      </c>
    </row>
    <row r="77" spans="1:11">
      <c r="A77" s="353"/>
      <c r="B77" s="353"/>
      <c r="C77" s="353" t="s">
        <v>8494</v>
      </c>
      <c r="D77" s="353" t="s">
        <v>8495</v>
      </c>
      <c r="E77" s="356" t="s">
        <v>8496</v>
      </c>
      <c r="F77" s="356" t="s">
        <v>20</v>
      </c>
      <c r="G77" s="356" t="s">
        <v>8497</v>
      </c>
      <c r="H77" s="356" t="s">
        <v>8498</v>
      </c>
      <c r="I77" s="356" t="s">
        <v>23</v>
      </c>
      <c r="J77" s="356" t="s">
        <v>8499</v>
      </c>
      <c r="K77" s="356" t="s">
        <v>8500</v>
      </c>
    </row>
    <row r="78" spans="1:11">
      <c r="A78" s="353"/>
      <c r="B78" s="353"/>
      <c r="C78" s="353"/>
      <c r="D78" s="353" t="s">
        <v>8501</v>
      </c>
      <c r="E78" s="356" t="s">
        <v>8502</v>
      </c>
      <c r="F78" s="356" t="s">
        <v>20</v>
      </c>
      <c r="G78" s="356" t="s">
        <v>8503</v>
      </c>
      <c r="H78" s="356" t="s">
        <v>8504</v>
      </c>
      <c r="I78" s="356" t="s">
        <v>94</v>
      </c>
      <c r="J78" s="356" t="s">
        <v>8505</v>
      </c>
      <c r="K78" s="356" t="s">
        <v>8506</v>
      </c>
    </row>
    <row r="79" spans="1:11">
      <c r="A79" s="353"/>
      <c r="B79" s="353"/>
      <c r="C79" s="353"/>
      <c r="D79" s="353" t="s">
        <v>8507</v>
      </c>
      <c r="E79" s="356" t="s">
        <v>8508</v>
      </c>
      <c r="F79" s="356" t="s">
        <v>425</v>
      </c>
      <c r="G79" s="356" t="s">
        <v>8509</v>
      </c>
      <c r="H79" s="356" t="s">
        <v>8510</v>
      </c>
      <c r="I79" s="356" t="s">
        <v>94</v>
      </c>
      <c r="J79" s="356" t="s">
        <v>8474</v>
      </c>
      <c r="K79" s="356" t="s">
        <v>8511</v>
      </c>
    </row>
    <row r="80" spans="1:11">
      <c r="A80" s="353"/>
      <c r="B80" s="353"/>
      <c r="C80" s="353"/>
      <c r="D80" s="353" t="s">
        <v>8512</v>
      </c>
      <c r="E80" s="356" t="s">
        <v>8513</v>
      </c>
      <c r="F80" s="356" t="s">
        <v>20</v>
      </c>
      <c r="G80" s="356" t="s">
        <v>8514</v>
      </c>
      <c r="H80" s="356" t="s">
        <v>8515</v>
      </c>
      <c r="I80" s="356" t="s">
        <v>94</v>
      </c>
      <c r="J80" s="356" t="s">
        <v>8516</v>
      </c>
      <c r="K80" s="356" t="s">
        <v>8517</v>
      </c>
    </row>
    <row r="81" spans="1:11">
      <c r="A81" s="353"/>
      <c r="B81" s="353"/>
      <c r="C81" s="353"/>
      <c r="D81" s="353" t="s">
        <v>8518</v>
      </c>
      <c r="E81" s="356" t="s">
        <v>8519</v>
      </c>
      <c r="F81" s="356" t="s">
        <v>229</v>
      </c>
      <c r="G81" s="356" t="s">
        <v>8520</v>
      </c>
      <c r="H81" s="356" t="s">
        <v>8521</v>
      </c>
      <c r="I81" s="356" t="s">
        <v>23</v>
      </c>
      <c r="J81" s="356" t="s">
        <v>8335</v>
      </c>
      <c r="K81" s="356" t="s">
        <v>8522</v>
      </c>
    </row>
    <row r="82" spans="1:11" ht="15" customHeight="1">
      <c r="A82" s="353"/>
      <c r="B82" s="353"/>
      <c r="C82" s="353" t="s">
        <v>8523</v>
      </c>
      <c r="D82" s="353" t="s">
        <v>8524</v>
      </c>
      <c r="E82" s="356" t="s">
        <v>8525</v>
      </c>
      <c r="F82" s="356" t="s">
        <v>425</v>
      </c>
      <c r="G82" s="356" t="s">
        <v>8526</v>
      </c>
      <c r="H82" s="356" t="s">
        <v>8527</v>
      </c>
      <c r="I82" s="356" t="s">
        <v>23</v>
      </c>
      <c r="J82" s="356" t="s">
        <v>8528</v>
      </c>
      <c r="K82" s="356" t="s">
        <v>8529</v>
      </c>
    </row>
    <row r="83" spans="1:11">
      <c r="A83" s="353"/>
      <c r="B83" s="353"/>
      <c r="C83" s="353"/>
      <c r="D83" s="353" t="s">
        <v>8530</v>
      </c>
      <c r="E83" s="356" t="s">
        <v>8531</v>
      </c>
      <c r="F83" s="356" t="s">
        <v>20</v>
      </c>
      <c r="G83" s="356" t="s">
        <v>8532</v>
      </c>
      <c r="H83" s="356" t="s">
        <v>8533</v>
      </c>
      <c r="I83" s="356" t="s">
        <v>94</v>
      </c>
      <c r="J83" s="356" t="s">
        <v>8534</v>
      </c>
      <c r="K83" s="356" t="s">
        <v>8535</v>
      </c>
    </row>
    <row r="84" spans="1:11">
      <c r="A84" s="353"/>
      <c r="B84" s="353"/>
      <c r="C84" s="353"/>
      <c r="D84" s="353" t="s">
        <v>8536</v>
      </c>
      <c r="E84" s="356" t="s">
        <v>8537</v>
      </c>
      <c r="F84" s="356" t="s">
        <v>425</v>
      </c>
      <c r="G84" s="356" t="s">
        <v>8538</v>
      </c>
      <c r="H84" s="356" t="s">
        <v>8539</v>
      </c>
      <c r="I84" s="356" t="s">
        <v>94</v>
      </c>
      <c r="J84" s="356" t="s">
        <v>8540</v>
      </c>
      <c r="K84" s="356" t="s">
        <v>8541</v>
      </c>
    </row>
    <row r="85" spans="1:11">
      <c r="A85" s="353"/>
      <c r="B85" s="353"/>
      <c r="C85" s="353"/>
      <c r="D85" s="353" t="s">
        <v>8542</v>
      </c>
      <c r="E85" s="356" t="s">
        <v>8543</v>
      </c>
      <c r="F85" s="356" t="s">
        <v>20</v>
      </c>
      <c r="G85" s="356" t="s">
        <v>8544</v>
      </c>
      <c r="H85" s="356" t="s">
        <v>8545</v>
      </c>
      <c r="I85" s="356" t="s">
        <v>23</v>
      </c>
      <c r="J85" s="356" t="s">
        <v>8546</v>
      </c>
      <c r="K85" s="356" t="s">
        <v>8547</v>
      </c>
    </row>
    <row r="86" spans="1:11">
      <c r="A86" s="353"/>
      <c r="B86" s="353"/>
      <c r="C86" s="353"/>
      <c r="D86" s="353" t="s">
        <v>8548</v>
      </c>
      <c r="E86" s="356" t="s">
        <v>8549</v>
      </c>
      <c r="F86" s="356" t="s">
        <v>229</v>
      </c>
      <c r="G86" s="356" t="s">
        <v>8550</v>
      </c>
      <c r="H86" s="356" t="s">
        <v>8551</v>
      </c>
      <c r="I86" s="356" t="s">
        <v>23</v>
      </c>
      <c r="J86" s="356" t="s">
        <v>8552</v>
      </c>
      <c r="K86" s="356" t="s">
        <v>8553</v>
      </c>
    </row>
    <row r="87" spans="1:11">
      <c r="A87" s="353"/>
      <c r="B87" s="353"/>
      <c r="C87" s="353" t="s">
        <v>8554</v>
      </c>
      <c r="D87" s="353" t="s">
        <v>8555</v>
      </c>
      <c r="E87" s="356" t="s">
        <v>8556</v>
      </c>
      <c r="F87" s="356" t="s">
        <v>20</v>
      </c>
      <c r="G87" s="356" t="s">
        <v>8557</v>
      </c>
      <c r="H87" s="356" t="s">
        <v>8558</v>
      </c>
      <c r="I87" s="356" t="s">
        <v>94</v>
      </c>
      <c r="J87" s="356" t="s">
        <v>8528</v>
      </c>
      <c r="K87" s="356" t="s">
        <v>8559</v>
      </c>
    </row>
    <row r="88" spans="1:11">
      <c r="A88" s="353"/>
      <c r="B88" s="353"/>
      <c r="C88" s="353"/>
      <c r="D88" s="353" t="s">
        <v>8560</v>
      </c>
      <c r="E88" s="356" t="s">
        <v>8561</v>
      </c>
      <c r="F88" s="356" t="s">
        <v>20</v>
      </c>
      <c r="G88" s="356" t="s">
        <v>8562</v>
      </c>
      <c r="H88" s="356" t="s">
        <v>8563</v>
      </c>
      <c r="I88" s="356" t="s">
        <v>23</v>
      </c>
      <c r="J88" s="356" t="s">
        <v>8564</v>
      </c>
      <c r="K88" s="356" t="s">
        <v>8565</v>
      </c>
    </row>
    <row r="89" spans="1:11">
      <c r="A89" s="353"/>
      <c r="B89" s="353"/>
      <c r="C89" s="353"/>
      <c r="D89" s="353" t="s">
        <v>8566</v>
      </c>
      <c r="E89" s="356" t="s">
        <v>8567</v>
      </c>
      <c r="F89" s="356" t="s">
        <v>229</v>
      </c>
      <c r="G89" s="356" t="s">
        <v>8568</v>
      </c>
      <c r="H89" s="356" t="s">
        <v>8569</v>
      </c>
      <c r="I89" s="356" t="s">
        <v>23</v>
      </c>
      <c r="J89" s="356" t="s">
        <v>8570</v>
      </c>
      <c r="K89" s="356" t="s">
        <v>8571</v>
      </c>
    </row>
    <row r="90" spans="1:11">
      <c r="A90" s="353"/>
      <c r="B90" s="353"/>
      <c r="C90" s="353"/>
      <c r="D90" s="353" t="s">
        <v>8572</v>
      </c>
      <c r="E90" s="356" t="s">
        <v>8573</v>
      </c>
      <c r="F90" s="356" t="s">
        <v>20</v>
      </c>
      <c r="G90" s="356" t="s">
        <v>8574</v>
      </c>
      <c r="H90" s="356" t="s">
        <v>8575</v>
      </c>
      <c r="I90" s="356" t="s">
        <v>23</v>
      </c>
      <c r="J90" s="356" t="s">
        <v>8576</v>
      </c>
      <c r="K90" s="356" t="s">
        <v>8577</v>
      </c>
    </row>
    <row r="91" spans="1:11" ht="30">
      <c r="A91" s="353"/>
      <c r="B91" s="353"/>
      <c r="C91" s="353"/>
      <c r="D91" s="353" t="s">
        <v>8578</v>
      </c>
      <c r="E91" s="356" t="s">
        <v>8579</v>
      </c>
      <c r="F91" s="356" t="s">
        <v>425</v>
      </c>
      <c r="G91" s="356" t="s">
        <v>8580</v>
      </c>
      <c r="H91" s="356" t="s">
        <v>8581</v>
      </c>
      <c r="I91" s="356" t="s">
        <v>23</v>
      </c>
      <c r="J91" s="356" t="s">
        <v>8582</v>
      </c>
      <c r="K91" s="356" t="s">
        <v>8583</v>
      </c>
    </row>
    <row r="92" spans="1:11">
      <c r="A92" s="353"/>
      <c r="B92" s="353"/>
      <c r="C92" s="353" t="s">
        <v>8584</v>
      </c>
      <c r="D92" s="353" t="s">
        <v>8585</v>
      </c>
      <c r="E92" s="356" t="s">
        <v>8586</v>
      </c>
      <c r="F92" s="356" t="s">
        <v>20</v>
      </c>
      <c r="G92" s="356" t="s">
        <v>8587</v>
      </c>
      <c r="H92" s="356" t="s">
        <v>8588</v>
      </c>
      <c r="I92" s="356" t="s">
        <v>94</v>
      </c>
      <c r="J92" s="356" t="s">
        <v>8589</v>
      </c>
      <c r="K92" s="356" t="s">
        <v>8590</v>
      </c>
    </row>
    <row r="93" spans="1:11">
      <c r="A93" s="353"/>
      <c r="B93" s="353"/>
      <c r="C93" s="353"/>
      <c r="D93" s="353" t="s">
        <v>8591</v>
      </c>
      <c r="E93" s="356" t="s">
        <v>8592</v>
      </c>
      <c r="F93" s="356" t="s">
        <v>425</v>
      </c>
      <c r="G93" s="356" t="s">
        <v>8593</v>
      </c>
      <c r="H93" s="356" t="s">
        <v>8594</v>
      </c>
      <c r="I93" s="356" t="s">
        <v>23</v>
      </c>
      <c r="J93" s="356" t="s">
        <v>8595</v>
      </c>
      <c r="K93" s="356" t="s">
        <v>8596</v>
      </c>
    </row>
    <row r="94" spans="1:11">
      <c r="A94" s="353"/>
      <c r="B94" s="353"/>
      <c r="C94" s="353"/>
      <c r="D94" s="353" t="s">
        <v>8597</v>
      </c>
      <c r="E94" s="356" t="s">
        <v>8598</v>
      </c>
      <c r="F94" s="356" t="s">
        <v>20</v>
      </c>
      <c r="G94" s="356" t="s">
        <v>8599</v>
      </c>
      <c r="H94" s="356" t="s">
        <v>8600</v>
      </c>
      <c r="I94" s="356" t="s">
        <v>94</v>
      </c>
      <c r="J94" s="356" t="s">
        <v>8601</v>
      </c>
      <c r="K94" s="356" t="s">
        <v>8602</v>
      </c>
    </row>
    <row r="95" spans="1:11">
      <c r="A95" s="353"/>
      <c r="B95" s="353"/>
      <c r="C95" s="353"/>
      <c r="D95" s="353" t="s">
        <v>8603</v>
      </c>
      <c r="E95" s="356" t="s">
        <v>8604</v>
      </c>
      <c r="F95" s="356" t="s">
        <v>425</v>
      </c>
      <c r="G95" s="356" t="s">
        <v>8605</v>
      </c>
      <c r="H95" s="356" t="s">
        <v>8606</v>
      </c>
      <c r="I95" s="356" t="s">
        <v>94</v>
      </c>
      <c r="J95" s="356" t="s">
        <v>8607</v>
      </c>
      <c r="K95" s="356" t="s">
        <v>8608</v>
      </c>
    </row>
    <row r="96" spans="1:11">
      <c r="A96" s="353"/>
      <c r="B96" s="353"/>
      <c r="C96" s="353"/>
      <c r="D96" s="353" t="s">
        <v>8609</v>
      </c>
      <c r="E96" s="356" t="s">
        <v>8610</v>
      </c>
      <c r="F96" s="356" t="s">
        <v>20</v>
      </c>
      <c r="G96" s="356" t="s">
        <v>8611</v>
      </c>
      <c r="H96" s="356" t="s">
        <v>8612</v>
      </c>
      <c r="I96" s="356" t="s">
        <v>23</v>
      </c>
      <c r="J96" s="356" t="s">
        <v>8613</v>
      </c>
      <c r="K96" s="356" t="s">
        <v>8614</v>
      </c>
    </row>
    <row r="97" spans="1:11">
      <c r="A97" s="353"/>
      <c r="B97" s="353"/>
      <c r="C97" s="353" t="s">
        <v>8615</v>
      </c>
      <c r="D97" s="353" t="s">
        <v>8424</v>
      </c>
      <c r="E97" s="356" t="s">
        <v>8425</v>
      </c>
      <c r="F97" s="356" t="s">
        <v>20</v>
      </c>
      <c r="G97" s="356" t="s">
        <v>8616</v>
      </c>
      <c r="H97" s="356" t="s">
        <v>8617</v>
      </c>
      <c r="I97" s="356" t="s">
        <v>94</v>
      </c>
      <c r="J97" s="356" t="s">
        <v>8618</v>
      </c>
      <c r="K97" s="356" t="s">
        <v>8619</v>
      </c>
    </row>
    <row r="98" spans="1:11">
      <c r="A98" s="353"/>
      <c r="B98" s="353"/>
      <c r="C98" s="353"/>
      <c r="D98" s="353" t="s">
        <v>8426</v>
      </c>
      <c r="E98" s="356" t="s">
        <v>8427</v>
      </c>
      <c r="F98" s="356" t="s">
        <v>425</v>
      </c>
      <c r="G98" s="356" t="s">
        <v>8620</v>
      </c>
      <c r="H98" s="356" t="s">
        <v>8621</v>
      </c>
      <c r="I98" s="356" t="s">
        <v>94</v>
      </c>
      <c r="J98" s="356" t="s">
        <v>8622</v>
      </c>
      <c r="K98" s="356" t="s">
        <v>8623</v>
      </c>
    </row>
    <row r="99" spans="1:11">
      <c r="A99" s="353"/>
      <c r="B99" s="353"/>
      <c r="C99" s="353"/>
      <c r="D99" s="353" t="s">
        <v>8428</v>
      </c>
      <c r="E99" s="356" t="s">
        <v>8429</v>
      </c>
      <c r="F99" s="356" t="s">
        <v>20</v>
      </c>
      <c r="G99" s="356" t="s">
        <v>8624</v>
      </c>
      <c r="H99" s="356" t="s">
        <v>8625</v>
      </c>
      <c r="I99" s="356" t="s">
        <v>94</v>
      </c>
      <c r="J99" s="356" t="s">
        <v>8626</v>
      </c>
      <c r="K99" s="356" t="s">
        <v>8627</v>
      </c>
    </row>
    <row r="100" spans="1:11">
      <c r="A100" s="353"/>
      <c r="B100" s="353"/>
      <c r="C100" s="353"/>
      <c r="D100" s="353" t="s">
        <v>8430</v>
      </c>
      <c r="E100" s="356" t="s">
        <v>8431</v>
      </c>
      <c r="F100" s="356" t="s">
        <v>20</v>
      </c>
      <c r="G100" s="356" t="s">
        <v>8628</v>
      </c>
      <c r="H100" s="356" t="s">
        <v>8629</v>
      </c>
      <c r="I100" s="356" t="s">
        <v>94</v>
      </c>
      <c r="J100" s="356" t="s">
        <v>8630</v>
      </c>
      <c r="K100" s="356" t="s">
        <v>8631</v>
      </c>
    </row>
    <row r="101" spans="1:11">
      <c r="A101" s="353"/>
      <c r="B101" s="353"/>
      <c r="C101" s="353"/>
      <c r="D101" s="353" t="s">
        <v>8432</v>
      </c>
      <c r="E101" s="356" t="s">
        <v>8433</v>
      </c>
      <c r="F101" s="356" t="s">
        <v>20</v>
      </c>
      <c r="G101" s="356" t="s">
        <v>8632</v>
      </c>
      <c r="H101" s="356" t="s">
        <v>8633</v>
      </c>
      <c r="I101" s="356" t="s">
        <v>23</v>
      </c>
      <c r="J101" s="356" t="s">
        <v>8634</v>
      </c>
      <c r="K101" s="356" t="s">
        <v>8635</v>
      </c>
    </row>
    <row r="102" spans="1:11">
      <c r="A102" s="353"/>
      <c r="B102" s="353"/>
      <c r="C102" s="353" t="s">
        <v>8636</v>
      </c>
      <c r="D102" s="353" t="s">
        <v>8637</v>
      </c>
      <c r="E102" s="356" t="s">
        <v>8638</v>
      </c>
      <c r="F102" s="356" t="s">
        <v>229</v>
      </c>
      <c r="G102" s="356" t="s">
        <v>8639</v>
      </c>
      <c r="H102" s="356" t="s">
        <v>8640</v>
      </c>
      <c r="I102" s="356" t="s">
        <v>94</v>
      </c>
      <c r="J102" s="356" t="s">
        <v>8402</v>
      </c>
      <c r="K102" s="356" t="s">
        <v>8641</v>
      </c>
    </row>
    <row r="103" spans="1:11">
      <c r="A103" s="353"/>
      <c r="B103" s="353"/>
      <c r="C103" s="353"/>
      <c r="D103" s="353" t="s">
        <v>8642</v>
      </c>
      <c r="E103" s="356" t="s">
        <v>8643</v>
      </c>
      <c r="F103" s="356" t="s">
        <v>425</v>
      </c>
      <c r="G103" s="356" t="s">
        <v>8644</v>
      </c>
      <c r="H103" s="356" t="s">
        <v>8645</v>
      </c>
      <c r="I103" s="356" t="s">
        <v>23</v>
      </c>
      <c r="J103" s="356" t="s">
        <v>8646</v>
      </c>
      <c r="K103" s="356" t="s">
        <v>8647</v>
      </c>
    </row>
    <row r="104" spans="1:11">
      <c r="A104" s="353"/>
      <c r="B104" s="353"/>
      <c r="C104" s="353"/>
      <c r="D104" s="353" t="s">
        <v>8648</v>
      </c>
      <c r="E104" s="356" t="s">
        <v>8649</v>
      </c>
      <c r="F104" s="356" t="s">
        <v>20</v>
      </c>
      <c r="G104" s="356" t="s">
        <v>8650</v>
      </c>
      <c r="H104" s="356" t="s">
        <v>8634</v>
      </c>
      <c r="I104" s="356" t="s">
        <v>94</v>
      </c>
      <c r="J104" s="356" t="s">
        <v>8651</v>
      </c>
      <c r="K104" s="356" t="s">
        <v>8652</v>
      </c>
    </row>
    <row r="105" spans="1:11">
      <c r="A105" s="353"/>
      <c r="B105" s="353"/>
      <c r="C105" s="353"/>
      <c r="D105" s="353" t="s">
        <v>8653</v>
      </c>
      <c r="E105" s="356" t="s">
        <v>8654</v>
      </c>
      <c r="F105" s="356" t="s">
        <v>20</v>
      </c>
      <c r="G105" s="356" t="s">
        <v>8655</v>
      </c>
      <c r="H105" s="356" t="s">
        <v>8656</v>
      </c>
      <c r="I105" s="356" t="s">
        <v>94</v>
      </c>
      <c r="J105" s="356" t="s">
        <v>8657</v>
      </c>
      <c r="K105" s="356" t="s">
        <v>8658</v>
      </c>
    </row>
    <row r="106" spans="1:11">
      <c r="A106" s="353"/>
      <c r="B106" s="353"/>
      <c r="C106" s="353"/>
      <c r="D106" s="353" t="s">
        <v>8659</v>
      </c>
      <c r="E106" s="356" t="s">
        <v>8660</v>
      </c>
      <c r="F106" s="356" t="s">
        <v>20</v>
      </c>
      <c r="G106" s="356" t="s">
        <v>8661</v>
      </c>
      <c r="H106" s="356" t="s">
        <v>8662</v>
      </c>
      <c r="I106" s="356" t="s">
        <v>23</v>
      </c>
      <c r="J106" s="356" t="s">
        <v>8663</v>
      </c>
      <c r="K106" s="356" t="s">
        <v>8664</v>
      </c>
    </row>
    <row r="107" spans="1:11">
      <c r="A107" s="353"/>
      <c r="B107" s="353"/>
      <c r="C107" s="353" t="s">
        <v>8665</v>
      </c>
      <c r="D107" s="353" t="s">
        <v>8666</v>
      </c>
      <c r="E107" s="356" t="s">
        <v>8667</v>
      </c>
      <c r="F107" s="356" t="s">
        <v>20</v>
      </c>
      <c r="G107" s="356" t="s">
        <v>8668</v>
      </c>
      <c r="H107" s="356" t="s">
        <v>8669</v>
      </c>
      <c r="I107" s="356" t="s">
        <v>94</v>
      </c>
      <c r="J107" s="356" t="s">
        <v>8335</v>
      </c>
      <c r="K107" s="356" t="s">
        <v>8670</v>
      </c>
    </row>
    <row r="108" spans="1:11">
      <c r="A108" s="353"/>
      <c r="B108" s="353"/>
      <c r="C108" s="353"/>
      <c r="D108" s="353" t="s">
        <v>8671</v>
      </c>
      <c r="E108" s="356" t="s">
        <v>8672</v>
      </c>
      <c r="F108" s="356" t="s">
        <v>229</v>
      </c>
      <c r="G108" s="356" t="s">
        <v>8673</v>
      </c>
      <c r="H108" s="356" t="s">
        <v>8674</v>
      </c>
      <c r="I108" s="356" t="s">
        <v>94</v>
      </c>
      <c r="J108" s="356" t="s">
        <v>8675</v>
      </c>
      <c r="K108" s="356" t="s">
        <v>8676</v>
      </c>
    </row>
    <row r="109" spans="1:11">
      <c r="A109" s="353"/>
      <c r="B109" s="353"/>
      <c r="C109" s="353"/>
      <c r="D109" s="353" t="s">
        <v>8677</v>
      </c>
      <c r="E109" s="356" t="s">
        <v>8678</v>
      </c>
      <c r="F109" s="356" t="s">
        <v>229</v>
      </c>
      <c r="G109" s="356" t="s">
        <v>8679</v>
      </c>
      <c r="H109" s="356" t="s">
        <v>8680</v>
      </c>
      <c r="I109" s="356" t="s">
        <v>94</v>
      </c>
      <c r="J109" s="356" t="s">
        <v>8402</v>
      </c>
      <c r="K109" s="356" t="s">
        <v>8681</v>
      </c>
    </row>
    <row r="110" spans="1:11">
      <c r="A110" s="353"/>
      <c r="B110" s="353"/>
      <c r="C110" s="353"/>
      <c r="D110" s="353" t="s">
        <v>8682</v>
      </c>
      <c r="E110" s="356" t="s">
        <v>8683</v>
      </c>
      <c r="F110" s="356" t="s">
        <v>425</v>
      </c>
      <c r="G110" s="356" t="s">
        <v>8684</v>
      </c>
      <c r="H110" s="356" t="s">
        <v>8685</v>
      </c>
      <c r="I110" s="356" t="s">
        <v>23</v>
      </c>
      <c r="J110" s="356" t="s">
        <v>8342</v>
      </c>
      <c r="K110" s="356" t="s">
        <v>8686</v>
      </c>
    </row>
    <row r="111" spans="1:11">
      <c r="A111" s="353"/>
      <c r="B111" s="353"/>
      <c r="C111" s="353"/>
      <c r="D111" s="353" t="s">
        <v>8687</v>
      </c>
      <c r="E111" s="356" t="s">
        <v>8688</v>
      </c>
      <c r="F111" s="356" t="s">
        <v>20</v>
      </c>
      <c r="G111" s="356" t="s">
        <v>8689</v>
      </c>
      <c r="H111" s="356" t="s">
        <v>8690</v>
      </c>
      <c r="I111" s="356" t="s">
        <v>94</v>
      </c>
      <c r="J111" s="356" t="s">
        <v>8546</v>
      </c>
      <c r="K111" s="356" t="s">
        <v>8691</v>
      </c>
    </row>
    <row r="112" spans="1:11">
      <c r="A112" s="353"/>
      <c r="B112" s="353"/>
      <c r="C112" s="353" t="s">
        <v>8692</v>
      </c>
      <c r="D112" s="353" t="s">
        <v>8693</v>
      </c>
      <c r="E112" s="356" t="s">
        <v>8694</v>
      </c>
      <c r="F112" s="356" t="s">
        <v>229</v>
      </c>
      <c r="G112" s="356" t="s">
        <v>8695</v>
      </c>
      <c r="H112" s="356" t="s">
        <v>8696</v>
      </c>
      <c r="I112" s="356" t="s">
        <v>94</v>
      </c>
      <c r="J112" s="356" t="s">
        <v>8697</v>
      </c>
      <c r="K112" s="356" t="s">
        <v>8698</v>
      </c>
    </row>
    <row r="113" spans="1:11">
      <c r="A113" s="353"/>
      <c r="B113" s="353"/>
      <c r="C113" s="353"/>
      <c r="D113" s="353" t="s">
        <v>8699</v>
      </c>
      <c r="E113" s="356" t="s">
        <v>8700</v>
      </c>
      <c r="F113" s="356" t="s">
        <v>425</v>
      </c>
      <c r="G113" s="356" t="s">
        <v>8701</v>
      </c>
      <c r="H113" s="356" t="s">
        <v>8702</v>
      </c>
      <c r="I113" s="356" t="s">
        <v>23</v>
      </c>
      <c r="J113" s="356" t="s">
        <v>8703</v>
      </c>
      <c r="K113" s="356" t="s">
        <v>8704</v>
      </c>
    </row>
    <row r="114" spans="1:11">
      <c r="A114" s="353"/>
      <c r="B114" s="353"/>
      <c r="C114" s="353"/>
      <c r="D114" s="353" t="s">
        <v>8705</v>
      </c>
      <c r="E114" s="356" t="s">
        <v>8706</v>
      </c>
      <c r="F114" s="356" t="s">
        <v>425</v>
      </c>
      <c r="G114" s="356" t="s">
        <v>8707</v>
      </c>
      <c r="H114" s="356" t="s">
        <v>8708</v>
      </c>
      <c r="I114" s="356" t="s">
        <v>23</v>
      </c>
      <c r="J114" s="356" t="s">
        <v>8409</v>
      </c>
      <c r="K114" s="356" t="s">
        <v>8709</v>
      </c>
    </row>
    <row r="115" spans="1:11">
      <c r="A115" s="353"/>
      <c r="B115" s="353"/>
      <c r="C115" s="353"/>
      <c r="D115" s="353" t="s">
        <v>8710</v>
      </c>
      <c r="E115" s="356" t="s">
        <v>8711</v>
      </c>
      <c r="F115" s="356" t="s">
        <v>20</v>
      </c>
      <c r="G115" s="356" t="s">
        <v>8712</v>
      </c>
      <c r="H115" s="356" t="s">
        <v>8713</v>
      </c>
      <c r="I115" s="356" t="s">
        <v>94</v>
      </c>
      <c r="J115" s="356" t="s">
        <v>8714</v>
      </c>
      <c r="K115" s="356" t="s">
        <v>8715</v>
      </c>
    </row>
    <row r="116" spans="1:11">
      <c r="A116" s="353"/>
      <c r="B116" s="353"/>
      <c r="C116" s="353"/>
      <c r="D116" s="353" t="s">
        <v>8716</v>
      </c>
      <c r="E116" s="356" t="s">
        <v>8717</v>
      </c>
      <c r="F116" s="356" t="s">
        <v>20</v>
      </c>
      <c r="G116" s="356" t="s">
        <v>8718</v>
      </c>
      <c r="H116" s="356" t="s">
        <v>8719</v>
      </c>
      <c r="I116" s="356" t="s">
        <v>23</v>
      </c>
      <c r="J116" s="356" t="s">
        <v>8720</v>
      </c>
      <c r="K116" s="356" t="s">
        <v>8721</v>
      </c>
    </row>
    <row r="117" spans="1:11">
      <c r="A117" s="353"/>
      <c r="B117" s="353"/>
      <c r="C117" s="353" t="s">
        <v>8722</v>
      </c>
      <c r="D117" s="353" t="s">
        <v>8723</v>
      </c>
      <c r="E117" s="356" t="s">
        <v>8724</v>
      </c>
      <c r="F117" s="356" t="s">
        <v>20</v>
      </c>
      <c r="G117" s="356" t="s">
        <v>8725</v>
      </c>
      <c r="H117" s="356" t="s">
        <v>8726</v>
      </c>
      <c r="I117" s="356" t="s">
        <v>23</v>
      </c>
      <c r="J117" s="356" t="s">
        <v>8589</v>
      </c>
      <c r="K117" s="356" t="s">
        <v>8727</v>
      </c>
    </row>
    <row r="118" spans="1:11">
      <c r="A118" s="353"/>
      <c r="B118" s="353"/>
      <c r="C118" s="353"/>
      <c r="D118" s="353" t="s">
        <v>8728</v>
      </c>
      <c r="E118" s="356" t="s">
        <v>8729</v>
      </c>
      <c r="F118" s="356" t="s">
        <v>20</v>
      </c>
      <c r="G118" s="356" t="s">
        <v>8730</v>
      </c>
      <c r="H118" s="356" t="s">
        <v>8731</v>
      </c>
      <c r="I118" s="356" t="s">
        <v>23</v>
      </c>
      <c r="J118" s="356" t="s">
        <v>8595</v>
      </c>
      <c r="K118" s="356" t="s">
        <v>8732</v>
      </c>
    </row>
    <row r="119" spans="1:11">
      <c r="A119" s="353"/>
      <c r="B119" s="353"/>
      <c r="C119" s="353"/>
      <c r="D119" s="353" t="s">
        <v>8733</v>
      </c>
      <c r="E119" s="356" t="s">
        <v>8734</v>
      </c>
      <c r="F119" s="356" t="s">
        <v>20</v>
      </c>
      <c r="G119" s="356" t="s">
        <v>8735</v>
      </c>
      <c r="H119" s="356" t="s">
        <v>8736</v>
      </c>
      <c r="I119" s="356" t="s">
        <v>23</v>
      </c>
      <c r="J119" s="356" t="s">
        <v>8737</v>
      </c>
      <c r="K119" s="356" t="s">
        <v>8738</v>
      </c>
    </row>
    <row r="120" spans="1:11">
      <c r="A120" s="353"/>
      <c r="B120" s="353"/>
      <c r="C120" s="353"/>
      <c r="D120" s="353" t="s">
        <v>8739</v>
      </c>
      <c r="E120" s="356" t="s">
        <v>8740</v>
      </c>
      <c r="F120" s="356" t="s">
        <v>20</v>
      </c>
      <c r="G120" s="356" t="s">
        <v>8741</v>
      </c>
      <c r="H120" s="356" t="s">
        <v>8742</v>
      </c>
      <c r="I120" s="356" t="s">
        <v>94</v>
      </c>
      <c r="J120" s="356" t="s">
        <v>8743</v>
      </c>
      <c r="K120" s="356" t="s">
        <v>8744</v>
      </c>
    </row>
    <row r="121" spans="1:11">
      <c r="A121" s="353"/>
      <c r="B121" s="353"/>
      <c r="C121" s="353"/>
      <c r="D121" s="353" t="s">
        <v>8745</v>
      </c>
      <c r="E121" s="356" t="s">
        <v>8746</v>
      </c>
      <c r="F121" s="356" t="s">
        <v>20</v>
      </c>
      <c r="G121" s="356" t="s">
        <v>8747</v>
      </c>
      <c r="H121" s="356" t="s">
        <v>8748</v>
      </c>
      <c r="I121" s="356" t="s">
        <v>23</v>
      </c>
      <c r="J121" s="356" t="s">
        <v>8749</v>
      </c>
      <c r="K121" s="356" t="s">
        <v>8750</v>
      </c>
    </row>
    <row r="122" spans="1:11" ht="15" customHeight="1">
      <c r="A122" s="353"/>
      <c r="B122" s="353"/>
      <c r="C122" s="353" t="s">
        <v>8751</v>
      </c>
      <c r="D122" s="353" t="s">
        <v>8752</v>
      </c>
      <c r="E122" s="356" t="s">
        <v>8753</v>
      </c>
      <c r="F122" s="356" t="s">
        <v>20</v>
      </c>
      <c r="G122" s="356" t="s">
        <v>8754</v>
      </c>
      <c r="H122" s="356" t="s">
        <v>8335</v>
      </c>
      <c r="I122" s="356" t="s">
        <v>94</v>
      </c>
      <c r="J122" s="356" t="s">
        <v>8336</v>
      </c>
      <c r="K122" s="356" t="s">
        <v>8755</v>
      </c>
    </row>
    <row r="123" spans="1:11">
      <c r="A123" s="353"/>
      <c r="B123" s="353"/>
      <c r="C123" s="353"/>
      <c r="D123" s="353" t="s">
        <v>8756</v>
      </c>
      <c r="E123" s="356" t="s">
        <v>8757</v>
      </c>
      <c r="F123" s="356" t="s">
        <v>20</v>
      </c>
      <c r="G123" s="356" t="s">
        <v>8758</v>
      </c>
      <c r="H123" s="356" t="s">
        <v>8759</v>
      </c>
      <c r="I123" s="356" t="s">
        <v>94</v>
      </c>
      <c r="J123" s="356" t="s">
        <v>8492</v>
      </c>
      <c r="K123" s="356" t="s">
        <v>8760</v>
      </c>
    </row>
    <row r="124" spans="1:11">
      <c r="A124" s="353"/>
      <c r="B124" s="353"/>
      <c r="C124" s="353"/>
      <c r="D124" s="353" t="s">
        <v>8761</v>
      </c>
      <c r="E124" s="356" t="s">
        <v>8762</v>
      </c>
      <c r="F124" s="356" t="s">
        <v>20</v>
      </c>
      <c r="G124" s="356" t="s">
        <v>8763</v>
      </c>
      <c r="H124" s="356" t="s">
        <v>8764</v>
      </c>
      <c r="I124" s="356" t="s">
        <v>23</v>
      </c>
      <c r="J124" s="356" t="s">
        <v>8765</v>
      </c>
      <c r="K124" s="356" t="s">
        <v>8766</v>
      </c>
    </row>
    <row r="125" spans="1:11">
      <c r="A125" s="353"/>
      <c r="B125" s="353"/>
      <c r="C125" s="353"/>
      <c r="D125" s="353" t="s">
        <v>8767</v>
      </c>
      <c r="E125" s="356" t="s">
        <v>8768</v>
      </c>
      <c r="F125" s="356" t="s">
        <v>20</v>
      </c>
      <c r="G125" s="356" t="s">
        <v>8769</v>
      </c>
      <c r="H125" s="356" t="s">
        <v>8770</v>
      </c>
      <c r="I125" s="356" t="s">
        <v>94</v>
      </c>
      <c r="J125" s="356" t="s">
        <v>8771</v>
      </c>
      <c r="K125" s="356" t="s">
        <v>8772</v>
      </c>
    </row>
    <row r="126" spans="1:11">
      <c r="A126" s="353"/>
      <c r="B126" s="353"/>
      <c r="C126" s="353"/>
      <c r="D126" s="353" t="s">
        <v>8773</v>
      </c>
      <c r="E126" s="356" t="s">
        <v>8774</v>
      </c>
      <c r="F126" s="356" t="s">
        <v>20</v>
      </c>
      <c r="G126" s="356" t="s">
        <v>8775</v>
      </c>
      <c r="H126" s="356" t="s">
        <v>8776</v>
      </c>
      <c r="I126" s="356" t="s">
        <v>94</v>
      </c>
      <c r="J126" s="356" t="s">
        <v>8777</v>
      </c>
      <c r="K126" s="356" t="s">
        <v>8778</v>
      </c>
    </row>
    <row r="127" spans="1:11">
      <c r="A127" s="353"/>
      <c r="B127" s="353"/>
      <c r="C127" s="353" t="s">
        <v>8779</v>
      </c>
      <c r="D127" s="353" t="s">
        <v>8780</v>
      </c>
      <c r="E127" s="356" t="s">
        <v>8781</v>
      </c>
      <c r="F127" s="356" t="s">
        <v>20</v>
      </c>
      <c r="G127" s="356" t="s">
        <v>8782</v>
      </c>
      <c r="H127" s="356" t="s">
        <v>8783</v>
      </c>
      <c r="I127" s="356" t="s">
        <v>94</v>
      </c>
      <c r="J127" s="356" t="s">
        <v>8784</v>
      </c>
      <c r="K127" s="356" t="s">
        <v>8785</v>
      </c>
    </row>
    <row r="128" spans="1:11">
      <c r="A128" s="353"/>
      <c r="B128" s="353"/>
      <c r="C128" s="353"/>
      <c r="D128" s="353" t="s">
        <v>8786</v>
      </c>
      <c r="E128" s="356" t="s">
        <v>8787</v>
      </c>
      <c r="F128" s="356" t="s">
        <v>20</v>
      </c>
      <c r="G128" s="356" t="s">
        <v>8788</v>
      </c>
      <c r="H128" s="356" t="s">
        <v>8789</v>
      </c>
      <c r="I128" s="356" t="s">
        <v>94</v>
      </c>
      <c r="J128" s="356" t="s">
        <v>8790</v>
      </c>
      <c r="K128" s="356" t="s">
        <v>8791</v>
      </c>
    </row>
    <row r="129" spans="1:11">
      <c r="A129" s="353"/>
      <c r="B129" s="353"/>
      <c r="C129" s="353"/>
      <c r="D129" s="353" t="s">
        <v>8792</v>
      </c>
      <c r="E129" s="356" t="s">
        <v>8793</v>
      </c>
      <c r="F129" s="356" t="s">
        <v>20</v>
      </c>
      <c r="G129" s="356" t="s">
        <v>8794</v>
      </c>
      <c r="H129" s="356" t="s">
        <v>8795</v>
      </c>
      <c r="I129" s="356" t="s">
        <v>23</v>
      </c>
      <c r="J129" s="356" t="s">
        <v>8367</v>
      </c>
      <c r="K129" s="356" t="s">
        <v>8796</v>
      </c>
    </row>
    <row r="130" spans="1:11">
      <c r="A130" s="353"/>
      <c r="B130" s="353"/>
      <c r="C130" s="353"/>
      <c r="D130" s="353" t="s">
        <v>8797</v>
      </c>
      <c r="E130" s="356" t="s">
        <v>8798</v>
      </c>
      <c r="F130" s="356" t="s">
        <v>20</v>
      </c>
      <c r="G130" s="356" t="s">
        <v>8799</v>
      </c>
      <c r="H130" s="356" t="s">
        <v>8310</v>
      </c>
      <c r="I130" s="356" t="s">
        <v>94</v>
      </c>
      <c r="J130" s="356" t="s">
        <v>8335</v>
      </c>
      <c r="K130" s="356" t="s">
        <v>8800</v>
      </c>
    </row>
    <row r="131" spans="1:11">
      <c r="A131" s="353"/>
      <c r="B131" s="353"/>
      <c r="C131" s="353"/>
      <c r="D131" s="353" t="s">
        <v>8801</v>
      </c>
      <c r="E131" s="356" t="s">
        <v>8802</v>
      </c>
      <c r="F131" s="356" t="s">
        <v>20</v>
      </c>
      <c r="G131" s="356" t="s">
        <v>8803</v>
      </c>
      <c r="H131" s="356" t="s">
        <v>8445</v>
      </c>
      <c r="I131" s="356" t="s">
        <v>23</v>
      </c>
      <c r="J131" s="356" t="s">
        <v>8595</v>
      </c>
      <c r="K131" s="356" t="s">
        <v>8804</v>
      </c>
    </row>
    <row r="132" spans="1:11">
      <c r="A132" s="353"/>
      <c r="B132" s="353"/>
      <c r="C132" s="353" t="s">
        <v>8805</v>
      </c>
      <c r="D132" s="353" t="s">
        <v>8806</v>
      </c>
      <c r="E132" s="356" t="s">
        <v>8807</v>
      </c>
      <c r="F132" s="356" t="s">
        <v>20</v>
      </c>
      <c r="G132" s="356" t="s">
        <v>8808</v>
      </c>
      <c r="H132" s="356" t="s">
        <v>8809</v>
      </c>
      <c r="I132" s="356" t="s">
        <v>94</v>
      </c>
      <c r="J132" s="356" t="s">
        <v>8810</v>
      </c>
      <c r="K132" s="356" t="s">
        <v>8811</v>
      </c>
    </row>
    <row r="133" spans="1:11">
      <c r="A133" s="353"/>
      <c r="B133" s="353"/>
      <c r="C133" s="353"/>
      <c r="D133" s="353" t="s">
        <v>8812</v>
      </c>
      <c r="E133" s="356" t="s">
        <v>8813</v>
      </c>
      <c r="F133" s="356" t="s">
        <v>425</v>
      </c>
      <c r="G133" s="356" t="s">
        <v>8346</v>
      </c>
      <c r="H133" s="356" t="s">
        <v>8814</v>
      </c>
      <c r="I133" s="356" t="s">
        <v>94</v>
      </c>
      <c r="J133" s="356" t="s">
        <v>8815</v>
      </c>
      <c r="K133" s="356" t="s">
        <v>8816</v>
      </c>
    </row>
    <row r="134" spans="1:11">
      <c r="A134" s="353"/>
      <c r="B134" s="353"/>
      <c r="C134" s="353"/>
      <c r="D134" s="353" t="s">
        <v>8817</v>
      </c>
      <c r="E134" s="356" t="s">
        <v>8818</v>
      </c>
      <c r="F134" s="356" t="s">
        <v>20</v>
      </c>
      <c r="G134" s="356" t="s">
        <v>8819</v>
      </c>
      <c r="H134" s="356" t="s">
        <v>8820</v>
      </c>
      <c r="I134" s="356" t="s">
        <v>94</v>
      </c>
      <c r="J134" s="356" t="s">
        <v>8821</v>
      </c>
      <c r="K134" s="356" t="s">
        <v>8822</v>
      </c>
    </row>
    <row r="135" spans="1:11">
      <c r="A135" s="353"/>
      <c r="B135" s="353"/>
      <c r="C135" s="353"/>
      <c r="D135" s="353" t="s">
        <v>8823</v>
      </c>
      <c r="E135" s="356" t="s">
        <v>8824</v>
      </c>
      <c r="F135" s="356" t="s">
        <v>20</v>
      </c>
      <c r="G135" s="356" t="s">
        <v>8825</v>
      </c>
      <c r="H135" s="356" t="s">
        <v>8826</v>
      </c>
      <c r="I135" s="356" t="s">
        <v>23</v>
      </c>
      <c r="J135" s="356" t="s">
        <v>8827</v>
      </c>
      <c r="K135" s="356" t="s">
        <v>8828</v>
      </c>
    </row>
    <row r="136" spans="1:11">
      <c r="A136" s="353"/>
      <c r="B136" s="353"/>
      <c r="C136" s="353"/>
      <c r="D136" s="353" t="s">
        <v>8829</v>
      </c>
      <c r="E136" s="356" t="s">
        <v>8830</v>
      </c>
      <c r="F136" s="356" t="s">
        <v>20</v>
      </c>
      <c r="G136" s="356" t="s">
        <v>8831</v>
      </c>
      <c r="H136" s="356" t="s">
        <v>8832</v>
      </c>
      <c r="I136" s="356" t="s">
        <v>94</v>
      </c>
      <c r="J136" s="356" t="s">
        <v>8570</v>
      </c>
      <c r="K136" s="356" t="s">
        <v>8833</v>
      </c>
    </row>
    <row r="137" spans="1:11">
      <c r="A137" s="353"/>
      <c r="B137" s="353"/>
      <c r="C137" s="353" t="s">
        <v>8834</v>
      </c>
      <c r="D137" s="353" t="s">
        <v>8835</v>
      </c>
      <c r="E137" s="356" t="s">
        <v>8836</v>
      </c>
      <c r="F137" s="356" t="s">
        <v>229</v>
      </c>
      <c r="G137" s="356" t="s">
        <v>8837</v>
      </c>
      <c r="H137" s="356" t="s">
        <v>8838</v>
      </c>
      <c r="I137" s="356" t="s">
        <v>23</v>
      </c>
      <c r="J137" s="356" t="s">
        <v>8771</v>
      </c>
      <c r="K137" s="356" t="s">
        <v>8839</v>
      </c>
    </row>
    <row r="138" spans="1:11">
      <c r="A138" s="353"/>
      <c r="B138" s="353"/>
      <c r="C138" s="353"/>
      <c r="D138" s="353" t="s">
        <v>8840</v>
      </c>
      <c r="E138" s="356" t="s">
        <v>8841</v>
      </c>
      <c r="F138" s="356" t="s">
        <v>20</v>
      </c>
      <c r="G138" s="356" t="s">
        <v>8842</v>
      </c>
      <c r="H138" s="356" t="s">
        <v>8843</v>
      </c>
      <c r="I138" s="356" t="s">
        <v>94</v>
      </c>
      <c r="J138" s="356" t="s">
        <v>8703</v>
      </c>
      <c r="K138" s="356" t="s">
        <v>8844</v>
      </c>
    </row>
    <row r="139" spans="1:11">
      <c r="A139" s="353"/>
      <c r="B139" s="353"/>
      <c r="C139" s="353"/>
      <c r="D139" s="353" t="s">
        <v>8845</v>
      </c>
      <c r="E139" s="356" t="s">
        <v>8846</v>
      </c>
      <c r="F139" s="356" t="s">
        <v>20</v>
      </c>
      <c r="G139" s="356" t="s">
        <v>8847</v>
      </c>
      <c r="H139" s="356" t="s">
        <v>8848</v>
      </c>
      <c r="I139" s="356" t="s">
        <v>94</v>
      </c>
      <c r="J139" s="356" t="s">
        <v>8849</v>
      </c>
      <c r="K139" s="356" t="s">
        <v>8850</v>
      </c>
    </row>
    <row r="140" spans="1:11">
      <c r="A140" s="353"/>
      <c r="B140" s="353"/>
      <c r="C140" s="353"/>
      <c r="D140" s="353" t="s">
        <v>8851</v>
      </c>
      <c r="E140" s="356" t="s">
        <v>8852</v>
      </c>
      <c r="F140" s="356" t="s">
        <v>20</v>
      </c>
      <c r="G140" s="356" t="s">
        <v>8853</v>
      </c>
      <c r="H140" s="356" t="s">
        <v>8854</v>
      </c>
      <c r="I140" s="356" t="s">
        <v>23</v>
      </c>
      <c r="J140" s="356" t="s">
        <v>8855</v>
      </c>
      <c r="K140" s="356" t="s">
        <v>8856</v>
      </c>
    </row>
    <row r="141" spans="1:11">
      <c r="A141" s="353"/>
      <c r="B141" s="353"/>
      <c r="C141" s="353"/>
      <c r="D141" s="353" t="s">
        <v>8857</v>
      </c>
      <c r="E141" s="356" t="s">
        <v>8858</v>
      </c>
      <c r="F141" s="356" t="s">
        <v>229</v>
      </c>
      <c r="G141" s="356" t="s">
        <v>8401</v>
      </c>
      <c r="H141" s="356" t="s">
        <v>8859</v>
      </c>
      <c r="I141" s="356" t="s">
        <v>94</v>
      </c>
      <c r="J141" s="356" t="s">
        <v>8402</v>
      </c>
      <c r="K141" s="356" t="s">
        <v>8860</v>
      </c>
    </row>
    <row r="142" spans="1:11">
      <c r="A142" s="353"/>
      <c r="B142" s="353"/>
      <c r="C142" s="353" t="s">
        <v>8861</v>
      </c>
      <c r="D142" s="353" t="s">
        <v>8862</v>
      </c>
      <c r="E142" s="356" t="s">
        <v>8863</v>
      </c>
      <c r="F142" s="356" t="s">
        <v>229</v>
      </c>
      <c r="G142" s="356" t="s">
        <v>8864</v>
      </c>
      <c r="H142" s="356" t="s">
        <v>8865</v>
      </c>
      <c r="I142" s="356" t="s">
        <v>94</v>
      </c>
      <c r="J142" s="356" t="s">
        <v>8866</v>
      </c>
      <c r="K142" s="356" t="s">
        <v>8867</v>
      </c>
    </row>
    <row r="143" spans="1:11">
      <c r="A143" s="353"/>
      <c r="B143" s="353"/>
      <c r="C143" s="353"/>
      <c r="D143" s="353" t="s">
        <v>8868</v>
      </c>
      <c r="E143" s="356" t="s">
        <v>8869</v>
      </c>
      <c r="F143" s="356" t="s">
        <v>229</v>
      </c>
      <c r="G143" s="356" t="s">
        <v>8870</v>
      </c>
      <c r="H143" s="356" t="s">
        <v>8871</v>
      </c>
      <c r="I143" s="356" t="s">
        <v>94</v>
      </c>
      <c r="J143" s="356" t="s">
        <v>8872</v>
      </c>
      <c r="K143" s="356" t="s">
        <v>8873</v>
      </c>
    </row>
    <row r="144" spans="1:11">
      <c r="A144" s="353"/>
      <c r="B144" s="353"/>
      <c r="C144" s="353"/>
      <c r="D144" s="353" t="s">
        <v>8874</v>
      </c>
      <c r="E144" s="356" t="s">
        <v>8875</v>
      </c>
      <c r="F144" s="356" t="s">
        <v>229</v>
      </c>
      <c r="G144" s="356" t="s">
        <v>8876</v>
      </c>
      <c r="H144" s="356" t="s">
        <v>8613</v>
      </c>
      <c r="I144" s="356" t="s">
        <v>23</v>
      </c>
      <c r="J144" s="356" t="s">
        <v>8877</v>
      </c>
      <c r="K144" s="356" t="s">
        <v>8878</v>
      </c>
    </row>
    <row r="145" spans="1:11">
      <c r="A145" s="353"/>
      <c r="B145" s="353"/>
      <c r="C145" s="353"/>
      <c r="D145" s="353" t="s">
        <v>8879</v>
      </c>
      <c r="E145" s="356" t="s">
        <v>8880</v>
      </c>
      <c r="F145" s="356" t="s">
        <v>425</v>
      </c>
      <c r="G145" s="356" t="s">
        <v>8881</v>
      </c>
      <c r="H145" s="356" t="s">
        <v>8882</v>
      </c>
      <c r="I145" s="356" t="s">
        <v>23</v>
      </c>
      <c r="J145" s="356" t="s">
        <v>8883</v>
      </c>
      <c r="K145" s="356" t="s">
        <v>8884</v>
      </c>
    </row>
    <row r="146" spans="1:11">
      <c r="A146" s="353"/>
      <c r="B146" s="353"/>
      <c r="C146" s="353"/>
      <c r="D146" s="353" t="s">
        <v>8885</v>
      </c>
      <c r="E146" s="356" t="s">
        <v>8886</v>
      </c>
      <c r="F146" s="356" t="s">
        <v>229</v>
      </c>
      <c r="G146" s="356" t="s">
        <v>8887</v>
      </c>
      <c r="H146" s="356" t="s">
        <v>8888</v>
      </c>
      <c r="I146" s="356" t="s">
        <v>94</v>
      </c>
      <c r="J146" s="356" t="s">
        <v>8889</v>
      </c>
      <c r="K146" s="356" t="s">
        <v>8890</v>
      </c>
    </row>
    <row r="147" spans="1:11" ht="30">
      <c r="A147" s="353"/>
      <c r="B147" s="353"/>
      <c r="C147" s="353" t="s">
        <v>8891</v>
      </c>
      <c r="D147" s="356" t="s">
        <v>8892</v>
      </c>
      <c r="E147" s="356" t="s">
        <v>8893</v>
      </c>
      <c r="F147" s="356" t="s">
        <v>229</v>
      </c>
      <c r="G147" s="356" t="s">
        <v>8894</v>
      </c>
      <c r="H147" s="356" t="s">
        <v>8498</v>
      </c>
      <c r="I147" s="356" t="s">
        <v>94</v>
      </c>
      <c r="J147" s="356" t="s">
        <v>8895</v>
      </c>
      <c r="K147" s="356" t="s">
        <v>8896</v>
      </c>
    </row>
    <row r="148" spans="1:11" ht="30">
      <c r="A148" s="353"/>
      <c r="B148" s="353"/>
      <c r="C148" s="353"/>
      <c r="D148" s="356" t="s">
        <v>8897</v>
      </c>
      <c r="E148" s="356" t="s">
        <v>8898</v>
      </c>
      <c r="F148" s="356" t="s">
        <v>20</v>
      </c>
      <c r="G148" s="356" t="s">
        <v>8899</v>
      </c>
      <c r="H148" s="356" t="s">
        <v>8900</v>
      </c>
      <c r="I148" s="356" t="s">
        <v>23</v>
      </c>
      <c r="J148" s="356" t="s">
        <v>8901</v>
      </c>
      <c r="K148" s="356" t="s">
        <v>8902</v>
      </c>
    </row>
    <row r="149" spans="1:11" ht="30">
      <c r="A149" s="353"/>
      <c r="B149" s="353"/>
      <c r="C149" s="353"/>
      <c r="D149" s="356" t="s">
        <v>8903</v>
      </c>
      <c r="E149" s="356" t="s">
        <v>8904</v>
      </c>
      <c r="F149" s="356" t="s">
        <v>229</v>
      </c>
      <c r="G149" s="356" t="s">
        <v>8905</v>
      </c>
      <c r="H149" s="356" t="s">
        <v>8906</v>
      </c>
      <c r="I149" s="356" t="s">
        <v>23</v>
      </c>
      <c r="J149" s="356" t="s">
        <v>8335</v>
      </c>
      <c r="K149" s="356" t="s">
        <v>8907</v>
      </c>
    </row>
    <row r="150" spans="1:11" ht="30">
      <c r="A150" s="353"/>
      <c r="B150" s="353"/>
      <c r="C150" s="353"/>
      <c r="D150" s="356" t="s">
        <v>8908</v>
      </c>
      <c r="E150" s="356" t="s">
        <v>8909</v>
      </c>
      <c r="F150" s="356" t="s">
        <v>20</v>
      </c>
      <c r="G150" s="356" t="s">
        <v>8910</v>
      </c>
      <c r="H150" s="356" t="s">
        <v>8911</v>
      </c>
      <c r="I150" s="356" t="s">
        <v>94</v>
      </c>
      <c r="J150" s="356" t="s">
        <v>8397</v>
      </c>
      <c r="K150" s="356" t="s">
        <v>8912</v>
      </c>
    </row>
    <row r="151" spans="1:11" ht="30">
      <c r="A151" s="353"/>
      <c r="B151" s="353"/>
      <c r="C151" s="353"/>
      <c r="D151" s="356" t="s">
        <v>8913</v>
      </c>
      <c r="E151" s="356" t="s">
        <v>8914</v>
      </c>
      <c r="F151" s="356" t="s">
        <v>20</v>
      </c>
      <c r="G151" s="356" t="s">
        <v>8915</v>
      </c>
      <c r="H151" s="356" t="s">
        <v>8916</v>
      </c>
      <c r="I151" s="356" t="s">
        <v>23</v>
      </c>
      <c r="J151" s="356" t="s">
        <v>8335</v>
      </c>
      <c r="K151" s="356" t="s">
        <v>8917</v>
      </c>
    </row>
    <row r="152" spans="1:11" ht="30">
      <c r="A152" s="353"/>
      <c r="B152" s="353"/>
      <c r="C152" s="353" t="s">
        <v>8918</v>
      </c>
      <c r="D152" s="356" t="s">
        <v>8919</v>
      </c>
      <c r="E152" s="356" t="s">
        <v>8920</v>
      </c>
      <c r="F152" s="356" t="s">
        <v>20</v>
      </c>
      <c r="G152" s="356" t="s">
        <v>8921</v>
      </c>
      <c r="H152" s="356" t="s">
        <v>8922</v>
      </c>
      <c r="I152" s="356" t="s">
        <v>23</v>
      </c>
      <c r="J152" s="356" t="s">
        <v>8771</v>
      </c>
      <c r="K152" s="356" t="s">
        <v>8923</v>
      </c>
    </row>
    <row r="153" spans="1:11" ht="45">
      <c r="A153" s="353"/>
      <c r="B153" s="353"/>
      <c r="C153" s="353"/>
      <c r="D153" s="356" t="s">
        <v>8924</v>
      </c>
      <c r="E153" s="356" t="s">
        <v>8925</v>
      </c>
      <c r="F153" s="356" t="s">
        <v>425</v>
      </c>
      <c r="G153" s="356" t="s">
        <v>8926</v>
      </c>
      <c r="H153" s="356" t="s">
        <v>8927</v>
      </c>
      <c r="I153" s="356" t="s">
        <v>23</v>
      </c>
      <c r="J153" s="356" t="s">
        <v>8928</v>
      </c>
      <c r="K153" s="356" t="s">
        <v>8929</v>
      </c>
    </row>
    <row r="154" spans="1:11" ht="45">
      <c r="A154" s="353"/>
      <c r="B154" s="353"/>
      <c r="C154" s="353"/>
      <c r="D154" s="356" t="s">
        <v>8930</v>
      </c>
      <c r="E154" s="356" t="s">
        <v>8931</v>
      </c>
      <c r="F154" s="356" t="s">
        <v>20</v>
      </c>
      <c r="G154" s="356" t="s">
        <v>8932</v>
      </c>
      <c r="H154" s="356" t="s">
        <v>8933</v>
      </c>
      <c r="I154" s="356" t="s">
        <v>23</v>
      </c>
      <c r="J154" s="356" t="s">
        <v>8934</v>
      </c>
      <c r="K154" s="356" t="s">
        <v>8935</v>
      </c>
    </row>
    <row r="155" spans="1:11" ht="30">
      <c r="A155" s="353"/>
      <c r="B155" s="353"/>
      <c r="C155" s="353"/>
      <c r="D155" s="356" t="s">
        <v>8936</v>
      </c>
      <c r="E155" s="356" t="s">
        <v>8937</v>
      </c>
      <c r="F155" s="356" t="s">
        <v>229</v>
      </c>
      <c r="G155" s="356" t="s">
        <v>8938</v>
      </c>
      <c r="H155" s="356" t="s">
        <v>8939</v>
      </c>
      <c r="I155" s="356" t="s">
        <v>94</v>
      </c>
      <c r="J155" s="356" t="s">
        <v>8940</v>
      </c>
      <c r="K155" s="356" t="s">
        <v>8941</v>
      </c>
    </row>
    <row r="156" spans="1:11" ht="45">
      <c r="A156" s="353"/>
      <c r="B156" s="353"/>
      <c r="C156" s="353"/>
      <c r="D156" s="356" t="s">
        <v>8942</v>
      </c>
      <c r="E156" s="356" t="s">
        <v>8943</v>
      </c>
      <c r="F156" s="356" t="s">
        <v>425</v>
      </c>
      <c r="G156" s="356" t="s">
        <v>8944</v>
      </c>
      <c r="H156" s="356" t="s">
        <v>8945</v>
      </c>
      <c r="I156" s="356" t="s">
        <v>23</v>
      </c>
      <c r="J156" s="356" t="s">
        <v>8335</v>
      </c>
      <c r="K156" s="356" t="s">
        <v>8946</v>
      </c>
    </row>
  </sheetData>
  <mergeCells count="37">
    <mergeCell ref="C147:C151"/>
    <mergeCell ref="C152:C156"/>
    <mergeCell ref="A2:A156"/>
    <mergeCell ref="C112:C146"/>
    <mergeCell ref="D112:D116"/>
    <mergeCell ref="D117:D121"/>
    <mergeCell ref="D122:D126"/>
    <mergeCell ref="D127:D131"/>
    <mergeCell ref="D132:D136"/>
    <mergeCell ref="D137:D141"/>
    <mergeCell ref="D142:D146"/>
    <mergeCell ref="D82:D86"/>
    <mergeCell ref="D87:D91"/>
    <mergeCell ref="D92:D96"/>
    <mergeCell ref="D97:D101"/>
    <mergeCell ref="D102:D106"/>
    <mergeCell ref="D107:D111"/>
    <mergeCell ref="D37:D41"/>
    <mergeCell ref="D42:D46"/>
    <mergeCell ref="D47:D51"/>
    <mergeCell ref="D52:D56"/>
    <mergeCell ref="D57:D61"/>
    <mergeCell ref="C62:C111"/>
    <mergeCell ref="D62:D66"/>
    <mergeCell ref="D67:D71"/>
    <mergeCell ref="D72:D76"/>
    <mergeCell ref="D77:D81"/>
    <mergeCell ref="B2:B156"/>
    <mergeCell ref="C2:C26"/>
    <mergeCell ref="D2:D6"/>
    <mergeCell ref="D7:D11"/>
    <mergeCell ref="D12:D16"/>
    <mergeCell ref="D17:D21"/>
    <mergeCell ref="D22:D26"/>
    <mergeCell ref="C27:C61"/>
    <mergeCell ref="D27:D31"/>
    <mergeCell ref="D32:D3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topLeftCell="D122" workbookViewId="0">
      <selection activeCell="E129" sqref="E129"/>
    </sheetView>
  </sheetViews>
  <sheetFormatPr baseColWidth="10" defaultRowHeight="15"/>
  <cols>
    <col min="1" max="1" width="24.42578125" style="306" customWidth="1"/>
    <col min="2" max="2" width="30.28515625" style="306" customWidth="1"/>
    <col min="3" max="3" width="48.42578125" style="306" customWidth="1"/>
    <col min="4" max="4" width="53.42578125" style="306" customWidth="1"/>
    <col min="5" max="5" width="68.7109375" style="306" customWidth="1"/>
    <col min="6" max="6" width="10" style="361" customWidth="1"/>
    <col min="7" max="7" width="36.5703125" style="306" customWidth="1"/>
    <col min="8" max="8" width="11.42578125" style="306"/>
    <col min="9" max="9" width="11.7109375" style="306" bestFit="1" customWidth="1"/>
    <col min="10" max="10" width="31.5703125" style="306" customWidth="1"/>
    <col min="11" max="11" width="40.28515625" style="360" customWidth="1"/>
    <col min="12" max="16384" width="11.42578125" style="306"/>
  </cols>
  <sheetData>
    <row r="1" spans="1:11">
      <c r="A1" s="368" t="s">
        <v>1677</v>
      </c>
      <c r="B1" s="367" t="s">
        <v>8948</v>
      </c>
      <c r="C1" s="367" t="s">
        <v>8949</v>
      </c>
      <c r="D1" s="367" t="s">
        <v>8950</v>
      </c>
      <c r="E1" s="367" t="s">
        <v>8054</v>
      </c>
      <c r="F1" s="357" t="s">
        <v>8056</v>
      </c>
      <c r="G1" s="356" t="s">
        <v>8055</v>
      </c>
      <c r="H1" s="356" t="s">
        <v>8057</v>
      </c>
      <c r="I1" s="357" t="s">
        <v>12</v>
      </c>
      <c r="J1" s="356" t="s">
        <v>8058</v>
      </c>
      <c r="K1" s="356" t="s">
        <v>1678</v>
      </c>
    </row>
    <row r="2" spans="1:11" ht="30">
      <c r="A2" s="359" t="s">
        <v>9640</v>
      </c>
      <c r="B2" s="362" t="s">
        <v>8951</v>
      </c>
      <c r="C2" s="362" t="s">
        <v>8952</v>
      </c>
      <c r="D2" s="369" t="s">
        <v>8953</v>
      </c>
      <c r="E2" s="369" t="s">
        <v>8954</v>
      </c>
      <c r="F2" s="357" t="s">
        <v>229</v>
      </c>
      <c r="G2" s="356" t="s">
        <v>8955</v>
      </c>
      <c r="H2" s="356" t="s">
        <v>8335</v>
      </c>
      <c r="I2" s="357" t="s">
        <v>23</v>
      </c>
      <c r="J2" s="356" t="s">
        <v>8956</v>
      </c>
      <c r="K2" s="356" t="s">
        <v>8957</v>
      </c>
    </row>
    <row r="3" spans="1:11" ht="60">
      <c r="A3" s="359"/>
      <c r="B3" s="362"/>
      <c r="C3" s="362"/>
      <c r="D3" s="369" t="s">
        <v>8958</v>
      </c>
      <c r="E3" s="369" t="s">
        <v>8959</v>
      </c>
      <c r="F3" s="357" t="s">
        <v>20</v>
      </c>
      <c r="G3" s="356" t="s">
        <v>8899</v>
      </c>
      <c r="H3" s="356" t="s">
        <v>8960</v>
      </c>
      <c r="I3" s="357" t="s">
        <v>94</v>
      </c>
      <c r="J3" s="356" t="s">
        <v>8961</v>
      </c>
      <c r="K3" s="356" t="s">
        <v>8962</v>
      </c>
    </row>
    <row r="4" spans="1:11" ht="60">
      <c r="A4" s="359"/>
      <c r="B4" s="362"/>
      <c r="C4" s="362"/>
      <c r="D4" s="369" t="s">
        <v>8963</v>
      </c>
      <c r="E4" s="369" t="s">
        <v>8964</v>
      </c>
      <c r="F4" s="357" t="s">
        <v>20</v>
      </c>
      <c r="G4" s="356" t="s">
        <v>8965</v>
      </c>
      <c r="H4" s="356" t="s">
        <v>8966</v>
      </c>
      <c r="I4" s="357" t="s">
        <v>94</v>
      </c>
      <c r="J4" s="356" t="s">
        <v>8771</v>
      </c>
      <c r="K4" s="356" t="s">
        <v>8967</v>
      </c>
    </row>
    <row r="5" spans="1:11" ht="30">
      <c r="A5" s="359"/>
      <c r="B5" s="362"/>
      <c r="C5" s="362"/>
      <c r="D5" s="369" t="s">
        <v>8968</v>
      </c>
      <c r="E5" s="369" t="s">
        <v>8969</v>
      </c>
      <c r="F5" s="357" t="s">
        <v>20</v>
      </c>
      <c r="G5" s="356" t="s">
        <v>8970</v>
      </c>
      <c r="H5" s="356" t="s">
        <v>8971</v>
      </c>
      <c r="I5" s="357" t="s">
        <v>23</v>
      </c>
      <c r="J5" s="356" t="s">
        <v>8335</v>
      </c>
      <c r="K5" s="356" t="s">
        <v>8946</v>
      </c>
    </row>
    <row r="6" spans="1:11" ht="30">
      <c r="A6" s="359"/>
      <c r="B6" s="362"/>
      <c r="C6" s="362"/>
      <c r="D6" s="369" t="s">
        <v>8972</v>
      </c>
      <c r="E6" s="369" t="s">
        <v>8973</v>
      </c>
      <c r="F6" s="357" t="s">
        <v>229</v>
      </c>
      <c r="G6" s="356" t="s">
        <v>8974</v>
      </c>
      <c r="H6" s="356" t="s">
        <v>8975</v>
      </c>
      <c r="I6" s="357" t="s">
        <v>94</v>
      </c>
      <c r="J6" s="356" t="s">
        <v>8378</v>
      </c>
      <c r="K6" s="356" t="s">
        <v>8976</v>
      </c>
    </row>
    <row r="7" spans="1:11" ht="60">
      <c r="A7" s="359"/>
      <c r="B7" s="362"/>
      <c r="C7" s="362" t="s">
        <v>8977</v>
      </c>
      <c r="D7" s="369" t="s">
        <v>8978</v>
      </c>
      <c r="E7" s="369" t="s">
        <v>8979</v>
      </c>
      <c r="F7" s="357" t="s">
        <v>229</v>
      </c>
      <c r="G7" s="356" t="s">
        <v>8980</v>
      </c>
      <c r="H7" s="356" t="s">
        <v>8981</v>
      </c>
      <c r="I7" s="357" t="s">
        <v>23</v>
      </c>
      <c r="J7" s="356" t="s">
        <v>8982</v>
      </c>
      <c r="K7" s="356" t="s">
        <v>8983</v>
      </c>
    </row>
    <row r="8" spans="1:11" ht="60">
      <c r="A8" s="359"/>
      <c r="B8" s="362"/>
      <c r="C8" s="362"/>
      <c r="D8" s="369" t="s">
        <v>8984</v>
      </c>
      <c r="E8" s="369" t="s">
        <v>8985</v>
      </c>
      <c r="F8" s="357" t="s">
        <v>229</v>
      </c>
      <c r="G8" s="356" t="s">
        <v>8986</v>
      </c>
      <c r="H8" s="356" t="s">
        <v>8987</v>
      </c>
      <c r="I8" s="357" t="s">
        <v>94</v>
      </c>
      <c r="J8" s="356" t="s">
        <v>8988</v>
      </c>
      <c r="K8" s="356" t="s">
        <v>8989</v>
      </c>
    </row>
    <row r="9" spans="1:11" ht="60">
      <c r="A9" s="359"/>
      <c r="B9" s="362"/>
      <c r="C9" s="362"/>
      <c r="D9" s="369" t="s">
        <v>8990</v>
      </c>
      <c r="E9" s="369" t="s">
        <v>8991</v>
      </c>
      <c r="F9" s="357" t="s">
        <v>229</v>
      </c>
      <c r="G9" s="356" t="s">
        <v>8992</v>
      </c>
      <c r="H9" s="356" t="s">
        <v>8993</v>
      </c>
      <c r="I9" s="357" t="s">
        <v>94</v>
      </c>
      <c r="J9" s="356" t="s">
        <v>8994</v>
      </c>
      <c r="K9" s="356" t="s">
        <v>8995</v>
      </c>
    </row>
    <row r="10" spans="1:11" ht="30">
      <c r="A10" s="359"/>
      <c r="B10" s="362"/>
      <c r="C10" s="362"/>
      <c r="D10" s="369" t="s">
        <v>8996</v>
      </c>
      <c r="E10" s="369" t="s">
        <v>8997</v>
      </c>
      <c r="F10" s="357" t="s">
        <v>425</v>
      </c>
      <c r="G10" s="356" t="s">
        <v>8998</v>
      </c>
      <c r="H10" s="356" t="s">
        <v>8539</v>
      </c>
      <c r="I10" s="357" t="s">
        <v>23</v>
      </c>
      <c r="J10" s="356" t="s">
        <v>8999</v>
      </c>
      <c r="K10" s="356" t="s">
        <v>9000</v>
      </c>
    </row>
    <row r="11" spans="1:11" ht="30">
      <c r="A11" s="359"/>
      <c r="B11" s="362"/>
      <c r="C11" s="362"/>
      <c r="D11" s="369" t="s">
        <v>9001</v>
      </c>
      <c r="E11" s="369" t="s">
        <v>9002</v>
      </c>
      <c r="F11" s="357" t="s">
        <v>229</v>
      </c>
      <c r="G11" s="356" t="s">
        <v>8568</v>
      </c>
      <c r="H11" s="356" t="s">
        <v>8569</v>
      </c>
      <c r="I11" s="357" t="s">
        <v>94</v>
      </c>
      <c r="J11" s="356" t="s">
        <v>8570</v>
      </c>
      <c r="K11" s="356" t="s">
        <v>9003</v>
      </c>
    </row>
    <row r="12" spans="1:11" ht="45">
      <c r="A12" s="359"/>
      <c r="B12" s="362"/>
      <c r="C12" s="362" t="s">
        <v>9004</v>
      </c>
      <c r="D12" s="369" t="s">
        <v>9005</v>
      </c>
      <c r="E12" s="369" t="s">
        <v>9006</v>
      </c>
      <c r="F12" s="357" t="s">
        <v>229</v>
      </c>
      <c r="G12" s="356" t="s">
        <v>9007</v>
      </c>
      <c r="H12" s="356" t="s">
        <v>9008</v>
      </c>
      <c r="I12" s="357" t="s">
        <v>94</v>
      </c>
      <c r="J12" s="356" t="s">
        <v>9009</v>
      </c>
      <c r="K12" s="356" t="s">
        <v>9010</v>
      </c>
    </row>
    <row r="13" spans="1:11" ht="45">
      <c r="A13" s="359"/>
      <c r="B13" s="362"/>
      <c r="C13" s="362"/>
      <c r="D13" s="369" t="s">
        <v>9011</v>
      </c>
      <c r="E13" s="369" t="s">
        <v>9012</v>
      </c>
      <c r="F13" s="357" t="s">
        <v>20</v>
      </c>
      <c r="G13" s="356" t="s">
        <v>9013</v>
      </c>
      <c r="H13" s="356" t="s">
        <v>9014</v>
      </c>
      <c r="I13" s="357" t="s">
        <v>94</v>
      </c>
      <c r="J13" s="356" t="s">
        <v>9015</v>
      </c>
      <c r="K13" s="356" t="s">
        <v>9016</v>
      </c>
    </row>
    <row r="14" spans="1:11" ht="30">
      <c r="A14" s="359"/>
      <c r="B14" s="362"/>
      <c r="C14" s="362"/>
      <c r="D14" s="369" t="s">
        <v>9017</v>
      </c>
      <c r="E14" s="369" t="s">
        <v>9018</v>
      </c>
      <c r="F14" s="357" t="s">
        <v>229</v>
      </c>
      <c r="G14" s="356" t="s">
        <v>9019</v>
      </c>
      <c r="H14" s="356" t="s">
        <v>9020</v>
      </c>
      <c r="I14" s="357" t="s">
        <v>23</v>
      </c>
      <c r="J14" s="356" t="s">
        <v>8342</v>
      </c>
      <c r="K14" s="356" t="s">
        <v>9021</v>
      </c>
    </row>
    <row r="15" spans="1:11" ht="45">
      <c r="A15" s="359"/>
      <c r="B15" s="362"/>
      <c r="C15" s="362"/>
      <c r="D15" s="369" t="s">
        <v>9022</v>
      </c>
      <c r="E15" s="369" t="s">
        <v>9023</v>
      </c>
      <c r="F15" s="357" t="s">
        <v>20</v>
      </c>
      <c r="G15" s="356" t="s">
        <v>9024</v>
      </c>
      <c r="H15" s="356" t="s">
        <v>9025</v>
      </c>
      <c r="I15" s="357" t="s">
        <v>23</v>
      </c>
      <c r="J15" s="356" t="s">
        <v>9026</v>
      </c>
      <c r="K15" s="356" t="s">
        <v>9027</v>
      </c>
    </row>
    <row r="16" spans="1:11" ht="45">
      <c r="A16" s="359"/>
      <c r="B16" s="362"/>
      <c r="C16" s="362"/>
      <c r="D16" s="369" t="s">
        <v>9028</v>
      </c>
      <c r="E16" s="369" t="s">
        <v>9029</v>
      </c>
      <c r="F16" s="357" t="s">
        <v>20</v>
      </c>
      <c r="G16" s="356" t="s">
        <v>9030</v>
      </c>
      <c r="H16" s="356" t="s">
        <v>9031</v>
      </c>
      <c r="I16" s="357" t="s">
        <v>94</v>
      </c>
      <c r="J16" s="356" t="s">
        <v>9032</v>
      </c>
      <c r="K16" s="356" t="s">
        <v>9033</v>
      </c>
    </row>
    <row r="17" spans="1:11" ht="30">
      <c r="A17" s="359"/>
      <c r="B17" s="362"/>
      <c r="C17" s="362" t="s">
        <v>9034</v>
      </c>
      <c r="D17" s="369" t="s">
        <v>9035</v>
      </c>
      <c r="E17" s="369" t="s">
        <v>9036</v>
      </c>
      <c r="F17" s="357" t="s">
        <v>20</v>
      </c>
      <c r="G17" s="356" t="s">
        <v>9037</v>
      </c>
      <c r="H17" s="356" t="s">
        <v>8859</v>
      </c>
      <c r="I17" s="357" t="s">
        <v>94</v>
      </c>
      <c r="J17" s="356" t="s">
        <v>8402</v>
      </c>
      <c r="K17" s="356" t="s">
        <v>9038</v>
      </c>
    </row>
    <row r="18" spans="1:11" ht="60">
      <c r="A18" s="359"/>
      <c r="B18" s="362"/>
      <c r="C18" s="362"/>
      <c r="D18" s="369" t="s">
        <v>9039</v>
      </c>
      <c r="E18" s="369" t="s">
        <v>9040</v>
      </c>
      <c r="F18" s="357" t="s">
        <v>425</v>
      </c>
      <c r="G18" s="356" t="s">
        <v>9041</v>
      </c>
      <c r="H18" s="356" t="s">
        <v>9042</v>
      </c>
      <c r="I18" s="357" t="s">
        <v>23</v>
      </c>
      <c r="J18" s="356" t="s">
        <v>8601</v>
      </c>
      <c r="K18" s="356" t="s">
        <v>9043</v>
      </c>
    </row>
    <row r="19" spans="1:11" ht="30">
      <c r="A19" s="359"/>
      <c r="B19" s="362"/>
      <c r="C19" s="362"/>
      <c r="D19" s="369" t="s">
        <v>9044</v>
      </c>
      <c r="E19" s="369" t="s">
        <v>9045</v>
      </c>
      <c r="F19" s="357" t="s">
        <v>20</v>
      </c>
      <c r="G19" s="356" t="s">
        <v>9046</v>
      </c>
      <c r="H19" s="356" t="s">
        <v>9047</v>
      </c>
      <c r="I19" s="357" t="s">
        <v>23</v>
      </c>
      <c r="J19" s="356" t="s">
        <v>9048</v>
      </c>
      <c r="K19" s="356" t="s">
        <v>9049</v>
      </c>
    </row>
    <row r="20" spans="1:11" ht="45">
      <c r="A20" s="359"/>
      <c r="B20" s="362"/>
      <c r="C20" s="362"/>
      <c r="D20" s="369" t="s">
        <v>9050</v>
      </c>
      <c r="E20" s="369" t="s">
        <v>9051</v>
      </c>
      <c r="F20" s="357" t="s">
        <v>229</v>
      </c>
      <c r="G20" s="356" t="s">
        <v>9052</v>
      </c>
      <c r="H20" s="356" t="s">
        <v>8702</v>
      </c>
      <c r="I20" s="357" t="s">
        <v>94</v>
      </c>
      <c r="J20" s="356" t="s">
        <v>9053</v>
      </c>
      <c r="K20" s="356" t="s">
        <v>9054</v>
      </c>
    </row>
    <row r="21" spans="1:11" ht="30">
      <c r="A21" s="359"/>
      <c r="B21" s="362"/>
      <c r="C21" s="362"/>
      <c r="D21" s="369" t="s">
        <v>9055</v>
      </c>
      <c r="E21" s="369" t="s">
        <v>9056</v>
      </c>
      <c r="F21" s="357" t="s">
        <v>425</v>
      </c>
      <c r="G21" s="356" t="s">
        <v>9057</v>
      </c>
      <c r="H21" s="356" t="s">
        <v>9058</v>
      </c>
      <c r="I21" s="357" t="s">
        <v>23</v>
      </c>
      <c r="J21" s="356" t="s">
        <v>9059</v>
      </c>
      <c r="K21" s="356" t="s">
        <v>9060</v>
      </c>
    </row>
    <row r="22" spans="1:11" ht="45">
      <c r="A22" s="359"/>
      <c r="B22" s="362"/>
      <c r="C22" s="362" t="s">
        <v>9061</v>
      </c>
      <c r="D22" s="369" t="s">
        <v>9062</v>
      </c>
      <c r="E22" s="369" t="s">
        <v>9063</v>
      </c>
      <c r="F22" s="357" t="s">
        <v>229</v>
      </c>
      <c r="G22" s="356" t="s">
        <v>9064</v>
      </c>
      <c r="H22" s="356" t="s">
        <v>9065</v>
      </c>
      <c r="I22" s="357" t="s">
        <v>23</v>
      </c>
      <c r="J22" s="356" t="s">
        <v>9066</v>
      </c>
      <c r="K22" s="356" t="s">
        <v>9067</v>
      </c>
    </row>
    <row r="23" spans="1:11" ht="45">
      <c r="A23" s="359"/>
      <c r="B23" s="362"/>
      <c r="C23" s="362"/>
      <c r="D23" s="369" t="s">
        <v>9068</v>
      </c>
      <c r="E23" s="369" t="s">
        <v>9069</v>
      </c>
      <c r="F23" s="357" t="s">
        <v>229</v>
      </c>
      <c r="G23" s="356" t="s">
        <v>9070</v>
      </c>
      <c r="H23" s="356" t="s">
        <v>8901</v>
      </c>
      <c r="I23" s="357" t="s">
        <v>23</v>
      </c>
      <c r="J23" s="356" t="s">
        <v>9071</v>
      </c>
      <c r="K23" s="356" t="s">
        <v>9072</v>
      </c>
    </row>
    <row r="24" spans="1:11" ht="30">
      <c r="A24" s="359"/>
      <c r="B24" s="362"/>
      <c r="C24" s="362"/>
      <c r="D24" s="369" t="s">
        <v>9073</v>
      </c>
      <c r="E24" s="369" t="s">
        <v>9074</v>
      </c>
      <c r="F24" s="357" t="s">
        <v>229</v>
      </c>
      <c r="G24" s="356" t="s">
        <v>9075</v>
      </c>
      <c r="H24" s="356" t="s">
        <v>9076</v>
      </c>
      <c r="I24" s="357" t="s">
        <v>23</v>
      </c>
      <c r="J24" s="356" t="s">
        <v>9077</v>
      </c>
      <c r="K24" s="356" t="s">
        <v>9078</v>
      </c>
    </row>
    <row r="25" spans="1:11" ht="45">
      <c r="A25" s="359"/>
      <c r="B25" s="362"/>
      <c r="C25" s="362"/>
      <c r="D25" s="369" t="s">
        <v>9079</v>
      </c>
      <c r="E25" s="369" t="s">
        <v>9080</v>
      </c>
      <c r="F25" s="357" t="s">
        <v>20</v>
      </c>
      <c r="G25" s="356" t="s">
        <v>9081</v>
      </c>
      <c r="H25" s="356" t="s">
        <v>9082</v>
      </c>
      <c r="I25" s="357" t="s">
        <v>94</v>
      </c>
      <c r="J25" s="356" t="s">
        <v>8630</v>
      </c>
      <c r="K25" s="356" t="s">
        <v>9083</v>
      </c>
    </row>
    <row r="26" spans="1:11" ht="60">
      <c r="A26" s="359"/>
      <c r="B26" s="362"/>
      <c r="C26" s="362"/>
      <c r="D26" s="369" t="s">
        <v>9084</v>
      </c>
      <c r="E26" s="369" t="s">
        <v>9085</v>
      </c>
      <c r="F26" s="357" t="s">
        <v>20</v>
      </c>
      <c r="G26" s="356" t="s">
        <v>9086</v>
      </c>
      <c r="H26" s="356" t="s">
        <v>8534</v>
      </c>
      <c r="I26" s="357" t="s">
        <v>23</v>
      </c>
      <c r="J26" s="356" t="s">
        <v>9087</v>
      </c>
      <c r="K26" s="356" t="s">
        <v>9088</v>
      </c>
    </row>
    <row r="27" spans="1:11" ht="45">
      <c r="A27" s="359"/>
      <c r="B27" s="363" t="s">
        <v>9089</v>
      </c>
      <c r="C27" s="363" t="s">
        <v>9090</v>
      </c>
      <c r="D27" s="370" t="s">
        <v>9091</v>
      </c>
      <c r="E27" s="370" t="s">
        <v>9092</v>
      </c>
      <c r="F27" s="357" t="s">
        <v>20</v>
      </c>
      <c r="G27" s="356" t="s">
        <v>9093</v>
      </c>
      <c r="H27" s="356" t="s">
        <v>9094</v>
      </c>
      <c r="I27" s="357" t="s">
        <v>94</v>
      </c>
      <c r="J27" s="356" t="s">
        <v>9095</v>
      </c>
      <c r="K27" s="356" t="s">
        <v>9096</v>
      </c>
    </row>
    <row r="28" spans="1:11" ht="45">
      <c r="A28" s="359"/>
      <c r="B28" s="363"/>
      <c r="C28" s="363"/>
      <c r="D28" s="370" t="s">
        <v>9097</v>
      </c>
      <c r="E28" s="370" t="s">
        <v>9098</v>
      </c>
      <c r="F28" s="357" t="s">
        <v>20</v>
      </c>
      <c r="G28" s="356" t="s">
        <v>9099</v>
      </c>
      <c r="H28" s="356" t="s">
        <v>9100</v>
      </c>
      <c r="I28" s="357" t="s">
        <v>94</v>
      </c>
      <c r="J28" s="356" t="s">
        <v>9101</v>
      </c>
      <c r="K28" s="356" t="s">
        <v>9102</v>
      </c>
    </row>
    <row r="29" spans="1:11" ht="45">
      <c r="A29" s="359"/>
      <c r="B29" s="363"/>
      <c r="C29" s="363"/>
      <c r="D29" s="370" t="s">
        <v>9103</v>
      </c>
      <c r="E29" s="370" t="s">
        <v>9104</v>
      </c>
      <c r="F29" s="357" t="s">
        <v>20</v>
      </c>
      <c r="G29" s="356" t="s">
        <v>9105</v>
      </c>
      <c r="H29" s="356" t="s">
        <v>9106</v>
      </c>
      <c r="I29" s="357" t="s">
        <v>23</v>
      </c>
      <c r="J29" s="356" t="s">
        <v>8336</v>
      </c>
      <c r="K29" s="356" t="s">
        <v>9107</v>
      </c>
    </row>
    <row r="30" spans="1:11" ht="60">
      <c r="A30" s="359"/>
      <c r="B30" s="363"/>
      <c r="C30" s="363"/>
      <c r="D30" s="370" t="s">
        <v>9108</v>
      </c>
      <c r="E30" s="370" t="s">
        <v>9109</v>
      </c>
      <c r="F30" s="357" t="s">
        <v>20</v>
      </c>
      <c r="G30" s="356" t="s">
        <v>8799</v>
      </c>
      <c r="H30" s="356" t="s">
        <v>9110</v>
      </c>
      <c r="I30" s="357" t="s">
        <v>94</v>
      </c>
      <c r="J30" s="356" t="s">
        <v>9111</v>
      </c>
      <c r="K30" s="356" t="s">
        <v>9112</v>
      </c>
    </row>
    <row r="31" spans="1:11" ht="45">
      <c r="A31" s="359"/>
      <c r="B31" s="363"/>
      <c r="C31" s="363"/>
      <c r="D31" s="370" t="s">
        <v>9113</v>
      </c>
      <c r="E31" s="370" t="s">
        <v>9114</v>
      </c>
      <c r="F31" s="357" t="s">
        <v>20</v>
      </c>
      <c r="G31" s="356" t="s">
        <v>9115</v>
      </c>
      <c r="H31" s="356" t="s">
        <v>8748</v>
      </c>
      <c r="I31" s="357" t="s">
        <v>94</v>
      </c>
      <c r="J31" s="356" t="s">
        <v>9116</v>
      </c>
      <c r="K31" s="356" t="s">
        <v>9117</v>
      </c>
    </row>
    <row r="32" spans="1:11" ht="45">
      <c r="A32" s="359"/>
      <c r="B32" s="363"/>
      <c r="C32" s="363" t="s">
        <v>9118</v>
      </c>
      <c r="D32" s="370" t="s">
        <v>9119</v>
      </c>
      <c r="E32" s="370" t="s">
        <v>9120</v>
      </c>
      <c r="F32" s="357" t="s">
        <v>20</v>
      </c>
      <c r="G32" s="356" t="s">
        <v>9121</v>
      </c>
      <c r="H32" s="356" t="s">
        <v>9122</v>
      </c>
      <c r="I32" s="357" t="s">
        <v>94</v>
      </c>
      <c r="J32" s="356" t="s">
        <v>8784</v>
      </c>
      <c r="K32" s="356" t="s">
        <v>9123</v>
      </c>
    </row>
    <row r="33" spans="1:11" ht="30">
      <c r="A33" s="359"/>
      <c r="B33" s="363"/>
      <c r="C33" s="363"/>
      <c r="D33" s="370" t="s">
        <v>9124</v>
      </c>
      <c r="E33" s="370" t="s">
        <v>9125</v>
      </c>
      <c r="F33" s="357" t="s">
        <v>229</v>
      </c>
      <c r="G33" s="356" t="s">
        <v>9126</v>
      </c>
      <c r="H33" s="356" t="s">
        <v>9127</v>
      </c>
      <c r="I33" s="357" t="s">
        <v>23</v>
      </c>
      <c r="J33" s="356" t="s">
        <v>9128</v>
      </c>
      <c r="K33" s="356" t="s">
        <v>9129</v>
      </c>
    </row>
    <row r="34" spans="1:11" ht="45">
      <c r="A34" s="359"/>
      <c r="B34" s="363"/>
      <c r="C34" s="363"/>
      <c r="D34" s="370" t="s">
        <v>9130</v>
      </c>
      <c r="E34" s="370" t="s">
        <v>9131</v>
      </c>
      <c r="F34" s="357" t="s">
        <v>229</v>
      </c>
      <c r="G34" s="356" t="s">
        <v>9132</v>
      </c>
      <c r="H34" s="356" t="s">
        <v>9133</v>
      </c>
      <c r="I34" s="357" t="s">
        <v>23</v>
      </c>
      <c r="J34" s="356" t="s">
        <v>8397</v>
      </c>
      <c r="K34" s="356" t="s">
        <v>9134</v>
      </c>
    </row>
    <row r="35" spans="1:11" ht="45">
      <c r="A35" s="359"/>
      <c r="B35" s="363"/>
      <c r="C35" s="363"/>
      <c r="D35" s="370" t="s">
        <v>9135</v>
      </c>
      <c r="E35" s="370" t="s">
        <v>9136</v>
      </c>
      <c r="F35" s="357" t="s">
        <v>229</v>
      </c>
      <c r="G35" s="356" t="s">
        <v>9137</v>
      </c>
      <c r="H35" s="356" t="s">
        <v>8498</v>
      </c>
      <c r="I35" s="357" t="s">
        <v>94</v>
      </c>
      <c r="J35" s="356" t="s">
        <v>9138</v>
      </c>
      <c r="K35" s="356" t="s">
        <v>9139</v>
      </c>
    </row>
    <row r="36" spans="1:11" ht="30">
      <c r="A36" s="359"/>
      <c r="B36" s="363"/>
      <c r="C36" s="363"/>
      <c r="D36" s="370" t="s">
        <v>9140</v>
      </c>
      <c r="E36" s="370" t="s">
        <v>9141</v>
      </c>
      <c r="F36" s="357" t="s">
        <v>20</v>
      </c>
      <c r="G36" s="356" t="s">
        <v>9142</v>
      </c>
      <c r="H36" s="356" t="s">
        <v>9143</v>
      </c>
      <c r="I36" s="357" t="s">
        <v>94</v>
      </c>
      <c r="J36" s="356" t="s">
        <v>8474</v>
      </c>
      <c r="K36" s="356" t="s">
        <v>9144</v>
      </c>
    </row>
    <row r="37" spans="1:11" ht="45">
      <c r="A37" s="359"/>
      <c r="B37" s="363"/>
      <c r="C37" s="363" t="s">
        <v>9145</v>
      </c>
      <c r="D37" s="370" t="s">
        <v>9146</v>
      </c>
      <c r="E37" s="370" t="s">
        <v>9147</v>
      </c>
      <c r="F37" s="357" t="s">
        <v>20</v>
      </c>
      <c r="G37" s="356" t="s">
        <v>9148</v>
      </c>
      <c r="H37" s="356" t="s">
        <v>9149</v>
      </c>
      <c r="I37" s="357" t="s">
        <v>23</v>
      </c>
      <c r="J37" s="356" t="s">
        <v>9150</v>
      </c>
      <c r="K37" s="356" t="s">
        <v>9151</v>
      </c>
    </row>
    <row r="38" spans="1:11" ht="60">
      <c r="A38" s="359"/>
      <c r="B38" s="363"/>
      <c r="C38" s="363"/>
      <c r="D38" s="370" t="s">
        <v>9152</v>
      </c>
      <c r="E38" s="370" t="s">
        <v>9153</v>
      </c>
      <c r="F38" s="357" t="s">
        <v>229</v>
      </c>
      <c r="G38" s="356" t="s">
        <v>9154</v>
      </c>
      <c r="H38" s="356" t="s">
        <v>8933</v>
      </c>
      <c r="I38" s="357" t="s">
        <v>23</v>
      </c>
      <c r="J38" s="356" t="s">
        <v>9155</v>
      </c>
      <c r="K38" s="356" t="s">
        <v>9156</v>
      </c>
    </row>
    <row r="39" spans="1:11" ht="30">
      <c r="A39" s="359"/>
      <c r="B39" s="363"/>
      <c r="C39" s="363"/>
      <c r="D39" s="370" t="s">
        <v>9157</v>
      </c>
      <c r="E39" s="370" t="s">
        <v>9158</v>
      </c>
      <c r="F39" s="357" t="s">
        <v>20</v>
      </c>
      <c r="G39" s="356" t="s">
        <v>8915</v>
      </c>
      <c r="H39" s="356" t="s">
        <v>8759</v>
      </c>
      <c r="I39" s="357" t="s">
        <v>94</v>
      </c>
      <c r="J39" s="356" t="s">
        <v>8492</v>
      </c>
      <c r="K39" s="356" t="s">
        <v>9159</v>
      </c>
    </row>
    <row r="40" spans="1:11" ht="45">
      <c r="A40" s="359"/>
      <c r="B40" s="363"/>
      <c r="C40" s="363"/>
      <c r="D40" s="370" t="s">
        <v>9160</v>
      </c>
      <c r="E40" s="370" t="s">
        <v>9161</v>
      </c>
      <c r="F40" s="357" t="s">
        <v>20</v>
      </c>
      <c r="G40" s="356" t="s">
        <v>9162</v>
      </c>
      <c r="H40" s="356" t="s">
        <v>9163</v>
      </c>
      <c r="I40" s="357" t="s">
        <v>23</v>
      </c>
      <c r="J40" s="356" t="s">
        <v>9164</v>
      </c>
      <c r="K40" s="356" t="s">
        <v>9165</v>
      </c>
    </row>
    <row r="41" spans="1:11" ht="45">
      <c r="A41" s="359"/>
      <c r="B41" s="363"/>
      <c r="C41" s="363"/>
      <c r="D41" s="370" t="s">
        <v>9166</v>
      </c>
      <c r="E41" s="370" t="s">
        <v>9167</v>
      </c>
      <c r="F41" s="357" t="s">
        <v>20</v>
      </c>
      <c r="G41" s="356" t="s">
        <v>9168</v>
      </c>
      <c r="H41" s="356" t="s">
        <v>9169</v>
      </c>
      <c r="I41" s="357" t="s">
        <v>94</v>
      </c>
      <c r="J41" s="356" t="s">
        <v>9170</v>
      </c>
      <c r="K41" s="356" t="s">
        <v>9171</v>
      </c>
    </row>
    <row r="42" spans="1:11" ht="60">
      <c r="A42" s="359"/>
      <c r="B42" s="363"/>
      <c r="C42" s="363" t="s">
        <v>9172</v>
      </c>
      <c r="D42" s="370" t="s">
        <v>9173</v>
      </c>
      <c r="E42" s="370" t="s">
        <v>9174</v>
      </c>
      <c r="F42" s="357" t="s">
        <v>20</v>
      </c>
      <c r="G42" s="356" t="s">
        <v>8775</v>
      </c>
      <c r="H42" s="356" t="s">
        <v>9175</v>
      </c>
      <c r="I42" s="357" t="s">
        <v>23</v>
      </c>
      <c r="J42" s="356" t="s">
        <v>8397</v>
      </c>
      <c r="K42" s="356" t="s">
        <v>9176</v>
      </c>
    </row>
    <row r="43" spans="1:11" ht="30">
      <c r="A43" s="359"/>
      <c r="B43" s="363"/>
      <c r="C43" s="363"/>
      <c r="D43" s="370" t="s">
        <v>9177</v>
      </c>
      <c r="E43" s="370" t="s">
        <v>9178</v>
      </c>
      <c r="F43" s="357" t="s">
        <v>20</v>
      </c>
      <c r="G43" s="356" t="s">
        <v>9179</v>
      </c>
      <c r="H43" s="356" t="s">
        <v>9180</v>
      </c>
      <c r="I43" s="357" t="s">
        <v>23</v>
      </c>
      <c r="J43" s="356" t="s">
        <v>9181</v>
      </c>
      <c r="K43" s="356" t="s">
        <v>9182</v>
      </c>
    </row>
    <row r="44" spans="1:11" ht="30">
      <c r="A44" s="359"/>
      <c r="B44" s="363"/>
      <c r="C44" s="363"/>
      <c r="D44" s="370" t="s">
        <v>9183</v>
      </c>
      <c r="E44" s="370" t="s">
        <v>9184</v>
      </c>
      <c r="F44" s="357" t="s">
        <v>229</v>
      </c>
      <c r="G44" s="356" t="s">
        <v>9185</v>
      </c>
      <c r="H44" s="356" t="s">
        <v>9186</v>
      </c>
      <c r="I44" s="357" t="s">
        <v>94</v>
      </c>
      <c r="J44" s="356" t="s">
        <v>9187</v>
      </c>
      <c r="K44" s="356" t="s">
        <v>9188</v>
      </c>
    </row>
    <row r="45" spans="1:11" ht="30">
      <c r="A45" s="359"/>
      <c r="B45" s="363"/>
      <c r="C45" s="363"/>
      <c r="D45" s="370" t="s">
        <v>9189</v>
      </c>
      <c r="E45" s="370" t="s">
        <v>9190</v>
      </c>
      <c r="F45" s="357" t="s">
        <v>229</v>
      </c>
      <c r="G45" s="356" t="s">
        <v>9191</v>
      </c>
      <c r="H45" s="356" t="s">
        <v>9192</v>
      </c>
      <c r="I45" s="357" t="s">
        <v>23</v>
      </c>
      <c r="J45" s="356" t="s">
        <v>9193</v>
      </c>
      <c r="K45" s="356" t="s">
        <v>9194</v>
      </c>
    </row>
    <row r="46" spans="1:11" ht="30">
      <c r="A46" s="359"/>
      <c r="B46" s="363"/>
      <c r="C46" s="363"/>
      <c r="D46" s="370" t="s">
        <v>9195</v>
      </c>
      <c r="E46" s="370" t="s">
        <v>9196</v>
      </c>
      <c r="F46" s="357" t="s">
        <v>425</v>
      </c>
      <c r="G46" s="356" t="s">
        <v>9197</v>
      </c>
      <c r="H46" s="356" t="s">
        <v>9198</v>
      </c>
      <c r="I46" s="357" t="s">
        <v>23</v>
      </c>
      <c r="J46" s="356" t="s">
        <v>9199</v>
      </c>
      <c r="K46" s="356" t="s">
        <v>9200</v>
      </c>
    </row>
    <row r="47" spans="1:11" ht="30">
      <c r="A47" s="359"/>
      <c r="B47" s="363"/>
      <c r="C47" s="363" t="s">
        <v>9201</v>
      </c>
      <c r="D47" s="370" t="s">
        <v>9202</v>
      </c>
      <c r="E47" s="370" t="s">
        <v>9203</v>
      </c>
      <c r="F47" s="357" t="s">
        <v>425</v>
      </c>
      <c r="G47" s="356" t="s">
        <v>9204</v>
      </c>
      <c r="H47" s="356" t="s">
        <v>9205</v>
      </c>
      <c r="I47" s="357" t="s">
        <v>23</v>
      </c>
      <c r="J47" s="356" t="s">
        <v>9206</v>
      </c>
      <c r="K47" s="356" t="s">
        <v>9207</v>
      </c>
    </row>
    <row r="48" spans="1:11" ht="45">
      <c r="A48" s="359"/>
      <c r="B48" s="363"/>
      <c r="C48" s="363"/>
      <c r="D48" s="370" t="s">
        <v>9208</v>
      </c>
      <c r="E48" s="370" t="s">
        <v>9209</v>
      </c>
      <c r="F48" s="357" t="s">
        <v>229</v>
      </c>
      <c r="G48" s="356" t="s">
        <v>9210</v>
      </c>
      <c r="H48" s="356" t="s">
        <v>9211</v>
      </c>
      <c r="I48" s="357" t="s">
        <v>23</v>
      </c>
      <c r="J48" s="356" t="s">
        <v>9212</v>
      </c>
      <c r="K48" s="356" t="s">
        <v>9213</v>
      </c>
    </row>
    <row r="49" spans="1:11" ht="30">
      <c r="A49" s="359"/>
      <c r="B49" s="363"/>
      <c r="C49" s="363"/>
      <c r="D49" s="370" t="s">
        <v>9214</v>
      </c>
      <c r="E49" s="370" t="s">
        <v>9215</v>
      </c>
      <c r="F49" s="357" t="s">
        <v>229</v>
      </c>
      <c r="G49" s="356" t="s">
        <v>9216</v>
      </c>
      <c r="H49" s="356" t="s">
        <v>9217</v>
      </c>
      <c r="I49" s="357" t="s">
        <v>94</v>
      </c>
      <c r="J49" s="356" t="s">
        <v>9218</v>
      </c>
      <c r="K49" s="356" t="s">
        <v>9219</v>
      </c>
    </row>
    <row r="50" spans="1:11" ht="45">
      <c r="A50" s="359"/>
      <c r="B50" s="363"/>
      <c r="C50" s="363"/>
      <c r="D50" s="370" t="s">
        <v>9220</v>
      </c>
      <c r="E50" s="370" t="s">
        <v>9221</v>
      </c>
      <c r="F50" s="357" t="s">
        <v>20</v>
      </c>
      <c r="G50" s="356" t="s">
        <v>9222</v>
      </c>
      <c r="H50" s="356" t="s">
        <v>9223</v>
      </c>
      <c r="I50" s="357" t="s">
        <v>23</v>
      </c>
      <c r="J50" s="356" t="s">
        <v>9224</v>
      </c>
      <c r="K50" s="356" t="s">
        <v>9225</v>
      </c>
    </row>
    <row r="51" spans="1:11" ht="60">
      <c r="A51" s="359"/>
      <c r="B51" s="363"/>
      <c r="C51" s="363"/>
      <c r="D51" s="370" t="s">
        <v>9226</v>
      </c>
      <c r="E51" s="370" t="s">
        <v>9227</v>
      </c>
      <c r="F51" s="357" t="s">
        <v>20</v>
      </c>
      <c r="G51" s="356" t="s">
        <v>9228</v>
      </c>
      <c r="H51" s="356" t="s">
        <v>9229</v>
      </c>
      <c r="I51" s="357" t="s">
        <v>94</v>
      </c>
      <c r="J51" s="356" t="s">
        <v>9230</v>
      </c>
      <c r="K51" s="356" t="s">
        <v>9231</v>
      </c>
    </row>
    <row r="52" spans="1:11" ht="30">
      <c r="A52" s="359"/>
      <c r="B52" s="364" t="s">
        <v>9232</v>
      </c>
      <c r="C52" s="364" t="s">
        <v>9233</v>
      </c>
      <c r="D52" s="371" t="s">
        <v>9234</v>
      </c>
      <c r="E52" s="371" t="s">
        <v>9235</v>
      </c>
      <c r="F52" s="357" t="s">
        <v>20</v>
      </c>
      <c r="G52" s="356" t="s">
        <v>9236</v>
      </c>
      <c r="H52" s="356" t="s">
        <v>9237</v>
      </c>
      <c r="I52" s="357" t="s">
        <v>94</v>
      </c>
      <c r="J52" s="356" t="s">
        <v>9048</v>
      </c>
      <c r="K52" s="356" t="s">
        <v>9238</v>
      </c>
    </row>
    <row r="53" spans="1:11" ht="30">
      <c r="A53" s="359"/>
      <c r="B53" s="364"/>
      <c r="C53" s="364"/>
      <c r="D53" s="371" t="s">
        <v>9239</v>
      </c>
      <c r="E53" s="371" t="s">
        <v>9240</v>
      </c>
      <c r="F53" s="357" t="s">
        <v>20</v>
      </c>
      <c r="G53" s="356" t="s">
        <v>9241</v>
      </c>
      <c r="H53" s="356" t="s">
        <v>9242</v>
      </c>
      <c r="I53" s="357" t="s">
        <v>23</v>
      </c>
      <c r="J53" s="356" t="s">
        <v>8402</v>
      </c>
      <c r="K53" s="356" t="s">
        <v>9243</v>
      </c>
    </row>
    <row r="54" spans="1:11" ht="30">
      <c r="A54" s="359"/>
      <c r="B54" s="364"/>
      <c r="C54" s="364"/>
      <c r="D54" s="371" t="s">
        <v>9244</v>
      </c>
      <c r="E54" s="371" t="s">
        <v>9245</v>
      </c>
      <c r="F54" s="357" t="s">
        <v>20</v>
      </c>
      <c r="G54" s="356" t="s">
        <v>9246</v>
      </c>
      <c r="H54" s="356" t="s">
        <v>9247</v>
      </c>
      <c r="I54" s="357" t="s">
        <v>94</v>
      </c>
      <c r="J54" s="356" t="s">
        <v>9248</v>
      </c>
      <c r="K54" s="356" t="s">
        <v>9249</v>
      </c>
    </row>
    <row r="55" spans="1:11" ht="30">
      <c r="A55" s="359"/>
      <c r="B55" s="364"/>
      <c r="C55" s="364"/>
      <c r="D55" s="371" t="s">
        <v>9250</v>
      </c>
      <c r="E55" s="371" t="s">
        <v>9251</v>
      </c>
      <c r="F55" s="357" t="s">
        <v>20</v>
      </c>
      <c r="G55" s="356" t="s">
        <v>9252</v>
      </c>
      <c r="H55" s="356" t="s">
        <v>9253</v>
      </c>
      <c r="I55" s="357" t="s">
        <v>23</v>
      </c>
      <c r="J55" s="356" t="s">
        <v>9254</v>
      </c>
      <c r="K55" s="356" t="s">
        <v>9255</v>
      </c>
    </row>
    <row r="56" spans="1:11" ht="30">
      <c r="A56" s="359"/>
      <c r="B56" s="364"/>
      <c r="C56" s="364"/>
      <c r="D56" s="371" t="s">
        <v>9256</v>
      </c>
      <c r="E56" s="371" t="s">
        <v>9257</v>
      </c>
      <c r="F56" s="357" t="s">
        <v>20</v>
      </c>
      <c r="G56" s="356" t="s">
        <v>9258</v>
      </c>
      <c r="H56" s="356" t="s">
        <v>9259</v>
      </c>
      <c r="I56" s="357" t="s">
        <v>94</v>
      </c>
      <c r="J56" s="356" t="s">
        <v>8367</v>
      </c>
      <c r="K56" s="356" t="s">
        <v>9260</v>
      </c>
    </row>
    <row r="57" spans="1:11" ht="30">
      <c r="A57" s="359"/>
      <c r="B57" s="364"/>
      <c r="C57" s="364" t="s">
        <v>9261</v>
      </c>
      <c r="D57" s="371" t="s">
        <v>9262</v>
      </c>
      <c r="E57" s="371" t="s">
        <v>9263</v>
      </c>
      <c r="F57" s="357" t="s">
        <v>20</v>
      </c>
      <c r="G57" s="356" t="s">
        <v>9264</v>
      </c>
      <c r="H57" s="356" t="s">
        <v>9265</v>
      </c>
      <c r="I57" s="357" t="s">
        <v>94</v>
      </c>
      <c r="J57" s="356" t="s">
        <v>8630</v>
      </c>
      <c r="K57" s="356" t="s">
        <v>9266</v>
      </c>
    </row>
    <row r="58" spans="1:11" ht="30">
      <c r="A58" s="359"/>
      <c r="B58" s="364"/>
      <c r="C58" s="364"/>
      <c r="D58" s="371" t="s">
        <v>9267</v>
      </c>
      <c r="E58" s="371" t="s">
        <v>9268</v>
      </c>
      <c r="F58" s="357" t="s">
        <v>20</v>
      </c>
      <c r="G58" s="356" t="s">
        <v>9269</v>
      </c>
      <c r="H58" s="356" t="s">
        <v>9270</v>
      </c>
      <c r="I58" s="357" t="s">
        <v>23</v>
      </c>
      <c r="J58" s="356" t="s">
        <v>9271</v>
      </c>
      <c r="K58" s="356" t="s">
        <v>9272</v>
      </c>
    </row>
    <row r="59" spans="1:11" ht="30">
      <c r="A59" s="359"/>
      <c r="B59" s="364"/>
      <c r="C59" s="364"/>
      <c r="D59" s="371" t="s">
        <v>9273</v>
      </c>
      <c r="E59" s="371" t="s">
        <v>9274</v>
      </c>
      <c r="F59" s="357" t="s">
        <v>20</v>
      </c>
      <c r="G59" s="356" t="s">
        <v>9275</v>
      </c>
      <c r="H59" s="356" t="s">
        <v>8895</v>
      </c>
      <c r="I59" s="357" t="s">
        <v>23</v>
      </c>
      <c r="J59" s="356" t="s">
        <v>9276</v>
      </c>
      <c r="K59" s="356" t="s">
        <v>9277</v>
      </c>
    </row>
    <row r="60" spans="1:11" ht="75">
      <c r="A60" s="359"/>
      <c r="B60" s="364"/>
      <c r="C60" s="364"/>
      <c r="D60" s="371" t="s">
        <v>9278</v>
      </c>
      <c r="E60" s="371" t="s">
        <v>9279</v>
      </c>
      <c r="F60" s="357" t="s">
        <v>229</v>
      </c>
      <c r="G60" s="356" t="s">
        <v>9280</v>
      </c>
      <c r="H60" s="356" t="s">
        <v>9281</v>
      </c>
      <c r="I60" s="357" t="s">
        <v>94</v>
      </c>
      <c r="J60" s="356" t="s">
        <v>9282</v>
      </c>
      <c r="K60" s="356" t="s">
        <v>9283</v>
      </c>
    </row>
    <row r="61" spans="1:11" ht="30">
      <c r="A61" s="359"/>
      <c r="B61" s="364"/>
      <c r="C61" s="364"/>
      <c r="D61" s="371" t="s">
        <v>9284</v>
      </c>
      <c r="E61" s="371" t="s">
        <v>9285</v>
      </c>
      <c r="F61" s="357" t="s">
        <v>229</v>
      </c>
      <c r="G61" s="356" t="s">
        <v>9286</v>
      </c>
      <c r="H61" s="356" t="s">
        <v>8713</v>
      </c>
      <c r="I61" s="357" t="s">
        <v>23</v>
      </c>
      <c r="J61" s="356" t="s">
        <v>9287</v>
      </c>
      <c r="K61" s="356" t="s">
        <v>9288</v>
      </c>
    </row>
    <row r="62" spans="1:11" ht="30">
      <c r="A62" s="359"/>
      <c r="B62" s="364"/>
      <c r="C62" s="364" t="s">
        <v>9289</v>
      </c>
      <c r="D62" s="371" t="s">
        <v>9290</v>
      </c>
      <c r="E62" s="371" t="s">
        <v>9291</v>
      </c>
      <c r="F62" s="357" t="s">
        <v>229</v>
      </c>
      <c r="G62" s="356" t="s">
        <v>9292</v>
      </c>
      <c r="H62" s="356" t="s">
        <v>9293</v>
      </c>
      <c r="I62" s="357" t="s">
        <v>94</v>
      </c>
      <c r="J62" s="356" t="s">
        <v>9294</v>
      </c>
      <c r="K62" s="356" t="s">
        <v>9295</v>
      </c>
    </row>
    <row r="63" spans="1:11" ht="60">
      <c r="A63" s="359"/>
      <c r="B63" s="364"/>
      <c r="C63" s="364"/>
      <c r="D63" s="371" t="s">
        <v>9296</v>
      </c>
      <c r="E63" s="371" t="s">
        <v>9297</v>
      </c>
      <c r="F63" s="357" t="s">
        <v>20</v>
      </c>
      <c r="G63" s="356" t="s">
        <v>9298</v>
      </c>
      <c r="H63" s="356" t="s">
        <v>9299</v>
      </c>
      <c r="I63" s="357" t="s">
        <v>23</v>
      </c>
      <c r="J63" s="356" t="s">
        <v>9300</v>
      </c>
      <c r="K63" s="356" t="s">
        <v>9301</v>
      </c>
    </row>
    <row r="64" spans="1:11" ht="60">
      <c r="A64" s="359"/>
      <c r="B64" s="364"/>
      <c r="C64" s="364"/>
      <c r="D64" s="371" t="s">
        <v>9302</v>
      </c>
      <c r="E64" s="371" t="s">
        <v>9303</v>
      </c>
      <c r="F64" s="357" t="s">
        <v>20</v>
      </c>
      <c r="G64" s="356" t="s">
        <v>9304</v>
      </c>
      <c r="H64" s="356" t="s">
        <v>9110</v>
      </c>
      <c r="I64" s="357" t="s">
        <v>23</v>
      </c>
      <c r="J64" s="356" t="s">
        <v>9305</v>
      </c>
      <c r="K64" s="356" t="s">
        <v>9306</v>
      </c>
    </row>
    <row r="65" spans="1:11" ht="30">
      <c r="A65" s="359"/>
      <c r="B65" s="364"/>
      <c r="C65" s="364"/>
      <c r="D65" s="371" t="s">
        <v>9307</v>
      </c>
      <c r="E65" s="371" t="s">
        <v>9308</v>
      </c>
      <c r="F65" s="357" t="s">
        <v>20</v>
      </c>
      <c r="G65" s="356" t="s">
        <v>9309</v>
      </c>
      <c r="H65" s="356" t="s">
        <v>9310</v>
      </c>
      <c r="I65" s="357" t="s">
        <v>94</v>
      </c>
      <c r="J65" s="356" t="s">
        <v>9077</v>
      </c>
      <c r="K65" s="356" t="s">
        <v>9311</v>
      </c>
    </row>
    <row r="66" spans="1:11" ht="45">
      <c r="A66" s="359"/>
      <c r="B66" s="364"/>
      <c r="C66" s="364"/>
      <c r="D66" s="371" t="s">
        <v>9312</v>
      </c>
      <c r="E66" s="371" t="s">
        <v>9313</v>
      </c>
      <c r="F66" s="357" t="s">
        <v>425</v>
      </c>
      <c r="G66" s="356" t="s">
        <v>9314</v>
      </c>
      <c r="H66" s="356" t="s">
        <v>9315</v>
      </c>
      <c r="I66" s="357" t="s">
        <v>23</v>
      </c>
      <c r="J66" s="356" t="s">
        <v>9316</v>
      </c>
      <c r="K66" s="356" t="s">
        <v>9317</v>
      </c>
    </row>
    <row r="67" spans="1:11" ht="60">
      <c r="A67" s="359"/>
      <c r="B67" s="364"/>
      <c r="C67" s="364" t="s">
        <v>9318</v>
      </c>
      <c r="D67" s="371" t="s">
        <v>9319</v>
      </c>
      <c r="E67" s="371" t="s">
        <v>9320</v>
      </c>
      <c r="F67" s="357" t="s">
        <v>20</v>
      </c>
      <c r="G67" s="356" t="s">
        <v>9321</v>
      </c>
      <c r="H67" s="356" t="s">
        <v>9322</v>
      </c>
      <c r="I67" s="357" t="s">
        <v>23</v>
      </c>
      <c r="J67" s="356" t="s">
        <v>8630</v>
      </c>
      <c r="K67" s="356" t="s">
        <v>9323</v>
      </c>
    </row>
    <row r="68" spans="1:11" ht="60">
      <c r="A68" s="359"/>
      <c r="B68" s="364"/>
      <c r="C68" s="364"/>
      <c r="D68" s="371" t="s">
        <v>9324</v>
      </c>
      <c r="E68" s="371" t="s">
        <v>9325</v>
      </c>
      <c r="F68" s="357" t="s">
        <v>20</v>
      </c>
      <c r="G68" s="356" t="s">
        <v>9326</v>
      </c>
      <c r="H68" s="356" t="s">
        <v>9327</v>
      </c>
      <c r="I68" s="357" t="s">
        <v>23</v>
      </c>
      <c r="J68" s="356" t="s">
        <v>9328</v>
      </c>
      <c r="K68" s="356" t="s">
        <v>9329</v>
      </c>
    </row>
    <row r="69" spans="1:11" ht="45">
      <c r="A69" s="359"/>
      <c r="B69" s="364"/>
      <c r="C69" s="364"/>
      <c r="D69" s="371" t="s">
        <v>9330</v>
      </c>
      <c r="E69" s="371" t="s">
        <v>9331</v>
      </c>
      <c r="F69" s="357" t="s">
        <v>20</v>
      </c>
      <c r="G69" s="356" t="s">
        <v>9332</v>
      </c>
      <c r="H69" s="356" t="s">
        <v>9333</v>
      </c>
      <c r="I69" s="357" t="s">
        <v>23</v>
      </c>
      <c r="J69" s="356" t="s">
        <v>9334</v>
      </c>
      <c r="K69" s="356" t="s">
        <v>9335</v>
      </c>
    </row>
    <row r="70" spans="1:11" ht="60">
      <c r="A70" s="359"/>
      <c r="B70" s="364"/>
      <c r="C70" s="364"/>
      <c r="D70" s="371" t="s">
        <v>9336</v>
      </c>
      <c r="E70" s="371" t="s">
        <v>9337</v>
      </c>
      <c r="F70" s="357" t="s">
        <v>20</v>
      </c>
      <c r="G70" s="356" t="s">
        <v>9338</v>
      </c>
      <c r="H70" s="356" t="s">
        <v>9339</v>
      </c>
      <c r="I70" s="357" t="s">
        <v>94</v>
      </c>
      <c r="J70" s="356" t="s">
        <v>9340</v>
      </c>
      <c r="K70" s="356" t="s">
        <v>9341</v>
      </c>
    </row>
    <row r="71" spans="1:11" ht="45">
      <c r="A71" s="359"/>
      <c r="B71" s="364"/>
      <c r="C71" s="364"/>
      <c r="D71" s="371" t="s">
        <v>9342</v>
      </c>
      <c r="E71" s="371" t="s">
        <v>9343</v>
      </c>
      <c r="F71" s="357" t="s">
        <v>20</v>
      </c>
      <c r="G71" s="356" t="s">
        <v>9344</v>
      </c>
      <c r="H71" s="356" t="s">
        <v>8515</v>
      </c>
      <c r="I71" s="357" t="s">
        <v>94</v>
      </c>
      <c r="J71" s="356" t="s">
        <v>9345</v>
      </c>
      <c r="K71" s="356" t="s">
        <v>9346</v>
      </c>
    </row>
    <row r="72" spans="1:11" ht="30">
      <c r="A72" s="359"/>
      <c r="B72" s="364"/>
      <c r="C72" s="364" t="s">
        <v>9347</v>
      </c>
      <c r="D72" s="371" t="s">
        <v>9348</v>
      </c>
      <c r="E72" s="371" t="s">
        <v>9349</v>
      </c>
      <c r="F72" s="357" t="s">
        <v>20</v>
      </c>
      <c r="G72" s="356" t="s">
        <v>9350</v>
      </c>
      <c r="H72" s="356" t="s">
        <v>8922</v>
      </c>
      <c r="I72" s="357" t="s">
        <v>23</v>
      </c>
      <c r="J72" s="356" t="s">
        <v>8771</v>
      </c>
      <c r="K72" s="356" t="s">
        <v>9351</v>
      </c>
    </row>
    <row r="73" spans="1:11" ht="30">
      <c r="A73" s="359"/>
      <c r="B73" s="364"/>
      <c r="C73" s="364"/>
      <c r="D73" s="371" t="s">
        <v>9352</v>
      </c>
      <c r="E73" s="371" t="s">
        <v>9353</v>
      </c>
      <c r="F73" s="357" t="s">
        <v>229</v>
      </c>
      <c r="G73" s="356" t="s">
        <v>9354</v>
      </c>
      <c r="H73" s="356" t="s">
        <v>9355</v>
      </c>
      <c r="I73" s="357" t="s">
        <v>94</v>
      </c>
      <c r="J73" s="356" t="s">
        <v>9356</v>
      </c>
      <c r="K73" s="356" t="s">
        <v>9357</v>
      </c>
    </row>
    <row r="74" spans="1:11" ht="30">
      <c r="A74" s="359"/>
      <c r="B74" s="364"/>
      <c r="C74" s="364"/>
      <c r="D74" s="371" t="s">
        <v>9358</v>
      </c>
      <c r="E74" s="371" t="s">
        <v>9359</v>
      </c>
      <c r="F74" s="357" t="s">
        <v>229</v>
      </c>
      <c r="G74" s="356" t="s">
        <v>9360</v>
      </c>
      <c r="H74" s="356" t="s">
        <v>9020</v>
      </c>
      <c r="I74" s="357" t="s">
        <v>23</v>
      </c>
      <c r="J74" s="356" t="s">
        <v>9361</v>
      </c>
      <c r="K74" s="356" t="s">
        <v>9362</v>
      </c>
    </row>
    <row r="75" spans="1:11" ht="60">
      <c r="A75" s="359"/>
      <c r="B75" s="364"/>
      <c r="C75" s="364"/>
      <c r="D75" s="371" t="s">
        <v>9363</v>
      </c>
      <c r="E75" s="371" t="s">
        <v>9364</v>
      </c>
      <c r="F75" s="357" t="s">
        <v>20</v>
      </c>
      <c r="G75" s="356" t="s">
        <v>9365</v>
      </c>
      <c r="H75" s="356" t="s">
        <v>8933</v>
      </c>
      <c r="I75" s="357" t="s">
        <v>94</v>
      </c>
      <c r="J75" s="356" t="s">
        <v>8895</v>
      </c>
      <c r="K75" s="356" t="s">
        <v>9366</v>
      </c>
    </row>
    <row r="76" spans="1:11" ht="30">
      <c r="A76" s="359"/>
      <c r="B76" s="364"/>
      <c r="C76" s="364"/>
      <c r="D76" s="371" t="s">
        <v>9367</v>
      </c>
      <c r="E76" s="371" t="s">
        <v>9368</v>
      </c>
      <c r="F76" s="357" t="s">
        <v>229</v>
      </c>
      <c r="G76" s="356" t="s">
        <v>8915</v>
      </c>
      <c r="H76" s="356" t="s">
        <v>8916</v>
      </c>
      <c r="I76" s="357" t="s">
        <v>94</v>
      </c>
      <c r="J76" s="356" t="s">
        <v>8335</v>
      </c>
      <c r="K76" s="356" t="s">
        <v>9369</v>
      </c>
    </row>
    <row r="77" spans="1:11" ht="30">
      <c r="A77" s="359"/>
      <c r="B77" s="365" t="s">
        <v>9370</v>
      </c>
      <c r="C77" s="365" t="s">
        <v>9371</v>
      </c>
      <c r="D77" s="372" t="s">
        <v>9372</v>
      </c>
      <c r="E77" s="372" t="s">
        <v>9373</v>
      </c>
      <c r="F77" s="357" t="s">
        <v>229</v>
      </c>
      <c r="G77" s="356" t="s">
        <v>9374</v>
      </c>
      <c r="H77" s="356" t="s">
        <v>9375</v>
      </c>
      <c r="I77" s="357" t="s">
        <v>23</v>
      </c>
      <c r="J77" s="356" t="s">
        <v>8402</v>
      </c>
      <c r="K77" s="356" t="s">
        <v>9376</v>
      </c>
    </row>
    <row r="78" spans="1:11" ht="30">
      <c r="A78" s="359"/>
      <c r="B78" s="365"/>
      <c r="C78" s="365"/>
      <c r="D78" s="372" t="s">
        <v>9377</v>
      </c>
      <c r="E78" s="372" t="s">
        <v>9378</v>
      </c>
      <c r="F78" s="357" t="s">
        <v>229</v>
      </c>
      <c r="G78" s="356" t="s">
        <v>9379</v>
      </c>
      <c r="H78" s="356" t="s">
        <v>9380</v>
      </c>
      <c r="I78" s="357" t="s">
        <v>94</v>
      </c>
      <c r="J78" s="356" t="s">
        <v>9381</v>
      </c>
      <c r="K78" s="356" t="s">
        <v>9382</v>
      </c>
    </row>
    <row r="79" spans="1:11" ht="30">
      <c r="A79" s="359"/>
      <c r="B79" s="365"/>
      <c r="C79" s="365"/>
      <c r="D79" s="372" t="s">
        <v>9383</v>
      </c>
      <c r="E79" s="372" t="s">
        <v>9384</v>
      </c>
      <c r="F79" s="357" t="s">
        <v>20</v>
      </c>
      <c r="G79" s="356" t="s">
        <v>9385</v>
      </c>
      <c r="H79" s="356" t="s">
        <v>9386</v>
      </c>
      <c r="I79" s="357" t="s">
        <v>94</v>
      </c>
      <c r="J79" s="356" t="s">
        <v>9387</v>
      </c>
      <c r="K79" s="356" t="s">
        <v>9388</v>
      </c>
    </row>
    <row r="80" spans="1:11" ht="45">
      <c r="A80" s="359"/>
      <c r="B80" s="365"/>
      <c r="C80" s="365"/>
      <c r="D80" s="372" t="s">
        <v>9389</v>
      </c>
      <c r="E80" s="372" t="s">
        <v>9390</v>
      </c>
      <c r="F80" s="357" t="s">
        <v>229</v>
      </c>
      <c r="G80" s="356" t="s">
        <v>9391</v>
      </c>
      <c r="H80" s="356" t="s">
        <v>8498</v>
      </c>
      <c r="I80" s="357" t="s">
        <v>94</v>
      </c>
      <c r="J80" s="356" t="s">
        <v>8895</v>
      </c>
      <c r="K80" s="356" t="s">
        <v>9392</v>
      </c>
    </row>
    <row r="81" spans="1:11" ht="30">
      <c r="A81" s="359"/>
      <c r="B81" s="365"/>
      <c r="C81" s="365"/>
      <c r="D81" s="372" t="s">
        <v>9393</v>
      </c>
      <c r="E81" s="372" t="s">
        <v>9394</v>
      </c>
      <c r="F81" s="357" t="s">
        <v>20</v>
      </c>
      <c r="G81" s="356" t="s">
        <v>8915</v>
      </c>
      <c r="H81" s="356" t="s">
        <v>9395</v>
      </c>
      <c r="I81" s="357" t="s">
        <v>23</v>
      </c>
      <c r="J81" s="356" t="s">
        <v>8335</v>
      </c>
      <c r="K81" s="356" t="s">
        <v>9396</v>
      </c>
    </row>
    <row r="82" spans="1:11" ht="30">
      <c r="A82" s="359"/>
      <c r="B82" s="365"/>
      <c r="C82" s="365" t="s">
        <v>9397</v>
      </c>
      <c r="D82" s="372" t="s">
        <v>9398</v>
      </c>
      <c r="E82" s="372" t="s">
        <v>9399</v>
      </c>
      <c r="F82" s="357" t="s">
        <v>20</v>
      </c>
      <c r="G82" s="356" t="s">
        <v>9400</v>
      </c>
      <c r="H82" s="356" t="s">
        <v>9401</v>
      </c>
      <c r="I82" s="357" t="s">
        <v>23</v>
      </c>
      <c r="J82" s="356" t="s">
        <v>9402</v>
      </c>
      <c r="K82" s="356" t="s">
        <v>9403</v>
      </c>
    </row>
    <row r="83" spans="1:11" ht="30">
      <c r="A83" s="359"/>
      <c r="B83" s="365"/>
      <c r="C83" s="365"/>
      <c r="D83" s="372" t="s">
        <v>9404</v>
      </c>
      <c r="E83" s="372" t="s">
        <v>9405</v>
      </c>
      <c r="F83" s="357" t="s">
        <v>20</v>
      </c>
      <c r="G83" s="356" t="s">
        <v>9406</v>
      </c>
      <c r="H83" s="356" t="s">
        <v>9242</v>
      </c>
      <c r="I83" s="357" t="s">
        <v>94</v>
      </c>
      <c r="J83" s="356" t="s">
        <v>9048</v>
      </c>
      <c r="K83" s="356" t="s">
        <v>9407</v>
      </c>
    </row>
    <row r="84" spans="1:11" ht="45">
      <c r="A84" s="359"/>
      <c r="B84" s="365"/>
      <c r="C84" s="365"/>
      <c r="D84" s="372" t="s">
        <v>9408</v>
      </c>
      <c r="E84" s="372" t="s">
        <v>9409</v>
      </c>
      <c r="F84" s="357" t="s">
        <v>425</v>
      </c>
      <c r="G84" s="356" t="s">
        <v>9410</v>
      </c>
      <c r="H84" s="356" t="s">
        <v>9411</v>
      </c>
      <c r="I84" s="357" t="s">
        <v>94</v>
      </c>
      <c r="J84" s="356" t="s">
        <v>9412</v>
      </c>
      <c r="K84" s="356" t="s">
        <v>9249</v>
      </c>
    </row>
    <row r="85" spans="1:11" ht="45">
      <c r="A85" s="359"/>
      <c r="B85" s="365"/>
      <c r="C85" s="365"/>
      <c r="D85" s="372" t="s">
        <v>9413</v>
      </c>
      <c r="E85" s="372" t="s">
        <v>9414</v>
      </c>
      <c r="F85" s="357" t="s">
        <v>20</v>
      </c>
      <c r="G85" s="356" t="s">
        <v>9415</v>
      </c>
      <c r="H85" s="356" t="s">
        <v>9416</v>
      </c>
      <c r="I85" s="357" t="s">
        <v>23</v>
      </c>
      <c r="J85" s="356" t="s">
        <v>9417</v>
      </c>
      <c r="K85" s="356" t="s">
        <v>9418</v>
      </c>
    </row>
    <row r="86" spans="1:11" ht="45">
      <c r="A86" s="359"/>
      <c r="B86" s="365"/>
      <c r="C86" s="365"/>
      <c r="D86" s="372" t="s">
        <v>9419</v>
      </c>
      <c r="E86" s="372" t="s">
        <v>9420</v>
      </c>
      <c r="F86" s="357" t="s">
        <v>229</v>
      </c>
      <c r="G86" s="356" t="s">
        <v>9421</v>
      </c>
      <c r="H86" s="356" t="s">
        <v>9422</v>
      </c>
      <c r="I86" s="357" t="s">
        <v>23</v>
      </c>
      <c r="J86" s="356" t="s">
        <v>9287</v>
      </c>
      <c r="K86" s="356" t="s">
        <v>9423</v>
      </c>
    </row>
    <row r="87" spans="1:11" ht="45">
      <c r="A87" s="359"/>
      <c r="B87" s="365"/>
      <c r="C87" s="365" t="s">
        <v>9424</v>
      </c>
      <c r="D87" s="372" t="s">
        <v>9425</v>
      </c>
      <c r="E87" s="372" t="s">
        <v>9426</v>
      </c>
      <c r="F87" s="357" t="s">
        <v>20</v>
      </c>
      <c r="G87" s="356" t="s">
        <v>9427</v>
      </c>
      <c r="H87" s="356" t="s">
        <v>9428</v>
      </c>
      <c r="I87" s="357" t="s">
        <v>94</v>
      </c>
      <c r="J87" s="356" t="s">
        <v>9294</v>
      </c>
      <c r="K87" s="356" t="s">
        <v>9295</v>
      </c>
    </row>
    <row r="88" spans="1:11" ht="45">
      <c r="A88" s="359"/>
      <c r="B88" s="365"/>
      <c r="C88" s="365"/>
      <c r="D88" s="372" t="s">
        <v>9429</v>
      </c>
      <c r="E88" s="372" t="s">
        <v>9430</v>
      </c>
      <c r="F88" s="357" t="s">
        <v>20</v>
      </c>
      <c r="G88" s="356" t="s">
        <v>9314</v>
      </c>
      <c r="H88" s="356" t="s">
        <v>9431</v>
      </c>
      <c r="I88" s="357" t="s">
        <v>23</v>
      </c>
      <c r="J88" s="356" t="s">
        <v>9432</v>
      </c>
      <c r="K88" s="356" t="s">
        <v>9433</v>
      </c>
    </row>
    <row r="89" spans="1:11" ht="30">
      <c r="A89" s="359"/>
      <c r="B89" s="365"/>
      <c r="C89" s="365"/>
      <c r="D89" s="372" t="s">
        <v>9434</v>
      </c>
      <c r="E89" s="372" t="s">
        <v>9435</v>
      </c>
      <c r="F89" s="357" t="s">
        <v>229</v>
      </c>
      <c r="G89" s="356" t="s">
        <v>9298</v>
      </c>
      <c r="H89" s="356" t="s">
        <v>9436</v>
      </c>
      <c r="I89" s="357" t="s">
        <v>23</v>
      </c>
      <c r="J89" s="356" t="s">
        <v>9437</v>
      </c>
      <c r="K89" s="356" t="s">
        <v>9438</v>
      </c>
    </row>
    <row r="90" spans="1:11" ht="45">
      <c r="A90" s="359"/>
      <c r="B90" s="365"/>
      <c r="C90" s="365"/>
      <c r="D90" s="372" t="s">
        <v>9439</v>
      </c>
      <c r="E90" s="372" t="s">
        <v>9440</v>
      </c>
      <c r="F90" s="357" t="s">
        <v>20</v>
      </c>
      <c r="G90" s="356" t="s">
        <v>9441</v>
      </c>
      <c r="H90" s="356" t="s">
        <v>9315</v>
      </c>
      <c r="I90" s="357" t="s">
        <v>23</v>
      </c>
      <c r="J90" s="356" t="s">
        <v>9316</v>
      </c>
      <c r="K90" s="356" t="s">
        <v>9317</v>
      </c>
    </row>
    <row r="91" spans="1:11" ht="45">
      <c r="A91" s="359"/>
      <c r="B91" s="365"/>
      <c r="C91" s="365"/>
      <c r="D91" s="372" t="s">
        <v>9442</v>
      </c>
      <c r="E91" s="372" t="s">
        <v>9443</v>
      </c>
      <c r="F91" s="357" t="s">
        <v>425</v>
      </c>
      <c r="G91" s="356" t="s">
        <v>9338</v>
      </c>
      <c r="H91" s="356" t="s">
        <v>9444</v>
      </c>
      <c r="I91" s="357" t="s">
        <v>23</v>
      </c>
      <c r="J91" s="356" t="s">
        <v>9077</v>
      </c>
      <c r="K91" s="356" t="s">
        <v>9445</v>
      </c>
    </row>
    <row r="92" spans="1:11" ht="45">
      <c r="A92" s="359"/>
      <c r="B92" s="365"/>
      <c r="C92" s="365" t="s">
        <v>9446</v>
      </c>
      <c r="D92" s="372" t="s">
        <v>9447</v>
      </c>
      <c r="E92" s="372" t="s">
        <v>9448</v>
      </c>
      <c r="F92" s="357" t="s">
        <v>20</v>
      </c>
      <c r="G92" s="356" t="s">
        <v>9449</v>
      </c>
      <c r="H92" s="356" t="s">
        <v>9450</v>
      </c>
      <c r="I92" s="357" t="s">
        <v>94</v>
      </c>
      <c r="J92" s="356" t="s">
        <v>9451</v>
      </c>
      <c r="K92" s="356" t="s">
        <v>9452</v>
      </c>
    </row>
    <row r="93" spans="1:11" ht="45">
      <c r="A93" s="359"/>
      <c r="B93" s="365"/>
      <c r="C93" s="365"/>
      <c r="D93" s="372" t="s">
        <v>9453</v>
      </c>
      <c r="E93" s="372" t="s">
        <v>9454</v>
      </c>
      <c r="F93" s="357" t="s">
        <v>425</v>
      </c>
      <c r="G93" s="356" t="s">
        <v>9449</v>
      </c>
      <c r="H93" s="356" t="s">
        <v>9450</v>
      </c>
      <c r="I93" s="357" t="s">
        <v>23</v>
      </c>
      <c r="J93" s="356" t="s">
        <v>9451</v>
      </c>
      <c r="K93" s="356" t="s">
        <v>9455</v>
      </c>
    </row>
    <row r="94" spans="1:11" ht="45">
      <c r="A94" s="359"/>
      <c r="B94" s="365"/>
      <c r="C94" s="365"/>
      <c r="D94" s="372" t="s">
        <v>9456</v>
      </c>
      <c r="E94" s="372" t="s">
        <v>9457</v>
      </c>
      <c r="F94" s="357" t="s">
        <v>20</v>
      </c>
      <c r="G94" s="356" t="s">
        <v>9458</v>
      </c>
      <c r="H94" s="356" t="s">
        <v>9459</v>
      </c>
      <c r="I94" s="357" t="s">
        <v>94</v>
      </c>
      <c r="J94" s="356" t="s">
        <v>8402</v>
      </c>
      <c r="K94" s="356" t="s">
        <v>9460</v>
      </c>
    </row>
    <row r="95" spans="1:11" ht="60">
      <c r="A95" s="359"/>
      <c r="B95" s="365"/>
      <c r="C95" s="365"/>
      <c r="D95" s="372" t="s">
        <v>9461</v>
      </c>
      <c r="E95" s="372" t="s">
        <v>9462</v>
      </c>
      <c r="F95" s="357" t="s">
        <v>425</v>
      </c>
      <c r="G95" s="356" t="s">
        <v>9463</v>
      </c>
      <c r="H95" s="356" t="s">
        <v>9464</v>
      </c>
      <c r="I95" s="357" t="s">
        <v>94</v>
      </c>
      <c r="J95" s="356" t="s">
        <v>9465</v>
      </c>
      <c r="K95" s="356" t="s">
        <v>9466</v>
      </c>
    </row>
    <row r="96" spans="1:11" ht="45">
      <c r="A96" s="359"/>
      <c r="B96" s="365"/>
      <c r="C96" s="365"/>
      <c r="D96" s="372" t="s">
        <v>9467</v>
      </c>
      <c r="E96" s="372" t="s">
        <v>9468</v>
      </c>
      <c r="F96" s="357" t="s">
        <v>20</v>
      </c>
      <c r="G96" s="356" t="s">
        <v>9469</v>
      </c>
      <c r="H96" s="356" t="s">
        <v>9470</v>
      </c>
      <c r="I96" s="357" t="s">
        <v>23</v>
      </c>
      <c r="J96" s="356" t="s">
        <v>9471</v>
      </c>
      <c r="K96" s="356" t="s">
        <v>9472</v>
      </c>
    </row>
    <row r="97" spans="1:11" ht="45">
      <c r="A97" s="359"/>
      <c r="B97" s="365"/>
      <c r="C97" s="365" t="s">
        <v>9473</v>
      </c>
      <c r="D97" s="372" t="s">
        <v>9474</v>
      </c>
      <c r="E97" s="372" t="s">
        <v>9475</v>
      </c>
      <c r="F97" s="357" t="s">
        <v>20</v>
      </c>
      <c r="G97" s="356" t="s">
        <v>9476</v>
      </c>
      <c r="H97" s="356" t="s">
        <v>9477</v>
      </c>
      <c r="I97" s="357" t="s">
        <v>94</v>
      </c>
      <c r="J97" s="356" t="s">
        <v>9478</v>
      </c>
      <c r="K97" s="356" t="s">
        <v>9479</v>
      </c>
    </row>
    <row r="98" spans="1:11" ht="60">
      <c r="A98" s="359"/>
      <c r="B98" s="365"/>
      <c r="C98" s="365"/>
      <c r="D98" s="372" t="s">
        <v>9480</v>
      </c>
      <c r="E98" s="372" t="s">
        <v>9481</v>
      </c>
      <c r="F98" s="357" t="s">
        <v>425</v>
      </c>
      <c r="G98" s="356" t="s">
        <v>9482</v>
      </c>
      <c r="H98" s="356" t="s">
        <v>9483</v>
      </c>
      <c r="I98" s="357" t="s">
        <v>94</v>
      </c>
      <c r="J98" s="356" t="s">
        <v>9484</v>
      </c>
      <c r="K98" s="356" t="s">
        <v>9485</v>
      </c>
    </row>
    <row r="99" spans="1:11" ht="30">
      <c r="A99" s="359"/>
      <c r="B99" s="365"/>
      <c r="C99" s="365"/>
      <c r="D99" s="372" t="s">
        <v>9486</v>
      </c>
      <c r="E99" s="372" t="s">
        <v>9487</v>
      </c>
      <c r="F99" s="357" t="s">
        <v>20</v>
      </c>
      <c r="G99" s="356" t="s">
        <v>9488</v>
      </c>
      <c r="H99" s="356" t="s">
        <v>9489</v>
      </c>
      <c r="I99" s="357" t="s">
        <v>94</v>
      </c>
      <c r="J99" s="356" t="s">
        <v>9490</v>
      </c>
      <c r="K99" s="356" t="s">
        <v>9491</v>
      </c>
    </row>
    <row r="100" spans="1:11" ht="60">
      <c r="A100" s="359"/>
      <c r="B100" s="365"/>
      <c r="C100" s="365"/>
      <c r="D100" s="372" t="s">
        <v>9492</v>
      </c>
      <c r="E100" s="372" t="s">
        <v>9493</v>
      </c>
      <c r="F100" s="357" t="s">
        <v>20</v>
      </c>
      <c r="G100" s="356" t="s">
        <v>9494</v>
      </c>
      <c r="H100" s="356" t="s">
        <v>9495</v>
      </c>
      <c r="I100" s="357" t="s">
        <v>94</v>
      </c>
      <c r="J100" s="356" t="s">
        <v>9496</v>
      </c>
      <c r="K100" s="356" t="s">
        <v>9497</v>
      </c>
    </row>
    <row r="101" spans="1:11" ht="45">
      <c r="A101" s="359"/>
      <c r="B101" s="365"/>
      <c r="C101" s="365"/>
      <c r="D101" s="372" t="s">
        <v>9498</v>
      </c>
      <c r="E101" s="372" t="s">
        <v>9499</v>
      </c>
      <c r="F101" s="357" t="s">
        <v>20</v>
      </c>
      <c r="G101" s="356" t="s">
        <v>9500</v>
      </c>
      <c r="H101" s="356" t="s">
        <v>9501</v>
      </c>
      <c r="I101" s="357" t="s">
        <v>23</v>
      </c>
      <c r="J101" s="356" t="s">
        <v>8630</v>
      </c>
      <c r="K101" s="356" t="s">
        <v>9502</v>
      </c>
    </row>
    <row r="102" spans="1:11" ht="30">
      <c r="A102" s="359"/>
      <c r="B102" s="366" t="s">
        <v>9503</v>
      </c>
      <c r="C102" s="366" t="s">
        <v>9504</v>
      </c>
      <c r="D102" s="373" t="s">
        <v>9505</v>
      </c>
      <c r="E102" s="373" t="s">
        <v>9506</v>
      </c>
      <c r="F102" s="357" t="s">
        <v>229</v>
      </c>
      <c r="G102" s="356" t="s">
        <v>9507</v>
      </c>
      <c r="H102" s="356" t="s">
        <v>8922</v>
      </c>
      <c r="I102" s="357" t="s">
        <v>94</v>
      </c>
      <c r="J102" s="356" t="s">
        <v>9508</v>
      </c>
      <c r="K102" s="356" t="s">
        <v>9509</v>
      </c>
    </row>
    <row r="103" spans="1:11" ht="30">
      <c r="A103" s="359"/>
      <c r="B103" s="366"/>
      <c r="C103" s="366"/>
      <c r="D103" s="373" t="s">
        <v>9510</v>
      </c>
      <c r="E103" s="373" t="s">
        <v>9511</v>
      </c>
      <c r="F103" s="357" t="s">
        <v>425</v>
      </c>
      <c r="G103" s="356" t="s">
        <v>9512</v>
      </c>
      <c r="H103" s="356" t="s">
        <v>9513</v>
      </c>
      <c r="I103" s="357" t="s">
        <v>23</v>
      </c>
      <c r="J103" s="356" t="s">
        <v>8335</v>
      </c>
      <c r="K103" s="356" t="s">
        <v>9514</v>
      </c>
    </row>
    <row r="104" spans="1:11" ht="30">
      <c r="A104" s="359"/>
      <c r="B104" s="366"/>
      <c r="C104" s="366"/>
      <c r="D104" s="373" t="s">
        <v>9515</v>
      </c>
      <c r="E104" s="373" t="s">
        <v>9516</v>
      </c>
      <c r="F104" s="357" t="s">
        <v>20</v>
      </c>
      <c r="G104" s="356" t="s">
        <v>9517</v>
      </c>
      <c r="H104" s="356" t="s">
        <v>9518</v>
      </c>
      <c r="I104" s="357" t="s">
        <v>94</v>
      </c>
      <c r="J104" s="356" t="s">
        <v>9519</v>
      </c>
      <c r="K104" s="356" t="s">
        <v>9520</v>
      </c>
    </row>
    <row r="105" spans="1:11" ht="30">
      <c r="A105" s="359"/>
      <c r="B105" s="366"/>
      <c r="C105" s="366"/>
      <c r="D105" s="373" t="s">
        <v>9521</v>
      </c>
      <c r="E105" s="373" t="s">
        <v>9522</v>
      </c>
      <c r="F105" s="357" t="s">
        <v>20</v>
      </c>
      <c r="G105" s="356" t="s">
        <v>8915</v>
      </c>
      <c r="H105" s="356" t="s">
        <v>9523</v>
      </c>
      <c r="I105" s="357" t="s">
        <v>94</v>
      </c>
      <c r="J105" s="356" t="s">
        <v>9524</v>
      </c>
      <c r="K105" s="356" t="s">
        <v>9525</v>
      </c>
    </row>
    <row r="106" spans="1:11" ht="30">
      <c r="A106" s="359"/>
      <c r="B106" s="366"/>
      <c r="C106" s="366"/>
      <c r="D106" s="373" t="s">
        <v>9526</v>
      </c>
      <c r="E106" s="373" t="s">
        <v>9527</v>
      </c>
      <c r="F106" s="357" t="s">
        <v>20</v>
      </c>
      <c r="G106" s="356" t="s">
        <v>9528</v>
      </c>
      <c r="H106" s="356" t="s">
        <v>9529</v>
      </c>
      <c r="I106" s="357" t="s">
        <v>23</v>
      </c>
      <c r="J106" s="356" t="s">
        <v>9530</v>
      </c>
      <c r="K106" s="356" t="s">
        <v>9531</v>
      </c>
    </row>
    <row r="107" spans="1:11" ht="60">
      <c r="A107" s="359"/>
      <c r="B107" s="366"/>
      <c r="C107" s="366" t="s">
        <v>9532</v>
      </c>
      <c r="D107" s="373" t="s">
        <v>9533</v>
      </c>
      <c r="E107" s="373" t="s">
        <v>9534</v>
      </c>
      <c r="F107" s="357" t="s">
        <v>20</v>
      </c>
      <c r="G107" s="356" t="s">
        <v>9535</v>
      </c>
      <c r="H107" s="356" t="s">
        <v>9536</v>
      </c>
      <c r="I107" s="357" t="s">
        <v>94</v>
      </c>
      <c r="J107" s="356" t="s">
        <v>9496</v>
      </c>
      <c r="K107" s="356" t="s">
        <v>9537</v>
      </c>
    </row>
    <row r="108" spans="1:11" ht="30">
      <c r="A108" s="359"/>
      <c r="B108" s="366"/>
      <c r="C108" s="366"/>
      <c r="D108" s="373" t="s">
        <v>9538</v>
      </c>
      <c r="E108" s="373" t="s">
        <v>9539</v>
      </c>
      <c r="F108" s="357" t="s">
        <v>229</v>
      </c>
      <c r="G108" s="356" t="s">
        <v>9540</v>
      </c>
      <c r="H108" s="356" t="s">
        <v>9541</v>
      </c>
      <c r="I108" s="357" t="s">
        <v>94</v>
      </c>
      <c r="J108" s="356" t="s">
        <v>9542</v>
      </c>
      <c r="K108" s="356" t="s">
        <v>9543</v>
      </c>
    </row>
    <row r="109" spans="1:11" ht="30">
      <c r="A109" s="359"/>
      <c r="B109" s="366"/>
      <c r="C109" s="366"/>
      <c r="D109" s="373" t="s">
        <v>9544</v>
      </c>
      <c r="E109" s="373" t="s">
        <v>9545</v>
      </c>
      <c r="F109" s="357" t="s">
        <v>229</v>
      </c>
      <c r="G109" s="356" t="s">
        <v>8401</v>
      </c>
      <c r="H109" s="356" t="s">
        <v>9546</v>
      </c>
      <c r="I109" s="357" t="s">
        <v>94</v>
      </c>
      <c r="J109" s="356" t="s">
        <v>9547</v>
      </c>
      <c r="K109" s="356" t="s">
        <v>8860</v>
      </c>
    </row>
    <row r="110" spans="1:11" ht="45">
      <c r="A110" s="359"/>
      <c r="B110" s="366"/>
      <c r="C110" s="366"/>
      <c r="D110" s="373" t="s">
        <v>9548</v>
      </c>
      <c r="E110" s="373" t="s">
        <v>9549</v>
      </c>
      <c r="F110" s="357" t="s">
        <v>425</v>
      </c>
      <c r="G110" s="356" t="s">
        <v>9550</v>
      </c>
      <c r="H110" s="356" t="s">
        <v>9551</v>
      </c>
      <c r="I110" s="357" t="s">
        <v>23</v>
      </c>
      <c r="J110" s="356" t="s">
        <v>9552</v>
      </c>
      <c r="K110" s="356" t="s">
        <v>9553</v>
      </c>
    </row>
    <row r="111" spans="1:11" ht="45">
      <c r="A111" s="359"/>
      <c r="B111" s="366"/>
      <c r="C111" s="366"/>
      <c r="D111" s="373" t="s">
        <v>9554</v>
      </c>
      <c r="E111" s="373" t="s">
        <v>9555</v>
      </c>
      <c r="F111" s="357" t="s">
        <v>20</v>
      </c>
      <c r="G111" s="356" t="s">
        <v>9488</v>
      </c>
      <c r="H111" s="356" t="s">
        <v>9422</v>
      </c>
      <c r="I111" s="357" t="s">
        <v>94</v>
      </c>
      <c r="J111" s="356" t="s">
        <v>9287</v>
      </c>
      <c r="K111" s="356" t="s">
        <v>9556</v>
      </c>
    </row>
    <row r="112" spans="1:11" ht="30">
      <c r="A112" s="359"/>
      <c r="B112" s="366"/>
      <c r="C112" s="366" t="s">
        <v>9557</v>
      </c>
      <c r="D112" s="373" t="s">
        <v>9558</v>
      </c>
      <c r="E112" s="373" t="s">
        <v>9559</v>
      </c>
      <c r="F112" s="357" t="s">
        <v>229</v>
      </c>
      <c r="G112" s="356" t="s">
        <v>9560</v>
      </c>
      <c r="H112" s="356" t="s">
        <v>9561</v>
      </c>
      <c r="I112" s="357" t="s">
        <v>94</v>
      </c>
      <c r="J112" s="356" t="s">
        <v>8539</v>
      </c>
      <c r="K112" s="356" t="s">
        <v>9562</v>
      </c>
    </row>
    <row r="113" spans="1:11" ht="45">
      <c r="A113" s="359"/>
      <c r="B113" s="366"/>
      <c r="C113" s="366"/>
      <c r="D113" s="373" t="s">
        <v>9563</v>
      </c>
      <c r="E113" s="373" t="s">
        <v>9564</v>
      </c>
      <c r="F113" s="357" t="s">
        <v>425</v>
      </c>
      <c r="G113" s="356" t="s">
        <v>9565</v>
      </c>
      <c r="H113" s="356" t="s">
        <v>8901</v>
      </c>
      <c r="I113" s="357" t="s">
        <v>23</v>
      </c>
      <c r="J113" s="356" t="s">
        <v>9566</v>
      </c>
      <c r="K113" s="356" t="s">
        <v>9567</v>
      </c>
    </row>
    <row r="114" spans="1:11" ht="30">
      <c r="A114" s="359"/>
      <c r="B114" s="366"/>
      <c r="C114" s="366"/>
      <c r="D114" s="373" t="s">
        <v>9568</v>
      </c>
      <c r="E114" s="373" t="s">
        <v>9569</v>
      </c>
      <c r="F114" s="357" t="s">
        <v>425</v>
      </c>
      <c r="G114" s="356" t="s">
        <v>9570</v>
      </c>
      <c r="H114" s="356" t="s">
        <v>9571</v>
      </c>
      <c r="I114" s="357" t="s">
        <v>23</v>
      </c>
      <c r="J114" s="356" t="s">
        <v>9572</v>
      </c>
      <c r="K114" s="356" t="s">
        <v>9573</v>
      </c>
    </row>
    <row r="115" spans="1:11" ht="30">
      <c r="A115" s="359"/>
      <c r="B115" s="366"/>
      <c r="C115" s="366"/>
      <c r="D115" s="373" t="s">
        <v>9574</v>
      </c>
      <c r="E115" s="373" t="s">
        <v>9575</v>
      </c>
      <c r="F115" s="357" t="s">
        <v>20</v>
      </c>
      <c r="G115" s="356" t="s">
        <v>9576</v>
      </c>
      <c r="H115" s="356" t="s">
        <v>9577</v>
      </c>
      <c r="I115" s="357" t="s">
        <v>94</v>
      </c>
      <c r="J115" s="356" t="s">
        <v>9578</v>
      </c>
      <c r="K115" s="356" t="s">
        <v>9579</v>
      </c>
    </row>
    <row r="116" spans="1:11" ht="60">
      <c r="A116" s="359"/>
      <c r="B116" s="366"/>
      <c r="C116" s="366"/>
      <c r="D116" s="373" t="s">
        <v>9580</v>
      </c>
      <c r="E116" s="373" t="s">
        <v>9581</v>
      </c>
      <c r="F116" s="357" t="s">
        <v>20</v>
      </c>
      <c r="G116" s="356" t="s">
        <v>9582</v>
      </c>
      <c r="H116" s="356" t="s">
        <v>9110</v>
      </c>
      <c r="I116" s="357" t="s">
        <v>23</v>
      </c>
      <c r="J116" s="356" t="s">
        <v>8895</v>
      </c>
      <c r="K116" s="356" t="s">
        <v>9583</v>
      </c>
    </row>
    <row r="117" spans="1:11" ht="45">
      <c r="A117" s="359"/>
      <c r="B117" s="366"/>
      <c r="C117" s="366" t="s">
        <v>9584</v>
      </c>
      <c r="D117" s="373" t="s">
        <v>9585</v>
      </c>
      <c r="E117" s="373" t="s">
        <v>9586</v>
      </c>
      <c r="F117" s="357" t="s">
        <v>20</v>
      </c>
      <c r="G117" s="356" t="s">
        <v>9587</v>
      </c>
      <c r="H117" s="356" t="s">
        <v>9588</v>
      </c>
      <c r="I117" s="357" t="s">
        <v>23</v>
      </c>
      <c r="J117" s="356" t="s">
        <v>9589</v>
      </c>
      <c r="K117" s="356" t="s">
        <v>9590</v>
      </c>
    </row>
    <row r="118" spans="1:11" ht="45">
      <c r="A118" s="359"/>
      <c r="B118" s="366"/>
      <c r="C118" s="366"/>
      <c r="D118" s="373" t="s">
        <v>9591</v>
      </c>
      <c r="E118" s="373" t="s">
        <v>9592</v>
      </c>
      <c r="F118" s="357" t="s">
        <v>20</v>
      </c>
      <c r="G118" s="356" t="s">
        <v>9593</v>
      </c>
      <c r="H118" s="356" t="s">
        <v>9594</v>
      </c>
      <c r="I118" s="357" t="s">
        <v>23</v>
      </c>
      <c r="J118" s="356" t="s">
        <v>9595</v>
      </c>
      <c r="K118" s="356" t="s">
        <v>9596</v>
      </c>
    </row>
    <row r="119" spans="1:11" ht="60">
      <c r="A119" s="359"/>
      <c r="B119" s="366"/>
      <c r="C119" s="366"/>
      <c r="D119" s="373" t="s">
        <v>9597</v>
      </c>
      <c r="E119" s="373" t="s">
        <v>9598</v>
      </c>
      <c r="F119" s="357" t="s">
        <v>20</v>
      </c>
      <c r="G119" s="356" t="s">
        <v>9421</v>
      </c>
      <c r="H119" s="356" t="s">
        <v>9599</v>
      </c>
      <c r="I119" s="357" t="s">
        <v>23</v>
      </c>
      <c r="J119" s="356" t="s">
        <v>8415</v>
      </c>
      <c r="K119" s="356" t="s">
        <v>9600</v>
      </c>
    </row>
    <row r="120" spans="1:11" ht="30">
      <c r="A120" s="359"/>
      <c r="B120" s="366"/>
      <c r="C120" s="366"/>
      <c r="D120" s="373" t="s">
        <v>9601</v>
      </c>
      <c r="E120" s="373" t="s">
        <v>9602</v>
      </c>
      <c r="F120" s="357" t="s">
        <v>20</v>
      </c>
      <c r="G120" s="356" t="s">
        <v>9603</v>
      </c>
      <c r="H120" s="356" t="s">
        <v>9604</v>
      </c>
      <c r="I120" s="357" t="s">
        <v>94</v>
      </c>
      <c r="J120" s="356" t="s">
        <v>9305</v>
      </c>
      <c r="K120" s="356" t="s">
        <v>9605</v>
      </c>
    </row>
    <row r="121" spans="1:11" ht="30">
      <c r="A121" s="359"/>
      <c r="B121" s="366"/>
      <c r="C121" s="366"/>
      <c r="D121" s="373" t="s">
        <v>9606</v>
      </c>
      <c r="E121" s="373" t="s">
        <v>9607</v>
      </c>
      <c r="F121" s="357" t="s">
        <v>20</v>
      </c>
      <c r="G121" s="356" t="s">
        <v>9608</v>
      </c>
      <c r="H121" s="356" t="s">
        <v>9609</v>
      </c>
      <c r="I121" s="357" t="s">
        <v>23</v>
      </c>
      <c r="J121" s="356" t="s">
        <v>9610</v>
      </c>
      <c r="K121" s="356" t="s">
        <v>9611</v>
      </c>
    </row>
    <row r="122" spans="1:11" ht="45">
      <c r="A122" s="359"/>
      <c r="B122" s="366"/>
      <c r="C122" s="366" t="s">
        <v>9612</v>
      </c>
      <c r="D122" s="373" t="s">
        <v>9613</v>
      </c>
      <c r="E122" s="373" t="s">
        <v>9614</v>
      </c>
      <c r="F122" s="357" t="s">
        <v>20</v>
      </c>
      <c r="G122" s="356" t="s">
        <v>9615</v>
      </c>
      <c r="H122" s="356" t="s">
        <v>9616</v>
      </c>
      <c r="I122" s="357" t="s">
        <v>94</v>
      </c>
      <c r="J122" s="356" t="s">
        <v>9617</v>
      </c>
      <c r="K122" s="356" t="s">
        <v>9618</v>
      </c>
    </row>
    <row r="123" spans="1:11" ht="30">
      <c r="A123" s="359"/>
      <c r="B123" s="366"/>
      <c r="C123" s="366"/>
      <c r="D123" s="373" t="s">
        <v>9619</v>
      </c>
      <c r="E123" s="373" t="s">
        <v>9620</v>
      </c>
      <c r="F123" s="357" t="s">
        <v>20</v>
      </c>
      <c r="G123" s="356" t="s">
        <v>9621</v>
      </c>
      <c r="H123" s="356" t="s">
        <v>9375</v>
      </c>
      <c r="I123" s="357" t="s">
        <v>94</v>
      </c>
      <c r="J123" s="356" t="s">
        <v>9622</v>
      </c>
      <c r="K123" s="356" t="s">
        <v>9623</v>
      </c>
    </row>
    <row r="124" spans="1:11" ht="30">
      <c r="A124" s="359"/>
      <c r="B124" s="366"/>
      <c r="C124" s="366"/>
      <c r="D124" s="373" t="s">
        <v>9624</v>
      </c>
      <c r="E124" s="373" t="s">
        <v>9625</v>
      </c>
      <c r="F124" s="357" t="s">
        <v>20</v>
      </c>
      <c r="G124" s="356" t="s">
        <v>9626</v>
      </c>
      <c r="H124" s="356" t="s">
        <v>9627</v>
      </c>
      <c r="I124" s="357" t="s">
        <v>23</v>
      </c>
      <c r="J124" s="356" t="s">
        <v>9628</v>
      </c>
      <c r="K124" s="356" t="s">
        <v>9629</v>
      </c>
    </row>
    <row r="125" spans="1:11" ht="30">
      <c r="A125" s="359"/>
      <c r="B125" s="366"/>
      <c r="C125" s="366"/>
      <c r="D125" s="373" t="s">
        <v>9630</v>
      </c>
      <c r="E125" s="373" t="s">
        <v>9631</v>
      </c>
      <c r="F125" s="357" t="s">
        <v>20</v>
      </c>
      <c r="G125" s="356" t="s">
        <v>9632</v>
      </c>
      <c r="H125" s="356" t="s">
        <v>9633</v>
      </c>
      <c r="I125" s="357" t="s">
        <v>94</v>
      </c>
      <c r="J125" s="356" t="s">
        <v>9634</v>
      </c>
      <c r="K125" s="356" t="s">
        <v>9635</v>
      </c>
    </row>
    <row r="126" spans="1:11" ht="30">
      <c r="A126" s="359"/>
      <c r="B126" s="366"/>
      <c r="C126" s="366"/>
      <c r="D126" s="373" t="s">
        <v>9636</v>
      </c>
      <c r="E126" s="373" t="s">
        <v>9637</v>
      </c>
      <c r="F126" s="357" t="s">
        <v>20</v>
      </c>
      <c r="G126" s="356" t="s">
        <v>8407</v>
      </c>
      <c r="H126" s="356" t="s">
        <v>9638</v>
      </c>
      <c r="I126" s="357" t="s">
        <v>94</v>
      </c>
      <c r="J126" s="356" t="s">
        <v>8595</v>
      </c>
      <c r="K126" s="356" t="s">
        <v>9639</v>
      </c>
    </row>
  </sheetData>
  <mergeCells count="31">
    <mergeCell ref="A2:A126"/>
    <mergeCell ref="B102:B126"/>
    <mergeCell ref="C102:C106"/>
    <mergeCell ref="C107:C111"/>
    <mergeCell ref="C112:C116"/>
    <mergeCell ref="C117:C121"/>
    <mergeCell ref="C122:C126"/>
    <mergeCell ref="B77:B101"/>
    <mergeCell ref="C77:C81"/>
    <mergeCell ref="C82:C86"/>
    <mergeCell ref="C87:C91"/>
    <mergeCell ref="C92:C96"/>
    <mergeCell ref="C97:C101"/>
    <mergeCell ref="B52:B76"/>
    <mergeCell ref="C52:C56"/>
    <mergeCell ref="C57:C61"/>
    <mergeCell ref="C62:C66"/>
    <mergeCell ref="C67:C71"/>
    <mergeCell ref="C72:C76"/>
    <mergeCell ref="B27:B51"/>
    <mergeCell ref="C27:C31"/>
    <mergeCell ref="C32:C36"/>
    <mergeCell ref="C37:C41"/>
    <mergeCell ref="C42:C46"/>
    <mergeCell ref="C47:C51"/>
    <mergeCell ref="B2:B26"/>
    <mergeCell ref="C2:C6"/>
    <mergeCell ref="C7:C11"/>
    <mergeCell ref="C12:C16"/>
    <mergeCell ref="C17:C21"/>
    <mergeCell ref="C22:C26"/>
  </mergeCells>
  <conditionalFormatting sqref="I2:I25">
    <cfRule type="containsText" dxfId="35" priority="34" operator="containsText" text="Faible">
      <formula>NOT(ISERROR(SEARCH("Faible",I2)))</formula>
    </cfRule>
    <cfRule type="containsText" dxfId="34" priority="35" operator="containsText" text="Elevée">
      <formula>NOT(ISERROR(SEARCH("Elevée",I2)))</formula>
    </cfRule>
    <cfRule type="containsText" dxfId="33" priority="36" operator="containsText" text="Moyenne">
      <formula>NOT(ISERROR(SEARCH("Moyenne",I2)))</formula>
    </cfRule>
  </conditionalFormatting>
  <conditionalFormatting sqref="I26:I40">
    <cfRule type="containsText" dxfId="32" priority="31" operator="containsText" text="Faible">
      <formula>NOT(ISERROR(SEARCH("Faible",I26)))</formula>
    </cfRule>
    <cfRule type="containsText" dxfId="31" priority="32" operator="containsText" text="Elevée">
      <formula>NOT(ISERROR(SEARCH("Elevée",I26)))</formula>
    </cfRule>
    <cfRule type="containsText" dxfId="30" priority="33" operator="containsText" text="Moyenne">
      <formula>NOT(ISERROR(SEARCH("Moyenne",I26)))</formula>
    </cfRule>
  </conditionalFormatting>
  <conditionalFormatting sqref="I41:I49">
    <cfRule type="containsText" dxfId="29" priority="28" operator="containsText" text="Faible">
      <formula>NOT(ISERROR(SEARCH("Faible",I41)))</formula>
    </cfRule>
    <cfRule type="containsText" dxfId="28" priority="29" operator="containsText" text="Elevée">
      <formula>NOT(ISERROR(SEARCH("Elevée",I41)))</formula>
    </cfRule>
    <cfRule type="containsText" dxfId="27" priority="30" operator="containsText" text="Moyenne">
      <formula>NOT(ISERROR(SEARCH("Moyenne",I41)))</formula>
    </cfRule>
  </conditionalFormatting>
  <conditionalFormatting sqref="I50:I54">
    <cfRule type="containsText" dxfId="26" priority="25" operator="containsText" text="Faible">
      <formula>NOT(ISERROR(SEARCH("Faible",I50)))</formula>
    </cfRule>
    <cfRule type="containsText" dxfId="25" priority="26" operator="containsText" text="Elevée">
      <formula>NOT(ISERROR(SEARCH("Elevée",I50)))</formula>
    </cfRule>
    <cfRule type="containsText" dxfId="24" priority="27" operator="containsText" text="Moyenne">
      <formula>NOT(ISERROR(SEARCH("Moyenne",I50)))</formula>
    </cfRule>
  </conditionalFormatting>
  <conditionalFormatting sqref="I55:I61">
    <cfRule type="containsText" dxfId="23" priority="22" operator="containsText" text="Faible">
      <formula>NOT(ISERROR(SEARCH("Faible",I55)))</formula>
    </cfRule>
    <cfRule type="containsText" dxfId="22" priority="23" operator="containsText" text="Elevée">
      <formula>NOT(ISERROR(SEARCH("Elevée",I55)))</formula>
    </cfRule>
    <cfRule type="containsText" dxfId="21" priority="24" operator="containsText" text="Moyenne">
      <formula>NOT(ISERROR(SEARCH("Moyenne",I55)))</formula>
    </cfRule>
  </conditionalFormatting>
  <conditionalFormatting sqref="I62:I70">
    <cfRule type="containsText" dxfId="20" priority="19" operator="containsText" text="Faible">
      <formula>NOT(ISERROR(SEARCH("Faible",I62)))</formula>
    </cfRule>
    <cfRule type="containsText" dxfId="19" priority="20" operator="containsText" text="Elevée">
      <formula>NOT(ISERROR(SEARCH("Elevée",I62)))</formula>
    </cfRule>
    <cfRule type="containsText" dxfId="18" priority="21" operator="containsText" text="Moyenne">
      <formula>NOT(ISERROR(SEARCH("Moyenne",I62)))</formula>
    </cfRule>
  </conditionalFormatting>
  <conditionalFormatting sqref="I71:I92">
    <cfRule type="containsText" dxfId="17" priority="16" operator="containsText" text="Faible">
      <formula>NOT(ISERROR(SEARCH("Faible",I71)))</formula>
    </cfRule>
    <cfRule type="containsText" dxfId="16" priority="17" operator="containsText" text="Elevée">
      <formula>NOT(ISERROR(SEARCH("Elevée",I71)))</formula>
    </cfRule>
    <cfRule type="containsText" dxfId="15" priority="18" operator="containsText" text="Moyenne">
      <formula>NOT(ISERROR(SEARCH("Moyenne",I71)))</formula>
    </cfRule>
  </conditionalFormatting>
  <conditionalFormatting sqref="I93:I98">
    <cfRule type="containsText" dxfId="14" priority="13" operator="containsText" text="Faible">
      <formula>NOT(ISERROR(SEARCH("Faible",I93)))</formula>
    </cfRule>
    <cfRule type="containsText" dxfId="13" priority="14" operator="containsText" text="Elevée">
      <formula>NOT(ISERROR(SEARCH("Elevée",I93)))</formula>
    </cfRule>
    <cfRule type="containsText" dxfId="12" priority="15" operator="containsText" text="Moyenne">
      <formula>NOT(ISERROR(SEARCH("Moyenne",I93)))</formula>
    </cfRule>
  </conditionalFormatting>
  <conditionalFormatting sqref="I99">
    <cfRule type="containsText" dxfId="11" priority="10" operator="containsText" text="Faible">
      <formula>NOT(ISERROR(SEARCH("Faible",I99)))</formula>
    </cfRule>
    <cfRule type="containsText" dxfId="10" priority="11" operator="containsText" text="Elevée">
      <formula>NOT(ISERROR(SEARCH("Elevée",I99)))</formula>
    </cfRule>
    <cfRule type="containsText" dxfId="9" priority="12" operator="containsText" text="Moyenne">
      <formula>NOT(ISERROR(SEARCH("Moyenne",I99)))</formula>
    </cfRule>
  </conditionalFormatting>
  <conditionalFormatting sqref="I100:I109">
    <cfRule type="containsText" dxfId="8" priority="7" operator="containsText" text="Faible">
      <formula>NOT(ISERROR(SEARCH("Faible",I100)))</formula>
    </cfRule>
    <cfRule type="containsText" dxfId="7" priority="8" operator="containsText" text="Elevée">
      <formula>NOT(ISERROR(SEARCH("Elevée",I100)))</formula>
    </cfRule>
    <cfRule type="containsText" dxfId="6" priority="9" operator="containsText" text="Moyenne">
      <formula>NOT(ISERROR(SEARCH("Moyenne",I100)))</formula>
    </cfRule>
  </conditionalFormatting>
  <conditionalFormatting sqref="I110:I120">
    <cfRule type="containsText" dxfId="5" priority="4" operator="containsText" text="Faible">
      <formula>NOT(ISERROR(SEARCH("Faible",I110)))</formula>
    </cfRule>
    <cfRule type="containsText" dxfId="4" priority="5" operator="containsText" text="Elevée">
      <formula>NOT(ISERROR(SEARCH("Elevée",I110)))</formula>
    </cfRule>
    <cfRule type="containsText" dxfId="3" priority="6" operator="containsText" text="Moyenne">
      <formula>NOT(ISERROR(SEARCH("Moyenne",I110)))</formula>
    </cfRule>
  </conditionalFormatting>
  <conditionalFormatting sqref="I121:I126">
    <cfRule type="containsText" dxfId="2" priority="1" operator="containsText" text="Faible">
      <formula>NOT(ISERROR(SEARCH("Faible",I121)))</formula>
    </cfRule>
    <cfRule type="containsText" dxfId="1" priority="2" operator="containsText" text="Elevée">
      <formula>NOT(ISERROR(SEARCH("Elevée",I121)))</formula>
    </cfRule>
    <cfRule type="containsText" dxfId="0" priority="3" operator="containsText" text="Moyenne">
      <formula>NOT(ISERROR(SEARCH("Moyenne",I121)))</formula>
    </cfRule>
  </conditionalFormatting>
  <dataValidations count="2">
    <dataValidation type="list" allowBlank="1" showInputMessage="1" showErrorMessage="1" sqref="F2:F126">
      <formula1>"oui,non,pas"</formula1>
    </dataValidation>
    <dataValidation type="list" allowBlank="1" showInputMessage="1" showErrorMessage="1" sqref="I2:I126">
      <formula1>"Elevée,Moyenne,Faible"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Global</vt:lpstr>
      <vt:lpstr>Synthèse</vt:lpstr>
      <vt:lpstr>COSO</vt:lpstr>
      <vt:lpstr>4.1 Application en service</vt:lpstr>
      <vt:lpstr>4.2 Fonction Informatique</vt:lpstr>
      <vt:lpstr>4.3 Projets Informatiques</vt:lpstr>
      <vt:lpstr>4.4 Support Utilisateur</vt:lpstr>
      <vt:lpstr>4.5 Sécurité Informatique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2025-04-16T18:49:56Z</dcterms:modified>
</cp:coreProperties>
</file>