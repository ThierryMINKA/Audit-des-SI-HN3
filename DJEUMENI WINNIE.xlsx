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defaultThemeVersion="166925"/>
  <mc:AlternateContent xmlns:mc="http://schemas.openxmlformats.org/markup-compatibility/2006">
    <mc:Choice Requires="x15">
      <x15ac:absPath xmlns:x15ac="http://schemas.microsoft.com/office/spreadsheetml/2010/11/ac" url="C:\Users\SOP TELECOM\Desktop\ECOLE\niveau3\semestre2\Audit des SI\Documents individuels\"/>
    </mc:Choice>
  </mc:AlternateContent>
  <xr:revisionPtr revIDLastSave="0" documentId="13_ncr:1_{13A679F1-4C32-4C02-B3C5-2924CEB980E3}" xr6:coauthVersionLast="43" xr6:coauthVersionMax="43" xr10:uidLastSave="{00000000-0000-0000-0000-000000000000}"/>
  <bookViews>
    <workbookView xWindow="-110" yWindow="-110" windowWidth="19420" windowHeight="10420" xr2:uid="{ED39AC39-2D9A-463F-B912-B12D28243C44}"/>
  </bookViews>
  <sheets>
    <sheet name="COSO" sheetId="2" r:id="rId1"/>
    <sheet name="4.1" sheetId="4" r:id="rId2"/>
    <sheet name="4.2" sheetId="5" r:id="rId3"/>
    <sheet name="4.3" sheetId="8" r:id="rId4"/>
    <sheet name="4.4" sheetId="6" r:id="rId5"/>
    <sheet name="4.5" sheetId="7" r:id="rId6"/>
    <sheet name="Synthèse"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10" i="9" l="1"/>
  <c r="D10" i="9"/>
  <c r="C10" i="9"/>
  <c r="E9" i="9"/>
  <c r="D9" i="9"/>
  <c r="C9" i="9"/>
  <c r="G8" i="9"/>
  <c r="E8" i="9"/>
  <c r="D8" i="9"/>
  <c r="C8" i="9"/>
  <c r="G7" i="9"/>
  <c r="E7" i="9"/>
  <c r="D7" i="9"/>
  <c r="C7" i="9"/>
  <c r="E6" i="9"/>
  <c r="D6" i="9"/>
  <c r="C6" i="9"/>
  <c r="E11" i="9" l="1"/>
  <c r="F7" i="9"/>
  <c r="D11" i="9"/>
  <c r="F10" i="9"/>
  <c r="G10" i="9" s="1"/>
  <c r="F8" i="9"/>
  <c r="F9" i="9"/>
  <c r="G9" i="9" s="1"/>
  <c r="C11" i="9"/>
  <c r="F6" i="9"/>
  <c r="G6" i="9" s="1"/>
  <c r="F11" i="9" l="1"/>
  <c r="G11" i="9" s="1"/>
</calcChain>
</file>

<file path=xl/sharedStrings.xml><?xml version="1.0" encoding="utf-8"?>
<sst xmlns="http://schemas.openxmlformats.org/spreadsheetml/2006/main" count="19564" uniqueCount="14872">
  <si>
    <t>Domaines</t>
  </si>
  <si>
    <t>Points de Contrôle</t>
  </si>
  <si>
    <t>Objectifs de Contrôle</t>
  </si>
  <si>
    <t>Critères d’Évaluation</t>
  </si>
  <si>
    <t>Questions d'évaluation</t>
  </si>
  <si>
    <t>Reponses</t>
  </si>
  <si>
    <t>Documents Requis</t>
  </si>
  <si>
    <t>Risques</t>
  </si>
  <si>
    <t>Criticité</t>
  </si>
  <si>
    <t>Conséquences</t>
  </si>
  <si>
    <t>Recommandations</t>
  </si>
  <si>
    <t>Environnement de Contrôle</t>
  </si>
  <si>
    <t>Engagement envers l’intégrité et les valeurs éthiques</t>
  </si>
  <si>
    <t>S’assurer que l'organisation dispose d'une charte éthique formelle
 qui couvre l'ensemble des pratiques professionnelles et des
 interactions au sein de l'organisation, y compris les activités liées
 aux systèmes d'information</t>
  </si>
  <si>
    <t>La charte existe et couvre tous les aspects des interactions professionnelles et des systèmes d'information</t>
  </si>
  <si>
    <t>Existe-t-il une charte couvrant tous les aspects des interactions professionnelles et des systèmes d'information?</t>
  </si>
  <si>
    <t>OUI</t>
  </si>
  <si>
    <t>Charte éthique et de bonne conduite</t>
  </si>
  <si>
    <t>Non-respect des principes éthiques par manque de sensibilisation.</t>
  </si>
  <si>
    <t>Elevée</t>
  </si>
  <si>
    <t>Manque d’implication des employés dans l’éthique de l’entreprise.</t>
  </si>
  <si>
    <t>Renforcer la sensibilisation et l’engagement des employés à l’éthique de l’entreprise</t>
  </si>
  <si>
    <t>Politique d’utilisation des systèmes d’information</t>
  </si>
  <si>
    <t>Usage inapproprié des outils informatiques.</t>
  </si>
  <si>
    <t>Augmentation des risques de fraude et de cybersécurité.</t>
  </si>
  <si>
    <t>Mettre en place des contrôles renforcés pour limiter les fraudes et améliorer la cybersécurité</t>
  </si>
  <si>
    <t>La charte éthique est officiellement validée et mise à disposition de tous les employés</t>
  </si>
  <si>
    <t>La charte éthique est-elle officiellement validée et mise à disposition de tous les employés?</t>
  </si>
  <si>
    <t>Absence de traçabilité des validations,</t>
  </si>
  <si>
    <t>Remise en cause de la légitimité de la charte éthique.</t>
  </si>
  <si>
    <t>Communiquer régulièrement sur la charte éthique et impliquer les employés dans son élaboration</t>
  </si>
  <si>
    <t>Procès-verbal de validation de la charte éthique</t>
  </si>
  <si>
    <t>Non-prise en compte des mises à jour réglementaires, .</t>
  </si>
  <si>
    <t>Faible</t>
  </si>
  <si>
    <t>Non-conformité aux réglementations et aux normes internes.</t>
  </si>
  <si>
    <t>Effectuer des audits de conformité réguliers et assurer une veille réglementaire</t>
  </si>
  <si>
    <t>La charte éthique est mise à jour régulièrement en fonction des évolutions réglementaires et organisationnelle</t>
  </si>
  <si>
    <t>La charte éthique est-elle mise à jour régulièrement en fonction des évolutions réglementaires et organisationnelle?</t>
  </si>
  <si>
    <t>NON</t>
  </si>
  <si>
    <t>Plan de mise à jour des documents internes</t>
  </si>
  <si>
    <t>Confusion entre les différentes versions,</t>
  </si>
  <si>
    <t>Moyenne</t>
  </si>
  <si>
    <t>Confusion dans l’application des règles éthiques.</t>
  </si>
  <si>
    <t>Clarifier les règles éthiques à travers des guides pratiques et des formations adaptées</t>
  </si>
  <si>
    <t>Historique des versions de la charte éthique</t>
  </si>
  <si>
    <t>Non-preuve d’adhésion aux règles éthiques en cas de litige.</t>
  </si>
  <si>
    <t>Impossibilité de prouver l’adhésion aux principes éthiques.</t>
  </si>
  <si>
    <t>Instaurer un système de documentation pour prouver l’adhésion aux principes éthiques</t>
  </si>
  <si>
    <t>Les employés signent un engagement attestant qu'ils ont lu et compris la charte éthique</t>
  </si>
  <si>
    <t>Les employés signent-ils un engagement attestant qu'ils ont lu et compris la charte éthique?</t>
  </si>
  <si>
    <t>Registre des engagements signés par les employés</t>
  </si>
  <si>
    <t>Falsification des signatures ou absence d’engagement formel.</t>
  </si>
  <si>
    <t>Risque juridique en cas de litige sur l’engagement éthique.</t>
  </si>
  <si>
    <t>S’assurer de la traçabilité des engagements éthiques pour limiter les risques juridiques</t>
  </si>
  <si>
    <t>Formulaire d’adhésion aux règles éthiques</t>
  </si>
  <si>
    <t>Manque de clarté sur les missions du comité,.</t>
  </si>
  <si>
    <t>Inefficacité du comité d’éthique et perte de crédibilité.</t>
  </si>
  <si>
    <t>Définir des rôles clairs et assurer l’indépendance du comité d’éthique</t>
  </si>
  <si>
    <t>Un comité d'éthique est chargé de l'application des termes de son application et de son amélioration continue</t>
  </si>
  <si>
    <t>Existe-t-il un comité d'éthique chargé de l'application des termes de son application et de son amélioration continue?</t>
  </si>
  <si>
    <t>Charte de gouvernance du comité d’éthique</t>
  </si>
  <si>
    <t>Omission d’incidents éthiques</t>
  </si>
  <si>
    <t>Vision faussée de l’état de l’éthique dans l’entreprise.</t>
  </si>
  <si>
    <t>Réaliser des enquêtes internes pour évaluer la perception de l’éthique dans l’entreprise</t>
  </si>
  <si>
    <t>Rapport annuel du comité d’éthique</t>
  </si>
  <si>
    <t>Couverture insuffisante des risques éthiques</t>
  </si>
  <si>
    <t>Risques de fraudes non détectés à temps.</t>
  </si>
  <si>
    <t>Déployer des outils de détection précoce des fraudes et renforcer les contrôles internes</t>
  </si>
  <si>
    <t>Vérifier que des mécanismes existent pour garantir que tous les
 acteurs (employés, partenaires, prestataires) respectent cette charte
 éthique dans leurs activités professionnelles, y compris dans leur
 utilisation des systèmes d'information</t>
  </si>
  <si>
    <t>Des contrôles réguliers sont effectués pour vérifier le respect des règles éthiques</t>
  </si>
  <si>
    <t>Des contrôles réguliers sont-ils effectués pour vérifier le respect des règles éthiques?</t>
  </si>
  <si>
    <t>Plan d’audit éthique</t>
  </si>
  <si>
    <t>Manipulation des résultats</t>
  </si>
  <si>
    <t>Absence d’amélioration des pratiques éthiques.</t>
  </si>
  <si>
    <t>Évaluer et ajuster périodiquement les pratiques éthiques de l’entreprise</t>
  </si>
  <si>
    <t>Rapports d’audit interne sur l’éthique</t>
  </si>
  <si>
    <t>Sanctions inappropriées,</t>
  </si>
  <si>
    <t>Climat de travail détérioré et tensions internes.</t>
  </si>
  <si>
    <t>Mettre en place un dispositif de médiation et encourager le dialogue interne</t>
  </si>
  <si>
    <t>Un processus de sanction est défini et appliqué en cas de non-respect des règles</t>
  </si>
  <si>
    <t>Un processus de sanction est-il défini et appliqué en cas de non-respect des règles?</t>
  </si>
  <si>
    <t>Règlement disciplinaire</t>
  </si>
  <si>
    <t>Violation de la confidentialité des données des employés sanctionnés.</t>
  </si>
  <si>
    <t>Problèmes de confidentialité et de conformité juridique.</t>
  </si>
  <si>
    <t>Garantir la protection des données et la conformité aux réglementations en vigueur</t>
  </si>
  <si>
    <t>Registre des sanctions disciplinaires</t>
  </si>
  <si>
    <t>Conflits d’intérêts si les référents ne sont pas indépendants.</t>
  </si>
  <si>
    <t>Méconnaissance ou mauvaise interprétation des règles éthiques.</t>
  </si>
  <si>
    <t>Proposer des formations interactives pour éviter toute mauvaise interprétation des règles éthiques</t>
  </si>
  <si>
    <t>Les collaborateurs ont un référent éthique à qui poser leurs questions en cas de doute</t>
  </si>
  <si>
    <t>Les collaborateurs ont-ils un référent éthique à qui poser leurs questions en cas de doute ?</t>
  </si>
  <si>
    <t>Charte éthique</t>
  </si>
  <si>
    <t>Indicateurs mal définis</t>
  </si>
  <si>
    <t>Absence de relais efficaces pour traiter les problématiques éthiques.</t>
  </si>
  <si>
    <t>Créer un réseau de référents éthiques pour mieux traiter les problématiques internes</t>
  </si>
  <si>
    <t>Liste des référents éthiques</t>
  </si>
  <si>
    <t>Rapports incomplets</t>
  </si>
  <si>
    <t>Incapacité à mesurer l’évolution des pratiques éthiques.</t>
  </si>
  <si>
    <t>Développer des indicateurs de suivi pour mesurer l’évolution des pratiques éthiques</t>
  </si>
  <si>
    <t>Des indicateurs de performance mesurent l'application de la charte dans les activités courantes</t>
  </si>
  <si>
    <t>Des indicateurs de performance mesurent-ils l'application de la charte dans les activités courantes?</t>
  </si>
  <si>
    <t>Tableau de bord des indicateurs éthiques</t>
  </si>
  <si>
    <t>Sensibilisation insuffisante aux valeurs éthiques dès l’arrivée.</t>
  </si>
  <si>
    <t>Manque de crédibilité des audits internes.</t>
  </si>
  <si>
    <t>Améliorer la transparence et l’indépendance des audits internes</t>
  </si>
  <si>
    <t>Contenu inadapté ou dépassé,</t>
  </si>
  <si>
    <t>Faible culture éthique chez les nouveaux employés.</t>
  </si>
  <si>
    <t>Intégrer une formation éthique obligatoire pour les nouveaux employés</t>
  </si>
  <si>
    <t>Les nouvelles recrues reçoivent une formation spécifique sur la charte éthique</t>
  </si>
  <si>
    <t>Les nouvelles recrues reçoivent-ils une formation spécifique sur la charte éthique ?</t>
  </si>
  <si>
    <t>Programme d’intégration des nouvelles recrues</t>
  </si>
  <si>
    <t>Inégalités dans l’accès à la formation,</t>
  </si>
  <si>
    <t>Formation inefficace, ne répondant pas aux attentes.</t>
  </si>
  <si>
    <t>Adapter les formations aux enjeux réels rencontrés par les employés</t>
  </si>
  <si>
    <t>Matériel de formation sur l’éthique</t>
  </si>
  <si>
    <t>Non-respect des échéances,</t>
  </si>
  <si>
    <t>Employés insuffisamment formés aux questions éthiques.</t>
  </si>
  <si>
    <t>Augmenter la fréquence et la qualité des formations éthiques</t>
  </si>
  <si>
    <t>S’assurer que des actions de sensibilisation, telles que des
 formations régulières, sont mises en place pour garantir que tous les
 employés et intervenants comprennent et appliquent les principes
 éthiques dans leurs interactions avec les systèmes d'information</t>
  </si>
  <si>
    <t>Un programme de formation éthique est défini avec une fréquence obligatoire</t>
  </si>
  <si>
    <t>Un programme de formation éthique est-il défini avec une fréquence obligatoire?</t>
  </si>
  <si>
    <t>Plan de formation éthique</t>
  </si>
  <si>
    <t>Absence de suivi des employés formés et non formés.</t>
  </si>
  <si>
    <t>Désengagement des employés face aux formations.</t>
  </si>
  <si>
    <t>Rendre les formations plus engageantes et adaptées aux attentes des employés</t>
  </si>
  <si>
    <t>Calendrier des sessions de formation</t>
  </si>
  <si>
    <t>Falsification ou non-reconnaissance officielle des certifications.</t>
  </si>
  <si>
    <t>Absence de suivi sur l’évolution des compétences éthiques.</t>
  </si>
  <si>
    <t>Mettre en place un suivi régulier de l’évolution des compétences éthiques</t>
  </si>
  <si>
    <t>Tous les employés suivent une session de formation annuelle sur l'éthique</t>
  </si>
  <si>
    <t>Tous les employés suivent-ils une session de formation annuelle sur l'éthique?</t>
  </si>
  <si>
    <t>Registre des participants aux formations</t>
  </si>
  <si>
    <t>Scénarios non représentatifs des défis éthiques réels.</t>
  </si>
  <si>
    <t>Détournement ou falsification des certificats de formation.</t>
  </si>
  <si>
    <t>Renforcer la sécurité et l’authenticité des certificats de formation</t>
  </si>
  <si>
    <t>Certificats de formation des employés</t>
  </si>
  <si>
    <t>Exemples obsolètes,</t>
  </si>
  <si>
    <t>Sensibiliser les employés à la gestion des dilemmes éthiques à travers des cas pratiques</t>
  </si>
  <si>
    <t>Des mises en situation et études de cas pour illustrer les principes éthiques</t>
  </si>
  <si>
    <t>Y a-t'il des mises en situation et études de cas pour illustrer les principes éthiques ?</t>
  </si>
  <si>
    <t>Supports pédagogiques des mises en situation</t>
  </si>
  <si>
    <t>Réponses biaisées</t>
  </si>
  <si>
    <t>Manque de préparation aux dilemmes éthiques réels.</t>
  </si>
  <si>
    <t>Organiser des mises en situation pour améliorer la compréhension des enjeux éthiques</t>
  </si>
  <si>
    <t>Études de cas utilisées en formation</t>
  </si>
  <si>
    <t>Mauvaise interprétation des performances des employés formés.</t>
  </si>
  <si>
    <t>Mauvaise compréhension des enjeux éthiques dans les situations concrètes.</t>
  </si>
  <si>
    <t>Établir des indicateurs objectifs pour évaluer l’impact réel des formations</t>
  </si>
  <si>
    <t>Les sessions incluent des tests d'évaluation pour mesurer la compréhension des employés</t>
  </si>
  <si>
    <t>Les sessions incluent-elles des tests d'évaluation pour mesurer la compréhension des employés?</t>
  </si>
  <si>
    <t>Questionnaires d’évaluation post-formation</t>
  </si>
  <si>
    <t>Discrimination si l’accès à la formation est inégalement réparti.</t>
  </si>
  <si>
    <t>Évaluation biaisée de l’impact de la formation.</t>
  </si>
  <si>
    <t>Clarifier les critères d’évaluation et assurer la transparence des résultats</t>
  </si>
  <si>
    <t>Rapports d’analyse des résultats des tests</t>
  </si>
  <si>
    <t>Non-conformité en cas d’absence de contrôle strict des formations suivies.</t>
  </si>
  <si>
    <t>Mauvaise interprétation des résultats d’évaluation.</t>
  </si>
  <si>
    <t>Garantir une égalité de formation pour éviter les injustices perçues</t>
  </si>
  <si>
    <t>Un suivi des formations est réalisé pour identifier les personnes non formées</t>
  </si>
  <si>
    <t>Un suivi des formations est-il réalisé pour identifier les personnes non formées?</t>
  </si>
  <si>
    <t>Liste des employés formés et non formés</t>
  </si>
  <si>
    <t>Faible utilisation en raison de la peur des représailles.</t>
  </si>
  <si>
    <t>Injustice perçue entre employés formés et non formés.</t>
  </si>
  <si>
    <t>Instaurer un contrôle strict du respect des obligations de formation éthique</t>
  </si>
  <si>
    <t>Rapport de suivi des formations obligatoires</t>
  </si>
  <si>
    <t>. Incompréhension des procédures,</t>
  </si>
  <si>
    <t>Manque de conformité aux exigences de formation obligatoire.</t>
  </si>
  <si>
    <t>Encourager activement le signalement des infractions en garantissant l’anonymat</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</si>
  <si>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</si>
  <si>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Un processus clair est défini pour signalé pour traiter les violations éthiques</t>
  </si>
  <si>
    <t>Un processus clair est-il défini pour signaler et pour traiter les violations éthiques ?</t>
  </si>
  <si>
    <t>Procédure de signalement des violations éthiques</t>
  </si>
  <si>
    <t>Gouvernance mal définie,</t>
  </si>
  <si>
    <t>Faible taux de signalement des infractions éthiques.</t>
  </si>
  <si>
    <t>Former les employés aux protocoles de signalement pour éviter les abus</t>
  </si>
  <si>
    <t>Guide des bonnes pratiques en matière de signalement</t>
  </si>
  <si>
    <t>Informations incomplètes ou occultées,</t>
  </si>
  <si>
    <t>Non-respect des protocoles de signalement, entraînant des abus.</t>
  </si>
  <si>
    <t>Structurer et renforcer le rôle du comité d’éthique pour améliorer sa prise de décision</t>
  </si>
  <si>
    <t>Un comité d'éthique analyse toutes infractions signalées</t>
  </si>
  <si>
    <t>Existe-t-il un comité d'éthique analysant toutes infractions signalées ?</t>
  </si>
  <si>
    <t>Charte du comité d’éthique</t>
  </si>
  <si>
    <t>Application inégale des sanctions, nuisant à la cohérence disciplinaire.</t>
  </si>
  <si>
    <t>Dysfonctionnement du comité d’éthique et décisions inefficaces.</t>
  </si>
  <si>
    <t>Mettre en place un processus clair et coordonné pour le traitement des cas éthiques</t>
  </si>
  <si>
    <t>Rapports des réunions du comité d’éthique</t>
  </si>
  <si>
    <t>Sous-déclaration des incidents,</t>
  </si>
  <si>
    <t>Manque de coordination dans le traitement des cas éthiques.</t>
  </si>
  <si>
    <t>Appliquer des sanctions proportionnées pour dissuader les comportements non éthiques</t>
  </si>
  <si>
    <t>Des sanctions cohérentes et proportionées sont appliquées aux contrevenants</t>
  </si>
  <si>
    <t>Des sanctions cohérentes et proportionées sont-elles appliquées aux contrevenants?</t>
  </si>
  <si>
    <t>Mesures inefficaces ou non appliquées,</t>
  </si>
  <si>
    <t>Sentiment d’impunité favorisant les comportements non éthiques.</t>
  </si>
  <si>
    <t>Clarifier les processus de gestion des infractions et assurer un suivi efficace</t>
  </si>
  <si>
    <t>Politique de gestion des infractions éthiques</t>
  </si>
  <si>
    <t>Manque d’engagement des employés si les actions correctives sont mal suivies.</t>
  </si>
  <si>
    <t>Flou dans la gestion des infractions, réduisant l’efficacité des sanctions.</t>
  </si>
  <si>
    <t>Suivre les infractions de manière stricte pour éviter les récidives</t>
  </si>
  <si>
    <t>Un rapport annuel sur les violations et actions correctives est disponible</t>
  </si>
  <si>
    <t>Un rapport annuel sur les violations et actions correctives estil disponible ?</t>
  </si>
  <si>
    <t>PAS</t>
  </si>
  <si>
    <t>Rapport annuel sur les infractions éthiques</t>
  </si>
  <si>
    <t>Absence de communication efficace sur les infractions et mesures préventives.</t>
  </si>
  <si>
    <t>Récidive des infractions et manque d’amélioration des pratiques.</t>
  </si>
  <si>
    <t>Réviser régulièrement le plan d’action pour s’assurer de son efficacité</t>
  </si>
  <si>
    <t>Plan d’action correctif des violations éthiques</t>
  </si>
  <si>
    <t>Faible participation des employés,</t>
  </si>
  <si>
    <t>Plan d’action inefficace, laissant persister les problèmes.</t>
  </si>
  <si>
    <t>Renforcer la sensibilisation à travers des campagnes interactives</t>
  </si>
  <si>
    <t>Des mesures de prévention sont mises en place pour éviter la récurrence des infractions</t>
  </si>
  <si>
    <t>Des mesures de prévention sont-elles mises en place pour éviter la récurrence des infractions?</t>
  </si>
  <si>
    <t>Programme de sensibilisation à la prévention des infractions</t>
  </si>
  <si>
    <t>Obsolescence du programme si les actions de sensibilisation ne sont pas renouvelées.</t>
  </si>
  <si>
    <t>Sensibilisation insuffisante, augmentant les infractions.</t>
  </si>
  <si>
    <t>Mettre en place un cadre strict pour la détection et la prévention des fraudes</t>
  </si>
  <si>
    <t>Rapports d’analyse des tendances des infractions</t>
  </si>
  <si>
    <t>Manque d’anticipation des tendances des infractions</t>
  </si>
  <si>
    <t>Augmentation du risque de fraudes et d’infractions</t>
  </si>
  <si>
    <t>Protéger et encourager les lanceurs d’alerte pour garantir un meilleur signalement</t>
  </si>
  <si>
    <t>Vérifier que des procédures existent pour signaler anonymement et en toute sécurité les violations des principes éthiques.</t>
  </si>
  <si>
    <t>Un canal de signalement anonyme est disponible</t>
  </si>
  <si>
    <t>Un canal de signalement anonyme est-il disponible ?</t>
  </si>
  <si>
    <t>Procédure de gestion des signalements anonymes</t>
  </si>
  <si>
    <t>Anonymat des lanceurs d’alerte mal protégé</t>
  </si>
  <si>
    <t>Réduction du nombre de signalements par crainte de représailles</t>
  </si>
  <si>
    <t>Favoriser la communication transparente sur les signalements et leurs traitements</t>
  </si>
  <si>
    <t>Documentation du canal de signalement</t>
  </si>
  <si>
    <t>Canaux de signalement inaccessibles ou non sécurisés</t>
  </si>
  <si>
    <t>Perte de confiance des employés et parties prenantes</t>
  </si>
  <si>
    <t>Créer un environnement de travail qui encourage la prévention des fraudes</t>
  </si>
  <si>
    <t>Le signalements sont analysés rapidement , avec des délais définis pour chaque étape</t>
  </si>
  <si>
    <t>Le signalements sont-ils analysés rapidement , avec des délais définis pour chaque étape?</t>
  </si>
  <si>
    <t>Rapport de suivi des délais de traitement des signalements</t>
  </si>
  <si>
    <t>Retards excessifs dans le traitement des signalements</t>
  </si>
  <si>
    <t>Sanctions réglementaires pour non-respect des délais de traitement</t>
  </si>
  <si>
    <t>Améliorer la traçabilité des signalements et garantir un suivi efficace</t>
  </si>
  <si>
    <t>Plan d’amélioration continue du processus de signalement</t>
  </si>
  <si>
    <t>Processus de signalement rigide et peu évolutif</t>
  </si>
  <si>
    <t>Inefficacité du système de signalement face aux nouvelles menaces</t>
  </si>
  <si>
    <t>Sanctionner les délais non respectés pour le traitement des signalements</t>
  </si>
  <si>
    <t>Le système garantit la confidentialité et l'absence des représailles pour les lanceurs d'alertes</t>
  </si>
  <si>
    <t>Le système garantit-il la confidentialité et l'absence des représailles pour les lanceurs d'alertes?</t>
  </si>
  <si>
    <t>Charte de protection des lanceurs d’alerte</t>
  </si>
  <si>
    <t>Protection des lanceurs d’alerte insuffisante</t>
  </si>
  <si>
    <t>Dissuasion des lanceurs d’alerte et faible détection des fraudes</t>
  </si>
  <si>
    <t>Intégrer une plateforme numérique pour faciliter le suivi des infractions éthiques</t>
  </si>
  <si>
    <t>Rapport d’analyse des signalements et mesures prises</t>
  </si>
  <si>
    <t>Mesures insuffisantes suite aux signalements analysés</t>
  </si>
  <si>
    <t>Récidive des infractions faute de mesures correctives adaptées</t>
  </si>
  <si>
    <t>Former régulièrement les équipes en charge du traitement des signalements</t>
  </si>
  <si>
    <t>Les employés sont informés de l'existence du canal de signalement</t>
  </si>
  <si>
    <t>Les employés sont-ils informés de l'existence du canal de signalement?</t>
  </si>
  <si>
    <t>Documentation des canaux de communication interne</t>
  </si>
  <si>
    <t>Canaux de communication interne inefficaces</t>
  </si>
  <si>
    <t>Manque de circulation de l’information sur les signalements</t>
  </si>
  <si>
    <t>Rendre les procédures d’alerte plus accessibles et compréhensibles</t>
  </si>
  <si>
    <t>Supports de sensibilisation sur le signalement</t>
  </si>
  <si>
    <t>Faible sensibilisation au signalement des infractions</t>
  </si>
  <si>
    <t>Faible implication des employés dans la prévention des fraudes</t>
  </si>
  <si>
    <t>Encourager la remontée d’informations par des incitations positives</t>
  </si>
  <si>
    <t>Chaque signalement est traité de manière impartiale</t>
  </si>
  <si>
    <t>Chaque signalement est-il traité de manière impartiale?</t>
  </si>
  <si>
    <t>Registre des signalements et décisions associées</t>
  </si>
  <si>
    <t>Traçabilité défaillante des signalements et décisions</t>
  </si>
  <si>
    <t>Perte de données et difficulté à suivre les signalements</t>
  </si>
  <si>
    <t>Mettre en place des contrôles croisés pour éviter les conflits d’intérêts</t>
  </si>
  <si>
    <t>Procédure de traitement des signalements</t>
  </si>
  <si>
    <t>Procédure de traitement des signalements mal définie</t>
  </si>
  <si>
    <t>Traitement arbitraire des signalements sans cadre défini</t>
  </si>
  <si>
    <t>Établir une procédure claire et documentée pour le traitement des signalements.</t>
  </si>
  <si>
    <t>Le Conseil fait preuve d’indépendance vis-à-vis du management</t>
  </si>
  <si>
    <t>S’assurer que le Conseil est composé de membres indépendants du
 management, avec une structure de gouvernance claire garantissant
 cette indépendance</t>
  </si>
  <si>
    <t>La majorité des membres du conseil ne détient aucun poste opérationnel au sein de l'organisation</t>
  </si>
  <si>
    <t>La majorité des membres du conseil ne détient-elle aucun poste opérationnel au sein de l'organisation?</t>
  </si>
  <si>
    <t>Liste des membres du conseil et de leurs fonctions</t>
  </si>
  <si>
    <t>Manque de transparence sur la composition du conseil</t>
  </si>
  <si>
    <t>Suspicion de favoritisme ou de conflits d’intérêts</t>
  </si>
  <si>
    <t>Mettre en place un comité indépendant pour examiner les conflits d’intérêts et garantir l’équité.</t>
  </si>
  <si>
    <t>Statuts de l’organisation</t>
  </si>
  <si>
    <t>Statuts non conformes aux réglementations en vigueur</t>
  </si>
  <si>
    <t>Risques juridiques liés à la non-conformité des statuts</t>
  </si>
  <si>
    <t>Effectuer des contrôles réguliers pour assurer la conformité des statuts aux réglementations en vigueur.</t>
  </si>
  <si>
    <t>La sélection des membres du Conseil se fait par un comité indépendant</t>
  </si>
  <si>
    <t>La sélection des membres du Conseil se fait-elle par un comité indépendant?</t>
  </si>
  <si>
    <t>Procédure de nomination des membres du conseil</t>
  </si>
  <si>
    <t>Processus de nomination des membres du conseil biaisé</t>
  </si>
  <si>
    <t>Désignation de membres incompétents ou influencés</t>
  </si>
  <si>
    <t>Définir des critères de sélection objectifs et transparents pour les membres du conseil.</t>
  </si>
  <si>
    <t>Rapport d’activité du comité de sélection</t>
  </si>
  <si>
    <t>Sélection des membres du conseil non documentée</t>
  </si>
  <si>
    <t>Manque de légitimité du processus de sélection du conseil</t>
  </si>
  <si>
    <t>Rendre public le processus de sélection des membres du conseil et assurer son impartialité.</t>
  </si>
  <si>
    <t>Les membres du Conseil signent une déclaration annuelle d'indépendance</t>
  </si>
  <si>
    <t>Les membres du Conseil signent-ils une déclaration annuelle d'indépendance?</t>
  </si>
  <si>
    <t>Déclarations annuelles d’indépendance signées</t>
  </si>
  <si>
    <t>Conflits d’intérêts non détectés</t>
  </si>
  <si>
    <t>Décisions biaisées par des intérêts personnels</t>
  </si>
  <si>
    <t>Élaborer un cadre éthique rigoureux pour éviter toute influence indue dans la prise de décision.</t>
  </si>
  <si>
    <t>Registre des engagements d’indépendance</t>
  </si>
  <si>
    <t>Indépendance des membres du conseil non garantie</t>
  </si>
  <si>
    <t>Perte d’indépendance du conseil et manque d’objectivité</t>
  </si>
  <si>
    <t>Mettre en place des règles garantissant l’indépendance et l’objectivité des membres du conseil.</t>
  </si>
  <si>
    <t>Les conflits d'intérêts potentiels sont déclarés et documentés</t>
  </si>
  <si>
    <t>Les conflits d'intérêts potentiels sont-ils déclarés et documentés?</t>
  </si>
  <si>
    <t>Registre des conflits d’intérêts déclarés</t>
  </si>
  <si>
    <t>Engagements d’indépendance non respectés</t>
  </si>
  <si>
    <t>Remise en question de la crédibilité des décisions du conseil</t>
  </si>
  <si>
    <t>Renforcer la transparence des décisions du conseil en publiant des rapports détaillés.</t>
  </si>
  <si>
    <t>Procédure de gestion des conflits d’intérêts</t>
  </si>
  <si>
    <t>Conflits d’intérêts non déclarés ou mal gérés</t>
  </si>
  <si>
    <t>Prise de décisions non éthiques et atteinte à la réputation</t>
  </si>
  <si>
    <t>Mettre en place un programme de formation sur l’éthique pour les décideurs de l’entreprise.</t>
  </si>
  <si>
    <t>Une charte de gouvernance définit les critères d'indépendance des membres du conseil</t>
  </si>
  <si>
    <t>Une charte de gouvernance définit-elle les critères d'indépendance des membres du conseil?</t>
  </si>
  <si>
    <t>Charte de gouvernance de l’organisation</t>
  </si>
  <si>
    <t>Gouvernance non alignée avec les meilleures pratiques</t>
  </si>
  <si>
    <t>Dysfonctionnements dans la gouvernance et gestion inefficace</t>
  </si>
  <si>
    <t>Instaurer un audit périodique de la gouvernance afin d’identifier et corriger les dysfonctionnements.</t>
  </si>
  <si>
    <t>Politique sur l’indépendance des membres du conseil</t>
  </si>
  <si>
    <t>Influence excessive de certaines parties prenantes</t>
  </si>
  <si>
    <t>Manipulation des décisions par des parties externes</t>
  </si>
  <si>
    <t>Limiter les interactions avec les parties externes susceptibles d’influencer les décisions.</t>
  </si>
  <si>
    <t>Vérifier que le Conseil dispose des ressources et des informations
 nécessaires pour surveiller efficacement la mise en place et le bon
 fonctionnement du dispositif de contrôle interne</t>
  </si>
  <si>
    <t>Un système de reporting structuré permet au Conseil de suivre les évolutions du coontrôle interne</t>
  </si>
  <si>
    <t>Existe-t-il un système de reporting structuré permettant au Conseil de suivre les évolutions du coontrôle interne?</t>
  </si>
  <si>
    <t>Rapports de suivi du contrôle interne</t>
  </si>
  <si>
    <t>Absence de suivi des indicateurs de contrôle interne</t>
  </si>
  <si>
    <t>Faible capacité à anticiper et gérer les risques</t>
  </si>
  <si>
    <t>Créer une cartographie des risques et mettre en place des plans d’action préventifs.</t>
  </si>
  <si>
    <t>Tableaux de bord des indicateurs de contrôle interne</t>
  </si>
  <si>
    <t>Identification et gestion des risques internes déficientes</t>
  </si>
  <si>
    <t>Multiplication des erreurs et des pertes financières</t>
  </si>
  <si>
    <t>Améliorer les processus de contrôle interne pour limiter les erreurs et les pertes financières.</t>
  </si>
  <si>
    <t>Un accès diret aux rapports d'audit interne et externe est garanti pour tous les membres du conseil</t>
  </si>
  <si>
    <t>Un accès diret aux rapports d'audit interne et externe est-il garanti pour tous les membres du conseil?</t>
  </si>
  <si>
    <t>Rapports d’audit interne</t>
  </si>
  <si>
    <t>Audits internes non conformes aux standards</t>
  </si>
  <si>
    <t>Audits inefficaces, fausses évaluations des risques</t>
  </si>
  <si>
    <t>Utiliser des auditeurs indépendants et des méthodologies rigoureuses pour garantir la qualité des audits</t>
  </si>
  <si>
    <t>Rapports d’audit externe</t>
  </si>
  <si>
    <t>Audits externes non impartiaux ou mal réalisés</t>
  </si>
  <si>
    <t>Manque de fiabilité des audits, risque d’amendes</t>
  </si>
  <si>
    <t>Établir un contrôle externe pour garantir l’objectivité et la fiabilité des audits.</t>
  </si>
  <si>
    <t>Des réunions régulières avec les responsables du contrôle interne sont organisées</t>
  </si>
  <si>
    <t>Des réunions régulières avec les responsables du contrôle interne sont-elles organisées ?</t>
  </si>
  <si>
    <t>Procès-verbaux des réunions du Conseil</t>
  </si>
  <si>
    <t>Prises de décisions stratégiques mal documentées</t>
  </si>
  <si>
    <t>Stratégies mal définies et décisions non fondées sur des faits</t>
  </si>
  <si>
    <t>Définir des objectifs stratégiques précis en s’appuyant sur des données analytiques fiables.</t>
  </si>
  <si>
    <t>Calendrier des réunions du Conseil avec les responsables du contrôle interne</t>
  </si>
  <si>
    <t>Coordination insuffisante entre le conseil et le contrôle interne</t>
  </si>
  <si>
    <t>Manque de coordination et inefficacité des contrôles.</t>
  </si>
  <si>
    <t>Renforcer la collaboration entre les différentes instances de contrôle pour améliorer la coordination.</t>
  </si>
  <si>
    <t>Un budget spécifique est alloué pour la formation des membres du Conseil sur les risques et le contrôle interne</t>
  </si>
  <si>
    <t>Un budget spécifique est-il alloué pour la formation des membres du Conseil sur les risques et le contrôle interne?</t>
  </si>
  <si>
    <t>Budget prévisionnel du Conseil</t>
  </si>
  <si>
    <t>Budget du conseil inadapté aux objectifs stratégiques</t>
  </si>
  <si>
    <t>Incapacité à mener à bien les actions prévues.</t>
  </si>
  <si>
    <t>Suivre les actions engagées à l’aide d’indicateurs de performance clairs et mesurables.</t>
  </si>
  <si>
    <t>Plan de formation des membres du Conseil</t>
  </si>
  <si>
    <t>Niveau de formation des membres du conseil inadéquat</t>
  </si>
  <si>
    <t>Manque de compétences et mauvaise gouvernance.</t>
  </si>
  <si>
    <t>Développer un programme de formation continue pour améliorer les compétences en gouvernance.</t>
  </si>
  <si>
    <t>Le conseil dispose d'un accès indépendant aux experts et consultants externes</t>
  </si>
  <si>
    <t>Le conseil dispose-t-il d'un accès indépendant aux experts et consultants externes?</t>
  </si>
  <si>
    <t>Liste des experts et consultants accessibles au Conseil</t>
  </si>
  <si>
    <t>Manque d’accès à des experts et consultants qualifiés</t>
  </si>
  <si>
    <t>Manque d’expertise pour la prise de décisions.</t>
  </si>
  <si>
    <t>Mettre en place un processus de sélection rigoureux des prestataires avec des critères objectifs</t>
  </si>
  <si>
    <t>Contrats et accords avec des consultants externes</t>
  </si>
  <si>
    <t>Engagement avec des consultants externes à risque</t>
  </si>
  <si>
    <t>Prestataires externes inadaptés ou conflits d’intérêts cachés.</t>
  </si>
  <si>
    <t>Adopter une politique de sélection et d’évaluation stricte des prestataires externes.</t>
  </si>
  <si>
    <t>S’assurer que le Conseil reçoit régulièrement des rapports détaillés
 sur l’efficacité du dispositif de contrôle interne et qu'il est impliqué
 dans l’évaluation des résultats des audits internes</t>
  </si>
  <si>
    <t>Une fréquence minimale de transmission des rapports d'audit interne au Conseil est définie (ex: trimestrielle)</t>
  </si>
  <si>
    <t>Une fréquence minimale de transmission des rapports d'audit interne au Conseil est-elle définie (ex: trimestrielle)?</t>
  </si>
  <si>
    <t>Procédure de transmission des rapports d’audit</t>
  </si>
  <si>
    <t>Transmission incomplète ou tardive des rapports d’audit</t>
  </si>
  <si>
    <t>Perte d’informations critiques pour le pilotage stratégique.</t>
  </si>
  <si>
    <t>Mettre en place un système centralisé pour garantir la conservation et l’accessibilité des données critiques.</t>
  </si>
  <si>
    <t>Planification des envois périodiques des rapports</t>
  </si>
  <si>
    <t>Manque de rigueur dans la planification des rapports</t>
  </si>
  <si>
    <t>Retards dans la prise de décision et risques non couverts.</t>
  </si>
  <si>
    <t>Instaurer des délais stricts pour la prise de décision et anticiper les risques associés.</t>
  </si>
  <si>
    <t>Le Conseil organise des sessions d'examen dédiées aux résultats des audits internes</t>
  </si>
  <si>
    <t>Le Conseil organise-t-il des sessions d'examen dédiées aux résultats des audits internes?</t>
  </si>
  <si>
    <t>Ordre du jour des sessions d’examen des audits</t>
  </si>
  <si>
    <t>Ordre du jour des réunions d’audit mal structuré</t>
  </si>
  <si>
    <t>Mauvaise préparation des réunions et décisions hâtives.</t>
  </si>
  <si>
    <t>Standardiser la préparation des réunions en définissant un ordre du jour détaillé et structuré.</t>
  </si>
  <si>
    <t>Rapports de synthèse des audits internes discutés en réunion</t>
  </si>
  <si>
    <t>Exploitation inefficace des audits en réunion</t>
  </si>
  <si>
    <t>Difficulté à exploiter les audits pour améliorer les contrôles.</t>
  </si>
  <si>
    <t>Suivre les recommandations issues des audits et assurer leur mise en œuvre effective</t>
  </si>
  <si>
    <t>Un suivi des recommandations et des plans d'action est effectué par le conseil</t>
  </si>
  <si>
    <t>Un suivi des recommandations et des plans d'action est-il effectué par le conseil?</t>
  </si>
  <si>
    <t>Plan de suivi des recommandations</t>
  </si>
  <si>
    <t>Recommandations d’audit non mises en application</t>
  </si>
  <si>
    <t>Répétition des erreurs et des non-conformités.</t>
  </si>
  <si>
    <t>Instaurer un système de contrôle permanent et de retour d’expérience pour éviter la récurrence des erreurs</t>
  </si>
  <si>
    <t>Registre des actions correctives mises en œuvre</t>
  </si>
  <si>
    <t>Absence de suivi des actions correctives</t>
  </si>
  <si>
    <t>Absence d’amélioration continue des dispositifs internes.</t>
  </si>
  <si>
    <t>Mettre en œuvre une démarche d’amélioration continue avec des revues régulières des processus internes</t>
  </si>
  <si>
    <t>Les conclusions des audits sont intégrées dans les décisions stratégiques du conseil</t>
  </si>
  <si>
    <t>Les conclusions des audits sont-elles intégrées dans les décisions stratégiques du conseil?</t>
  </si>
  <si>
    <t>Rapports stratégiques intégrant les résultats des audits</t>
  </si>
  <si>
    <t>Résultats d’audit non pris en compte dans la stratégie</t>
  </si>
  <si>
    <t>Décisions stratégiques basées sur des données obsolètes.</t>
  </si>
  <si>
    <t>Automatiser la mise à jour des données et garantir l’accès à des informations en temps réel</t>
  </si>
  <si>
    <t>Documentation des décisions stratégiques du Conseil</t>
  </si>
  <si>
    <t>Documentation incomplète des décisions stratégiques</t>
  </si>
  <si>
    <t>Difficulté à suivre et justifier les décisions prises.</t>
  </si>
  <si>
    <t>Documenter systématiquement les décisions stratégiques avec des critères et des justifications claires</t>
  </si>
  <si>
    <t>Les membres du Conseil ont la possibilité d'interroger directement les auditeurs internes sur leurs conclusions</t>
  </si>
  <si>
    <t>Les membres du Conseil ont-ils la possibilité d'interroger directement les auditeurs internes sur leurs conclusions ?</t>
  </si>
  <si>
    <t>Procédure d’interrogation des auditeurs internes</t>
  </si>
  <si>
    <t>Manque d’efficacité dans l’interrogation des auditeurs internes</t>
  </si>
  <si>
    <t>Questions critiques non posées aux auditeurs internes.</t>
  </si>
  <si>
    <t>Définir un cadre structuré pour les audits avec des listes de questions prédéfinies et pertinentes</t>
  </si>
  <si>
    <t>Registre des questions et réponses entre le Conseil et les auditeurs</t>
  </si>
  <si>
    <t>Dialogue limité entre le conseil et les auditeurs</t>
  </si>
  <si>
    <t>Communication limitée et manque de transparence.</t>
  </si>
  <si>
    <t>Mettre en place une politique de communication interne et externe favorisant la transparence</t>
  </si>
  <si>
    <t>Vérifier que le Conseil joue un rôle actif dans la définition des
 objectifs et des critères de performance du contrôle interne, et qu’il
 veille à leur alignement avec les objectifs stratégiques de
 l’organisation</t>
  </si>
  <si>
    <t>Les objectifs de contrôle interne sont définis en lien avec les orientations stratégiques valisées par le Conseil</t>
  </si>
  <si>
    <t>Les objectifs de contrôle interne sont-ils définis en lien avec les orientations stratégiques valisées par le Conseil?</t>
  </si>
  <si>
    <t>Objectifs du contrôle interne validés par le Conseil</t>
  </si>
  <si>
    <t>Objectifs du contrôle interne mal définis ou inadaptés.</t>
  </si>
  <si>
    <t>Inefficacité du contrôle interne face aux risques majeurs.</t>
  </si>
  <si>
    <t>Renforcer le contrôle interne par des tests réguliers et des exercices de simulation des risques</t>
  </si>
  <si>
    <t>Alignement des objectifs de contrôle interne avec la stratégie de l’organisation</t>
  </si>
  <si>
    <t>Mauvais alignement entre les objectifs du contrôle interne et la stratégie globale.</t>
  </si>
  <si>
    <t>Faible intégration des contrôles internes dans la gestion stratégique.</t>
  </si>
  <si>
    <t>Associer systématiquement les contrôleurs internes aux décisions stratégiques</t>
  </si>
  <si>
    <t>Une revue annuelle des objectifs de contrôle interne est réalisée par le Conseil</t>
  </si>
  <si>
    <t>Une revue annuelle des objectifs de contrôle interne est-elle réalisée par le Conseil?</t>
  </si>
  <si>
    <t>Rapport de la revue annuelle des objectifs de contrôle interne</t>
  </si>
  <si>
    <t>Absence de mise à jour des objectifs de contrôle interne.</t>
  </si>
  <si>
    <t>Non-adaptation aux évolutions du contexte économique et réglementaire.</t>
  </si>
  <si>
    <t>Assurer une veille réglementaire et économique active et mettre à jour les stratégies en conséquence</t>
  </si>
  <si>
    <t>Compte-rendu des discussions stratégiques sur le contrôle interne</t>
  </si>
  <si>
    <t>Manque de clarté dans les discussions stratégiques sur le contrôle interne.</t>
  </si>
  <si>
    <t>Prises de décisions basées sur des informations incomplètes.</t>
  </si>
  <si>
    <t>Exiger des analyses approfondies et des études d’impact avant toute prise de décision majeure</t>
  </si>
  <si>
    <t>Le Conseil participe activement aux discussions sur l'évolution des réglementations et leur impact sur le contrôle interne</t>
  </si>
  <si>
    <t>Le Conseil participe-t-il activement aux discussions sur l'évolution des réglementations et leur impact sur le contrôle interne?</t>
  </si>
  <si>
    <t>Procès-verbaux des discussions sur les évolutions réglementaires</t>
  </si>
  <si>
    <t>Non-prise en compte des évolutions réglementaires.</t>
  </si>
  <si>
    <t>Risques de non-conformité et sanctions légales.</t>
  </si>
  <si>
    <t>Développer un programme de conformité et former les équipes aux exigences légales</t>
  </si>
  <si>
    <t>Rapports d’analyse de l’impact des réglementations sur l’organisation</t>
  </si>
  <si>
    <t>Analyse insuffisante des impacts des réglementations.</t>
  </si>
  <si>
    <t>Mauvaise anticipation des risques liés aux nouvelles réglementations.</t>
  </si>
  <si>
    <t>Mettre en place un comité de conformité chargé d’identifier et de préparer l’organisation aux changements réglementaires</t>
  </si>
  <si>
    <t>Des meécanisme de feedback entre le Conseil et les responables du contrôle interne sont en place</t>
  </si>
  <si>
    <t>Des mécanismes de feedback entre le Conseil et les responables du contrôle interne sont-ils en place?</t>
  </si>
  <si>
    <t>Documentation des échanges entre le Conseil et les responsables du contrôle interne</t>
  </si>
  <si>
    <t>Mauvaise communication entre le Conseil et les responsables du contrôle interne.</t>
  </si>
  <si>
    <t>Rupture de communication et décisions mal relayées.</t>
  </si>
  <si>
    <t>Instaurer un canal de communication interne efficace avec des comptes rendus systématiques des décisions prises</t>
  </si>
  <si>
    <t>Mécanisme de feedback structuré (ex: enquêtes, réunions dédiées)</t>
  </si>
  <si>
    <t>Manque de retour d’expérience structuré.</t>
  </si>
  <si>
    <t>Perte d’opportunités d’amélioration des processus.</t>
  </si>
  <si>
    <t>Mettre en place un processus d’évaluation continue et encourager l’innovation organisationnelle</t>
  </si>
  <si>
    <t>Les décisions stratégiques du Conseil intègrent systématiquement une analyse des risques et du contrôle interne</t>
  </si>
  <si>
    <t>Les décisions stratégiques du Conseil intègrent-elles systématiquement une analyse des risques et du contrôle interne?</t>
  </si>
  <si>
    <t>Rapports d’évaluation des décisions stratégiques</t>
  </si>
  <si>
    <t>Évaluation biaisée ou incomplète des décisions stratégiques.</t>
  </si>
  <si>
    <t>Risque de décisions inefficaces ou nuisibles.</t>
  </si>
  <si>
    <t>Soumettre les décisions stratégiques à une validation multi-niveaux avant leur mise en œuvre</t>
  </si>
  <si>
    <t>Analyses de risques intégrées aux décisions du Conseil</t>
  </si>
  <si>
    <t>Intégration partielle des analyses de risques aux décisions du Conseil.</t>
  </si>
  <si>
    <t>Manque de préparation face aux risques majeurs.</t>
  </si>
  <si>
    <t>Élaborer un plan de gestion des risques et organiser des exercices de simulation régulièrement</t>
  </si>
  <si>
    <t>S’assurer que le Conseil prend des mesures appropriées lorsque
 des dysfonctionnements ou des lacunes dans le contrôle interne
 sont identifiés, y compris la mise en place de plans d’action
 correctifs</t>
  </si>
  <si>
    <t>Une évaluation de l'efficacité des mesures correctives est effectuée après leur mise en œuvre</t>
  </si>
  <si>
    <t>Une évaluation de l'efficacité des mesures correctives est-elle effectuée après leur mise en œuvre ?</t>
  </si>
  <si>
    <t>Évaluation post-mise en œuvre des mesures correctives</t>
  </si>
  <si>
    <t>Absence de suivi de l’efficacité des mesures correctives.</t>
  </si>
  <si>
    <t>Faible correction des failles identifiées.</t>
  </si>
  <si>
    <t>Établir un suivi des actions correctives avec des indicateurs de performance et des délais précis</t>
  </si>
  <si>
    <t>Rapport d’audit mesurant l’efficacité des actions correctives</t>
  </si>
  <si>
    <t>Audits inefficaces dans l’évaluation des actions correctives.</t>
  </si>
  <si>
    <t>Maintien de processus inefficaces.</t>
  </si>
  <si>
    <t>Réaliser des revues régulières des processus et favoriser une culture de remise en question des pratiques obsolètes</t>
  </si>
  <si>
    <t>Une procédure officielle est mise en place pour traiter les dysfonctionnements dans le contrôle interne</t>
  </si>
  <si>
    <t>Une procédure officielle est-elle mise en place pour traiter les dysfonctionnements dans le contrôle interne?</t>
  </si>
  <si>
    <t>Procédure officielle de gestion des dysfonctionnements</t>
  </si>
  <si>
    <t>Gestion des dysfonctionnements mal encadrée.</t>
  </si>
  <si>
    <t>Récurrence des mêmes incidents sans solution durable.</t>
  </si>
  <si>
    <t>Adopter une approche proactive de gestion des incidents avec une analyse approfondie des causes profondes</t>
  </si>
  <si>
    <t>Plan de traitement des incidents de contrôle interne</t>
  </si>
  <si>
    <t>Traitement des incidents de contrôle interne non structuré.</t>
  </si>
  <si>
    <t>Gestion des incidents peu réactive, impactant la continuité des activités.</t>
  </si>
  <si>
    <t>Mettre en place un plan de continuité des activités et des protocoles d’urgence pour garantir une réaction rapide aux incidents</t>
  </si>
  <si>
    <t>Les responsables concernés doivent rendre compte régulièrement des mesures correctives mises en place</t>
  </si>
  <si>
    <t>Les responsables concernés rendent-ils compte régulièrement des mesures correctives mises en place?</t>
  </si>
  <si>
    <t>Rapports de suivi des mesures correctives</t>
  </si>
  <si>
    <t>Suivi insuffisant des mesures correctives mises en place.</t>
  </si>
  <si>
    <t>Répétition des erreurs et failles non corrigées.</t>
  </si>
  <si>
    <t>Mettre en place un suivi rigoureux des erreurs et assurer leur correction systématique.</t>
  </si>
  <si>
    <t>Tableau de bord des actions correctives mises en œuvre</t>
  </si>
  <si>
    <t>Manque de transparence sur l’état des actions correctives.</t>
  </si>
  <si>
    <t>Manque de visibilité sur l’état des actions correctives.</t>
  </si>
  <si>
    <t>Établir des indicateurs de suivi clairs pour mesurer l’avancement des actions correctives.</t>
  </si>
  <si>
    <t>Des sanctions sont prévues en cas de manquement répété au dispositif de contrôle interne</t>
  </si>
  <si>
    <t>Des sanctions sont-elles prévues en cas de manquement répété au dispositif de contrôle interne?</t>
  </si>
  <si>
    <t>Politique de sanctions en cas de non-respect des contrôles internes</t>
  </si>
  <si>
    <t>Application incohérente des sanctions en cas de non-respect des contrôles internes.</t>
  </si>
  <si>
    <t>Risque de traitements préférentiels ou arbitraires.</t>
  </si>
  <si>
    <t>Standardiser les critères de traitement pour garantir l’équité et la transparence.</t>
  </si>
  <si>
    <t>Registre des sanctions appliquées</t>
  </si>
  <si>
    <t>Absence de traçabilité des sanctions appliquées.</t>
  </si>
  <si>
    <t>Incohérences dans l’application des sanctions et contestations possibles.</t>
  </si>
  <si>
    <t>Définir des règles précises pour l’application des sanctions et les faire respecter.</t>
  </si>
  <si>
    <t>Le conseil suit la mise en place des plans d'action correctifs</t>
  </si>
  <si>
    <t>Le conseil suit-il la mise en place des plans d'action correctifs?</t>
  </si>
  <si>
    <t>Rapports de suivi des plans d’action correctifs</t>
  </si>
  <si>
    <t>Plans d’action correctifs non suivis ou mal exécutés.</t>
  </si>
  <si>
    <t>Échec des mesures de redressement et persistance des problèmes.</t>
  </si>
  <si>
    <t>Effectuer des audits réguliers pour évaluer l’efficacité des mesures de redressement.</t>
  </si>
  <si>
    <t>Procès-verbaux des réunions du Conseil sur les actions correctives</t>
  </si>
  <si>
    <t>Manque d’implication du Conseil dans le suivi des actions correctives.</t>
  </si>
  <si>
    <t>Affaiblissement du contrôle exercé par le Conseil.</t>
  </si>
  <si>
    <t>Renforcer l’implication du Conseil dans le suivi des mesures correctives.</t>
  </si>
  <si>
    <t>Vérifier que le Conseil évalue régulièrement la performance des
 responsables du contrôle interne et veille à ce que leurs actions
 soient indépendantes et objectives</t>
  </si>
  <si>
    <t>Une évaluation périodique des responsables du contrôle interne est réalisé par le Conseil</t>
  </si>
  <si>
    <t>Une évaluation périodique des responsables du contrôle interne est-elle réalisé par le Conseil?</t>
  </si>
  <si>
    <t>Évaluations annuelles des responsables du contrôle interne</t>
  </si>
  <si>
    <t>Évaluations annuelles des responsables du contrôle interne partielles ou subjectives.</t>
  </si>
  <si>
    <t>Performance des responsables du contrôle interne mal évaluée.</t>
  </si>
  <si>
    <t>Instaurer un système d’évaluation des performances des responsables du contrôle interne.</t>
  </si>
  <si>
    <t>Critères d’évaluation des performances des responsables du contrôle interne</t>
  </si>
  <si>
    <t>Critères d’évaluation des responsables mal définis.</t>
  </si>
  <si>
    <t>Promotion ou maintien de responsables inefficaces.</t>
  </si>
  <si>
    <t>Mettre en place des critères de promotion basés sur la compétence et les résultats.</t>
  </si>
  <si>
    <t>Le Conseil veille à la mise en place de formations continues pour garantir l'expertise des responsables du contrôle interne</t>
  </si>
  <si>
    <t>Le Conseil veille-t-il à la mise en place de formations continues pour garantir l'expertise des responsables du contrôle interne ?</t>
  </si>
  <si>
    <t>Plan de formation continue pour les responsables du contrôle interne</t>
  </si>
  <si>
    <t>Formation continue des responsables du contrôle interne insuffisante.</t>
  </si>
  <si>
    <t>Manque de compétences et adaptation insuffisante aux nouvelles exigences.</t>
  </si>
  <si>
    <t>Organiser des formations continues pour renforcer les compétences des responsables.</t>
  </si>
  <si>
    <t>Rapports de suivi des formations suivies</t>
  </si>
  <si>
    <t>Suivi des formations suivi de manière irrégulière.</t>
  </si>
  <si>
    <t>Suivi des compétences non assuré, impactant l’efficacité des formations.</t>
  </si>
  <si>
    <t>Mettre en place un suivi des formations pour garantir leur efficacité et leur pertinence.</t>
  </si>
  <si>
    <t>Des critères d'indépendance et d'objectivité sont définis pour ces responsables</t>
  </si>
  <si>
    <t>Des critères d'indépendance et d'objectivité sont-ils définis pour ces responsables?</t>
  </si>
  <si>
    <t>Charte d’indépendance et d’objectivité</t>
  </si>
  <si>
    <t>Manque d’indépendance et d’objectivité dans la gestion du contrôle interne.</t>
  </si>
  <si>
    <t>Contrôle interne influencé par des décisions biaisées.</t>
  </si>
  <si>
    <t>Élaborer une charte d’éthique pour encadrer les décisions du contrôle interne.</t>
  </si>
  <si>
    <t>Liste des critères d’indépendance et d’objectivité définis</t>
  </si>
  <si>
    <t>Critères d’indépendance et d’objectivité non respectés.</t>
  </si>
  <si>
    <t>Décisions prises sous influence externe, réduisant la fiabilité des contrôles.</t>
  </si>
  <si>
    <t>Renforcer les mécanismes de contrôle pour limiter l’influence des parties externes.</t>
  </si>
  <si>
    <t>Des rémunérations et incitations des responsables du contrôle interne sont structurées pour éviter tout conflit d'intérêts</t>
  </si>
  <si>
    <t>Des rémunérations et incitations des responsables du contrôle interne sont-elles structurées pour éviter tout conflit d'intérêts ?</t>
  </si>
  <si>
    <t>Politique de rémunération des responsables du contrôle interne</t>
  </si>
  <si>
    <t>Rémunération des responsables du contrôle interne influencée par des conflits d’intérêts.</t>
  </si>
  <si>
    <t>Incitations monétaires favorisant des pratiques contraires à l’éthique.</t>
  </si>
  <si>
    <t>Revoir les politiques de rémunération pour éviter les conflits d’intérêts.</t>
  </si>
  <si>
    <t>Grille d’incitation pour éviter les conflits d’intérêts</t>
  </si>
  <si>
    <t>Politique d’incitation favorisant des comportements non éthiques.</t>
  </si>
  <si>
    <t>Conflits d’intérêts nuisant à l’objectivité des contrôles.</t>
  </si>
  <si>
    <t>Mettre en place des contrôles indépendants pour assurer l’objectivité des décisions.</t>
  </si>
  <si>
    <t>Une procédure de signalement sont disponibles pour signaler toute tentative d'ingérence</t>
  </si>
  <si>
    <t>Une procédure de signalement est-elle disponible pour signaler toute tentative d'ingérence?</t>
  </si>
  <si>
    <t>Procédure de signalement des tentatives d’ingérence</t>
  </si>
  <si>
    <t>Absence d’un mécanisme efficace pour signaler les tentatives d’ingérence.</t>
  </si>
  <si>
    <t>Peur de représailles empêchant les signalements d’ingérence.</t>
  </si>
  <si>
    <t>Instaurer un canal de signalement anonyme pour encourager la remontée des alertes.</t>
  </si>
  <si>
    <t>Registre des signalements et actions correctives</t>
  </si>
  <si>
    <t>Signalements d’ingérence ignorés ou non traités.</t>
  </si>
  <si>
    <t>Maintien d’influences externes compromettant l’intégrité du contrôle interne.</t>
  </si>
  <si>
    <t>Appliquer des sanctions en cas d’ingérence avérée dans le contrôle interne.</t>
  </si>
  <si>
    <t>Structures, autorités et responsabilités</t>
  </si>
  <si>
    <t>S’assurer que la structure organisationnelle est clairement définie,
 incluant les rattachements hiérarchiques, les rôles, les
 responsabilités et les pouvoirs de chaque collaborateur</t>
  </si>
  <si>
    <t>Un organigramme officiel détaillé est disponible et mis à jourr égulièrement</t>
  </si>
  <si>
    <t>Un organigramme officiel détaillé est-il disponible et mis à jour régulièrement?</t>
  </si>
  <si>
    <t>Organigramme officiel de l’organisation</t>
  </si>
  <si>
    <t>Organigramme non mis à jour ou inexact</t>
  </si>
  <si>
    <t>Confusion sur la répartition des rôles et responsabilités</t>
  </si>
  <si>
    <t>Clarifier les rôles et responsabilités de chaque acteur du contrôle interne.</t>
  </si>
  <si>
    <t>Procédure de mise à jour de l’organigramme</t>
  </si>
  <si>
    <t>Absence de procédure claire pour la mise à jour de l’organigramme</t>
  </si>
  <si>
    <t>Désorganisation interne et perte d’efficacité</t>
  </si>
  <si>
    <t>Optimiser l’organisation interne pour améliorer la coordination et l’efficacité.</t>
  </si>
  <si>
    <t>Chaque poste dispose d'une fiche de fonction précisant les rôles et responsabilités</t>
  </si>
  <si>
    <t>Chaque poste dispose-t-il d'une fiche de fonction précisant les rôles et responsabilités?</t>
  </si>
  <si>
    <t>Fiches de fonction détaillées par poste</t>
  </si>
  <si>
    <t>Manque de clarté dans les fiches de fonction</t>
  </si>
  <si>
    <t>Conflits entre collaborateurs en raison d’un manque de clarté des fonctions</t>
  </si>
  <si>
    <t>Définir des fiches de poste précises pour limiter les conflits entre collaborateurs.</t>
  </si>
  <si>
    <t>Documentation des responsabilités associées à chaque poste</t>
  </si>
  <si>
    <t>Responsabilités mal définies ou non documentées</t>
  </si>
  <si>
    <t>Difficulté à identifier les responsabilités en cas d’erreur</t>
  </si>
  <si>
    <t>Établir un cadre formel de responsabilisation pour identifier les fautes.</t>
  </si>
  <si>
    <t>Le signalement de toute ambiguité ou incohérence dans la structure est possible</t>
  </si>
  <si>
    <t>Le signalement de toute ambiguité ou incohérence dans la structure est-il possible ?</t>
  </si>
  <si>
    <t>Procédure de signalement des incohérences organisationnelles</t>
  </si>
  <si>
    <t>Absence de mécanisme de signalement des incohérences organisationnelles</t>
  </si>
  <si>
    <t>Dysfonctionnements non détectés et persistants</t>
  </si>
  <si>
    <t>Renforcer les dispositifs de contrôle pour détecter et corriger rapidement les dysfonctionnements</t>
  </si>
  <si>
    <t>Registre des signalements et actions de correction</t>
  </si>
  <si>
    <t>Signalements d’incohérences non traités ou ignorés</t>
  </si>
  <si>
    <t>Perte de confiance des employés dans le système de signalement</t>
  </si>
  <si>
    <t>Renforcer la sensibilisation et garantir la confidentialité du système de signalement</t>
  </si>
  <si>
    <t>Les délégations de pouvoir sont documentées et validées par la direction</t>
  </si>
  <si>
    <t>Les délégations de pouvoir sont-elles documentées et validées par la direction ?</t>
  </si>
  <si>
    <t>Document des délégations de pouvoir</t>
  </si>
  <si>
    <t>Délégations de pouvoir mal encadrées</t>
  </si>
  <si>
    <t>Risques de prises de décision arbitraires et non conformes</t>
  </si>
  <si>
    <t>Définir des critères objectifs et transparents pour la prise de décision</t>
  </si>
  <si>
    <t>Liste des délégations validées par la direction</t>
  </si>
  <si>
    <t>Liste des délégations non validée par la direction</t>
  </si>
  <si>
    <t>Attribution illégitime de pouvoirs et prise de décisions inappropriées</t>
  </si>
  <si>
    <t>Mettre en place un cadre clair de délégation des pouvoirs</t>
  </si>
  <si>
    <t>Les employés confirment qu'ils comprennent leurs responsabilités</t>
  </si>
  <si>
    <t>Les employés confirment-ils qu'ils comprennent leurs responsabilités ?</t>
  </si>
  <si>
    <t>Formulaire de confirmation des responsabilités par les employés</t>
  </si>
  <si>
    <t>Manque de confirmation formelle des responsabilités par les employés</t>
  </si>
  <si>
    <t>Ambiguïté dans la répartition des tâches et des responsabilités</t>
  </si>
  <si>
    <t>Clarifier et documenter la répartition des responsabilités</t>
  </si>
  <si>
    <t>Enquête annuelle sur la compréhension des responsabilités</t>
  </si>
  <si>
    <t>Faible compréhension des responsabilités au sein de l’organisation</t>
  </si>
  <si>
    <t>Erreurs fréquentes et perte de productivité</t>
  </si>
  <si>
    <t>Instaurer des contrôles qualité pour réduire les erreurs et améliorer la productivité</t>
  </si>
  <si>
    <t>Vérifier que les responsabilités et les pouvoirs sont attribués de
 manière appropriée, en fonction des compétences et des objectifs
 stratégiques de l’organisation</t>
  </si>
  <si>
    <t>Les responsabilités sont alignées avec les descriptions de poste et les compétences requises</t>
  </si>
  <si>
    <t>Les responsabilités sont-elles alignées avec les descriptions de poste et les compétences requises ?</t>
  </si>
  <si>
    <t>Matrice d’alignement entre compétences et responsabilités</t>
  </si>
  <si>
    <t>Désalignement entre compétences et responsabilités</t>
  </si>
  <si>
    <t>Affectation inefficace des ressources humaines</t>
  </si>
  <si>
    <t>Optimiser la gestion des ressources humaines selon les besoins organisationnels</t>
  </si>
  <si>
    <t>Rapport de validation des compétences requises</t>
  </si>
  <si>
    <t>Validation des compétences incomplète ou erronée</t>
  </si>
  <si>
    <t>Manque de personnel compétent pour certains postes clés</t>
  </si>
  <si>
    <t>Renforcer la formation et le recrutement pour combler les postes clés</t>
  </si>
  <si>
    <t>Une évaluation périodique de l'adéquation entre les compétences et les responsabilités est effectuée</t>
  </si>
  <si>
    <t>Une évaluation périodique de l'adéquation entre les compétences et les responsabilités est-elle effectuée?</t>
  </si>
  <si>
    <t>Évaluation périodique de l’adéquation compétences-responsabilités</t>
  </si>
  <si>
    <t>Absence d’évaluation régulière de l’adéquation compétences-responsabilités</t>
  </si>
  <si>
    <t>Faibles performances et incohérence dans l’exécution des tâches</t>
  </si>
  <si>
    <t>Mettre en place un système d’évaluation continue des performances</t>
  </si>
  <si>
    <t>Compte-rendu des ajustements effectués suite aux évaluations</t>
  </si>
  <si>
    <t>Manque d’ajustements suite aux évaluations des compétences</t>
  </si>
  <si>
    <t>Inefficacité des ajustements organisationnels</t>
  </si>
  <si>
    <t>Assurer un suivi rigoureux des ajustements organisationnels</t>
  </si>
  <si>
    <t>Un suivi est réalisé pour éviter toute accumulation excessive de pouvoirs</t>
  </si>
  <si>
    <t>Un suivi est-il réalisé pour éviter toute accumulation excessive de pouvoirs?</t>
  </si>
  <si>
    <t>Registre des cumuls de pouvoirs excessifs</t>
  </si>
  <si>
    <t>Accumulation excessive de pouvoirs non contrôlée</t>
  </si>
  <si>
    <t>Risque d’abus de pouvoir et de fraudes internes</t>
  </si>
  <si>
    <t>Mettre en place un dispositif de contrôle pour prévenir les abus de pouvoir</t>
  </si>
  <si>
    <t>Plan de mitigation des risques liés à l’accumulation de pouvoirs</t>
  </si>
  <si>
    <t>Absence de plan de mitigation des risques liés à l’accumulation de pouvoirs</t>
  </si>
  <si>
    <t>Faible contrôle sur la concentration des pouvoirs</t>
  </si>
  <si>
    <t>Limiter la concentration des pouvoirs par des mécanismes de surveillance</t>
  </si>
  <si>
    <t>Un processus formel d'évaluation des compétences est mis en place pour les promotions et nominatons</t>
  </si>
  <si>
    <t>Un processus formel d'évaluation des compétences est-il mis en place pour les promotions et nominatons?</t>
  </si>
  <si>
    <t>Processus d’évaluation des compétences pour promotions et nominations</t>
  </si>
  <si>
    <t>Processus d’évaluation des promotions et nominations inadapté</t>
  </si>
  <si>
    <t>Promotions attribuées sur des critères non objectifs</t>
  </si>
  <si>
    <t>Définir des critères objectifs et transparents pour les promotions</t>
  </si>
  <si>
    <t>Documentation des décisions de promotion</t>
  </si>
  <si>
    <t>Décisions de promotion non documentées</t>
  </si>
  <si>
    <t>Manque de transparence dans la gestion des carrières</t>
  </si>
  <si>
    <t>Assurer une gestion des carrières basée sur des processus équitables</t>
  </si>
  <si>
    <t>Les décisions importantes sont validées par des niveaux hiérarchiques appropriés</t>
  </si>
  <si>
    <t>Les décisions importantes sont-elles validées par des niveaux hiérarchiques appropriés?</t>
  </si>
  <si>
    <t>Procédure de validation des décisions importantes par la hiérarchie</t>
  </si>
  <si>
    <t>Absence de validation hiérarchique des décisions importantes</t>
  </si>
  <si>
    <t>Décisions non validées et risques de dérives</t>
  </si>
  <si>
    <t>Valider systématiquement les décisions importantes avant leur application</t>
  </si>
  <si>
    <t>Registre des décisions validées</t>
  </si>
  <si>
    <t>Liste des décisions validées incomplète ou erronée</t>
  </si>
  <si>
    <t>Incohérences dans la gouvernance et pertes de contrôle</t>
  </si>
  <si>
    <t>Améliorer la gouvernance en clarifiant les processus décisionnels</t>
  </si>
  <si>
    <t>S’assurer que la structure organisationnelle est régulièrement revue
 et mise à jour pour tenir compte des changements dans
 l’environnement interne ou externe de l’organisation</t>
  </si>
  <si>
    <t>Une mise à jour régulière de la structure organisationnelle est effectuée</t>
  </si>
  <si>
    <t>Une mise à jour régulière de la structure organisationnelle est-elle effectuée ?</t>
  </si>
  <si>
    <t>Plan de mise à jour de la structure organisationnelle</t>
  </si>
  <si>
    <t>Mise à jour de la structure organisationnelle non planifiée</t>
  </si>
  <si>
    <t>Organisation rigide et difficile à adapter aux évolutions</t>
  </si>
  <si>
    <t>Rendre l’organisation plus flexible et adaptable aux évolutions du marché</t>
  </si>
  <si>
    <t>Rapports de suivi des mises à jour</t>
  </si>
  <si>
    <t>Suivi insuffisant des mises à jour organisationnelles</t>
  </si>
  <si>
    <t>Mauvaise anticipation des impacts des réorganisations</t>
  </si>
  <si>
    <t>Évaluer systématiquement les impacts des réorganisations avant mise en œuvre</t>
  </si>
  <si>
    <t>Les changements organisationnels sont soumis à une validation par la direction et/ou le Conseil</t>
  </si>
  <si>
    <t>Les changements organisationnels sont-ils soumis à une validation par la direction et/ou le Conseil?</t>
  </si>
  <si>
    <t>Procédure de validation des changements organisationnels</t>
  </si>
  <si>
    <t>Changements organisationnels non validés par la direction</t>
  </si>
  <si>
    <t>Changements non conformes aux orientations stratégiques</t>
  </si>
  <si>
    <t>Aligner les changements avec la stratégie globale de l’organisation</t>
  </si>
  <si>
    <t>Liste des changements validés par la direction et/ou le Conseil</t>
  </si>
  <si>
    <t>Absence de traçabilité des changements validés</t>
  </si>
  <si>
    <t>Perte de traçabilité des évolutions structurelles</t>
  </si>
  <si>
    <t>Mettre en place un suivi détaillé des évolutions structurelles</t>
  </si>
  <si>
    <t>Une veille stratégique est menée pour adapter la structure aux évolutions réglementaires et économiques</t>
  </si>
  <si>
    <t>Une veille stratégique est-elle menée pour adapter la structure aux évolutions réglementaires et économiques?</t>
  </si>
  <si>
    <t>Veille stratégique sur les évolutions réglementaires et économiques</t>
  </si>
  <si>
    <t>Manque de veille sur les évolutions réglementaires et économiques</t>
  </si>
  <si>
    <t>Mauvaise anticipation des risques liés aux nouvelles réglementations</t>
  </si>
  <si>
    <t>Mettre en place un dispositif de veille réglementaire pour anticiper les risques</t>
  </si>
  <si>
    <t>Rapports d’analyse d’impact des évolutions sur l’organisation</t>
  </si>
  <si>
    <t>Analyse d’impact des évolutions non réalisée ou insuffisante</t>
  </si>
  <si>
    <t>Non-conformité légale et risques juridiques</t>
  </si>
  <si>
    <t>Assurer une conformité continue aux exigences légales et réglementaires</t>
  </si>
  <si>
    <t>Les collaborateurs sont informés rapidement des changements dans la structure</t>
  </si>
  <si>
    <t>Les collaborateurs sont-ils informés rapidement des changements dans la structure?</t>
  </si>
  <si>
    <t>Procédure de communication des changements aux collaborateurs</t>
  </si>
  <si>
    <t>Communication des changements aux collaborateurs inefficace</t>
  </si>
  <si>
    <t>Résistance des employés face aux changements</t>
  </si>
  <si>
    <t>Accompagner les employés dans le changement avec des formations adaptées</t>
  </si>
  <si>
    <t>Rapports de diffusion des informations sur les changements</t>
  </si>
  <si>
    <t>Diffusion des informations sur les changements incomplète ou retardée</t>
  </si>
  <si>
    <t>Communication inefficace entraînant des rumeurs et incertitudes</t>
  </si>
  <si>
    <t>Mettre en place une communication proactive et transparente sur les changements</t>
  </si>
  <si>
    <t>Des évaluations post-changement mesurent l'impact de ceux-ci sur l'efficacité organisationnelle</t>
  </si>
  <si>
    <t>Des évaluations post-changement mesurent-elles l'impact de ceux-ci sur l'efficacité organisationnelle?</t>
  </si>
  <si>
    <t>Évaluations post-changement des impacts organisationnels</t>
  </si>
  <si>
    <t>Évaluation post-changement inexistante ou inadaptée</t>
  </si>
  <si>
    <t>Impact négatif des changements sur la productivité et la cohésion</t>
  </si>
  <si>
    <t>Évaluer les impacts des changements sur la productivité et la cohésion</t>
  </si>
  <si>
    <t>Rapports d’analyse des performances après changement</t>
  </si>
  <si>
    <t>Absence d’analyse des performances après un changement</t>
  </si>
  <si>
    <t>Faible réactivité en cas d’échec d’un changement</t>
  </si>
  <si>
    <t>Mettre en place un plan de gestion des échecs pour réagir rapidement</t>
  </si>
  <si>
    <t>Vérifier que le management reçoit l’approbation du Conseil pour les
 modifications de la structure organisationnelle, afin d’assurer une
 supervision adéquate des changements importants</t>
  </si>
  <si>
    <t>Toute modification de la structure fait l'objet d'une présentation officielle au Conseil</t>
  </si>
  <si>
    <t>Toute modification de la structure fait-elle l'objet d'une présentation officielle au Conseil?</t>
  </si>
  <si>
    <t>Présentation officielle des modifications organisationnelles au Conseil</t>
  </si>
  <si>
    <t>Modifications organisationnelles non présentées au Conseil</t>
  </si>
  <si>
    <t>Manque de transparence envers le Conseil d’administration</t>
  </si>
  <si>
    <t>Renforcer la transparence et le reporting envers le Conseil d’administration</t>
  </si>
  <si>
    <t>Compte-rendu des discussions du Conseil sur les changements</t>
  </si>
  <si>
    <t>Discussions du Conseil sur les changements non documentées</t>
  </si>
  <si>
    <t>Perte d’informations essentielles pour la prise de décision stratégique</t>
  </si>
  <si>
    <t>Centraliser et sécuriser l’accès aux informations stratégiques</t>
  </si>
  <si>
    <t>Une liste des changements approuvés est tenue et mise à jour</t>
  </si>
  <si>
    <t>Une liste des changements approuvés est-elle tenue et mise à jour?</t>
  </si>
  <si>
    <t>Liste actualisée des changements approuvés</t>
  </si>
  <si>
    <t>Liste des changements approuvés incomplète ou erronée</t>
  </si>
  <si>
    <t>Désalignement entre les changements réalisés et les décisions validées</t>
  </si>
  <si>
    <t>Aligner les décisions stratégiques avec les changements réalisés</t>
  </si>
  <si>
    <t>Registre des modifications organisationnelles</t>
  </si>
  <si>
    <t>Registre des modifications organisationnelles non mis à jour</t>
  </si>
  <si>
    <t>Perte d’historique des évolutions organisationnelles</t>
  </si>
  <si>
    <t>Assurer un archivage structuré et accessible des évolutions organisationnelles</t>
  </si>
  <si>
    <t>Un mécanisme de justification des modifications est en place avant l'approbation</t>
  </si>
  <si>
    <t>Un mécanisme de justification des modifications est-il en place avant l'approbation?</t>
  </si>
  <si>
    <t>Mécanisme de justification des modifications organisationnelles</t>
  </si>
  <si>
    <t>Justification des modifications organisationnelles absente ou insuffisante</t>
  </si>
  <si>
    <t>Modifications non justifiées pouvant fragiliser l’organisation</t>
  </si>
  <si>
    <t>Justifier chaque modification structurelle par des analyses précises</t>
  </si>
  <si>
    <t>Documentation des justifications des changements avant validation</t>
  </si>
  <si>
    <t>Documentation des justifications incomplète ou inexistante</t>
  </si>
  <si>
    <t>Risques accrus d’arbitraire dans les décisions</t>
  </si>
  <si>
    <t>Renforcer les mécanismes de contrôle des décisions</t>
  </si>
  <si>
    <t>le Conseil dispose d'un accès direct aux documents justifiants l'évolution organisationnelle</t>
  </si>
  <si>
    <t>le Conseil dispose-t-il d'un accès direct aux documents justifiants l'évolution organisationnelle?</t>
  </si>
  <si>
    <t>Accès direct du Conseil aux documents de justification des changements</t>
  </si>
  <si>
    <t>Accès limité du Conseil aux documents de justification des changements</t>
  </si>
  <si>
    <t>Manque de contrôle et de surveillance par le Conseil</t>
  </si>
  <si>
    <t>Mettre en place un système de surveillance des décisions du Conseil</t>
  </si>
  <si>
    <t>Procédure d’archivage et d’accès aux documents justifiant les évolutions</t>
  </si>
  <si>
    <t>Absence de procédure d’archivage des documents de justification</t>
  </si>
  <si>
    <t>Détérioration de la traçabilité des décisions organisationnelles</t>
  </si>
  <si>
    <t>Renforcer la traçabilité des décisions organisationnelles</t>
  </si>
  <si>
    <t>Des indicateurs de performance évaluent les impacts des changements effectués</t>
  </si>
  <si>
    <t>Des indicateurs de performance évaluent-ils les impacts des changements effectués?</t>
  </si>
  <si>
    <t>Indicateurs de performance des changements organisationnels</t>
  </si>
  <si>
    <t>Indicateurs de performance des changements non définis</t>
  </si>
  <si>
    <t>Absence d’évaluation de la pertinence des changements</t>
  </si>
  <si>
    <t>Évaluer systématiquement la pertinence des changements avant leur mise en œuvre</t>
  </si>
  <si>
    <t>Tableaux de bord des impacts des changements sur la performance</t>
  </si>
  <si>
    <t>Suivi des impacts des changements sur la performance insuffisant</t>
  </si>
  <si>
    <t>Difficulté à mesurer l’efficacité des nouvelles structures</t>
  </si>
  <si>
    <t>Développer des indicateurs pour mesurer l’efficacité des nouvelles structures</t>
  </si>
  <si>
    <t>S’assurer que des mécanismes sont en place pour communiquer la
 structure organisationnelle à tous les collaborateurs, afin qu'ils
 comprennent clairement leurs rôles et leurs responsabilités</t>
  </si>
  <si>
    <t>L'organigramme de la structure organisationnelle est accessible à tous les collaborateurs via un portail interne ou tout autre support officiel</t>
  </si>
  <si>
    <t>L'organigramme de la structure organisationnelle est-elle accessible à tous les collaborateurs via un portail interne ou tout autre support officiel?</t>
  </si>
  <si>
    <t>Organigramme officiel de la structure organisationnelle</t>
  </si>
  <si>
    <t>Organigramme non mis à jour ou incohérent.</t>
  </si>
  <si>
    <t>Assurer une mise à jour régulière et précise de l’organigramme</t>
  </si>
  <si>
    <t>Portail interne ou support officiel contenant l’organigramme</t>
  </si>
  <si>
    <t>Portail interne ne reflétant pas la structure actuelle.</t>
  </si>
  <si>
    <t>Veiller à ce que le portail interne reflète fidèlement la structure actuelle</t>
  </si>
  <si>
    <t>Une communication interne est diffusée à chaque mise à jour de la structure organisationnelle</t>
  </si>
  <si>
    <t>Une communication interne est-elle diffusée à chaque mise à jour de la structure organisationnelle?</t>
  </si>
  <si>
    <t>Procédure de communication interne des mises à jour organisationnelles</t>
  </si>
  <si>
    <t>Communication interne des mises à jour organisationnelles inefficace.</t>
  </si>
  <si>
    <t>Améliorer les canaux de communication pour diffuser les mises à jour organisationnelles</t>
  </si>
  <si>
    <t>Exemples de communications internes diffusées lors des changements</t>
  </si>
  <si>
    <t>Messages de communication interne inadaptés ou mal diffusés.</t>
  </si>
  <si>
    <t>Adapter les messages de communication interne aux différents publics</t>
  </si>
  <si>
    <t>Des sessions de sensibilisation sont organisées pour expliquer les changements et responsabilités</t>
  </si>
  <si>
    <t>Des sessions de sensibilisation sont-elles organisées pour expliquer les changements et responsabilités?</t>
  </si>
  <si>
    <t>Programme des sessions de sensibilisation sur les changements organisationnels</t>
  </si>
  <si>
    <t>Sensibilisation aux changements organisationnels insuffisante.</t>
  </si>
  <si>
    <t>Renforcer les campagnes de sensibilisation sur les changements organisationnels</t>
  </si>
  <si>
    <t>Rapports de participation aux sessions de sensibilisation</t>
  </si>
  <si>
    <t>Faible participation aux sessions de sensibilisation.</t>
  </si>
  <si>
    <t>Augmenter l’attractivité des sessions de sensibilisation pour garantir la participation</t>
  </si>
  <si>
    <t>Un référent RH est désigné pour répondre aux questions sur la structure organisationnelle</t>
  </si>
  <si>
    <t>Un référent RH est-il désigné pour répondre aux questions sur la structure organisationnelle ?</t>
  </si>
  <si>
    <t>Liste des référents RH désignés pour la structure organisationnelle</t>
  </si>
  <si>
    <t>Manque de clarté sur les rôles des référents RH.</t>
  </si>
  <si>
    <t>Clarifier les missions et les responsabilités des référents RH</t>
  </si>
  <si>
    <t>Politique interne définissant le rôle des référents RH</t>
  </si>
  <si>
    <t>Politique RH non alignée avec les besoins organisationnels.</t>
  </si>
  <si>
    <t>Aligner la politique RH avec la stratégie et les évolutions organisationnelles</t>
  </si>
  <si>
    <t>La clarté de la communication sur la structure est réalisée</t>
  </si>
  <si>
    <t>La clarté de la communication sur la structure est-elle réalisée?</t>
  </si>
  <si>
    <t>Plan de communication interne sur la structure organisationnelle</t>
  </si>
  <si>
    <t>Plan de communication interne mal structuré.</t>
  </si>
  <si>
    <t>Structurer un plan de communication interne cohérent et efficace</t>
  </si>
  <si>
    <t>Audit de la clarté et de l’efficacité des communications organisationnelles</t>
  </si>
  <si>
    <t>Communications organisationnelles peu efficaces ou ambiguës.</t>
  </si>
  <si>
    <t>Optimiser les supports et méthodes de communication organisationnelle</t>
  </si>
  <si>
    <t>Vérifier que les structures, les rattachements et les responsabilités
 sont clairement documentés et accessibles pour consultation,
 garantissant une traçabilité des décisions organisationnelles</t>
  </si>
  <si>
    <t>Les documents organisationnels sont centralisés et accessibles</t>
  </si>
  <si>
    <t>Les documents organisationnels sont-ils centralisés et accessibles ?</t>
  </si>
  <si>
    <t>Référentiel des documents organisationnels centralisés</t>
  </si>
  <si>
    <t>Documents organisationnels mal centralisés ou dispersés.</t>
  </si>
  <si>
    <t>Centraliser et organiser efficacement les documents organisationnels</t>
  </si>
  <si>
    <t>Procédure d’accès aux documents organisationnels</t>
  </si>
  <si>
    <t>Accès aux documents organisationnels restreint ou non encadré.</t>
  </si>
  <si>
    <t>Établir un accès sécurisé et encadré aux documents organisationnels</t>
  </si>
  <si>
    <t>Toute modification est archivée avec les motifs et décisions associées</t>
  </si>
  <si>
    <t>Toute modification est-elle archivée avec les motifs et décisions associées ?</t>
  </si>
  <si>
    <t>Registre des modifications structurelles archivées</t>
  </si>
  <si>
    <t>Historique des modifications structurelles mal tenu.</t>
  </si>
  <si>
    <t>Mettre en place un suivi rigoureux des modifications structurelles</t>
  </si>
  <si>
    <t>Documentation des motifs et décisions associées aux modifications</t>
  </si>
  <si>
    <t>Décisions de modification de structure non justifiées.</t>
  </si>
  <si>
    <t>Justifier et documenter chaque décision de modification structurelle</t>
  </si>
  <si>
    <t>Une politique de conservation des documents organisationnels est définie et appliquée</t>
  </si>
  <si>
    <t>Une politique de conservation des documents organisationnels est-elle définie et appliquée?</t>
  </si>
  <si>
    <t>Politique de conservation des documents organisationnels</t>
  </si>
  <si>
    <t>Conservation des documents organisationnels non maîtrisée.</t>
  </si>
  <si>
    <t>Définir une politique claire et rigoureuse de conservation des documents</t>
  </si>
  <si>
    <t>Procédure de gestion et d’archivage des documents</t>
  </si>
  <si>
    <t>Archivage des documents mal géré ou non conforme.</t>
  </si>
  <si>
    <t>Instaurer un système d’archivage conforme aux normes en vigueur</t>
  </si>
  <si>
    <t>Des contrôles réguliers sont effectués pour s'assurer que les documents sont à jour</t>
  </si>
  <si>
    <t>Des contrôles réguliers sont-ils effectués pour s'assurer que les documents sont à jour ?</t>
  </si>
  <si>
    <t>Plan de contrôle régulier des documents organisationnels</t>
  </si>
  <si>
    <t>Contrôle des documents organisationnels insuffisant.</t>
  </si>
  <si>
    <t>Renforcer le contrôle des documents organisationnels pour garantir leur fiabilité</t>
  </si>
  <si>
    <t>Rapports de conformité sur la mise à jour des documents</t>
  </si>
  <si>
    <t>Non-respect des délais de mise à jour des documents.</t>
  </si>
  <si>
    <t>Mettre en place un calendrier strict de mise à jour des documents</t>
  </si>
  <si>
    <t>Les modifications de structure sont notifiées aux parties prenantes concernées</t>
  </si>
  <si>
    <t>Les modifications de structure sont-elles notifiées aux parties prenantes concernées?</t>
  </si>
  <si>
    <t>Procédure de notification des modifications de structure aux parties prenantes</t>
  </si>
  <si>
    <t>Notification des modifications aux parties prenantes défaillante.</t>
  </si>
  <si>
    <t>Assurer une notification systématique des modifications aux parties prenantes</t>
  </si>
  <si>
    <t>Liste des parties prenantes informées lors des modifications</t>
  </si>
  <si>
    <t>Liste des parties prenantes informées incomplète ou erronée.</t>
  </si>
  <si>
    <t>Maintenir une liste à jour et fiable des parties prenantes concernées</t>
  </si>
  <si>
    <t>Compétences des individus</t>
  </si>
  <si>
    <t>S’assurer que l’organisation dispose de processus clairs et
 formalisés pour attirer des talents qualifiés dans les domaines
 nécessaires à son fonctionnement, y compris pour les systèmes
 d’information</t>
  </si>
  <si>
    <t>L’organisation dispose d’une politique de recrutement officielle précisant les critères de sélection des candidats.</t>
  </si>
  <si>
    <t>L’organisation dispose-elle d’une politique de recrutement officielle précisant les critères de sélection des candidats?</t>
  </si>
  <si>
    <t>Politique de recrutement officielle</t>
  </si>
  <si>
    <t>Politique de recrutement inadaptée ou obsolète.</t>
  </si>
  <si>
    <t>Réviser et adapter régulièrement la politique de recrutement aux besoins réels</t>
  </si>
  <si>
    <t>Documentation précisant les critères de sélection des candidats</t>
  </si>
  <si>
    <t>Critères de sélection des candidats mal définis.</t>
  </si>
  <si>
    <t>Définir des critères clairs et objectifs pour la sélection des candidats</t>
  </si>
  <si>
    <t>Chaque recrutement suit un processus standardisé incluant des évaluations de compétences et des entretiens structurés.</t>
  </si>
  <si>
    <t>Chaque recrutement suit-il un processus standardisé incluant des évaluations de compétences et des entretiens structurés?</t>
  </si>
  <si>
    <t>Processus standardisé de recrutement</t>
  </si>
  <si>
    <t>Processus de recrutement non standardisé ou inégalitaire.</t>
  </si>
  <si>
    <t>Standardiser et encadrer les processus de recrutement</t>
  </si>
  <si>
    <t>Grille d’évaluation des compétences et guide des entretiens</t>
  </si>
  <si>
    <t>Évaluation des compétences des candidats non fiable.</t>
  </si>
  <si>
    <t>Mettre en place une méthodologie rigoureuse pour évaluer les compétences des candidats</t>
  </si>
  <si>
    <t>Des partenariats existent avec des établissements de formation ou des plateformes spécialisées pour attirer les talents.</t>
  </si>
  <si>
    <t>Des partenariats existent-ils avec des établissements de formation ou des plateformes spécialisées pour attirer les talents?</t>
  </si>
  <si>
    <t>Liste des partenariats avec des établissements de formation et plateformes de recrutement</t>
  </si>
  <si>
    <t>Manque de partenariats stratégiques pour le recrutement.</t>
  </si>
  <si>
    <t>Développer des partenariats stratégiques pour élargir les opportunités de recrutement</t>
  </si>
  <si>
    <t>Convention ou accord cadre avec les partenaires de recrutement</t>
  </si>
  <si>
    <t>Absence d’accords formels avec les partenaires de recrutement.</t>
  </si>
  <si>
    <t>Formaliser des accords avec les partenaires pour structurer les recrutements</t>
  </si>
  <si>
    <t>Le processus de recrutement est documenté et audité régulièrement pour garantir son efficacité.</t>
  </si>
  <si>
    <t>Le processus de recrutement est-il documenté et audité régulièrement pour garantir son efficacité?</t>
  </si>
  <si>
    <t>Processus documenté d’audit du recrutement</t>
  </si>
  <si>
    <t>Audit du processus de recrutement inexistant ou inefficace.</t>
  </si>
  <si>
    <t>Réaliser régulièrement des audits sur l’efficacité du processus de recrutement</t>
  </si>
  <si>
    <t>Rapports d’évaluation de l’efficacité du recrutement</t>
  </si>
  <si>
    <t>Évaluation de l’efficacité du recrutement absente ou insuffisante.</t>
  </si>
  <si>
    <t>Définir des indicateurs de performance pour évaluer la qualité du recrutement</t>
  </si>
  <si>
    <t>Un suivi est réalisé sur la qualité des nouvelles recrues en termes de performance et d’adéquation avec les besoins de l’organisation.</t>
  </si>
  <si>
    <t>Un suivi est-il réalisé sur la qualité des nouvelles recrues en termes de performance et d’adéquation avec les besoins de l’organisation?</t>
  </si>
  <si>
    <t>Suivi de la qualité des nouvelles recrues</t>
  </si>
  <si>
    <t>Suivi de l’intégration des nouvelles recrues déficient.</t>
  </si>
  <si>
    <t>Suivre et accompagner les nouvelles recrues pour garantir leur intégration</t>
  </si>
  <si>
    <t>Indicateurs de performance des nouvelles recrues</t>
  </si>
  <si>
    <t>Indicateurs de performance des nouvelles recrues inexistants ou inexploitables.</t>
  </si>
  <si>
    <t>Développer des KPIs pour mesurer la performance des nouvelles recrues</t>
  </si>
  <si>
    <t>Vérifier que l’organisation met en place des programmes de
 formation continue pour ses collaborateurs, en particulier dans les
 domaines stratégiques comme la gestion des systèmes
 d'information et la cybersécurité</t>
  </si>
  <si>
    <t>Un plan de formation annuel est défini et validé par la direction en fonction des besoins stratégiques.</t>
  </si>
  <si>
    <t>Un plan de formation annuel est-il défini et validé par la direction en fonction des besoins stratégiques?</t>
  </si>
  <si>
    <t>Plan de formation annuel validé par la direction</t>
  </si>
  <si>
    <t>Plan de formation non aligné avec la stratégie de l’organisation.</t>
  </si>
  <si>
    <t>Faible montée en compétence des employés.</t>
  </si>
  <si>
    <t>Mettre en place des plans de formation adaptés aux besoins des employés</t>
  </si>
  <si>
    <t>Liste des formations stratégiques alignées sur les objectifs de l’organisation</t>
  </si>
  <si>
    <t>Liste des formations stratégiques incomplète ou obsolète.</t>
  </si>
  <si>
    <t>Désalignement entre formation et besoins stratégiques.</t>
  </si>
  <si>
    <t>Aligner les formations avec les objectifs stratégiques de l’organisation</t>
  </si>
  <si>
    <t>Les formations obligatoires sont identifiées et suivies par l’ensemble des collaborateurs concernés.</t>
  </si>
  <si>
    <t>Les formations obligatoires sont-elles identifiées et suivies par l’ensemble des collaborateurs concernés?</t>
  </si>
  <si>
    <t>Catalogue des formations obligatoires</t>
  </si>
  <si>
    <t>Catalogue des formations obligatoires mal défini ou non mis à jour.</t>
  </si>
  <si>
    <t>Non-respect des obligations légales en matière de formation.</t>
  </si>
  <si>
    <t>Assurer une conformité stricte aux obligations légales en matière de formation</t>
  </si>
  <si>
    <t>Outil de suivi des formations obligatoires par collaborateur</t>
  </si>
  <si>
    <t>Outil de suivi des formations inefficace ou non utilisé.</t>
  </si>
  <si>
    <t>Suivi des formations difficile ou erroné.</t>
  </si>
  <si>
    <t>Mettre en place un suivi rigoureux pour évaluer l’impact des formations</t>
  </si>
  <si>
    <t>Les collaborateurs ont accès à des formations adaptées à leur poste via des plateformes en ligne ou en présentiel.</t>
  </si>
  <si>
    <t>Les collaborateurs ont-ils accès à des formations adaptées à leur poste via des plateformes en ligne ou en présentiel?</t>
  </si>
  <si>
    <t>Plateforme de formation en ligne et en présentiel</t>
  </si>
  <si>
    <t>Dysfonctionnements ou accessibilité limitée de la plateforme de formation.</t>
  </si>
  <si>
    <t>Difficultés d’accès à la formation pour les employés.</t>
  </si>
  <si>
    <t>Faciliter l’accès aux formations pour garantir l’égalité des chances</t>
  </si>
  <si>
    <t>Guide d’accès aux formations disponibles</t>
  </si>
  <si>
    <t>Guide d’accès aux formations non mis à jour ou mal communiqué.</t>
  </si>
  <si>
    <t>Confusion sur l’offre de formation disponible.</t>
  </si>
  <si>
    <t>Clarifier et communiquer régulièrement sur l’offre de formation disponible</t>
  </si>
  <si>
    <t>La participation aux formations est suivie et des attestations sont délivrées pour garantir la conformité.</t>
  </si>
  <si>
    <t>La participation aux formations est-elle suivie et des attestations sont délivrées pour garantir la conformité?</t>
  </si>
  <si>
    <t>Registre de suivi des participations aux formations</t>
  </si>
  <si>
    <t>Registre des participations aux formations inexact ou incomplet.</t>
  </si>
  <si>
    <t>Manque de visibilité sur l’historique des formations suivies.</t>
  </si>
  <si>
    <t>Mettre en place un système de suivi des formations centralisé et accessible</t>
  </si>
  <si>
    <t>Modèle d’attestation délivrée aux participants</t>
  </si>
  <si>
    <t>Modèle d’attestation non standardisé ou mal délivré.</t>
  </si>
  <si>
    <t>Attestations non conformes aux standards professionnels.</t>
  </si>
  <si>
    <t>Garantir la conformité des attestations aux standards professionnels</t>
  </si>
  <si>
    <t>Des évaluations post-formation sont réalisées pour mesurer l’impact des formations sur les compétences des employés.</t>
  </si>
  <si>
    <t>Des évaluations post-formation sont-elles réalisées pour mesurer l’impact des formations sur les compétences des employés?</t>
  </si>
  <si>
    <t>Rapports d’évaluation post-formation</t>
  </si>
  <si>
    <t>Rapports d’évaluation post-formation non exploités.</t>
  </si>
  <si>
    <t>Investissement en formation sans mesure d’impact.</t>
  </si>
  <si>
    <t>Définir des indicateurs d’évaluation pour mesurer l’impact des formations</t>
  </si>
  <si>
    <t>Analyse des impacts des formations sur les compétences</t>
  </si>
  <si>
    <t>Analyse des impacts des formations sur les compétences inexistante ou insuffisante.</t>
  </si>
  <si>
    <t>Difficulté à identifier les améliorations nécessaires.</t>
  </si>
  <si>
    <t>Établir un processus d’analyse continue des besoins en formation</t>
  </si>
  <si>
    <t>S’assurer que des mécanismes de fidélisation des talents sont en
 place, tels que des parcours de carrière, des avantages compétitifs
 et des opportunités de développement personnel, pour encourager
 les collaborateurs à rester au sein de l’organisation</t>
  </si>
  <si>
    <t>Un plan de développement de carrière est défini pour chaque employé et mis à jour régulièrement.</t>
  </si>
  <si>
    <t>Un plan de développement de carrière est-il défini pour chaque employé et mis à jour régulièrement?</t>
  </si>
  <si>
    <t>Plan de développement de carrière des employés</t>
  </si>
  <si>
    <t>Plan de développement de carrière non structuré ou inégalement appliqué.</t>
  </si>
  <si>
    <t>Stagnation professionnelle des employés.</t>
  </si>
  <si>
    <t>Mettre en place des parcours de formation favorisant l’évolution professionnelle</t>
  </si>
  <si>
    <t>Procédure de mise à jour des plans de carrière</t>
  </si>
  <si>
    <t>Procédure de mise à jour des plans de carrière mal définie.</t>
  </si>
  <si>
    <t>Insatisfaction des collaborateurs face aux perspectives de carrière.</t>
  </si>
  <si>
    <t>Aligner les opportunités de carrière avec les attentes des collaborateurs</t>
  </si>
  <si>
    <t>Des dispositifs de reconnaissance (primes, promotions, avantages) existent et sont accessibles selon des critères transparents.</t>
  </si>
  <si>
    <t>Des dispositifs de reconnaissance (primes, promotions, avantages) existent-ils et sont-ils accessibles selon des critères transparents?</t>
  </si>
  <si>
    <t>Politique de reconnaissance des employés</t>
  </si>
  <si>
    <t>Politique de reconnaissance des employés inéquitable ou mal communiquée.</t>
  </si>
  <si>
    <t>Démotivation et baisse de l’engagement des employés.</t>
  </si>
  <si>
    <t>Renforcer la motivation par des actions de reconnaissance et d’engagement</t>
  </si>
  <si>
    <t>Grille des critères pour l’attribution des primes et promotions</t>
  </si>
  <si>
    <t>Critères d’attribution des primes et promotions peu transparents.</t>
  </si>
  <si>
    <t>Frustration due à un manque de reconnaissance.</t>
  </si>
  <si>
    <t>Valoriser les réussites et contributions des employés de manière formelle</t>
  </si>
  <si>
    <t>L’organisation réalise des enquêtes de satisfaction et d’engagement des employés pour ajuster ses politiques RH.</t>
  </si>
  <si>
    <t>L’organisation réalise-t-elle des enquêtes de satisfaction et d’engagement des employés pour ajuster ses politiques RH?</t>
  </si>
  <si>
    <t>Résultats des enquêtes de satisfaction et d’engagement des employés</t>
  </si>
  <si>
    <t>Enquêtes de satisfaction et d’engagement des employés mal réalisées ou biaisées.</t>
  </si>
  <si>
    <t>Perte de confiance des employés dans la gestion RH.</t>
  </si>
  <si>
    <t>Améliorer la transparence et la communication sur les actions RH</t>
  </si>
  <si>
    <t>Plan d’action RH basé sur les retours des enquêtes</t>
  </si>
  <si>
    <t>Plan d’action RH basé sur des retours d’enquête insuffisants ou mal interprétés.</t>
  </si>
  <si>
    <t>Plans d’action RH inefficaces ou inadaptés.</t>
  </si>
  <si>
    <t>Adapter les plans d’action RH aux besoins réels des employés et de l’entreprise</t>
  </si>
  <si>
    <t>Un suivi des taux de turnover est effectué et analysé afin d’identifier les causes des départs.</t>
  </si>
  <si>
    <t>Un suivi des taux de turnover est-il effectué et analysé afin d’identifier les causes des départs?</t>
  </si>
  <si>
    <t>Suivi et analyse du taux de turnover</t>
  </si>
  <si>
    <t>Suivi du taux de turnover inexact ou insuffisamment analysé.</t>
  </si>
  <si>
    <t>Augmentation du taux de départs non anticipé.</t>
  </si>
  <si>
    <t>Mettre en place une stratégie proactive pour anticiper et limiter les départs</t>
  </si>
  <si>
    <t>Rapports d’analyse des causes des départs</t>
  </si>
  <si>
    <t>Analyse des causes des départs des employés incomplète ou ignorée.</t>
  </si>
  <si>
    <t>Difficulté à retenir les talents clés.</t>
  </si>
  <si>
    <t>Développer des programmes de rétention pour les talents clés</t>
  </si>
  <si>
    <t>Les collaborateurs bénéficient d’opportunités de mobilité interne et d’évolution professionnelle</t>
  </si>
  <si>
    <t>Les collaborateurs bénéficient-ils d’opportunités de mobilité interne et d’évolution professionnelle?</t>
  </si>
  <si>
    <t>Processus de mobilité interne</t>
  </si>
  <si>
    <t>Processus de mobilité interne mal défini ou peu accessible.</t>
  </si>
  <si>
    <t>Mobilité interne limitée, freinant l’évolution des talents.</t>
  </si>
  <si>
    <t>Encourager et faciliter la mobilité interne par des parcours structurés</t>
  </si>
  <si>
    <t>Liste des opportunités d’évolution professionnelle disponibles</t>
  </si>
  <si>
    <t>Opportunités d’évolution professionnelle non communiquées ou limitées.</t>
  </si>
  <si>
    <t>Opportunités professionnelles méconnues ou sous-exploitées.</t>
  </si>
  <si>
    <t>Améliorer la communication interne sur les opportunités de carrière</t>
  </si>
  <si>
    <t>Vérifier que des évaluations régulières de la performance des
 collaborateurs sont menées, avec des retours constructifs et des
 opportunités de développement, afin d’assurer leur progression
 professionnelle</t>
  </si>
  <si>
    <t>Des entretiens d’évaluation de la performance sont réalisés au moins une fois par an.</t>
  </si>
  <si>
    <t>Des entretiens d’évaluation de la performance sont-ils réalisés au moins une fois par an?</t>
  </si>
  <si>
    <t>Rapport annuel des entretiens d’évaluation</t>
  </si>
  <si>
    <t>Rapport annuel des entretiens d’évaluation mal consolidé.</t>
  </si>
  <si>
    <t>Prise de décision RH mal éclairée sur les évaluations annuelles.</t>
  </si>
  <si>
    <t>Utiliser des données objectives pour guider les décisions RH</t>
  </si>
  <si>
    <t>Modèle de formulaire d’évaluation de la performance</t>
  </si>
  <si>
    <t>Formulaire d’évaluation de la performance mal conçu ou subjectif.</t>
  </si>
  <si>
    <t>Évaluations perçues comme injustes ou subjectives.</t>
  </si>
  <si>
    <t>Établir des critères d’évaluation clairs et partagés pour garantir l’équité</t>
  </si>
  <si>
    <t>Les critères d’évaluation sont définis et communiqués aux collaborateurs pour assurer la transparence.</t>
  </si>
  <si>
    <t>Les critères d’évaluation sont-ils définis et communiqués aux collaborateurs pour assurer la transparence?</t>
  </si>
  <si>
    <t>Grille des critères d’évaluation de la performance</t>
  </si>
  <si>
    <t>Grille des critères d’évaluation non objective ou mal appliquée.</t>
  </si>
  <si>
    <t>Critères de performance jugés incohérents ou peu adaptés.</t>
  </si>
  <si>
    <t>Définir des indicateurs de performance alignés avec les attentes stratégiques</t>
  </si>
  <si>
    <t>Communication interne sur les critères d’évaluation</t>
  </si>
  <si>
    <t>Communication interne sur les critères d’évaluation insuffisante ou ambiguë.</t>
  </si>
  <si>
    <t>Mauvaise compréhension des attentes en termes de performance.</t>
  </si>
  <si>
    <t>Clarifier les attentes en matière de performance pour chaque poste</t>
  </si>
  <si>
    <t>Chaque évaluation inclut un plan de développement personnalisé pour aider les collaborateurs à progresser.</t>
  </si>
  <si>
    <t>Chaque évaluation inclut-elle un plan de développement personnalisé pour aider les collaborateurs à progresser?</t>
  </si>
  <si>
    <t>Modèle de plan de développement personnalisé</t>
  </si>
  <si>
    <t>Plan de développement personnalisé mal adapté aux besoins individuels.</t>
  </si>
  <si>
    <t>Plans de développement mal adaptés aux besoins individuels.</t>
  </si>
  <si>
    <t>Personnaliser les plans de développement en fonction des besoins individuels</t>
  </si>
  <si>
    <t>Processus documenté de suivi des plans de développement</t>
  </si>
  <si>
    <t>Processus de suivi des plans de développement inefficace ou inexistant.</t>
  </si>
  <si>
    <t>Difficulté à suivre l’évolution des collaborateurs.</t>
  </si>
  <si>
    <t>Mettre en place un suivi continu et individualisé des collaborateurs</t>
  </si>
  <si>
    <t>Un système de notation ou de feedback est mis en place pour suivre l’évolution des performances individuelles.</t>
  </si>
  <si>
    <t>Un système de notation ou de feedback est-il mis en place pour suivre l’évolution des performances individuelles?</t>
  </si>
  <si>
    <t>Système de notation ou feedback des performances</t>
  </si>
  <si>
    <t>Système de notation des performances biaisé ou non standardisé.</t>
  </si>
  <si>
    <t>Évaluations biaisées menant à des décisions injustes.</t>
  </si>
  <si>
    <t>Former les évaluateurs à des méthodes objectives et transparentes</t>
  </si>
  <si>
    <t>Outil de suivi des performances individuelles</t>
  </si>
  <si>
    <t>Outil de suivi des performances individuelles non exploité ou mal conçu.</t>
  </si>
  <si>
    <t>Stratégie de formation et d’évolution mal ajustée.</t>
  </si>
  <si>
    <t>Aligner la stratégie RH avec les besoins réels de développement des talents</t>
  </si>
  <si>
    <t>Les résultats des évaluations sont utilisés pour ajuster les formations et les opportunités de carrière.</t>
  </si>
  <si>
    <t>Les résultats des évaluations sont-ils utilisés pour ajuster les formations et les opportunités de carrière?</t>
  </si>
  <si>
    <t>Analyse des résultats des évaluations de performance</t>
  </si>
  <si>
    <t>Résultats des évaluations de performance mal analysés ou non pris en compte.</t>
  </si>
  <si>
    <t>Inefficacité des actions de formation et d’accompagnement.</t>
  </si>
  <si>
    <t>Adapter les formations et accompagnements aux évolutions du marché</t>
  </si>
  <si>
    <t>Plan d’ajustement des formations et opportunités de carrière</t>
  </si>
  <si>
    <t>Plan d’ajustement des formations et carrières basé sur des données erronées.</t>
  </si>
  <si>
    <t>Stratégie RH mal perçue par les employés et la direction.</t>
  </si>
  <si>
    <t>Renforcer la communication interne sur la stratégie RH et ses objectifs</t>
  </si>
  <si>
    <t>S’assurer que les processus d’attraction, de formation et de
 fidélisation des talents sont alignés avec les objectifs stratégiques de
 l’organisation, en garantissant qu'ils contribuent à la performance
 globale</t>
  </si>
  <si>
    <t>Une stratégie RH globale est définie et alignée avec la vision et les objectifs de l’organisation.</t>
  </si>
  <si>
    <t>Une stratégie RH globale est-elle définie et alignée avec la vision et les objectifs de l’organisation?</t>
  </si>
  <si>
    <t>Stratégie RH globale validée par la direction</t>
  </si>
  <si>
    <t>Stratégie RH globale non alignée avec les besoins réels de l’organisation.</t>
  </si>
  <si>
    <t>Difficulté à atteindre les objectifs stratégiques de l’organisation.</t>
  </si>
  <si>
    <t>Aligner les pratiques RH avec la vision et les objectifs de l’organisation</t>
  </si>
  <si>
    <t>Documentation des objectifs RH alignés avec la vision de l’organisation</t>
  </si>
  <si>
    <t>Des indicateurs de performance (KPI) sont mis en place pour mesurer l’impact des politiques RH.</t>
  </si>
  <si>
    <t>Des indicateurs de performance (KPI) sont-ils mis en place pour mesurer l’impact des politiques RH?</t>
  </si>
  <si>
    <t>Liste des indicateurs de performance RH (KPI)</t>
  </si>
  <si>
    <t>Indicateurs de performance RH non représentatifs des besoins réels</t>
  </si>
  <si>
    <t>Mauvaise prise de décision RH due à des indicateurs non pertinents</t>
  </si>
  <si>
    <t>Définir des indicateurs RH pertinents et alignés avec les besoins stratégiques</t>
  </si>
  <si>
    <t>Tableau de bord de suivi des KPI RH</t>
  </si>
  <si>
    <t>Tableau de bord RH mal conçu ou mal mis à jour</t>
  </si>
  <si>
    <t>Pilotage inefficace des performances RH</t>
  </si>
  <si>
    <t>Optimiser les outils de suivi des performances RH pour une meilleure gestion</t>
  </si>
  <si>
    <t>La gestion des talents est régulièrement revue et adaptée en fonction des évolutions du marché et des besoins internes.</t>
  </si>
  <si>
    <t>La gestion des talents est-elle régulièrement revue et adaptée en fonction des évolutions du marché et des besoins internes?</t>
  </si>
  <si>
    <t>Rapport d’analyse de la gestion des talents</t>
  </si>
  <si>
    <t>Rapport d’analyse des talents incomplet ou biaisé</t>
  </si>
  <si>
    <t>Gestion des talents inadéquate, entraînant des pertes de compétences</t>
  </si>
  <si>
    <t>Mettre en place une gestion des talents proactive pour anticiper les besoins</t>
  </si>
  <si>
    <t>Étude des évolutions du marché et besoins internes</t>
  </si>
  <si>
    <t>Étude des évolutions du marché RH inexploitée ou inexacte</t>
  </si>
  <si>
    <t>Décisions RH non adaptées aux évolutions du marché</t>
  </si>
  <si>
    <t>Adapter les politiques RH aux évolutions du marché et aux tendances sectorielles</t>
  </si>
  <si>
    <t>Le Conseil d’Administration est impliqué dans la validation des stratégies de gestion des talents.</t>
  </si>
  <si>
    <t>Le Conseil d’Administration est-il impliqué dans la validation des stratégies de gestion des talents?</t>
  </si>
  <si>
    <t>Comptes rendus des réunions du Conseil d’Administration sur la gestion des talents</t>
  </si>
  <si>
    <t>Manque d’implication du Conseil d’Administration dans la gestion des talents</t>
  </si>
  <si>
    <t>Faible engagement du Conseil dans les questions stratégiques RH</t>
  </si>
  <si>
    <t>Sensibiliser et impliquer davantage le Conseil dans les décisions RH</t>
  </si>
  <si>
    <t>Documents validant l’implication du Conseil dans la gestion des talents</t>
  </si>
  <si>
    <t>Veille RH inefficace ou non intégrée dans les décisions stratégiques</t>
  </si>
  <si>
    <t>Perte d’opportunités d’optimisation des pratiques RH</t>
  </si>
  <si>
    <t>Mettre en place des audits RH réguliers pour identifier les axes d’optimisation</t>
  </si>
  <si>
    <t>Une veille est réalisée sur les meilleures pratiques du secteur pour assurer l’adéquation des politiques RH.</t>
  </si>
  <si>
    <t>Une veille est-elle réalisée sur les meilleures pratiques du secteur pour assurer l’adéquation des politiques RH?</t>
  </si>
  <si>
    <t>Rapports de veille RH sur les meilleures pratiques du secteur</t>
  </si>
  <si>
    <t>Politique RH non ajustée aux évolutions du secteur</t>
  </si>
  <si>
    <t>Décalage entre la politique RH et les réalités du secteur</t>
  </si>
  <si>
    <t>Réaligner la politique RH avec les réalités du marché et les attentes des employés</t>
  </si>
  <si>
    <t>Documentation des ajustements des politiques RH en fonction des évolutions du secteur</t>
  </si>
  <si>
    <t>Organigramme fonctionnel mal défini ou obsolète</t>
  </si>
  <si>
    <t>Confusion sur les rôles et responsabilités en contrôle interne</t>
  </si>
  <si>
    <t>Clarifier et formaliser les rôles et responsabilités en contrôle interne</t>
  </si>
  <si>
    <t>Évaluation des Risques</t>
  </si>
  <si>
    <t>Spécification des objectifs appropriés</t>
  </si>
  <si>
    <t>S’assurer que les responsabilités de chaque collaborateur en
 matière de contrôle interne sont clairement définies, documentées
 et communiquées à l’ensemble de l’organisation</t>
  </si>
  <si>
    <t>Un organigramme fonctionnel précisant les rôles et responsabilités en matière de contrôle interne est disponible et accessible à tous.</t>
  </si>
  <si>
    <t>Un organigramme fonctionnel précisant les rôles et responsabilités en matière de contrôle interne est-il disponible et accessible à tous?</t>
  </si>
  <si>
    <t>Organigramme fonctionnel des rôles et responsabilités en contrôle interne</t>
  </si>
  <si>
    <t>Portail interne peu accessible ou contenant des informations erronées</t>
  </si>
  <si>
    <t>Difficulté d’accès aux informations sur le contrôle interne</t>
  </si>
  <si>
    <t>Faciliter l’accès aux informations de contrôle interne par un portail centralisé</t>
  </si>
  <si>
    <t>Portail interne avec accès aux responsabilités en contrôle interne</t>
  </si>
  <si>
    <t>Fiches de fonction en contrôle interne incomplètes ou mal définies</t>
  </si>
  <si>
    <t>Manque de clarté dans l’attribution des responsabilités de contrôle</t>
  </si>
  <si>
    <t>Établir des fiches de responsabilité détaillées pour chaque acteur du contrôle</t>
  </si>
  <si>
    <t>Chaque poste dispose d’une fiche de fonction détaillant ses responsabilités en matière de contrôle interne.</t>
  </si>
  <si>
    <t>Chaque poste dispose-t-il d’une fiche de fonction détaillant ses responsabilités en matière de contrôle interne?</t>
  </si>
  <si>
    <t>Fiches de fonction incluant les responsabilités en contrôle interne</t>
  </si>
  <si>
    <t>Manuel des procédures de contrôle interne non mis à jour</t>
  </si>
  <si>
    <t>Non-respect des processus de contrôle interne</t>
  </si>
  <si>
    <t>Renforcer la formation et le suivi sur l’application des processus de contrôle</t>
  </si>
  <si>
    <t>Manuel des procédures précisant les rôles de contrôle interne</t>
  </si>
  <si>
    <t>Contrats de travail ne précisant pas clairement les responsabilités de contrôle interne</t>
  </si>
  <si>
    <t>Ambiguïtés contractuelles entraînant des litiges</t>
  </si>
  <si>
    <t>Rédiger des contrats précis pour éviter toute ambiguïté et limiter les litiges</t>
  </si>
  <si>
    <t>Les responsabilités de contrôle interne sont incluses dans les contrats de travail ou dans le règlement intérieur.</t>
  </si>
  <si>
    <t>Les responsabilités de contrôle interne sont-elles incluses dans les contrats de travail ou dans le règlement intérieur?</t>
  </si>
  <si>
    <t>Modèle de contrat de travail incluant les responsabilités en contrôle interne</t>
  </si>
  <si>
    <t>Règlement intérieur ne prenant pas en compte les exigences de contrôle interne</t>
  </si>
  <si>
    <t>Non-conformité du règlement intérieur aux exigences réglementaires</t>
  </si>
  <si>
    <t>Mettre à jour le règlement intérieur pour assurer sa conformité réglementaire</t>
  </si>
  <si>
    <t>Règlement intérieur intégrant les exigences en contrôle interne</t>
  </si>
  <si>
    <t>Absence de processus formel de mise à jour des responsabilités de contrôle interne</t>
  </si>
  <si>
    <t>Absence de suivi des responsabilités, entraînant des erreurs de contrôle</t>
  </si>
  <si>
    <t>Établir un suivi rigoureux des responsabilités pour éviter les erreurs de contrôle</t>
  </si>
  <si>
    <t>Une procédure formelle de mise à jour des rôles et responsabilités en matière de contrôle interne est en place.</t>
  </si>
  <si>
    <t>Une procédure formelle de mise à jour des rôles et responsabilités en matière de contrôle interne est-elle en place?</t>
  </si>
  <si>
    <t>Procédure formelle de mise à jour des responsabilités de contrôle interne</t>
  </si>
  <si>
    <t>Historique des mises à jour des rôles inexistant ou mal suivi</t>
  </si>
  <si>
    <t>Perte d’historique des ajustements organisationnels</t>
  </si>
  <si>
    <t>Mettre en place un archivage structuré des ajustements organisationnels</t>
  </si>
  <si>
    <t>Historique des mises à jour des rôles et responsabilités</t>
  </si>
  <si>
    <t>Communication interne insuffisante sur les rôles de contrôle interne</t>
  </si>
  <si>
    <t>Manque de communication sur les attentes en matière de contrôle interne</t>
  </si>
  <si>
    <t>Établir un plan de communication clair sur les attentes en matière de contrôle interne</t>
  </si>
  <si>
    <t>Des communications régulières (réunions, notes de service) rappellent les responsabilités des collaborateurs en matière de contrôle interne.</t>
  </si>
  <si>
    <t>Des communications régulières (réunions, notes de service) rappellent-elles les responsabilités des collaborateurs en matière de contrôle interne?</t>
  </si>
  <si>
    <t>Notes de service et procès-verbaux des réunions sur les responsabilités en contrôle interne</t>
  </si>
  <si>
    <t>Absence d’un suivi efficace du contrôle interne via un tableau de bord</t>
  </si>
  <si>
    <t>Absence de visibilité sur l’efficacité des contrôles internes</t>
  </si>
  <si>
    <t>Définir des indicateurs de suivi pour mesurer l’efficacité des contrôles internes</t>
  </si>
  <si>
    <t>Plan de communication interne sur le contrôle interne</t>
  </si>
  <si>
    <t>Rapports d’analyse des activités de contrôle interne non exploités</t>
  </si>
  <si>
    <t>Non-détection des dysfonctionnements en temps voulu</t>
  </si>
  <si>
    <t>Renforcer la surveillance proactive des processus pour détecter rapidement les dysfonctionnements</t>
  </si>
  <si>
    <t>Vérifier que des mécanismes de suivi sont mis en place pour
 s’assurer que les responsables respectent leurs responsabilités en
 matière de contrôle interne et rendent compte de leur gestion</t>
  </si>
  <si>
    <t>Un tableau de bord de suivi des activités de contrôle interne est mis en place et suivi régulièrement.</t>
  </si>
  <si>
    <t>Un tableau de bord de suivi des activités de contrôle interne est-il mis en place et suivi régulièrement?</t>
  </si>
  <si>
    <t>Tableau de bord de suivi du contrôle interne</t>
  </si>
  <si>
    <t>Réunions entre responsables et direction inefficaces ou sans suivi structuré</t>
  </si>
  <si>
    <t>Réunions non productives, impactant la réactivité aux risques</t>
  </si>
  <si>
    <t>Optimiser la préparation des réunions avec des ordres du jour précis et des objectifs clairs</t>
  </si>
  <si>
    <t>Rapports périodiques d’analyse des activités de contrôle interne</t>
  </si>
  <si>
    <t>Plan d’actions correctives non appliqué ou mal documenté</t>
  </si>
  <si>
    <t>Échec dans l’application des actions correctives nécessaires</t>
  </si>
  <si>
    <t>Assurer un suivi rigoureux de l’application des actions correctives</t>
  </si>
  <si>
    <t>Des réunions périodiques sont organisées entre les responsables et la direction pour examiner l’état du contrôle interne.</t>
  </si>
  <si>
    <t>Des réunions périodiques sont-elles organisées entre les responsables et la direction pour examiner l’état du contrôle interne?</t>
  </si>
  <si>
    <t>Comptes rendus des réunions entre responsables et direction sur le contrôle interne</t>
  </si>
  <si>
    <t>Indicateurs de conformité mal définis ou inexploitables</t>
  </si>
  <si>
    <t>Difficulté à garantir la conformité aux réglementations</t>
  </si>
  <si>
    <t>Mettre en place un cadre formalisé pour garantir la conformité aux réglementations</t>
  </si>
  <si>
    <t>Plan d’actions correctives discuté en réunion</t>
  </si>
  <si>
    <t>Rapports de suivi des indicateurs de conformité non disponibles ou inexacts</t>
  </si>
  <si>
    <t>Suivi insuffisant des mesures de conformité</t>
  </si>
  <si>
    <t>Créer un dispositif de contrôle continu des mesures de conformité</t>
  </si>
  <si>
    <t>Des indicateurs de conformité (taux de respect des procédures, nombre de contrôles réalisés) sont définis et suivis.</t>
  </si>
  <si>
    <t>Des indicateurs de conformité (taux de respect des procédures, nombre de contrôles réalisés) sont-ils définis et suivis?</t>
  </si>
  <si>
    <t>Liste des indicateurs de conformité en contrôle interne</t>
  </si>
  <si>
    <t>Reporting obligatoire mal structuré ou non respecté</t>
  </si>
  <si>
    <t>Reporting incomplet ou retardé, impactant la prise de décision</t>
  </si>
  <si>
    <t>Automatiser et structurer le reporting pour éviter les retards et incompréhensions</t>
  </si>
  <si>
    <t>Rapports de suivi des indicateurs de conformité</t>
  </si>
  <si>
    <t>Absence de standardisation dans les rapports d’avancement des contrôles</t>
  </si>
  <si>
    <t>Manque de transparence et d’homogénéité dans les rapports de contrôle</t>
  </si>
  <si>
    <t>Standardiser les formats de rapports pour garantir la clarté et la transparence</t>
  </si>
  <si>
    <t>Un processus de reporting obligatoire est en place pour documenter l’état d’avancement des contrôles et actions correctives.</t>
  </si>
  <si>
    <t>Un processus de reporting obligatoire est-il en place pour documenter l’état d’avancement des contrôles et actions correctives?</t>
  </si>
  <si>
    <t>Processus documenté de reporting obligatoire</t>
  </si>
  <si>
    <t>Équipe de supervision du contrôle interne mal définie ou insuffisamment qualifiée</t>
  </si>
  <si>
    <t>Supervision inefficace du contrôle interne</t>
  </si>
  <si>
    <t>Renforcer les mécanismes de supervision du contrôle interne</t>
  </si>
  <si>
    <t>Exemples de rapports d’avancement des contrôles et actions correctives</t>
  </si>
  <si>
    <t>Missions de l’équipe de supervision mal documentées ou non respectées</t>
  </si>
  <si>
    <t>Équipe de supervision peu performante ou non responsabilisée</t>
  </si>
  <si>
    <t>Responsabiliser l’équipe de supervision par des objectifs clairs et un suivi régulier</t>
  </si>
  <si>
    <t>Une équipe de supervision est chargée de veiller à la mise en œuvre effective des responsabilités en matière de contrôle interne.</t>
  </si>
  <si>
    <t>Une équipe de supervision est-elle chargée de veiller à la mise en œuvre effective des responsabilités en matière de contrôle interne?</t>
  </si>
  <si>
    <t>Liste des membres de l’équipe de supervision du contrôle interne</t>
  </si>
  <si>
    <t>Modèle de reporting non appliqué de manière homogène</t>
  </si>
  <si>
    <t>Mauvaise anticipation des risques internes</t>
  </si>
  <si>
    <t>Mettre en place un dispositif d’alerte précoce pour anticiper les risques internes</t>
  </si>
  <si>
    <t>Procédure détaillant les missions de l’équipe de supervision</t>
  </si>
  <si>
    <t>Indicateurs de performance en contrôle interne mal suivis</t>
  </si>
  <si>
    <t>Suivi des performances de contrôle interne défaillant</t>
  </si>
  <si>
    <t>Développer un tableau de bord de suivi des performances du contrôle interne</t>
  </si>
  <si>
    <t>S’assurer que des processus de reporting sont en place pour
 permettre à chaque responsable de rendre compte de
 l’accomplissement de ses tâches liées au contrôle interne, avec des
 indicateurs de performance définis</t>
  </si>
  <si>
    <t>Un format standardisé de reporting sur le contrôle interne est défini et appliqué à tous les niveaux de l’organisation.</t>
  </si>
  <si>
    <t>Un format standardisé de reporting sur le contrôle interne est-il défini et appliqué à tous les niveaux de l’organisation?</t>
  </si>
  <si>
    <t>Modèle de reporting standardisé en contrôle interne</t>
  </si>
  <si>
    <t>Procédures de mise à jour des indicateurs de performance inexistantes</t>
  </si>
  <si>
    <t>Dysfonctionnements du SI entraînant des lacunes dans le reporting</t>
  </si>
  <si>
    <t>Moderniser le SI et renforcer les contrôles techniques pour assurer la fiabilité du reporting</t>
  </si>
  <si>
    <t>Documentation de l’application du format standardisé</t>
  </si>
  <si>
    <t>Dysfonctionnements du SI impactant la remontée des rapports de contrôle interne</t>
  </si>
  <si>
    <t>Exploitation limitée des données issues du contrôle interne</t>
  </si>
  <si>
    <t>Exploiter les données du contrôle interne grâce à des outils analytiques avancés</t>
  </si>
  <si>
    <t>Les indicateurs de performance en matière de contrôle interne sont documentés et mis à jour régulièrement.</t>
  </si>
  <si>
    <t>Les indicateurs de performance en matière de contrôle interne sont-ils documentés et mis à jour régulièrement?</t>
  </si>
  <si>
    <t>Registre des indicateurs de performance en contrôle interne</t>
  </si>
  <si>
    <t>Procédures d’analyse des rapports via le SI mal définies ou inefficaces</t>
  </si>
  <si>
    <t>Retards dans la transmission des informations critiques</t>
  </si>
  <si>
    <t>Optimiser la transmission des informations critiques par des procédures de communication claires</t>
  </si>
  <si>
    <t>Procédures de mise à jour des indicateurs de performance</t>
  </si>
  <si>
    <t>Transmission des rapports hors délais ou non respectée</t>
  </si>
  <si>
    <t>Absence de mise à jour des processus de reporting</t>
  </si>
  <si>
    <t>Mettre en place un processus de mise à jour périodique des procédures de reporting</t>
  </si>
  <si>
    <t>Un système d’information permet la remontée et l’analyse des rapports de contrôle interne.</t>
  </si>
  <si>
    <t>Le SI permet-il la remontée et l’analyse des rapports de contrôle interne?</t>
  </si>
  <si>
    <t>Documentation du SI permettant la remontée des rapports de contrôle interne</t>
  </si>
  <si>
    <t>Évaluations des processus de reporting non effectuées régulièrement</t>
  </si>
  <si>
    <t>Informations de contrôle interne peu fiables ou incomplètes</t>
  </si>
  <si>
    <t>Fiabiliser les informations du contrôle interne par des audits réguliers</t>
  </si>
  <si>
    <t>Procédures d’analyse des rapports via le SI</t>
  </si>
  <si>
    <t>Qualité des informations remontées dans les rapports insuffisante</t>
  </si>
  <si>
    <t>Contrôles internes inefficaces en raison d’une évaluation inadaptée</t>
  </si>
  <si>
    <t>Revoir les méthodologies d’évaluation pour garantir l’efficacité des contrôles internes</t>
  </si>
  <si>
    <t>Des délais de transmission des rapports sont établis et respectés par les responsables concernés.</t>
  </si>
  <si>
    <t>Des délais de transmission des rapports sont-ils établis et respectés par les responsables concernés?</t>
  </si>
  <si>
    <t>Plan de transmission des rapports avec délais définis</t>
  </si>
  <si>
    <t>Grille d’évaluation des contrôles internes mal appliquée ou obsolète</t>
  </si>
  <si>
    <t>Mauvaise application des critères d’évaluation du contrôle interne</t>
  </si>
  <si>
    <t>Clarifier et appliquer rigoureusement les critères d’évaluation du contrôle interne</t>
  </si>
  <si>
    <t>Suivi du respect des délais de transmission des rapports</t>
  </si>
  <si>
    <t>Documentation sur l’application de la grille d’évaluation insuffisante</t>
  </si>
  <si>
    <t>Perte de réactivité face aux évolutions réglementaires</t>
  </si>
  <si>
    <t>Assurer une veille réglementaire active pour s’adapter rapidement aux évolutions</t>
  </si>
  <si>
    <t>Des évaluations périodiques du reporting sont effectuées pour améliorer la qualité des informations remontées.</t>
  </si>
  <si>
    <t>Des évaluations périodiques du reporting sont-elles effectuées pour améliorer la qualité des informations remontées?</t>
  </si>
  <si>
    <t>Évaluations des processus de reporting en contrôle interne</t>
  </si>
  <si>
    <t>Revue des pratiques de contrôle interne non réalisée régulièrement</t>
  </si>
  <si>
    <t>Risques accrus de non-conformité et de sanctions réglementaires</t>
  </si>
  <si>
    <t>Mettre en place un dispositif de contrôle renforcé pour limiter les risques de non-conformité</t>
  </si>
  <si>
    <t>Rapports d’amélioration de la qualité des informations remontées</t>
  </si>
  <si>
    <t>Rapports d’amélioration de la qualité des informations remontées imprécis ou inexploités</t>
  </si>
  <si>
    <t>Informations remontées imprécises ou inexploitées</t>
  </si>
  <si>
    <t>Mettre en place des mécanismes de validation et de vérification des informations remontées</t>
  </si>
  <si>
    <t>Vérifier que des procédures de contrôle sont en place pour évaluer
 la conformité des actions des responsables avec les normes de
 contrôle interne, et pour identifier les non-conformités ou les écarts</t>
  </si>
  <si>
    <t>Une grille d’évaluation des contrôles internes est mise en place pour vérifier le respect des procédures.</t>
  </si>
  <si>
    <t>Une grille d’évaluation des contrôles internes est-elle mise en place pour vérifier le respect des procédures?</t>
  </si>
  <si>
    <t>Grille d’évaluation des contrôles internes</t>
  </si>
  <si>
    <t>Grille d’évaluation des contrôles internes obsolète ou mal appliquée</t>
  </si>
  <si>
    <t>Décisions basées sur des données erronées ou incomplètes</t>
  </si>
  <si>
    <t>Renforcer les contrôles qualité des données utilisées pour la prise de décision</t>
  </si>
  <si>
    <t>Documentation sur l’application de la grille d’évaluation</t>
  </si>
  <si>
    <t>Évaluation inefficace des dispositifs de contrôle interne</t>
  </si>
  <si>
    <t>Établir un cadre d’évaluation structuré et standardisé pour le contrôle interne</t>
  </si>
  <si>
    <t>Des revues périodiques sont réalisées pour s’assurer de la conformité des pratiques aux normes établies.</t>
  </si>
  <si>
    <t>Des revues périodiques sont-elles réalisées pour s’assurer de la conformité des pratiques aux normes établies?</t>
  </si>
  <si>
    <t>Planning des revues périodiques des pratiques de contrôle interne</t>
  </si>
  <si>
    <t>Planning des revues de contrôle interne non respecté</t>
  </si>
  <si>
    <t>Mauvaise compréhension et application inégale des critères d’évaluation</t>
  </si>
  <si>
    <t>Former les équipes à une application homogène des critères d’évaluation</t>
  </si>
  <si>
    <t>Rapports des revues de conformité aux normes établies</t>
  </si>
  <si>
    <t>Rapports des revues de conformité aux normes incomplets ou non conformes</t>
  </si>
  <si>
    <t>Retard dans l’identification et la correction des faiblesses du contrôle interne</t>
  </si>
  <si>
    <t>Mettre en place un système d’alerte et de suivi des faiblesses du contrôle interne</t>
  </si>
  <si>
    <t>Un registre des non-conformités est tenu et mis à jour après chaque contrôle.</t>
  </si>
  <si>
    <t>Un registre des non-conformités est-il tenu et mis à jour après chaque contrôle?</t>
  </si>
  <si>
    <t>Registre des non-conformités documentées</t>
  </si>
  <si>
    <t>Registre des non-conformités mal tenu ou non mis à jour</t>
  </si>
  <si>
    <t>Non-détection des écarts de conformité pouvant entraîner des sanctions</t>
  </si>
  <si>
    <t>Automatiser la détection des écarts de conformité pour prévenir les sanctions</t>
  </si>
  <si>
    <t>Historique des mises à jour du registre des non-conformités</t>
  </si>
  <si>
    <t>Historique des mises à jour des non-conformités inexistant ou erroné</t>
  </si>
  <si>
    <t>Difficulté à suivre les incidents et à assurer leur correction efficace</t>
  </si>
  <si>
    <t>Créer un registre de suivi des incidents et des mesures correctives mises en place</t>
  </si>
  <si>
    <t>Des plans d’action correctifs sont systématiquement élaborés et suivis en cas de détection d’écarts.</t>
  </si>
  <si>
    <t>Des plans d’action correctifs sont-ils systématiquement élaborés et suivis en cas de détection d’écarts?</t>
  </si>
  <si>
    <t>Modèles de plans d’action correctifs</t>
  </si>
  <si>
    <t>Modèles de plans d’action correctifs non adaptés aux risques réels</t>
  </si>
  <si>
    <t>Absence de traçabilité et de suivi des mesures correctives prises</t>
  </si>
  <si>
    <t>Formaliser un système de traçabilité et de validation des actions correctives</t>
  </si>
  <si>
    <t>Rapports de suivi des actions correctives mises en place</t>
  </si>
  <si>
    <t>Rapports de suivi des actions correctives mal documentés</t>
  </si>
  <si>
    <t>Correction inefficace des faiblesses identifiées</t>
  </si>
  <si>
    <t>Renforcer le suivi des actions correctives et évaluer leur impact régulièrement</t>
  </si>
  <si>
    <t>Les résultats des contrôles sont communiqués à la direction et au Conseil d’Administration pour assurer un suivi efficace.</t>
  </si>
  <si>
    <t>Les résultats des contrôles sont-ils communiqués à la direction et au Conseil d’Administration pour assurer un suivi efficace?</t>
  </si>
  <si>
    <t>Comptes rendus de communication des résultats des contrôles à la direction</t>
  </si>
  <si>
    <t>Communication des résultats des contrôles à la direction inefficace</t>
  </si>
  <si>
    <t>Difficulté à évaluer l’efficacité des actions mises en place</t>
  </si>
  <si>
    <t>Mettre en place des indicateurs de performance pour mesurer l’efficacité des actions mises en place</t>
  </si>
  <si>
    <t>Présentations des résultats des contrôles au Conseil d’Administration</t>
  </si>
  <si>
    <t>Présentations au Conseil d’Administration insuffisantes ou incomplètes</t>
  </si>
  <si>
    <t>Mauvaise prise de décision en raison d’un manque de visibilité</t>
  </si>
  <si>
    <t>Développer des tableaux de bord pour améliorer la visibilité sur les données de contrôle interne</t>
  </si>
  <si>
    <t>S’assurer que des actions correctives sont mises en place lorsque
 des responsables ne respectent pas leurs responsabilités en
 matière de contrôle interne, avec des mesures de soutien ou de
 discipline appropriées</t>
  </si>
  <si>
    <t>Une procédure formelle de gestion des écarts de conformité est définie et appliquée.</t>
  </si>
  <si>
    <t>Une procédure formelle de gestion des écarts de conformité est-elle définie et appliquée?</t>
  </si>
  <si>
    <t>Procédure de gestion des écarts de conformité</t>
  </si>
  <si>
    <t>Procédure de gestion des écarts de conformité inexistante ou inadaptée</t>
  </si>
  <si>
    <t>Absence de pilotage stratégique adéquat des risques</t>
  </si>
  <si>
    <t>Établir un cadre de gouvernance des risques avec des responsabilités clairement définies</t>
  </si>
  <si>
    <t>Registre des écarts et actions correctives</t>
  </si>
  <si>
    <t>Registre des écarts mal structuré ou non suivi</t>
  </si>
  <si>
    <t>Non-traitement rapide et efficace des écarts identifiés</t>
  </si>
  <si>
    <t>Créer un processus de traitement rapide et structuré des écarts identifiés</t>
  </si>
  <si>
    <t>Un dispositif d’alerte permet de signaler les manquements aux responsabilités de contrôle interne.</t>
  </si>
  <si>
    <t>Existe-t-il un dispositif d’alerte permettant de signaler les manquements aux responsabilités de contrôle interne?</t>
  </si>
  <si>
    <t>Dispositif d’alerte interne sur les manquements</t>
  </si>
  <si>
    <t>Dispositif d’alerte interne inefficace ou inexistant</t>
  </si>
  <si>
    <t>Accumulation d’anomalies non corrigées pouvant impacter la conformité</t>
  </si>
  <si>
    <t>Mettre en place un suivi rigoureux des anomalies et accélérer leur correction</t>
  </si>
  <si>
    <t>Procédure de signalement des manquements en contrôle interne</t>
  </si>
  <si>
    <t>Signalement des manquements en contrôle interne mal encadré</t>
  </si>
  <si>
    <t>Détection tardive des incidents et des fraudes internes</t>
  </si>
  <si>
    <t>Renforcer les mécanismes de détection des incidents et fraudes internes par des contrôles renforcés</t>
  </si>
  <si>
    <t>Des formations ou accompagnements sont proposés aux responsables identifiés comme ayant des lacunes en contrôle interne.</t>
  </si>
  <si>
    <t>Des formations ou accompagnements sont-elles proposés aux responsables identifiés comme ayant des lacunes en contrôle interne?</t>
  </si>
  <si>
    <t>Programme de formation et accompagnement en contrôle interne</t>
  </si>
  <si>
    <t>Programme de formation en contrôle interne insuffisant ou non adapté</t>
  </si>
  <si>
    <t>Climat de méfiance et réticence des employés à signaler des anomalies</t>
  </si>
  <si>
    <t>Sensibiliser les employés à l’importance du signalement et instaurer un climat de confiance</t>
  </si>
  <si>
    <t>Liste des formations suivies par les responsables concernés</t>
  </si>
  <si>
    <t>Liste des formations suivies mal tenue ou obsolète</t>
  </si>
  <si>
    <t>Manque de compétences des employés pour appliquer les contrôles internes</t>
  </si>
  <si>
    <t>Former régulièrement les employés aux contrôles internes et à leur application efficace</t>
  </si>
  <si>
    <t>Un processus disciplinaire est prévu en cas de non-respect grave ou répété des responsabilités de contrôle interne.</t>
  </si>
  <si>
    <t>Un processus disciplinaire est-il prévu en cas de non-respect grave ou répété des responsabilités de contrôle interne?</t>
  </si>
  <si>
    <t>Procédure disciplinaire en cas de non-respect des responsabilités</t>
  </si>
  <si>
    <t>Procédure disciplinaire en cas de manquements non appliquée ou floue</t>
  </si>
  <si>
    <t>Absence de suivi efficace des compétences acquises et des besoins en formation</t>
  </si>
  <si>
    <t>Mettre en place un plan de suivi des compétences et des formations continues</t>
  </si>
  <si>
    <t>Historique des mesures disciplinaires appliquées</t>
  </si>
  <si>
    <t>Historique des mesures disciplinaires inexistant ou mal documenté</t>
  </si>
  <si>
    <t>Implication limitée des employés dans le respect des procédures de contrôle</t>
  </si>
  <si>
    <t>Encourager la culture du contrôle interne par des actions de sensibilisation et d’engagement des employés</t>
  </si>
  <si>
    <t>Les actions correctives mises en place sont suivies et évaluées dans le temps pour en mesurer l’efficacité.</t>
  </si>
  <si>
    <t>Les actions correctives mises en place sont-elles suivies et évaluées dans le temps pour en mesurer l’efficacité?</t>
  </si>
  <si>
    <t>Plan de suivi des actions correctives</t>
  </si>
  <si>
    <t>Plan de suivi des actions correctives non mis à jour ou inefficace</t>
  </si>
  <si>
    <t>Absence de référence pour garantir une application équitable des sanctions</t>
  </si>
  <si>
    <t>Définir un cadre précis pour l’application des sanctions et assurer son respect équitable</t>
  </si>
  <si>
    <t>Rapports d’évaluation des mesures correctives</t>
  </si>
  <si>
    <t>Rapports d’évaluation des mesures correctives non réalisés ou mal exploités</t>
  </si>
  <si>
    <t>Récurrence des mêmes erreurs et absence d’amélioration continue</t>
  </si>
  <si>
    <t>Mettre en place un processus d’amélioration continue basé sur l’analyse des erreurs récurrentes</t>
  </si>
  <si>
    <t>Vérifier que des mécanismes de formation et de sensibilisation sont
 mis en place pour renforcer la compréhension et l'engagement de
 chaque collaborateur vis-à-vis de ses responsabilités en matière de
 contrôle interne</t>
  </si>
  <si>
    <t>Un programme de formation sur le contrôle interne est mis en place et suivi par les collaborateurs.</t>
  </si>
  <si>
    <t>Un programme de formation sur le contrôle interne est-il mis en place et suivi par les collaborateurs?</t>
  </si>
  <si>
    <t>Programme de formation en contrôle interne</t>
  </si>
  <si>
    <t>Programme de formation en contrôle interne incomplet ou indapté</t>
  </si>
  <si>
    <t>Mauvaise application des contrôles internes</t>
  </si>
  <si>
    <t>Standardiser et renforcer les contrôles internes pour garantir leur bonne application</t>
  </si>
  <si>
    <t>Suivi des formations sur le contrôle interne</t>
  </si>
  <si>
    <t>Suivi des formations en contrôle interne mal structuré</t>
  </si>
  <si>
    <t>Structurer le suivi des formations en contrôle interne par un système centralisé</t>
  </si>
  <si>
    <t>Un support documentaire (guides, procédures, FAQ) est mis à disposition pour aider à la compréhension des exigences du contrôle interne.</t>
  </si>
  <si>
    <t>Un support documentaire (guides, procédures, FAQ) est-il mis à disposition pour aider à la compréhension des exigences du contrôle interne?</t>
  </si>
  <si>
    <t>Guides et manuels de contrôle interne</t>
  </si>
  <si>
    <t>FAQ et documentation sur les procédures internes incomplètes</t>
  </si>
  <si>
    <t>Difficulté à suivre les progrès des employés et identifier les besoins en formation</t>
  </si>
  <si>
    <t>Mettre en place un outil de suivi des progrès des employés et adapter les formations en conséquence</t>
  </si>
  <si>
    <t>FAQ et documentation sur les procédures internes</t>
  </si>
  <si>
    <t>Guides et manuels de contrôle interne obsolètes ou inaccessibles</t>
  </si>
  <si>
    <t>Créer une base documentaire complète et accessible des procédures internes</t>
  </si>
  <si>
    <t>La participation aux formations sur le contrôle interne est suivie et évaluée.</t>
  </si>
  <si>
    <t>La participation aux formations sur le contrôle interne est-elle suivie et évaluée?</t>
  </si>
  <si>
    <t>Liste des participants aux formations en contrôle interne</t>
  </si>
  <si>
    <t>Liste des participants aux formations non tenue à jour</t>
  </si>
  <si>
    <t>Confusion et erreurs possibles dues à l’absence d’informations claires</t>
  </si>
  <si>
    <t>Mettre à jour régulièrement les FAQ et guides pour éviter les erreurs et la confusion</t>
  </si>
  <si>
    <t>Outil de suivi et d’évaluation des formations</t>
  </si>
  <si>
    <t>Outil de suivi et d’évaluation des formations inexistant ou mal utilisé</t>
  </si>
  <si>
    <t>Moderniser les guides et manuels de contrôle interne et les rendre facilement accessibles</t>
  </si>
  <si>
    <t>Des tests de connaissances ou évaluations sont réalisés après les formations pour mesurer leur impact.</t>
  </si>
  <si>
    <t>Des tests de connaissances ou évaluations sont-ils réalisés après les formations pour mesurer leur impact?</t>
  </si>
  <si>
    <t>Tests de connaissances post-formation</t>
  </si>
  <si>
    <t>Tests de connaissances post-formation non réalisés ou mal exploités</t>
  </si>
  <si>
    <t>Difficulté à appliquer les bonnes pratiques de contrôle interne</t>
  </si>
  <si>
    <t>Organiser des ateliers pratiques pour assurer l’application correcte des bonnes pratiques de contrôle interne</t>
  </si>
  <si>
    <t>Rapports d’analyse des tests non utilisés dans l’amélioration des formations</t>
  </si>
  <si>
    <t>Tenir une liste actualisée des participants aux formations et des compétences acquises</t>
  </si>
  <si>
    <t>Une mise à jour régulière des contenus de formation est effectuée pour tenir compte des évolutions du cadre réglementaire et des meilleures pratiques.</t>
  </si>
  <si>
    <t>Une mise à jour régulière des contenus de formation est-elle effectuée pour tenir compte des évolutions du cadre réglementaire et des meilleures pratiques?</t>
  </si>
  <si>
    <t>Plan de mise à jour des contenus de formation</t>
  </si>
  <si>
    <t>Plan de mise à jour des contenus de formation absent ou non appliqué</t>
  </si>
  <si>
    <t>Absence de visibilité sur les employés formés et leurs compétences acquises</t>
  </si>
  <si>
    <t>Mettre en place un tableau de bord de suivi des formations pour une meilleure visibilité</t>
  </si>
  <si>
    <t>Documentation des évolutions réglementaires intégrées aux formations</t>
  </si>
  <si>
    <t>Documentation des évolutions réglementaires non intégrée aux formations</t>
  </si>
  <si>
    <t>Déployer un outil de gestion et d’évaluation des formations adapté aux besoins internes</t>
  </si>
  <si>
    <t>Identification et analyse des risques</t>
  </si>
  <si>
    <t>S’assurer que l’organisation dispose d’une structure
 organisationnelle clairement définie, incluant les rôles et
 responsabilités relatifs à la gestion des systèmes d’information</t>
  </si>
  <si>
    <t>Un organigramme officiel précisant les rôles et responsabilités en matière de gestion des systèmes d’information est documenté et mis à jour régulièrement.</t>
  </si>
  <si>
    <t>Un organigramme officiel précisant les rôles et responsabilités est-il documenté et mis à jour régulièrement?</t>
  </si>
  <si>
    <t>Organigramme officiel mis à jour</t>
  </si>
  <si>
    <t>Organigramme officiel non mis à jour ou non diffusé correctement</t>
  </si>
  <si>
    <t>Incapacité à évaluer l’efficacité des formations et à ajuster les programmes</t>
  </si>
  <si>
    <t>Mettre en place un processus d’évaluation post-formation et ajuster les programmes en fonction des résultats</t>
  </si>
  <si>
    <t>Historique des modifications de l’organigramme</t>
  </si>
  <si>
    <t>Historique des modifications de l’organigramme inexistant ou mal suivi</t>
  </si>
  <si>
    <t>Des descriptions de poste détaillées sont disponibles et comprennent les attributions spécifiques liées à la gestion des risques informatiques.</t>
  </si>
  <si>
    <t>Des descriptions de poste détaillées comprennant les attributions spécifiques sont-ils disponibles?</t>
  </si>
  <si>
    <t>Descriptions de poste détaillées avec attributions spécifiques</t>
  </si>
  <si>
    <t>Descriptions de poste incomplètes ou incohérentes avec les responsabilités réelles</t>
  </si>
  <si>
    <t>Absence de mesure claire des connaissances acquises et des lacunes restantes</t>
  </si>
  <si>
    <t>Intégrer des tests de validation des connaissances après chaque formation pour mesurer l’assimilation</t>
  </si>
  <si>
    <t>Manuel des fonctions et responsabilités</t>
  </si>
  <si>
    <t>Manuel des fonctions et responsabilités non utilisé ou obsolète</t>
  </si>
  <si>
    <t>Exploiter les rapports d’analyse des tests pour adapter les formations aux besoins identifiés</t>
  </si>
  <si>
    <t>Une politique formalisée définit la structure organisationnelle et précise les lignes hiérarchiques et fonctionnelles liées aux systèmes d’information.</t>
  </si>
  <si>
    <t>Une politique formalisée définit-elle la structure organisationnelle et précise-t-elle les lignes hiérarchiques et fonctionnelles liées aux systèmes d’information?</t>
  </si>
  <si>
    <t>Politique formalisée sur la structure organisationnelle</t>
  </si>
  <si>
    <t>Politique sur la structure organisationnelle non formalisée ou inadaptée</t>
  </si>
  <si>
    <t>Manque d’amélioration continue dans les programmes de formation</t>
  </si>
  <si>
    <t>Instaurer une démarche d’amélioration continue dans la conception des formations</t>
  </si>
  <si>
    <t>Documentation sur les lignes hiérarchiques et fonctionnelles</t>
  </si>
  <si>
    <t>Documentation sur les lignes hiérarchiques et fonctionnelles imprécise ou erronée</t>
  </si>
  <si>
    <t>Établir un plan annuel de mise à jour des contenus de formation et en assurer le suivi</t>
  </si>
  <si>
    <t>Les responsabilités et l’autorité des acteurs clés en matière de gestion des systèmes d’information sont clairement définies et communiquées à l’ensemble du personnel concerné.</t>
  </si>
  <si>
    <t>Les responsabilités et l’autorité des acteurs clés en matière de gestion des systèmes d’information sont-elles clairement définies et communiquées à l’ensemble du personnel concerné?</t>
  </si>
  <si>
    <t>Grille des responsabilités des acteurs clés en gestion des SI</t>
  </si>
  <si>
    <t>Grille des responsabilités des acteurs clés en gestion des SI mal définie ou non mise à jour</t>
  </si>
  <si>
    <t>Clarifier les responsabilités des acteurs clés en gestion des SI et tenir à jour une grille des rôles</t>
  </si>
  <si>
    <t>Communication interne sur les rôles en gestion des SI</t>
  </si>
  <si>
    <t>Communication interne sur les rôles en gestion des SI insuffisante ou mal diffusée</t>
  </si>
  <si>
    <t>Améliorer la communication interne sur les rôles et responsabilités en gestion des SI par des supports clairs et accessibles</t>
  </si>
  <si>
    <t>L’organisation réalise périodiquement des revues de sa structure organisationnelle pour s’adapter aux évolutions technologiques et aux nouveaux risques.</t>
  </si>
  <si>
    <t>L’organisation réalise-t-elle périodiquement des revues de sa structure organisationnelle pour s’adapter aux évolutions technologiques et aux nouveaux risques?</t>
  </si>
  <si>
    <t>Rapports des revues périodiques de la structure organisationnelle</t>
  </si>
  <si>
    <t>Rapports des revues périodiques de la structure organisationnelle inexistants ou non exploités</t>
  </si>
  <si>
    <t>Réaliser des revues périodiques de la structure organisationnelle et exploiter leurs rapports pour améliorer l’efficacité opérationnelle</t>
  </si>
  <si>
    <t>Documentation des ajustements organisationnels liés aux évolutions technologiques</t>
  </si>
  <si>
    <t>Documentation des ajustements organisationnels liés aux évolutions technologiques incomplète</t>
  </si>
  <si>
    <t>Mettre à jour régulièrement la documentation des ajustements organisationnels liés aux évolutions technologiques et s’assurer de son exploitation</t>
  </si>
  <si>
    <t>Vérifier que les responsabilités liées à la sécurité des systèmes
 d’information et à la gestion des données sont attribuées à des
 postes spécifiques, avec des descriptions de rôle formalisées</t>
  </si>
  <si>
    <t>Un responsable de la sécurité des systèmes d’information (RSSI) est désigné et ses missions sont formellement définies.</t>
  </si>
  <si>
    <t>Un responsable de la sécurité des systèmes d’information (RSSI) est-il désigné et ses missions sont formellement définies?</t>
  </si>
  <si>
    <t>Lettre de mission du RSSI</t>
  </si>
  <si>
    <t>Lettre de mission du RSSI non alignée avec les responsabilités réelles</t>
  </si>
  <si>
    <t>Aligner la lettre de mission du RSSI avec ses responsabilités réelles et les exigences organisationnelles</t>
  </si>
  <si>
    <t>Fiche de poste détaillant les missions du RSSI</t>
  </si>
  <si>
    <t>Fiche de poste détaillant les missions du RSSI imprécise ou obsolète</t>
  </si>
  <si>
    <t>Mettre à jour la fiche de poste du RSSI pour clarifier ses missions et responsabilités</t>
  </si>
  <si>
    <t>Les responsabilités en matière de protection des données sont attribuées à un Délégué à la Protection des Données (DPO), avec une fiche de poste détaillée.</t>
  </si>
  <si>
    <t>Les responsabilités en matière de protection des données sont-elles attribuées à un Délégué à la Protection des Données (DPO), avec une fiche de poste détaillée?</t>
  </si>
  <si>
    <t>Nomination officielle du DPO</t>
  </si>
  <si>
    <t>Nomination officielle du DPO absente ou non conforme aux exigences réglementaires</t>
  </si>
  <si>
    <t>Assurer la nomination officielle du DPO en conformité avec les exigences réglementaires</t>
  </si>
  <si>
    <t>Fiche de poste du DPO précisant ses responsabilités</t>
  </si>
  <si>
    <t>Fiche de poste du DPO précisant ses responsabilités incomplète ou mal appliquée</t>
  </si>
  <si>
    <t>Réviser et compléter la fiche de poste du DPO pour garantir une application correcte de ses responsabilités</t>
  </si>
  <si>
    <t>Chaque département impliqué dans la gestion des systèmes d’information dispose de référents sécurité clairement identifiés.</t>
  </si>
  <si>
    <t>Chaque département impliqué dans la gestion des systèmes d’information dispose-t-il de référents sécurité clairement identifiés?</t>
  </si>
  <si>
    <t>Liste des référents sécurité par département</t>
  </si>
  <si>
    <t>Liste des référents sécurité par département non actualisée ou incomplète</t>
  </si>
  <si>
    <t>Actualiser régulièrement la liste des référents sécurité par département et la diffuser aux parties prenantes</t>
  </si>
  <si>
    <t>Notes de service officialisant les référents sécurité</t>
  </si>
  <si>
    <t>Notes de service officialisant les référents sécurité non diffusées ou mal comprises</t>
  </si>
  <si>
    <t>Diffuser systématiquement les notes de service sur les référents sécurité et s’assurer de leur bonne compréhension</t>
  </si>
  <si>
    <t>Une séparation claire des fonctions est mise en place pour éviter les conflits d’intérêts (exemple : séparation entre administrateurs système et auditeurs de sécurité).</t>
  </si>
  <si>
    <t>Une séparation claire des fonctions est-elle mise en place pour éviter les conflits d’intérêts?</t>
  </si>
  <si>
    <t>Politique de séparation des fonctions</t>
  </si>
  <si>
    <t>Politique de séparation des fonctions non appliquée ou insuffisante</t>
  </si>
  <si>
    <t>Appliquer rigoureusement la politique de séparation des fonctions pour limiter les conflits d’intérêts et renforcer la sécurité</t>
  </si>
  <si>
    <t>Documentation des mesures de séparation des rôles</t>
  </si>
  <si>
    <t>Documentation des mesures de séparation des rôles inexistante ou mal définie</t>
  </si>
  <si>
    <t>Élaborer et maintenir une documentation claire et accessible des mesures de séparation des rôles</t>
  </si>
  <si>
    <t>Les rôles et responsabilités en matière de gestion des incidents de sécurité sont définis et documentés.</t>
  </si>
  <si>
    <t>Les rôles et responsabilités en matière de gestion des incidents de sécurité sont-ils définis et documentés?</t>
  </si>
  <si>
    <t>Guide de gestion des incidents de sécurité</t>
  </si>
  <si>
    <t>Guide de gestion des incidents de sécurité non mis à jour ou imprécis</t>
  </si>
  <si>
    <t>Mettre à jour régulièrement le guide de gestion des incidents de sécurité pour assurer son efficacité</t>
  </si>
  <si>
    <t>Liste des responsabilités définies en gestion des incidents</t>
  </si>
  <si>
    <t>Liste des responsabilités définies en gestion des incidents incomplète ou ambiguë</t>
  </si>
  <si>
    <t>Clarifier et compléter la liste des responsabilités en gestion des incidents pour éviter toute ambiguïté</t>
  </si>
  <si>
    <t>S’assurer que les responsables des systèmes d’information, ainsi
 que les autres parties prenantes, sont dotés des ressources et des
 autorisations nécessaires pour exercer efficacement leurs
 responsabilités</t>
  </si>
  <si>
    <t>Les équipes en charge de la gestion des systèmes d’information disposent d’un budget alloué pour la sécurité informatique et la gestion des risques.</t>
  </si>
  <si>
    <t>Les équipes en charge de la gestion des systèmes d’information disposent-ils d’un budget alloué pour la sécurité informatique et la gestion des risques?</t>
  </si>
  <si>
    <t>Budget alloué à la sécurité informatique</t>
  </si>
  <si>
    <t>Budget alloué à la sécurité informatique insuffisant ou mal réparti</t>
  </si>
  <si>
    <t>Allouer un budget adapté à la sécurité informatique et optimiser sa répartition en fonction des risques identifiés</t>
  </si>
  <si>
    <t>Plan de gestion des risques informatiques</t>
  </si>
  <si>
    <t>Plan de gestion des risques informatiques non mis en œuvre ou non testé</t>
  </si>
  <si>
    <t>Déployer et tester régulièrement le plan de gestion des risques informatiques pour garantir sa pertinence</t>
  </si>
  <si>
    <t>Un accès aux outils et technologies nécessaires est garanti aux responsables de la sécurité des systèmes d’information.</t>
  </si>
  <si>
    <t>Un accès aux outils et technologies nécessaires est-il garanti aux responsables de la sécurité des systèmes d’information?</t>
  </si>
  <si>
    <t>Inventaire des outils et technologies disponibles</t>
  </si>
  <si>
    <t>Inventaire des outils et technologies disponibles mal tenu ou inexploitable</t>
  </si>
  <si>
    <t>Tenir à jour un inventaire précis et exploitable des outils et technologies disponibles</t>
  </si>
  <si>
    <t>Politique d’accès aux outils de sécurité informatique</t>
  </si>
  <si>
    <t>Politique d’accès aux outils de sécurité informatique mal définie ou non respectée</t>
  </si>
  <si>
    <t>Définir une politique d’accès claire aux outils de sécurité informatique et en contrôler l’application</t>
  </si>
  <si>
    <t>Des formations régulières sont dispensées aux parties prenantes pour assurer la montée en compétence sur les enjeux liés à la gestion des systèmes d’information.</t>
  </si>
  <si>
    <t>Des formations régulières sont-elles dispensées aux parties prenantes pour assurer la montée en compétence sur les enjeux liés à la gestion des systèmes d’information?</t>
  </si>
  <si>
    <t>Programme de formation en gestion des SI</t>
  </si>
  <si>
    <t>Programme de formation en gestion des SI inadapté aux besoins réels</t>
  </si>
  <si>
    <t>Adapter le programme de formation en gestion des SI aux besoins réels des collaborateurs</t>
  </si>
  <si>
    <t>Liste des sessions de formation et des participants</t>
  </si>
  <si>
    <t>Liste des sessions de formation et des participants non tenue à jour</t>
  </si>
  <si>
    <t>Maintenir une liste à jour des sessions de formation et des participants pour assurer un suivi efficace</t>
  </si>
  <si>
    <t>Un processus de validation des autorisations d’accès aux ressources critiques est mis en place et régulièrement revu.</t>
  </si>
  <si>
    <t>Un processus de validation des autorisations d’accès aux ressources critiques est-il mis en place et régulièrement revu?</t>
  </si>
  <si>
    <t>Procédure de validation des accès</t>
  </si>
  <si>
    <t>Procédure de validation des accès absente ou inefficace</t>
  </si>
  <si>
    <t>Établir et appliquer une procédure rigoureuse de validation des accès pour limiter les risques de sécurité</t>
  </si>
  <si>
    <t>Journal des révisions des autorisations d’accès</t>
  </si>
  <si>
    <t>Journal des révisions des autorisations d’accès non exploité ou inexistant</t>
  </si>
  <si>
    <t>Exploiter et mettre à jour régulièrement le journal des révisions des autorisations d’accès</t>
  </si>
  <si>
    <t>Les collaborateurs impliqués dans la gestion des systèmes d’information ont accès à des bases de connaissances et des référentiels internes pour assurer la conformité et l’efficacité des processus.</t>
  </si>
  <si>
    <t>Les collaborateurs impliqués dans la gestion des SI ont-ils accès à des bases de connaissances et des référentiels internes pour assurer la conformité et l’efficacité des processus?</t>
  </si>
  <si>
    <t>Référentiels internes sur la gestion des SI</t>
  </si>
  <si>
    <t>Référentiels internes sur la gestion des SI obsolètes ou non accessibles</t>
  </si>
  <si>
    <t>Mettre à jour et rendre accessibles les référentiels internes sur la gestion des S</t>
  </si>
  <si>
    <t>Base de connaissances des bonnes pratiques IT</t>
  </si>
  <si>
    <t>Base de connaissances des bonnes pratiques IT incomplète ou mal organisée</t>
  </si>
  <si>
    <t>Structurer et enrichir la base de connaissances des bonnes pratiques IT pour en faciliter l’utilisation</t>
  </si>
  <si>
    <t>Vérifier que des mécanismes de communication efficaces existent
 pour assurer une coordination fluide entre les différents
 départements et les responsables des systèmes d’information</t>
  </si>
  <si>
    <t>Un comité de gouvernance des systèmes d’information incluant les différents départements concernés se réunit périodiquement.</t>
  </si>
  <si>
    <t>Un comité de gouvernance des systèmes d’information se réunit-il périodiquement?</t>
  </si>
  <si>
    <t>Charte du comité de gouvernance des SI</t>
  </si>
  <si>
    <t>Charte du comité de gouvernance des SI non respectée ou non diffusée</t>
  </si>
  <si>
    <t>S’assurer du respect et de la diffusion de la charte du comité de gouvernance des SI</t>
  </si>
  <si>
    <t>Comptes rendus des réunions du comité</t>
  </si>
  <si>
    <t>Comptes rendus des réunions du comité absents ou non archivés correctement</t>
  </si>
  <si>
    <t>Archiver correctement les comptes rendus des réunions du comité et les rendre accessibles aux parties prenantes</t>
  </si>
  <si>
    <t>Des outils collaboratifs (ex : plateformes de gestion de projet, systèmes de ticketing) sont mis en place pour assurer une communication fluide entre les équipes IT et les autres départements.</t>
  </si>
  <si>
    <t>Des outils collaboratifs sont-ils mis en place pour assurer une communication fluide entre les équipes IT et les autres départements?</t>
  </si>
  <si>
    <t>Liste des outils collaboratifs déployés</t>
  </si>
  <si>
    <t>Liste des outils collaboratifs déployés non à jour ou mal gérée</t>
  </si>
  <si>
    <t>Tenir à jour et gérer efficacement la liste des outils collaboratifs déployés</t>
  </si>
  <si>
    <t>Politique d’utilisation des outils collaboratifs</t>
  </si>
  <si>
    <t>Politique d’utilisation des outils collaboratifs non appliquée ou mal définie</t>
  </si>
  <si>
    <t>Appliquer rigoureusement la politique d’utilisation des outils</t>
  </si>
  <si>
    <t>Une politique de communication interne définit les canaux et formats de transmission des informations relatives à la gestion des risques informatiques.</t>
  </si>
  <si>
    <t>Une politique de communication interne définit-elle les canaux et formats de transmission des informations relatives à la gestion des risques informatiques?</t>
  </si>
  <si>
    <t>Politique de communication interne sur la gestion des risques IT</t>
  </si>
  <si>
    <t>Politique de communication interne sur la gestion des risques IT non claire ou non respectée</t>
  </si>
  <si>
    <t>Clarifier et faire respecter la politique de communication interne sur la gestion des risques IT</t>
  </si>
  <si>
    <t>Guide des canaux de transmission des informations IT</t>
  </si>
  <si>
    <t>Guide des canaux de transmission des informations IT inexistant ou mal structuré</t>
  </si>
  <si>
    <t>Mauvaise circulation des informations sensibles entraînant des retards ou des erreurs de transmission</t>
  </si>
  <si>
    <t>Améliorer la circulation des informations sensibles en mettant en place des canaux sécurisés et efficaces</t>
  </si>
  <si>
    <t>Un processus formalisé permet d’informer rapidement les parties prenantes en cas d’incident de sécurité.</t>
  </si>
  <si>
    <t>Un processus formalisé permet-il d’informer rapidement les parties prenantes en cas d’incident de sécurité?</t>
  </si>
  <si>
    <t>Procédure d’alerte en cas d’incident de sécurité</t>
  </si>
  <si>
    <t>Procédure d’alerte en cas d’incident de sécurité inefficace ou non connue des employés</t>
  </si>
  <si>
    <t>Allongement du temps de réaction face aux incidents, augmentant les impacts négatifs</t>
  </si>
  <si>
    <t>Réduire le temps de réaction aux incidents en optimisant les processus de communication et d’alerte</t>
  </si>
  <si>
    <t>Plan de communication de crise IT</t>
  </si>
  <si>
    <t>Plan de communication de crise IT inexistant ou mal défini</t>
  </si>
  <si>
    <t>Réponse inefficace aux crises, aggravant les perturbations opérationnelles</t>
  </si>
  <si>
    <t>Renforcer les capacités de réponse aux crises par des exercices réguliers et des procédures adaptées</t>
  </si>
  <si>
    <t>Les responsables des systèmes d’information participent aux réunions stratégiques pour aligner leurs actions avec les besoins des autres départements.</t>
  </si>
  <si>
    <t>Les responsables des systèmes d’information participent-ils aux réunions stratégiques pour aligner leurs actions avec les besoins des autres départements?</t>
  </si>
  <si>
    <t>Invitations et comptes rendus des réunions stratégiques</t>
  </si>
  <si>
    <t>Invitations et comptes rendus des réunions stratégiques non archivés ou incomplets</t>
  </si>
  <si>
    <t>Manque de traçabilité et de suivi des décisions prises en réunion stratégique</t>
  </si>
  <si>
    <t>Assurer une traçabilité complète et un suivi rigoureux des décisions prises en réunion stratégique</t>
  </si>
  <si>
    <t>Liste des représentants IT participant aux réunions</t>
  </si>
  <si>
    <t>Liste des représentants IT participant aux réunions non mise à jour ou imprécise</t>
  </si>
  <si>
    <t>Difficulté à identifier les bons interlocuteurs IT pour les décisions et projets critiques</t>
  </si>
  <si>
    <t>Clarifier les rôles et responsabilités des interlocuteurs IT et établir un référentiel des contacts pour les décisions et projets critiques</t>
  </si>
  <si>
    <t>S’assurer qu’il existe une hiérarchie de responsabilité permettant de
 rendre compte de la performance des systèmes d’information, avec
 des rapports réguliers destinés à la direction</t>
  </si>
  <si>
    <t>Un reporting périodique sur la performance des systèmes d’information est adressé à la direction et au Conseil d’Administration.</t>
  </si>
  <si>
    <t>Un reporting périodique sur la performance des systèmes d’information est-il adressé à la direction et au Conseil d’Administration?</t>
  </si>
  <si>
    <t>Rapports de performance des systèmes d’information</t>
  </si>
  <si>
    <t>Rapports de performance des systèmes d’information absents ou basés sur des données erronées</t>
  </si>
  <si>
    <t>Mauvaise évaluation des performances des systèmes d’information</t>
  </si>
  <si>
    <t>Mettre en place un processus rigoureux d’évaluation des performances des systèmes d’information avec des critères objectifs</t>
  </si>
  <si>
    <t>Tableau de bord des indicateurs IT adressé à la direction</t>
  </si>
  <si>
    <t>Tableau de bord des indicateurs IT adressé à la direction incomplet ou non actualisé</t>
  </si>
  <si>
    <t>Absence d’indicateurs fiables pour la direction</t>
  </si>
  <si>
    <t>Définir et suivre des indicateurs fiables pour la direction afin d’améliorer la prise de décision stratégique</t>
  </si>
  <si>
    <t>Des indicateurs de performance clés (KPI) liés à la gestion des risques informatiques sont définis et suivis.</t>
  </si>
  <si>
    <t>Des indicateurs de performance clés (KPI) liés à la gestion des risques informatiques sont-ils définis et suivis?</t>
  </si>
  <si>
    <t>Liste des KPI liés à la gestion des risques IT</t>
  </si>
  <si>
    <t>Liste des KPI liés à la gestion des risques IT mal définie ou non alignée avec les objectifs stratégiques</t>
  </si>
  <si>
    <t>Gestion des risques inefficace en raison de KPI inappropriés ou mal définis</t>
  </si>
  <si>
    <t>Revoir et affiner les KPI liés à la gestion des risques pour garantir leur pertinence et leur efficacité</t>
  </si>
  <si>
    <t>Rapports d’analyse des KPI informatiques</t>
  </si>
  <si>
    <t>Rapports d’analyse des KPI informatiques inexacts ou inexploités</t>
  </si>
  <si>
    <t>Analyse et exploitation des indicateurs IT biaisées ou incomplètes</t>
  </si>
  <si>
    <t>Élaborer des méthodologies d’analyse et d’exploitation des indicateurs IT plus rigoureuses et complètes</t>
  </si>
  <si>
    <t>Un processus d’escalade est établi pour signaler les incidents critiques et les décisions stratégiques à la hiérarchie.</t>
  </si>
  <si>
    <t>Un processus d’escalade est-il établi pour signaler les incidents critiques et les décisions stratégiques à la hiérarchie?</t>
  </si>
  <si>
    <t>Processus d’escalade des incidents critiques</t>
  </si>
  <si>
    <t>Processus d’escalade des incidents critiques non documenté ou inefficace</t>
  </si>
  <si>
    <t>Retard ou inefficacité dans la gestion des incidents critiques</t>
  </si>
  <si>
    <t>Optimiser les processus de gestion des incidents critiques pour réduire les délais de réaction et d’intervention</t>
  </si>
  <si>
    <t>Registre des incidents et actions prises</t>
  </si>
  <si>
    <t>Registre des incidents et actions prises mal tenu ou non suivi</t>
  </si>
  <si>
    <t>Manque de suivi et de résolution efficace des incidents</t>
  </si>
  <si>
    <t>Mettre en place un suivi systématique et une résolution efficace des incidents pour limiter leur impact</t>
  </si>
  <si>
    <t>Les audits de sécurité et les revues de conformité font partie des rapports transmis régulièrement à la direction.</t>
  </si>
  <si>
    <t>Les audits de sécurité et les revues de conformité font-ils partie des rapports transmis régulièrement à la direction?</t>
  </si>
  <si>
    <t>Rapports d’audit de sécurité IT</t>
  </si>
  <si>
    <t>Rapports d’audit de sécurité IT inexistants ou non exploités par la direction</t>
  </si>
  <si>
    <t>Risque accru de failles de sécurité et de non-conformité</t>
  </si>
  <si>
    <t>Renforcer les contrôles de sécurité et la conformité réglementaire pour minimiser les failles et les risques de non-conformité</t>
  </si>
  <si>
    <t>Revue de conformité périodique IT</t>
  </si>
  <si>
    <t>Revue de conformité périodique IT non réalisée ou non documentée</t>
  </si>
  <si>
    <t>Non-respect des exigences réglementaires et affaiblissement du dispositif de contrôle interne</t>
  </si>
  <si>
    <t>Établir des procédures strictes pour assurer le respect des exigences réglementaires et renforcer le contrôle interne</t>
  </si>
  <si>
    <t>La direction valide et suit les plans d’action correctifs proposés à la suite des audits ou incidents liés aux systèmes d’information</t>
  </si>
  <si>
    <t>Les plans d’action correctifs proposés à la suite des audits ou incidents liés aux systèmes d’information sont-ils validés par la Direction?</t>
  </si>
  <si>
    <t>Procédure de validation des plans d’action correctifs</t>
  </si>
  <si>
    <t>Procédure de validation des plans d’action correctifs absente ou inefficace</t>
  </si>
  <si>
    <t>Plans d’action correctifs inefficaces ou inadaptés</t>
  </si>
  <si>
    <t>Améliorer la conception et le suivi des plans d’action correctifs pour garantir leur efficacité</t>
  </si>
  <si>
    <t>Registre des actions correctives validées</t>
  </si>
  <si>
    <t>Registre des actions correctives validées non mis à jour ou inexploitable</t>
  </si>
  <si>
    <t>Mauvaise gestion des actions correctives</t>
  </si>
  <si>
    <t>Optimiser la gestion des actions correctives en attribuant des responsabilités claires et en assurant leur suivi</t>
  </si>
  <si>
    <t>Prise en compte de la fraude</t>
  </si>
  <si>
    <t>S’assurer que le risque de fraude est explicitement intégré dans le
 processus d’évaluation des risques, en identifiant les risques
 spécifiques de fraude qui pourraient affecter les objectifs de
 l’organisation</t>
  </si>
  <si>
    <t>Une cartographie des risques de fraude est formellement définie et mise à jour régulièrement.</t>
  </si>
  <si>
    <t>Une cartographie des risques de fraude est-elle formellement définie et mise à jour régulièrement?</t>
  </si>
  <si>
    <t>Cartographie des risques de fraude</t>
  </si>
  <si>
    <t>Cartographie des risques de fraude obsolète ou incomplète</t>
  </si>
  <si>
    <t>Exposition accrue aux risques de fraude</t>
  </si>
  <si>
    <t>Renforcer les dispositifs de détection et de prévention des fraudes pour limiter les risques d’exposition</t>
  </si>
  <si>
    <t>Plan de mise à jour des risques de fraude</t>
  </si>
  <si>
    <t>Plan de mise à jour des risques de fraude inexistant ou non appliqué</t>
  </si>
  <si>
    <t>Incapacité à anticiper et atténuer les nouveaux risques de fraude</t>
  </si>
  <si>
    <t>Développer une approche proactive pour identifier et atténuer les nouveaux risques de fraude</t>
  </si>
  <si>
    <t>Le processus d’évaluation des risques inclut des scénarios spécifiques de fraude avec des analyses d’impact.</t>
  </si>
  <si>
    <t>Le processus d’évaluation des risques inclut-il des scénarios spécifiques de fraude avec des analyses d’impact?</t>
  </si>
  <si>
    <t>Processus d’évaluation des risques de fraude</t>
  </si>
  <si>
    <t>Processus d’évaluation des risques de fraude mal défini ou non suivi</t>
  </si>
  <si>
    <t>Absence de pilotage efficace des risques de fraude</t>
  </si>
  <si>
    <t>Mettre en place un pilotage efficace et centralisé des risques de fraude avec des indicateurs précis</t>
  </si>
  <si>
    <t>Documentation des scénarios de fraude analysés</t>
  </si>
  <si>
    <t>Documentation des scénarios de fraude analysés incomplète ou non actualisée</t>
  </si>
  <si>
    <t>Manque d’anticipation des scénarios de fraude possibles</t>
  </si>
  <si>
    <t>Élaborer des scénarios de fraude possibles et tester leur impact pour anticiper les menaces</t>
  </si>
  <si>
    <t>Une évaluation périodique des risques de fraude est menée par l’audit interne et les équipes de contrôle.</t>
  </si>
  <si>
    <t>Une évaluation périodique des risques de fraude est-elle menée par l’audit interne et les équipes de contrôle?</t>
  </si>
  <si>
    <t>Rapports d’évaluation des risques de fraude</t>
  </si>
  <si>
    <t>Rapports d’évaluation des risques de fraude inexploités ou non transmis aux parties prenantes</t>
  </si>
  <si>
    <t>Mauvaise communication et exploitation des résultats d’évaluation des risques de fraude</t>
  </si>
  <si>
    <t>Structurer et exploiter efficacement les résultats des évaluations des risques de fraude pour guider les actions correctives</t>
  </si>
  <si>
    <t>Comptes rendus des missions d’audit interne</t>
  </si>
  <si>
    <t>Comptes rendus des missions d’audit interne absents ou non archivés correctement</t>
  </si>
  <si>
    <t>Perte de traçabilité des audits internes et difficulté à justifier les actions mises en place</t>
  </si>
  <si>
    <t>Mettre en place un système de suivi et d’archivage des audits internes pour assurer la traçabilité des actions mises en place</t>
  </si>
  <si>
    <t>Les collaborateurs clés sont sensibilisés aux différents types de fraude et à leurs impacts potentiels sur l’organisation.</t>
  </si>
  <si>
    <t>Les collaborateurs clés sont-ils sensibilisés aux différents types de fraude et à leurs impacts potentiels sur l’organisation?</t>
  </si>
  <si>
    <t>Programme de sensibilisation à la fraude</t>
  </si>
  <si>
    <t>Programme de sensibilisation à la fraude inadapté ou non suivi</t>
  </si>
  <si>
    <t>Faible sensibilisation des collaborateurs aux risques de fraude</t>
  </si>
  <si>
    <t>Renforcer les programmes de sensibilisation des collaborateurs aux risques de fraude pour améliorer la vigilance interne</t>
  </si>
  <si>
    <t>Liste des sessions et supports de formation sur la fraude</t>
  </si>
  <si>
    <t>Liste des sessions et supports de formation sur la fraude non tenue à jour ou insuffisante</t>
  </si>
  <si>
    <t>Formation insuffisante des équipes</t>
  </si>
  <si>
    <t>Développer des formations continues et adaptées pour améliorer les compétences des équipes en matière de détection des fraudes</t>
  </si>
  <si>
    <t>Des outils analytiques (ex : détection d’anomalies, intelligence artificielle) sont utilisés pour identifier les tendances de fraude</t>
  </si>
  <si>
    <t>Documentation sur les outils analytiques de détection des fraudes</t>
  </si>
  <si>
    <t>Documentation sur les outils analytiques de détection des fraudes inexistante ou incomplète</t>
  </si>
  <si>
    <t>Manque d’outils performants pour analyser et détecter efficacement les fraudes</t>
  </si>
  <si>
    <t>Déployer des outils performants pour analyser et détecter efficacement les fraudes en temps réel</t>
  </si>
  <si>
    <t>Rapports d’analyse des tendances de fraude</t>
  </si>
  <si>
    <t>Rapports d’analyse des tendances de fraude inexacts ou non utilisés dans la prévention des fraudes</t>
  </si>
  <si>
    <t>Incapacité à détecter les tendances émergentes de fraude</t>
  </si>
  <si>
    <t>Mettre en place des mécanismes de veille pour identifier les nouvelles tendances de fraude et adapter les contrôles</t>
  </si>
  <si>
    <t>Vérifier que des méthodologies spécifiques sont utilisées pour
 évaluer le risque de fraude, incluant l’identification des domaines
 vulnérables à la fraude et l’analyse des contrôles existants pour les
 atténuer</t>
  </si>
  <si>
    <t>L’organisation dispose d’une méthodologie formalisée pour l’identification et l’évaluation des risques de fraude.</t>
  </si>
  <si>
    <t>L’organisation dispose-t-elle d’une méthodologie formalisée pour l’identification et l’évaluation des risques de fraude?</t>
  </si>
  <si>
    <t>Méthodologie formalisée d’évaluation des risques de fraude</t>
  </si>
  <si>
    <t>Méthodologie formalisée d’évaluation des risques de fraude mal appliquée ou obsolète</t>
  </si>
  <si>
    <t>Méthodologie de gestion des risques de fraude obsolète</t>
  </si>
  <si>
    <t>Mettre à jour régulièrement la méthodologie de gestion des risques de fraude pour s’adapter aux nouvelles menaces</t>
  </si>
  <si>
    <t>Guide de mise en œuvre des évaluations de fraude</t>
  </si>
  <si>
    <t>Guide de mise en œuvre des évaluations de fraude non utilisé ou inadapté</t>
  </si>
  <si>
    <t>Mauvaise application des bonnes pratiques en matière d’évaluation des risques de fraude</t>
  </si>
  <si>
    <t>Appliquer strictement les bonnes pratiques en matière d’évaluation des risques de fraude et former les équipes à leur mise en œuvre</t>
  </si>
  <si>
    <t>Une analyse des processus critiques est réalisée pour détecter les points de vulnérabilité face à la fraude.</t>
  </si>
  <si>
    <t>Une analyse des processus critiques est-elle réalisée pour détecter les points de vulnérabilité face à la fraude?</t>
  </si>
  <si>
    <t>Analyse des processus critiques</t>
  </si>
  <si>
    <t>Analyse des processus critiques absente ou non exploitée</t>
  </si>
  <si>
    <t>Faible compréhension des processus critiques</t>
  </si>
  <si>
    <t>Cartographier et documenter les processus critiques pour mieux comprendre les risques et améliorer leur gestion</t>
  </si>
  <si>
    <t>Registre des vulnérabilités identifiées et actions correctives</t>
  </si>
  <si>
    <t>Registre des vulnérabilités identifiées et actions correctives mal tenu ou incomplet</t>
  </si>
  <si>
    <t>Manque de visibilité sur les vulnérabilités informatiques et leur traitement</t>
  </si>
  <si>
    <t>Mettre en place un système de suivi et de traitement des vulnérabilités informatiques pour renforcer la sécurité</t>
  </si>
  <si>
    <t>Des tests de résistance et des audits de contrôle interne sont effectués pour évaluer l’efficacité des mécanismes de prévention de la fraude.</t>
  </si>
  <si>
    <t>Des tests de résistance et des audits de contrôle interne sont-ils effectués pour évaluer l’efficacité des mécanismes de prévention de la fraude?</t>
  </si>
  <si>
    <t>Rapports d’audit interne non disponibles ou inexploités</t>
  </si>
  <si>
    <t>Non-exploitation des audits internes</t>
  </si>
  <si>
    <t>Exploiter systématiquement les résultats des audits internes pour identifier et corriger les dysfonctionnements</t>
  </si>
  <si>
    <t>Résultats des tests de résistance</t>
  </si>
  <si>
    <t>Résultats des tests de résistance non pris en compte dans les stratégies de cybersécurité</t>
  </si>
  <si>
    <t>Stratégies de cybersécurité inefficaces</t>
  </si>
  <si>
    <t>Élaborer et mettre en œuvre des stratégies de cybersécurité efficaces et adaptées aux menaces actuelles</t>
  </si>
  <si>
    <t>Une veille sur les nouvelles techniques de fraude et les tendances sectorielles est régulièrement effectuée.</t>
  </si>
  <si>
    <t>Une veille sur les nouvelles techniques de fraude et les tendances sectorielles est-elle régulièrement effectuée?</t>
  </si>
  <si>
    <t>Documentation des tendances sectorielles</t>
  </si>
  <si>
    <t>Documentation des tendances sectorielles inexistante ou obsolète</t>
  </si>
  <si>
    <t>Manque d’adaptation aux évolutions du secteur</t>
  </si>
  <si>
    <t>Assurer une veille continue pour anticiper les évolutions du secteur et adapter les mesures de sécurité</t>
  </si>
  <si>
    <t>Rapports d’analyse des nouvelles techniques de fraude</t>
  </si>
  <si>
    <t>Rapports d’analyse des nouvelles techniques de fraude non mis à jour ou inexploités</t>
  </si>
  <si>
    <t>Absence d’informations actualisées sur les nouvelles techniques de fraude</t>
  </si>
  <si>
    <t>Mettre à jour régulièrement les bases de données et les formations sur les nouvelles techniques de fraude</t>
  </si>
  <si>
    <t>Des simulations et exercices de détection de fraude sont réalisés périodiquement pour tester les dispositifs en place.</t>
  </si>
  <si>
    <t>Des simulations et exercices de détection de fraude sont-ils réalisés périodiquement pour tester les dispositifs en place?</t>
  </si>
  <si>
    <t>Comptes rendus des simulations de fraude</t>
  </si>
  <si>
    <t>Comptes rendus des simulations de fraude absents ou non partagés avec les équipes concernées</t>
  </si>
  <si>
    <t>Mauvaise diffusion des résultats des simulations de fraude</t>
  </si>
  <si>
    <t>Améliorer la communication et la diffusion des résultats des simulations de fraude pour mieux préparer les équipes</t>
  </si>
  <si>
    <t>Documentation des exercices de détection de fraude</t>
  </si>
  <si>
    <t>Documentation des exercices de détection de fraude incomplète ou mal archivée</t>
  </si>
  <si>
    <t>Faible archivage et exploitation des exercices de détection</t>
  </si>
  <si>
    <t>Mettre en place un système d’archivage structuré et exploiter les exercices de détection pour renforcer la prévention</t>
  </si>
  <si>
    <t>S’assurer que des responsables sont désignés pour l’évaluation et la
 gestion du risque de fraude, et qu’ils reçoivent une formation
 adéquate pour identifier et traiter ce type de risque de manière
 proactive</t>
  </si>
  <si>
    <t>Un responsable dédié à la lutte contre la fraude est désigné avec des rôles et responsabilités clairement définis.</t>
  </si>
  <si>
    <t>Un responsable dédié à la lutte contre la fraude est-il désigné avec des rôles et responsabilités clairement définis?</t>
  </si>
  <si>
    <t>Fiches de poste du responsable anti-fraude</t>
  </si>
  <si>
    <t>Absence de définition claire des responsabilités du responsable anti-fraude</t>
  </si>
  <si>
    <t>Manque de responsabilité et d’imputabilité dans la gestion de la lutte contre la fraude</t>
  </si>
  <si>
    <t>Établir un cadre clair de responsabilité et d’imputabilité pour chaque acteur impliqué dans la lutte contre la fraude</t>
  </si>
  <si>
    <t>Organigramme des responsabilités en matière de lutte contre la fraude</t>
  </si>
  <si>
    <t>Manque de visibilité sur la répartition des rôles en matière de lutte contre la fraude</t>
  </si>
  <si>
    <t>Difficulté à coordonner les actions et responsabilités des acteurs impliqués</t>
  </si>
  <si>
    <t>Définir un processus structuré pour coordonner les actions et responsabilités des différents acteurs</t>
  </si>
  <si>
    <t>Une équipe spécialisée ou une cellule anti-fraude est mise en place pour surveiller et traiter les incidents de fraude.</t>
  </si>
  <si>
    <t>Une équipe spécialisée ou une cellule anti-fraude est-elle mise en place pour surveiller et traiter les incidents de fraude?</t>
  </si>
  <si>
    <t>Charte de fonctionnement de l’équipe anti-fraude</t>
  </si>
  <si>
    <t>Dysfonctionnement et absence de cadre structurant pour l’équipe anti-fraude</t>
  </si>
  <si>
    <t>Absence de cadre clair, entraînant une inefficacité de l’équipe anti-fraude</t>
  </si>
  <si>
    <t>Mettre en place une charte définissant les rôles, les missions et les objectifs de l’équipe anti-fraude</t>
  </si>
  <si>
    <t>Liste des membres de l’équipe spécialisée</t>
  </si>
  <si>
    <t>Incapacité à identifier les membres de l’équipe spécialisée</t>
  </si>
  <si>
    <t>Confusion sur les rôles et responsabilités des membres de l’équipe spécialisée</t>
  </si>
  <si>
    <t>Clarifier les responsabilités de chaque membre de l’équipe spécialisée pour éviter toute confusion</t>
  </si>
  <si>
    <t>Des formations obligatoires sur la détection et la prévention de la fraude sont dispensées aux employés et responsables concernés.</t>
  </si>
  <si>
    <t>Des formations obligatoires sur la détection et la prévention de la fraude sont-elles dispensées aux employés et responsables concernés?</t>
  </si>
  <si>
    <t>Programme de formation en prévention de la fraude</t>
  </si>
  <si>
    <t>Manque de sensibilisation et de formation du personnel en prévention de la fraude</t>
  </si>
  <si>
    <t>Personnel insuffisamment préparé pour détecter et prévenir la fraude</t>
  </si>
  <si>
    <t>Développer des formations spécifiques et régulières pour améliorer les compétences du personnel en matière de détection et de prévention de la fraude</t>
  </si>
  <si>
    <t>Suivi insuffisant des sessions et supports de formation sur la fraude</t>
  </si>
  <si>
    <t>Perte d’efficacité des actions de formation en raison d’un manque de suivi</t>
  </si>
  <si>
    <t>Mettre en place un suivi rigoureux des formations pour assurer leur efficacité et adapter leur contenu en fonction des besoins</t>
  </si>
  <si>
    <t>Le personnel en charge de la lutte contre la fraude est certifié ou suit régulièrement des formations spécialisées.</t>
  </si>
  <si>
    <t>Le personnel en charge de la lutte contre la fraude est-il certifié ou suit-il régulièrement des formations spécialisées?</t>
  </si>
  <si>
    <t>Certifications des agents de lutte contre la fraude</t>
  </si>
  <si>
    <t>Absence de qualification ou de certification des agents de lutte contre la fraude</t>
  </si>
  <si>
    <t>Agents non qualifiés ou mal formés pour identifier et traiter les fraudes</t>
  </si>
  <si>
    <t>Renforcer le processus de recrutement et de formation pour garantir des compétences adaptées à la lutte contre la fraude</t>
  </si>
  <si>
    <t>Registre des formations spécialisées suivies par le personnel</t>
  </si>
  <si>
    <t>Manque de traçabilité des formations suivies par le personnel</t>
  </si>
  <si>
    <t>Difficulté à prouver la formation du personnel en cas d’audit ou d’enquête</t>
  </si>
  <si>
    <t>Archiver systématiquement les preuves de formation des employés pour être en conformité en cas d’audit ou d’enquête</t>
  </si>
  <si>
    <t>Un plan de formation continue est prévu pour s’adapter aux nouvelles menaces et méthodes de fraude.</t>
  </si>
  <si>
    <t>Un plan de formation continue est-il prévu pour s’adapter aux nouvelles menaces et méthodes de fraude?</t>
  </si>
  <si>
    <t>Plan de formation continue sur la fraude</t>
  </si>
  <si>
    <t>Absence de développement des compétences en matière de lutte contre la fraude</t>
  </si>
  <si>
    <t>Érosion des compétences, rendant les dispositifs de lutte contre la fraude obsolètes</t>
  </si>
  <si>
    <t>Mettre en place un programme de formation continue pour éviter l’érosion des compétences et maintenir un haut niveau d’expertise</t>
  </si>
  <si>
    <t>Documentation sur l’évolution des menaces de fraude</t>
  </si>
  <si>
    <t>Mauvaise anticipation des nouvelles menaces de fraude</t>
  </si>
  <si>
    <t>Incapacité à réagir efficacement aux nouvelles formes de fraude</t>
  </si>
  <si>
    <t>Déployer une veille stratégique pour identifier et anticiper les nouvelles formes de fraude</t>
  </si>
  <si>
    <t>Vérifier que des mécanismes de surveillance et de contrôle
 spécifiques sont mis en place pour surveiller en continu les risques
 de fraude, avec des rapports réguliers sur l’état des contrôles et des
 incidents potentiels</t>
  </si>
  <si>
    <t>Un système de surveillance automatisé est déployé pour détecter les transactions suspectes ou frauduleuses.</t>
  </si>
  <si>
    <t>Un système de surveillance automatisé est-il déployé pour détecter les transactions suspectes ou frauduleuses?</t>
  </si>
  <si>
    <t>Rapports d’audit sur le système de surveillance des fraudes</t>
  </si>
  <si>
    <t>Non-conformité du système de surveillance des fraudes aux exigences de contrôle interne</t>
  </si>
  <si>
    <t>Défaillance du dispositif de surveillance et exposition accrue aux fraudes</t>
  </si>
  <si>
    <t>Renforcer les dispositifs de surveillance et les adapter aux nouvelles menaces pour minimiser les risques de fraude</t>
  </si>
  <si>
    <t>Description technique du système automatisé de surveillance</t>
  </si>
  <si>
    <t>Manque de transparence sur le fonctionnement du système automatisé de surveillance</t>
  </si>
  <si>
    <t>Doute sur la fiabilité et l’efficacité du système automatisé de surveillance</t>
  </si>
  <si>
    <t>Évaluer et améliorer régulièrement les performances des systèmes automatisés de surveillance pour garantir leur fiabilité</t>
  </si>
  <si>
    <t>Des indicateurs de performance (KPI) et des seuils d’alerte sont définis pour surveiller les anomalies et comportements inhabituels.</t>
  </si>
  <si>
    <t>Des indicateurs de performance (KPI) et des seuils d’alerte sont-ils définis pour surveiller les anomalies et comportements inhabituels?</t>
  </si>
  <si>
    <t>Liste des KPI et seuils d’alerte définis</t>
  </si>
  <si>
    <t>Absence de définition claire des indicateurs de fraude et des seuils d’alerte</t>
  </si>
  <si>
    <t>Mauvaise détection des fraudes en raison d’indicateurs inadaptés</t>
  </si>
  <si>
    <t>Revoir et ajuster les indicateurs de détection pour mieux identifier les comportements frauduleux</t>
  </si>
  <si>
    <t>Tableau de bord de suivi des anomalies et comportements inhabituels</t>
  </si>
  <si>
    <t>Suivi inefficace des anomalies et comportements suspects</t>
  </si>
  <si>
    <t>Faible capacité à détecter rapidement les comportements frauduleux</t>
  </si>
  <si>
    <t>Mettre en place des algorithmes d’analyse avancés pour détecter plus rapidement les comportements suspects</t>
  </si>
  <si>
    <t>Un processus d’investigation interne est établi pour examiner les alertes de fraude détectées.</t>
  </si>
  <si>
    <t>Un processus d’investigation interne est-il établi pour examiner les alertes de fraude détectées?</t>
  </si>
  <si>
    <t>Procédure formalisée d’investigation interne</t>
  </si>
  <si>
    <t>Manque de structuration des investigations internes en cas de fraude</t>
  </si>
  <si>
    <t>Enquêtes menées de manière désorganisée et inefficace</t>
  </si>
  <si>
    <t>Structurer les enquêtes internes avec des méthodologies claires et un processus de documentation systématique</t>
  </si>
  <si>
    <t>Registre des enquêtes menées sur les alertes de fraude</t>
  </si>
  <si>
    <t>Absence de traçabilité des enquêtes menées sur les alertes de fraude</t>
  </si>
  <si>
    <t>Absence de preuve et de suivi des fraudes détectées</t>
  </si>
  <si>
    <t>Assurer une traçabilité rigoureuse des fraudes détectées à travers des rapports détaillés et un suivi des cas</t>
  </si>
  <si>
    <t>Des rapports périodiques sur les incidents de fraude et les actions correctives sont envoyés à la direction et aux instances de contrôle.</t>
  </si>
  <si>
    <t>Des rapports périodiques sur les incidents de fraude et les actions correctives sont-ils envoyés à la direction et aux instances de contrôle?</t>
  </si>
  <si>
    <t>Rapports périodiques sur les incidents de fraude</t>
  </si>
  <si>
    <t>Mauvaise connaissance des incidents de fraude et de leur récurrence</t>
  </si>
  <si>
    <t>Manque de visibilité sur les tendances et les menaces récurrentes</t>
  </si>
  <si>
    <t>Analyser régulièrement les tendances et menaces récurrentes pour ajuster les stratégies de lutte contre la fraude</t>
  </si>
  <si>
    <t>Documentation des actions correctives mises en œuvre</t>
  </si>
  <si>
    <t>Absence de suivi des actions mises en œuvre pour corriger les fraudes détectées</t>
  </si>
  <si>
    <t>Risque de répétition des mêmes fraudes par absence de mesures correctives</t>
  </si>
  <si>
    <t>Mettre en place des mesures correctives systématiques pour éviter la répétition des mêmes fraudes</t>
  </si>
  <si>
    <t>Un système de signalement confidentiel est mis à disposition des employés pour dénoncer les cas de fraude sans crainte de représailles.</t>
  </si>
  <si>
    <t>Un système de signalement confidentiel est-il mis à disposition des employés pour dénoncer les cas de fraude sans crainte de représailles?</t>
  </si>
  <si>
    <t>Politique de signalement des fraudes</t>
  </si>
  <si>
    <t>Absence de cadre formel pour le signalement des fraudes</t>
  </si>
  <si>
    <t>Climat d’impunité en l’absence de procédure de signalement claire</t>
  </si>
  <si>
    <t>Établir une procédure de signalement claire et confidentielle pour encourager la dénonciation des fraudes</t>
  </si>
  <si>
    <t>Plateforme de signalement et registre des alertes reçues</t>
  </si>
  <si>
    <t>Non-traitement ou suivi insuffisant des alertes de fraude reçues</t>
  </si>
  <si>
    <t>Non-traitement des alertes de fraude, favorisant la persistance des fraudes</t>
  </si>
  <si>
    <t>Mettre en place un processus de traitement rapide et efficace des alertes de fraude pour éviter leur persistance</t>
  </si>
  <si>
    <t>S’assurer que le risque de fraude est pris en compte dans les
 évaluations de performance et que des mesures correctives sont
 mises en place si des failles dans le système de contrôle interne
 sont identifiées</t>
  </si>
  <si>
    <t>Les risques de fraude sont intégrés dans les critères d’évaluation des performances des responsables et des départements concernés.</t>
  </si>
  <si>
    <t>Les risques de fraude sont-ils intégrés dans les critères d’évaluation des performances des responsables et des départements concernés?</t>
  </si>
  <si>
    <t>Critères d’évaluation des performances intégrant la lutte contre la fraude</t>
  </si>
  <si>
    <t>Absence de critères d’évaluation de la lutte contre la fraude dans la gestion des performances</t>
  </si>
  <si>
    <t>Mauvaise intégration de la lutte contre la fraude dans la culture de performance</t>
  </si>
  <si>
    <t>Intégrer la lutte contre la fraude aux objectifs de performance et aux évaluations des employés concernés</t>
  </si>
  <si>
    <t>Documentation des évaluations de performance des responsables</t>
  </si>
  <si>
    <t>Évaluation insuffisante des responsables en matière de prévention des fraudes</t>
  </si>
  <si>
    <t>Manque de responsabilisation des acteurs impliqués dans la prévention des fraudes</t>
  </si>
  <si>
    <t>Renforcer la responsabilisation des acteurs impliqués en leur fixant des objectifs clairs en matière de prévention des fraudes</t>
  </si>
  <si>
    <t>Une analyse des failles identifiées est réalisée après chaque incident de fraude pour améliorer les contrôles existants.</t>
  </si>
  <si>
    <t>Une analyse des failles identifiées est-elle réalisée après chaque incident de fraude pour améliorer les contrôles existants?</t>
  </si>
  <si>
    <t>Rapports d’analyse des failles identifiées</t>
  </si>
  <si>
    <t>Manque de visibilité sur les failles identifiées et les risques associés</t>
  </si>
  <si>
    <t>Difficulté à identifier et traiter les failles exploitées par les fraudeurs</t>
  </si>
  <si>
    <t>Effectuer des audits réguliers pour identifier et corriger les failles exploitées par les fraudeurs</t>
  </si>
  <si>
    <t>Documentation des améliorations apportées aux contrôles existants</t>
  </si>
  <si>
    <t>Non-documentation des améliorations apportées aux dispositifs de contrôle</t>
  </si>
  <si>
    <t>Absence de retour d’expérience et d’amélioration continue des contrôles</t>
  </si>
  <si>
    <t>Mettre en place un processus structuré de retour d’expérience et d’amélioration continue des contrôles anti-fraude</t>
  </si>
  <si>
    <t>Des actions correctives sont mises en œuvre dans un délai défini en cas de détection de vulnérabilités.</t>
  </si>
  <si>
    <t>Des actions correctives sont-elles mises en œuvre dans un délai défini en cas de détection de vulnérabilités?</t>
  </si>
  <si>
    <t>Manque de suivi des actions correctives appliquées</t>
  </si>
  <si>
    <t>Manque de visibilité sur les actions mises en œuvre pour corriger les faiblesses identifiées</t>
  </si>
  <si>
    <t>Assurer un reporting détaillé et transparent sur les actions mises en œuvre pour remédier aux faiblesses détectées</t>
  </si>
  <si>
    <t>Procédure de suivi des vulnérabilités détectées</t>
  </si>
  <si>
    <t>Absence de gestion et de suivi des vulnérabilités détectées</t>
  </si>
  <si>
    <t>Persistance des vulnérabilités exploitées par les fraudeurs</t>
  </si>
  <si>
    <t>Renforcer les dispositifs de contrôle et de prévention pour limiter les vulnérabilités exploitées par les fraudeurs</t>
  </si>
  <si>
    <t>Des mesures disciplinaires claires sont appliquées en cas de non-respect des procédures de contrôle contre la fraude.</t>
  </si>
  <si>
    <t>Des mesures disciplinaires claires sont-elles appliquées en cas de non-respect des procédures de contrôle contre la fraude?</t>
  </si>
  <si>
    <t>Politique disciplinaire en cas de fraude avérée</t>
  </si>
  <si>
    <t>Absence de sanctions définies en cas de fraude avérée</t>
  </si>
  <si>
    <t>Absence de cadre disciplinaire, réduisant l’effet dissuasif contre les fraudes</t>
  </si>
  <si>
    <t>Définir un cadre disciplinaire clair et cohérent pour dissuader les comportements frauduleux</t>
  </si>
  <si>
    <t>Registre des mesures disciplinaires appliquées</t>
  </si>
  <si>
    <t>Non-application ou incohérence dans les mesures disciplinaires en cas de fraude</t>
  </si>
  <si>
    <t>Manque de cohérence et de fermeté dans les sanctions appliquées</t>
  </si>
  <si>
    <t>Appliquer des sanctions justes et proportionnées afin d’assurer la cohérence et la fermeté dans la lutte contre la fraude</t>
  </si>
  <si>
    <t>Les processus de contrôle sont mis à jour après chaque incident majeur pour éviter les répétitions de fraude</t>
  </si>
  <si>
    <t>Les processus de contrôle sont-ils mis à jour après chaque incident majeur pour éviter les répétitions de fraude?</t>
  </si>
  <si>
    <t>Procédure de mise à jour des contrôles après incident</t>
  </si>
  <si>
    <t>Absence de mise à jour des contrôles après un incident de fraude</t>
  </si>
  <si>
    <t>Reproduction des erreurs passées en raison d’un manque d’adaptation des contrôles</t>
  </si>
  <si>
    <t>Adapter et renforcer les contrôles en fonction des retours d’expérience pour éviter la reproduction des erreurs passées</t>
  </si>
  <si>
    <t>Documentation des ajustements effectués suite aux incidents majeurs</t>
  </si>
  <si>
    <t>Manque de suivi des ajustements effectués après un incident majeur</t>
  </si>
  <si>
    <t>Faible efficacité des mesures de correction et récurrence des incidents similaires</t>
  </si>
  <si>
    <t>Évaluer régulièrement l’efficacité des mesures correctives et les ajuster pour éviter la récurrence des incidents</t>
  </si>
  <si>
    <t>Vérifier que des rapports détaillés sur les risques de fraude sont
 fournis régulièrement à la direction, avec des évaluations sur les
 risques identifiés et les mesures prises pour y faire face</t>
  </si>
  <si>
    <t>Un reporting périodique sur les risques de fraude est adressé aux instances de gouvernance.</t>
  </si>
  <si>
    <t>Un reporting périodique sur les risques de fraude est-il adressé aux instances de gouvernance?</t>
  </si>
  <si>
    <t>Rapports périodiques sur les risques de fraude</t>
  </si>
  <si>
    <t>Absence de suivi des risques de fraude et mauvaise anticipation des menaces</t>
  </si>
  <si>
    <t>Manque de maîtrise et d’anticipation des fraudes émergentes</t>
  </si>
  <si>
    <t>Mettre en place une veille proactive et une analyse des tendances pour anticiper les fraudes émergentes et adapter les dispositifs de prévention</t>
  </si>
  <si>
    <t>Documentation des échanges avec les instances de gouvernance</t>
  </si>
  <si>
    <t>Manque de transparence et de communication avec les instances de gouvernance</t>
  </si>
  <si>
    <t>Absence de supervision et de prise de décision éclairée par les instances dirigeantes</t>
  </si>
  <si>
    <t>Mettre en place un comité de gouvernance stratégique pour assurer une supervision continue et des décisions éclairées.</t>
  </si>
  <si>
    <t>Les rapports de fraude incluent des recommandations claires pour renforcer les dispositifs de contrôle.</t>
  </si>
  <si>
    <t>Les rapports de fraude incluent-ils des recommandations claires pour renforcer les dispositifs de contrôle?</t>
  </si>
  <si>
    <t>Recommandations pour le renforcement des contrôles</t>
  </si>
  <si>
    <t>Faible prise en compte des recommandations pour améliorer les contrôles</t>
  </si>
  <si>
    <t>Maintien de failles de contrôle et inefficacité des dispositifs de prévention</t>
  </si>
  <si>
    <t>Réaliser des audits réguliers des contrôles pour identifier les failles et améliorer les dispositifs de prévention.</t>
  </si>
  <si>
    <t>Rapports d’audit interne sur l’efficacité des dispositifs de contrôle</t>
  </si>
  <si>
    <t>Non-évaluation de l’efficacité des dispositifs de contrôle en place</t>
  </si>
  <si>
    <t>Persistance des vulnérabilités en raison de l’absence d’évaluation des contrôles</t>
  </si>
  <si>
    <t>Implémenter un processus d’évaluation continue des contrôles pour détecter et résoudre les vulnérabilités persistantes.</t>
  </si>
  <si>
    <t>Une synthèse des incidents de fraude et des actions correctives est intégrée dans les bilans de gestion des risques.</t>
  </si>
  <si>
    <t>Une synthèse des incidents de fraude et des actions correctives est-elle intégrée dans les bilans de gestion des risques?</t>
  </si>
  <si>
    <t>Synthèse des incidents de fraude recensés</t>
  </si>
  <si>
    <t>Manque de visibilité sur les fraudes recensées et leurs tendances</t>
  </si>
  <si>
    <t>Risque accru de répétition des fraudes en raison d’un manque d’analyse des incidents passés</t>
  </si>
  <si>
    <t>Analyser systématiquement les incidents passés pour identifier les causes profondes et prévenir les fraudes futures.</t>
  </si>
  <si>
    <t>Intégration des actions correctives dans la gestion des risques</t>
  </si>
  <si>
    <t>Absence d’intégration des actions correctives dans la gestion des risques</t>
  </si>
  <si>
    <t>Faible efficacité des actions correctives et récurrence des mêmes faiblesses</t>
  </si>
  <si>
    <t>Renforcer les actions correctives avec un suivi rigoureux et un mécanisme de retour d’expérience pour éviter la répétition des faiblesses.</t>
  </si>
  <si>
    <t>Des indicateurs de tendance permettent d’anticiper l’évolution des risques de fraude et d’adapter les stratégies de prévention.</t>
  </si>
  <si>
    <t>Y a-t-il des indicateurs de tendance permettant d’anticiper l’évolution des risques de fraude et d’adapter les stratégies de prévention?</t>
  </si>
  <si>
    <t>Indicateurs de tendance sur l’évolution des fraudes</t>
  </si>
  <si>
    <t>Mauvaise analyse des tendances de fraude et retard dans l’adaptation des mesures préventives</t>
  </si>
  <si>
    <t>Incapacité à adapter les stratégies de lutte contre la fraude aux évolutions des menaces</t>
  </si>
  <si>
    <t>Créer un cadre flexible pour adapter les stratégies de lutte contre la fraude en fonction des nouvelles menaces identifiées.</t>
  </si>
  <si>
    <t>Analyse des stratégies de prévention et d’adaptation</t>
  </si>
  <si>
    <t>Stratégies de prévention inefficaces ou inadaptées aux nouvelles menaces</t>
  </si>
  <si>
    <t>Difficulté à ajuster les mesures de prévention face aux nouvelles techniques frauduleuses</t>
  </si>
  <si>
    <t>Mettre en place un système agile pour ajuster les mesures de prévention aux nouvelles techniques frauduleuses.</t>
  </si>
  <si>
    <t>La direction est impliquée dans l’approbation et le suivi des plans de remédiation en cas de fraude avérée.</t>
  </si>
  <si>
    <t>La direction est-elle impliquée dans l’approbation et le suivi des plans de remédiation en cas de fraude avérée?</t>
  </si>
  <si>
    <t>Documentation des plans de remédiation approuvés</t>
  </si>
  <si>
    <t>Absence de formalisation et de suivi des plans de remédiation</t>
  </si>
  <si>
    <t>Absence de suivi et de mise en œuvre des mesures correctives nécessaires</t>
  </si>
  <si>
    <t>Assurer une mise en œuvre proactive des mesures correctives, en vérifiant leur efficacité.</t>
  </si>
  <si>
    <t>Rapports de suivi des actions décidées par la direction</t>
  </si>
  <si>
    <t>Manque de suivi des décisions prises par la direction et faible application des actions correctives</t>
  </si>
  <si>
    <t>Perte d’efficacité des décisions de la direction et retard dans la mise en place des actions</t>
  </si>
  <si>
    <t>Organiser des revues stratégiques régulières pour évaluer l’impact des décisions de la direction et accélérer leur mise en place.</t>
  </si>
  <si>
    <t>Identification et analyse des changements
 significatifs</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</si>
  <si>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</si>
  <si>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Un cadre formalisé de suivi des changements est documenté et appliqué dans l’organisation.</t>
  </si>
  <si>
    <t>Un cadre formalisé de suivi des changements est-il documenté et appliqué dans l’organisation?</t>
  </si>
  <si>
    <t>Guide de suivi des changements organisationnels</t>
  </si>
  <si>
    <t>Absence de cadre méthodologique pour le suivi des changements organisationnels</t>
  </si>
  <si>
    <t>Désorganisation et manque de cohérence dans l’accompagnement des changements</t>
  </si>
  <si>
    <t>Définir une approche claire et coordonnée pour l’accompagnement des changements afin d’éviter la désorganisation.</t>
  </si>
  <si>
    <t>Documentation des modifications et impacts sur le contrôle interne</t>
  </si>
  <si>
    <t>Manque de traçabilité des modifications et de leur impact sur le contrôle interne</t>
  </si>
  <si>
    <t>Manque de contrôle sur l’impact des modifications, pouvant créer de nouvelles vulnérabilités</t>
  </si>
  <si>
    <t>Mettre en place des mécanismes de contrôle renforcés pour évaluer l’impact des modifications et éviter la création de nouvelles vulnérabilités.</t>
  </si>
  <si>
    <t>Les parties prenantes clés (direction, responsables des risques, conformité) sont impliquées dans l’identification des changements.</t>
  </si>
  <si>
    <t>Les parties prenantes clés (direction, responsables des risques, conformité) sont-elles impliquées dans l’identification des changements?</t>
  </si>
  <si>
    <t>Comptes rendus des réunions de suivi des changements</t>
  </si>
  <si>
    <t>Faible suivi des décisions prises lors des réunions de suivi des changements</t>
  </si>
  <si>
    <t>Absence de prise en compte des ajustements nécessaires après les décisions de changement</t>
  </si>
  <si>
    <t>Implémenter une procédure de suivi post-changement pour s’assurer de la mise en œuvre des ajustements nécessaires.</t>
  </si>
  <si>
    <t>Rapports d’analyse des impacts des changements sur la gestion des risques</t>
  </si>
  <si>
    <t>Absence d’évaluation de l’impact des changements sur la gestion des risques</t>
  </si>
  <si>
    <t>Difficulté à mesurer l’impact des évolutions sur les risques existants</t>
  </si>
  <si>
    <t>Utiliser des outils d’analyse pour mesurer et ajuster les risques liés aux évolutions du système ou de l’environnement.</t>
  </si>
  <si>
    <t>Une veille réglementaire et technologique est mise en place pour détecter les évolutions pouvant impacter le contrôle interne.</t>
  </si>
  <si>
    <t>Une veille réglementaire et technologique est-elle mise en place pour détecter les évolutions pouvant impacter le contrôle interne?</t>
  </si>
  <si>
    <t>Documentation de la veille réglementaire et technologique</t>
  </si>
  <si>
    <t>Manque de veille sur les évolutions réglementaires et technologiques</t>
  </si>
  <si>
    <t>Non-respect des exigences réglementaires et exposition à des sanctions</t>
  </si>
  <si>
    <t>Mettre en œuvre une veille réglementaire pour assurer la conformité aux exigences légales et éviter les sanctions.</t>
  </si>
  <si>
    <t>Liste des mises à jour réglementaires ayant un impact sur le contrôle interne</t>
  </si>
  <si>
    <t>Non-prise en compte des mises à jour réglementaires pouvant affecter le contrôle interne</t>
  </si>
  <si>
    <t>Incapacité à adapter les contrôles internes aux nouvelles obligations légales</t>
  </si>
  <si>
    <t>Mettre à jour régulièrement les contrôles internes pour répondre aux nouvelles obligations légales et anticiper les risques.</t>
  </si>
  <si>
    <t>Des outils et méthodologies sont utilisés pour surveiller en temps réel les changements affectant l’organisation.</t>
  </si>
  <si>
    <t>Des outils et méthodologies sont-ils utilisés pour surveiller en temps réel les changements affectant l’organisation?</t>
  </si>
  <si>
    <t>Liste des outils et méthodologies de surveillance des changements</t>
  </si>
  <si>
    <t>Absence d’outils et de méthodes de surveillance des évolutions et changements</t>
  </si>
  <si>
    <t>Mauvaise gestion des évolutions impactant la surveillance des fraudes</t>
  </si>
  <si>
    <t>Assurer une gestion proactive des évolutions pour intégrer rapidement les changements dans la surveillance des fraudes.</t>
  </si>
  <si>
    <t>Rapports d’analyse des impacts en temps réel</t>
  </si>
  <si>
    <t>Manque de réactivité face aux changements ayant un impact immédiat</t>
  </si>
  <si>
    <t>Réaction tardive ou inefficace face aux évolutions ayant un effet immédiat</t>
  </si>
  <si>
    <t>Développer un système de gestion des changements réactif afin de réduire le retard dans la détection des incidents critiques.</t>
  </si>
  <si>
    <t>Un processus d’alerte est mis en place pour signaler rapidement les changements critiques aux responsables concernés</t>
  </si>
  <si>
    <t>Un processus d’alerte est-il mis en place pour signaler rapidement les changements critiques aux responsables concernés?</t>
  </si>
  <si>
    <t>Procédure d’alerte sur les changements critiques</t>
  </si>
  <si>
    <t>Absence de mécanisme d’alerte en cas de changement critique</t>
  </si>
  <si>
    <t>Retard dans la détection et la gestion des changements critiques</t>
  </si>
  <si>
    <t>Créer une équipe spécialisée pour assurer une gestion rapide et efficace des incidents liés aux changements.</t>
  </si>
  <si>
    <t>Registre des alertes et actions prises en réponse</t>
  </si>
  <si>
    <t>Manque de suivi et de documentation des alertes et actions prises en réponse</t>
  </si>
  <si>
    <t>Faible réactivité et inefficacité dans la correction des incidents liés aux changements</t>
  </si>
  <si>
    <t>Instaurer un processus d’anticipation des risques pour éviter la perturbation des processus internes liés à des changements mal évalués.</t>
  </si>
  <si>
    <t>Vérifier que les changements identifiés sont évalués de manière
 formelle et structurée, avec une analyse de l’impact potentiel sur les
 contrôles internes et les risques associés</t>
  </si>
  <si>
    <t>Chaque changement identifié fait l’objet d’une évaluation documentée avec une analyse des risques associés.</t>
  </si>
  <si>
    <t>Chaque changement identifié fait-il l’objet d’une évaluation documentée avec une analyse des risques associés?</t>
  </si>
  <si>
    <t>Rapport d’évaluation des changements</t>
  </si>
  <si>
    <t>Non-évaluation des conséquences des changements sur les processus internes</t>
  </si>
  <si>
    <t>Risque de perturbation des processus internes en raison d’un manque d’anticipation</t>
  </si>
  <si>
    <t>Réaliser des évaluations régulières des risques associés aux changements pour limiter l’exposition à des vulnérabilités nouvelles</t>
  </si>
  <si>
    <t>Analyse des risques associés aux changements</t>
  </si>
  <si>
    <t>Mauvaise identification des risques liés aux évolutions organisationnelles et technologiques</t>
  </si>
  <si>
    <t>Augmentation de l’exposition aux risques dus à des changements mal évalués</t>
  </si>
  <si>
    <t>Mettre en place un processus de hiérarchisation des changements basé sur l’impact et la criticité pour assurer une gestion efficace.</t>
  </si>
  <si>
    <t>Une méthodologie de classification des changements (mineur, significatif, critique) est mise en place.</t>
  </si>
  <si>
    <t>Une méthodologie de classification des changements est-elle mise en place?</t>
  </si>
  <si>
    <t>Méthodologie de classification des changements</t>
  </si>
  <si>
    <t>Absence de méthodologie de classification des changements selon leur criticité</t>
  </si>
  <si>
    <t>Absence de hiérarchisation des changements selon leur criticité et leur impact</t>
  </si>
  <si>
    <t>Utiliser des outils de gestion de projet pour prioriser les changements en fonction de leur urgence et de leur impact sur l’organisation.</t>
  </si>
  <si>
    <t>Guide des catégories et niveaux de criticité des changements</t>
  </si>
  <si>
    <t>Manque de cadre structuré pour évaluer et catégoriser les changements</t>
  </si>
  <si>
    <t>Difficulté à prioriser et gérer efficacement les changements selon leur niveau d’urgence</t>
  </si>
  <si>
    <t>Mettre en place un processus de validation rigoureux pour toute modification avant son implémentation.</t>
  </si>
  <si>
    <t>Des simulations ou tests sont réalisés pour anticiper les conséquences des changements sur les processus internes.</t>
  </si>
  <si>
    <t>Des simulations ou tests sont-ils réalisés pour anticiper les conséquences des changements sur les processus internes?</t>
  </si>
  <si>
    <t>Rapports des simulations de changements</t>
  </si>
  <si>
    <t>Absence de tests préalables pour évaluer l’impact des changements</t>
  </si>
  <si>
    <t>Implémentation de modifications sans validation préalable, générant des vulnérabilités</t>
  </si>
  <si>
    <t>Assurer des tests approfondis avant toute modification pour éviter les dysfonctionnements et perturbations.</t>
  </si>
  <si>
    <t>Documentation des tests d’impact sur les processus internes</t>
  </si>
  <si>
    <t>Non-évaluation des conséquences des modifications sur les processus internes</t>
  </si>
  <si>
    <t>Dysfonctionnements et perturbations dans les processus internes</t>
  </si>
  <si>
    <t>Adopter une approche centrée sur les besoins réels de l’organisation pour garantir que les modifications soient pertinentes</t>
  </si>
  <si>
    <t>Une analyse coûts-bénéfices est réalisée pour déterminer la faisabilité des ajustements nécessaires.</t>
  </si>
  <si>
    <t>Une analyse coûts-bénéfices est-elle réalisée pour déterminer la faisabilité des ajustements nécessaires?</t>
  </si>
  <si>
    <t>Étude de faisabilité des ajustements</t>
  </si>
  <si>
    <t>Absence d’étude de faisabilité avant l’implémentation des ajustements</t>
  </si>
  <si>
    <t>Mise en œuvre de modifications non adaptées aux besoins réels de l’organisation</t>
  </si>
  <si>
    <t>Effectuer une analyse coûts-avantages pour éviter les coûts inutiles et les ajustements inefficaces.</t>
  </si>
  <si>
    <t>Analyse coûts-bénéfices des modifications envisagées</t>
  </si>
  <si>
    <t>Manque d’analyse des coûts et bénéfices des changements envisagés</t>
  </si>
  <si>
    <t>Engagement de coûts inutiles pour des ajustements inefficaces</t>
  </si>
  <si>
    <t>Mettre en place un suivi des risques intégré et utiliser des outils de prise de décision pour les gérer de manière proactive.</t>
  </si>
  <si>
    <t>Les évaluations sont validées par un comité de gestion des risques avant toute mise en œuvre.</t>
  </si>
  <si>
    <t>Les évaluations sont-elles validées par un comité de gestion des risques avant toute mise en œuvre?</t>
  </si>
  <si>
    <t>Comptes rendus des réunions du comité de gestion des risques</t>
  </si>
  <si>
    <t>Absence de suivi des réunions du comité de gestion des risques et des décisions prises</t>
  </si>
  <si>
    <t>Faible suivi des risques et absence de décisions pertinentes en matière de gestion des risques</t>
  </si>
  <si>
    <t>S’assurer que les évaluations de risques soient complètes et précises avant toute prise de décision.</t>
  </si>
  <si>
    <t>Processus de validation des évaluations avant mise en œuvre</t>
  </si>
  <si>
    <t>Validation insuffisante des évaluations avant leur mise en œuvre</t>
  </si>
  <si>
    <t>Prise de décisions basée sur des évaluations incomplètes ou erronées</t>
  </si>
  <si>
    <t>Clarifier les responsabilités et améliorer la coordination des parties prenantes pour un suivi efficace des changements.</t>
  </si>
  <si>
    <t>S’assurer que les responsables du contrôle interne sont impliqués
 dans l’identification et l’évaluation des changements, afin qu’ils
 puissent adapter les contrôles en conséquence</t>
  </si>
  <si>
    <t>Les équipes de contrôle interne participent aux comités de suivi des changements organisationnels et réglementaires.</t>
  </si>
  <si>
    <t>Les équipes de contrôle interne participent-elles aux comités de suivi des changements organisationnels et réglementaires?</t>
  </si>
  <si>
    <t>Liste des participants aux comités de suivi des changements</t>
  </si>
  <si>
    <t>Manque de traçabilité des participants aux comités de suivi des changements</t>
  </si>
  <si>
    <t>Manque de responsabilisation et de coordination des parties prenantes dans le suivi des changements</t>
  </si>
  <si>
    <t>Veiller à ce que les modifications réglementaires soient intégrées dans le processus de changement dès leur apparition</t>
  </si>
  <si>
    <t>Comptes rendus des réunions de suivi organisationnel et réglementaire</t>
  </si>
  <si>
    <t>Absence de suivi des décisions et actions prises en matière de réglementation et d’organisation</t>
  </si>
  <si>
    <t>Absence d’alignement entre les évolutions réglementaires et les actions mises en place</t>
  </si>
  <si>
    <t>Mettre en place une veille pour identifier rapidement les nouveaux risques associés aux changements majeurs.</t>
  </si>
  <si>
    <t>Les changements majeurs sont intégrés aux plans d’audit interne et aux revues de contrôle.</t>
  </si>
  <si>
    <t>Les changements majeurs sont-ils intégrés aux plans d’audit interne et aux revues de contrôle?</t>
  </si>
  <si>
    <t>Plans d’audit interne intégrant les changements majeurs</t>
  </si>
  <si>
    <t>Absence de prise en compte des changements majeurs dans les plans d’audit interne</t>
  </si>
  <si>
    <t>Incapacité à identifier et traiter les nouveaux risques liés aux changements majeurs</t>
  </si>
  <si>
    <t>Mettre à jour régulièrement les contrôles internes pour les aligner avec les évolutions de l’environnement de l’entreprise.</t>
  </si>
  <si>
    <t>Revue des contrôles internes en lien avec les modifications organisationnelles</t>
  </si>
  <si>
    <t>Manque de réévaluation des contrôles internes face aux modifications organisationnelles</t>
  </si>
  <si>
    <t>Faiblesse dans la mise à jour des contrôles internes, créant des vulnérabilités</t>
  </si>
  <si>
    <t>Instaurer des réunions de coordination régulières entre les équipes pour garantir une gestion cohérente des risques.</t>
  </si>
  <si>
    <t>Un mécanisme de consultation est établi pour solliciter l’avis des responsables du contrôle interne avant toute mise en œuvre.</t>
  </si>
  <si>
    <t>Un mécanisme de consultation est-il établi pour solliciter l’avis des responsables du contrôle interne avant toute mise en œuvre?</t>
  </si>
  <si>
    <t>Procédure de consultation des responsables du contrôle interne</t>
  </si>
  <si>
    <t>Non-consultation des responsables du contrôle interne lors des changements</t>
  </si>
  <si>
    <t>Manque de coordination entre les équipes, menant à des incohérences dans la gestion des risques</t>
  </si>
  <si>
    <t>Assurer une documentation complète et accessible pour faciliter le suivi et l’audit des changements.</t>
  </si>
  <si>
    <t>Rapports de concertation avant mise en œuvre des changements</t>
  </si>
  <si>
    <t>Absence de documentation des échanges avant la mise en œuvre des modifications</t>
  </si>
  <si>
    <t>Risque d’absence de documentation complète, rendant le suivi et l’audit difficiles</t>
  </si>
  <si>
    <t>Formaliser le processus de validation des modifications pour garantir la conformité et réduire les risques</t>
  </si>
  <si>
    <t>Un processus de validation est mis en place pour garantir que les ajustements des contrôles internes sont appropriés.</t>
  </si>
  <si>
    <t>Un processus de validation est-il mis en place pour garantir que les ajustements des contrôles internes sont appropriés?</t>
  </si>
  <si>
    <t>Processus formalisé de validation des ajustements des contrôles internes</t>
  </si>
  <si>
    <t>Validation des ajustements des contrôles internes sans processus formalisé</t>
  </si>
  <si>
    <t>Risques accrus de non-conformité en raison de l’absence de processus de validation formalisé</t>
  </si>
  <si>
    <t>Renforcer la traçabilité des décisions prises pour faciliter leur justification lors des audits.</t>
  </si>
  <si>
    <t>Documentation des décisions de validation et des responsables impliqués</t>
  </si>
  <si>
    <t>Absence de traçabilité des décisions de validation et des responsables impliqués</t>
  </si>
  <si>
    <t>Perte de traçabilité, rendant les décisions difficiles à justifier lors des audits</t>
  </si>
  <si>
    <t>Assurer un suivi régulier des recommandations pour éviter que les erreurs passées ne se répètent.</t>
  </si>
  <si>
    <t>Les recommandations des responsables du contrôle interne sont documentées et suivies par la direction.</t>
  </si>
  <si>
    <t>Les recommandations des responsables du contrôle interne sont-elles documentées et suivies par la direction?</t>
  </si>
  <si>
    <t>Registre des recommandations des responsables du contrôle interne</t>
  </si>
  <si>
    <t>Non-recensement des recommandations des responsables du contrôle interne</t>
  </si>
  <si>
    <t>Absence de retour sur les recommandations, entraînant une répétition des erreurs passées</t>
  </si>
  <si>
    <t>Mettre en place des actions correctives efficaces avec un suivi rigoureux pour réduire la persistance des vulnérabilités.</t>
  </si>
  <si>
    <t>Suivi des recommandations validées et mises en application</t>
  </si>
  <si>
    <t>Absence de suivi des recommandations validées et de leur mise en application</t>
  </si>
  <si>
    <t>Manque d’efficacité des actions correctives, laissant persister les vulnérabilités</t>
  </si>
  <si>
    <t>Adapter rapidement les procédures aux évolutions internes et externes pour garantir la cohérence organisationnelle.</t>
  </si>
  <si>
    <t>Vérifier que des plans d’action sont mis en place pour ajuster le
 système de contrôle interne en fonction des changements identifiés,
 y compris des processus de mise à jour et de révision des contrôles
 existants</t>
  </si>
  <si>
    <t>Chaque changement identifié entraîne une mise à jour des procédures de contrôle interne concernées.</t>
  </si>
  <si>
    <t>Chaque changement identifié entraîne-t-il une mise à jour des procédures de contrôle interne concernées?</t>
  </si>
  <si>
    <t>Procédures mises à jour en fonction des changements identifiés</t>
  </si>
  <si>
    <t>Procédures non mises à jour en fonction des changements identifiés</t>
  </si>
  <si>
    <t>Retard dans l’adaptation des procédures aux évolutions, créant des incohérences</t>
  </si>
  <si>
    <t>Mettre en place un suivi de conformité rigoureux pour assurer le respect des exigences réglementaires et éviter les sanctions.</t>
  </si>
  <si>
    <t>Liste des procédures impactées par les changements récents</t>
  </si>
  <si>
    <t>Manque de visibilité sur les procédures affectées par les modifications récentes</t>
  </si>
  <si>
    <t>Risque de ne pas traiter correctement les processus affectés, exposant l’organisation à des risques</t>
  </si>
  <si>
    <t>Clarifier les responsabilités de gestion pour assurer une gestion efficace des actions correctives.</t>
  </si>
  <si>
    <t>Des délais de mise en conformité sont définis et suivis pour chaque plan d’action.</t>
  </si>
  <si>
    <t>Des délais de mise en conformité sont-ils définis et suivis pour chaque plan d’action?</t>
  </si>
  <si>
    <t>Tableau de suivi des délais de mise en conformité</t>
  </si>
  <si>
    <t>Non-respect des délais de mise en conformité réglementaire</t>
  </si>
  <si>
    <t>Non-conformité réglementaire, exposant l’entreprise à des sanctions</t>
  </si>
  <si>
    <t>Mettre en place un suivi régulier des mises à jour pour combler rapidement les failles de contrôle.</t>
  </si>
  <si>
    <t>Plan d’action détaillé avec échéances et responsabilités définies</t>
  </si>
  <si>
    <t>Plan d’action insuffisamment détaillé ou sans attribution claire des responsabilités</t>
  </si>
  <si>
    <t>Défaillance dans la gestion des responsabilités, rendant l’action corrective difficile</t>
  </si>
  <si>
    <t>Assurer une révision continue des contrôles internes pour prévenir l’exposition à des risques supplémentaires.</t>
  </si>
  <si>
    <t>Un tableau de bord de suivi des mises à jour des contrôles internes est maintenu et régulièrement mis à jour</t>
  </si>
  <si>
    <t>Un tableau de bord de suivi des mises à jour des contrôles internes est-il maintenu et régulièrement mis à jour?</t>
  </si>
  <si>
    <t>Tableau de bord des mises à jour des contrôles internes</t>
  </si>
  <si>
    <t>Absence de suivi structuré des mises à jour des contrôles internes</t>
  </si>
  <si>
    <t>Retard ou inefficacité dans le suivi des mises à jour, laissant des failles de contrôle</t>
  </si>
  <si>
    <t>S’assurer que tous les contrôles soient alignés avec les objectifs organisationnels pour réduire les risques d’erreurs ou de fraudes.</t>
  </si>
  <si>
    <t>Rapports périodiques sur l’état d’alignement des contrôles</t>
  </si>
  <si>
    <t>Évaluation périodique des contrôles internes non réalisée ou incomplète</t>
  </si>
  <si>
    <t>Risque d’inefficacité dans la gestion des contrôles internes, augmentant l’exposition aux risques</t>
  </si>
  <si>
    <t>Évaluer les nouvelles exigences et les intégrer dans les contrôles internes pour garantir la conformité.</t>
  </si>
  <si>
    <t>Un processus de revue périodique est en place pour s’assurer de l’alignement des contrôles internes avec les nouvelles exigences.</t>
  </si>
  <si>
    <t>Un processus de revue périodique est-il en place pour s’assurer de l’alignement des contrôles internes avec les nouvelles exigences?</t>
  </si>
  <si>
    <t>Processus de revue périodique des contrôles internes</t>
  </si>
  <si>
    <t>Manque de suivi sur l’alignement des contrôles avec les exigences en vigueur</t>
  </si>
  <si>
    <t>Manque de visibilité sur l’alignement des contrôles, augmentant le risque d’erreurs ou de fraudes</t>
  </si>
  <si>
    <t>Rendre les résultats des actions correctives transparents pour renforcer la confiance des parties prenantes.</t>
  </si>
  <si>
    <t>Comptes rendus des revues de conformité avec les nouvelles exigences</t>
  </si>
  <si>
    <t>Absence de revues de conformité documentées avec les nouvelles exigences</t>
  </si>
  <si>
    <t>Non-prise en compte des exigences nouvelles, mettant en péril la conformité de l’organisation</t>
  </si>
  <si>
    <t>Mettre en place un suivi pour valider et garantir la mise en œuvre des actions correctives de manière continue.</t>
  </si>
  <si>
    <t>Les résultats des plans d’action sont communiqués aux parties prenantes et font l’objet d’une validation formelle</t>
  </si>
  <si>
    <t>Les résultats des plans d’action sont-ils communiqués aux parties prenantes et font-ils l’objet d’une validation formelle?</t>
  </si>
  <si>
    <t>Communication des résultats des plans d’action aux parties prenantes</t>
  </si>
  <si>
    <t>Non-communication des résultats des plans d’action aux parties prenantes</t>
  </si>
  <si>
    <t>Perte de transparence sur les résultats des actions, réduisant la confiance des parties prenantes</t>
  </si>
  <si>
    <t>Assurer un suivi rigoureux des contrôles internes pour réduire les risques de défaillance dans la gestion des risques.</t>
  </si>
  <si>
    <t>Procédure de validation formelle des actions correctives</t>
  </si>
  <si>
    <t>Validation des actions correctives réalisée sans cadre formel</t>
  </si>
  <si>
    <t>Incapacité à suivre et valider les actions correctives, entraînant des non-conformités persistantes</t>
  </si>
  <si>
    <t>Adapter rapidement les contrôles pour répondre aux nouveaux défis et garantir leur efficacité à long terme.</t>
  </si>
  <si>
    <t>S’assurer que les changements et leur impact sur le système de
 contrôle interne sont régulièrement suivis et que des rapports
 détaillés sont fournis à la direction pour assurer une prise de
 décision informée</t>
  </si>
  <si>
    <t>Un reporting régulier sur les changements et leur impact sur les contrôles internes est adressé à la direction.</t>
  </si>
  <si>
    <t>Un reporting régulier sur les changements et leur impact sur les contrôles internes est-il adressé à la direction?</t>
  </si>
  <si>
    <t>Rapports de suivi des changements et de leur impact</t>
  </si>
  <si>
    <t>Absence de suivi des changements et de leur impact sur le contrôle interne</t>
  </si>
  <si>
    <t>Risque accru de défaillance des contrôles internes, affectant la gestion des risques</t>
  </si>
  <si>
    <t>Renforcer les contrôles internes pour mieux anticiper et prévenir les fraudes et autres risques non détectés.</t>
  </si>
  <si>
    <t>Tableau de bord des évolutions des contrôles internes</t>
  </si>
  <si>
    <t>Manque de visibilité sur l’évolution et l’efficacité des contrôles internes</t>
  </si>
  <si>
    <t>Manque de réactivité dans l’adaptation des contrôles, créant des faiblesses à long terme</t>
  </si>
  <si>
    <t>Mettre en place un système de suivi de l’impact des modifications pour garantir une gestion efficace des contrôles internes.</t>
  </si>
  <si>
    <t>Les rapports incluent des recommandations spécifiques pour renforcer le système de contrôle interne.</t>
  </si>
  <si>
    <t>Les rapports incluent-ils des recommandations spécifiques pour renforcer le système de contrôle interne?</t>
  </si>
  <si>
    <t>Recommandations spécifiques pour renforcer le contrôle interne</t>
  </si>
  <si>
    <t>Non-prise en compte des recommandations spécifiques pour renforcer les contrôles</t>
  </si>
  <si>
    <t>Non-renforcement des contrôles, exposant l’organisation à des fraudes et risques non anticipés</t>
  </si>
  <si>
    <t>Utiliser des outils d’analyse avancés pour mesurer l’impact des changements en temps réel et permettre une réaction rapide.</t>
  </si>
  <si>
    <t>Liste des améliorations proposées et mesures correctives associées</t>
  </si>
  <si>
    <t>Absence de recensement des améliorations proposées et des mesures correctives associées</t>
  </si>
  <si>
    <t>Incapacité à suivre l’impact des modifications, réduisant l’efficacité des contrôles internes</t>
  </si>
  <si>
    <t>Mettre en place des processus de validation des données pour éviter les erreurs d’interprétation et garantir des décisions éclairées.</t>
  </si>
  <si>
    <t>Les indicateurs de suivi des changements (ex : nombre de processus impactés, délais de mise en conformité) sont définis et suivis.</t>
  </si>
  <si>
    <t>Les indicateurs de suivi des changements sont-ils définis et suivis?</t>
  </si>
  <si>
    <t>Indicateurs de suivi des changements définis et suivis</t>
  </si>
  <si>
    <t>Manque de suivi des changements.</t>
  </si>
  <si>
    <t>Difficulté à mesurer l’impact des changements et à réagir rapidement.</t>
  </si>
  <si>
    <t>Assurer une documentation complète des décisions prises lors des réunions pour garantir leur justification.</t>
  </si>
  <si>
    <t>Rapports d’évolution des indicateurs de suivi des changements</t>
  </si>
  <si>
    <t>Risque d’incompréhension des évolutions des indicateurs.</t>
  </si>
  <si>
    <t>Mauvaise interprétation des données, risquant des décisions erronées.</t>
  </si>
  <si>
    <t>Mettre en place des mécanismes de suivi des décisions pour s’assurer de leur mise en œuvre en temps voulu</t>
  </si>
  <si>
    <t>Des réunions de revue des changements avec la direction sont organisées périodiquement.</t>
  </si>
  <si>
    <t>Des réunions de revue des changements avec la direction sont-elles organisées périodiquement?</t>
  </si>
  <si>
    <t>Comptes rendus des réunions de revue des changements avec la direction</t>
  </si>
  <si>
    <t>Perte de détails sur les décisions prises lors des réunions.</t>
  </si>
  <si>
    <t>Incapacité à justifier les décisions prises lors des réunions.</t>
  </si>
  <si>
    <t>Centraliser l’accès à l’information stratégique pour permettre une prise de décision éclairée et rapide.</t>
  </si>
  <si>
    <t>Planification des réunions de revue des changements avec la direction</t>
  </si>
  <si>
    <t>Mauvaise organisation des réunions de revue des changements.</t>
  </si>
  <si>
    <t>Retards dans la mise en œuvre des décisions</t>
  </si>
  <si>
    <t>Clarifier les processus d’action corrective pour éviter toute confusion et assurer leur pertinence.</t>
  </si>
  <si>
    <t>Une documentation centralisée des changements et des actions correctives est maintenue pour assurer la traçabilité des décisions.</t>
  </si>
  <si>
    <t>Une documentation centralisée des changements et des actions correctives est-elle maintenue pour assurer la traçabilité des décisions?</t>
  </si>
  <si>
    <t>Documentation centralisée des changements et des actions correctives</t>
  </si>
  <si>
    <t>Difficulté à accéder à la documentation sur les actions correctives.</t>
  </si>
  <si>
    <t>Difficulté à prendre des décisions éclairées en raison d’un accès limité à l’information.</t>
  </si>
  <si>
    <t>Mettre en place une communication claire et régulière avec toutes les parties prenantes pour assurer une information complète.</t>
  </si>
  <si>
    <t>Registre des décisions et actions correctives associées</t>
  </si>
  <si>
    <t>Risque de confusion sur les actions correctives et décisions.</t>
  </si>
  <si>
    <t>Confusion pouvant mener à des actions correctives inefficaces ou non pertinentes.</t>
  </si>
  <si>
    <t>Renforcer la gouvernance en améliorant la transparence et l’efficacité des processus décisionnels.</t>
  </si>
  <si>
    <t>Vérifier que le Conseil ou un comité de gouvernance est informé des
 changements significatifs affectant le contrôle interne et qu’il valide
 les mesures prises pour adapter le système en conséquence</t>
  </si>
  <si>
    <t>Les changements critiques font l’objet d’une présentation formelle au Conseil ou au comité de gouvernance.</t>
  </si>
  <si>
    <t>Les changements critiques font-ils l’objet d’une présentation formelle au Conseil ou au comité de gouvernance?</t>
  </si>
  <si>
    <t>Rapports sur les changements critiques présentés au Conseil ou au comité de gouvernance</t>
  </si>
  <si>
    <t>Omission de présenter les changements critiques aux parties prenantes.</t>
  </si>
  <si>
    <t>Risque de ne pas informer correctement les parties prenantes</t>
  </si>
  <si>
    <t>S’assurer de la cohérence des actions et des décisions pour éviter les incohérences dans les projets.</t>
  </si>
  <si>
    <t>Compte-rendu des présentations des changements critiques au Conseil</t>
  </si>
  <si>
    <t>Mauvaise communication des changements critiques au Conseil.</t>
  </si>
  <si>
    <t>Détérioration de la gouvernance.</t>
  </si>
  <si>
    <t>Instaurer des processus de suivi des décisions pour garantir leur mise en œuvre rapide et efficace.</t>
  </si>
  <si>
    <t>Les décisions du Conseil concernant l’adaptation du système de contrôle interne sont documentées et suivies.</t>
  </si>
  <si>
    <t>Les décisions du Conseil concernant l’adaptation du système de contrôle interne sont-elles documentées et suivies?</t>
  </si>
  <si>
    <t>Comptes rendus des décisions du Conseil sur l’adaptation du système de contrôle interne</t>
  </si>
  <si>
    <t>Incohérence dans les décisions du Conseil sur le contrôle interne.</t>
  </si>
  <si>
    <t>Incohérence dans les actions</t>
  </si>
  <si>
    <t>Améliorer la qualité des processus décisionnels grâce à l’analyse rigoureuse des informations disponibles.</t>
  </si>
  <si>
    <t>Suivi des décisions du Conseil concernant le contrôle interne</t>
  </si>
  <si>
    <t>Manque de suivi sur les décisions du Conseil.</t>
  </si>
  <si>
    <t>Absence d’action corrective ou de mise en œuvre des décisions</t>
  </si>
  <si>
    <t>Utiliser des outils de mesure de performance pour évaluer l’impact des décisions sur l’organisation.</t>
  </si>
  <si>
    <t>Un calendrier de reporting des changements significatifs est défini et respecté.</t>
  </si>
  <si>
    <t>Un calendrier de reporting des changements significatifs est-il défini et respecté?</t>
  </si>
  <si>
    <t>Calendrier de reporting des changements significatifs</t>
  </si>
  <si>
    <t>Non-respect du calendrier de reporting des changements.</t>
  </si>
  <si>
    <t>Diminution de la qualité de la prise de décision</t>
  </si>
  <si>
    <t>Assurer un suivi structuré des recommandations du Conseil pour garantir leur mise en œuvre effective.</t>
  </si>
  <si>
    <t>Rapports de respect du calendrier de reporting des changements</t>
  </si>
  <si>
    <t>Retard dans le respect des délais de reporting des changements.</t>
  </si>
  <si>
    <t>Impact négatif sur la performance organisationnelle</t>
  </si>
  <si>
    <t>Mettre en place un système de reporting transparent pour rendre compte des actions entreprises.</t>
  </si>
  <si>
    <t>Les recommandations du Conseil sont intégrées dans les plans d’action correctifs et suivies par les équipes concernées.</t>
  </si>
  <si>
    <t>Les recommandations du Conseil sont-elles intégrées dans les plans d’action correctifs et suivies par les équipes concernées?</t>
  </si>
  <si>
    <t>Plans d’action intégrant les recommandations du Conseil</t>
  </si>
  <si>
    <t>Risque d’oubli des recommandations dans les plans d’action.</t>
  </si>
  <si>
    <t>Difficulté à appliquer les recommandations du Conseil</t>
  </si>
  <si>
    <t>Aligner les actions avec les objectifs du Conseil pour garantir la cohérence stratégique.</t>
  </si>
  <si>
    <t>Suivi des recommandations du Conseil dans les plans d’action</t>
  </si>
  <si>
    <t>Absence de suivi des recommandations dans les actions.</t>
  </si>
  <si>
    <t>Manque de transparence sur les actions mises en place</t>
  </si>
  <si>
    <t>Mettre en place une approche intégrée de gestion des risques pour assurer une vision globale des enjeux.</t>
  </si>
  <si>
    <t>Des audits indépendants sont réalisés pour s’assurer de la conformité des mesures prises aux décisions du Conseil</t>
  </si>
  <si>
    <t>Des audits indépendants sont-ils réalisés pour s’assurer de la conformité des mesures prises aux décisions du Conseil?</t>
  </si>
  <si>
    <t>Rapports d’audits indépendants sur la conformité des mesures aux décisions du Conseil</t>
  </si>
  <si>
    <t>Non-conformité avec les décisions du Conseil.</t>
  </si>
  <si>
    <t>Risque de non-alignement avec les objectifs du Conseil</t>
  </si>
  <si>
    <t>Effectuer des évaluations régulières des risques pour détecter les menaces émergentes et ajuster les stratégies en conséquence.</t>
  </si>
  <si>
    <t>Rapports d’audit sur l’adaptation des contrôles internes suite aux décisions du Conseil</t>
  </si>
  <si>
    <t>Adaptation insuffisante des contrôles internes après les décisions du Consei</t>
  </si>
  <si>
    <t>Mettre en place un système de priorisation des risques pour gérer efficacement les menaces.</t>
  </si>
  <si>
    <t>Activités de Contrôle</t>
  </si>
  <si>
    <t>Sélection et développement des activités de
 contrôle</t>
  </si>
  <si>
    <t>S’assurer que l’organisation identifie et évalue les risques potentiels
 qui pourraient affecter la réalisation de ses objectifs stratégiques,
 opérationnels et financiers</t>
  </si>
  <si>
    <t>L’organisation dispose d’une méthodologie documentée et appliquée pour l’identification des risques.</t>
  </si>
  <si>
    <t>L’organisation dispose-t-elle d’une méthodologie documentée et appliquée pour l’identification des risques?</t>
  </si>
  <si>
    <t>Méthodologie documentée pour l’identification des risques</t>
  </si>
  <si>
    <t>Méthodologie mal documentée, risque de mauvaise identification des risques.</t>
  </si>
  <si>
    <t>Mauvaise gestion des risques</t>
  </si>
  <si>
    <t>Évaluer régulièrement les risques afin de pouvoir anticiper ceux qui pourraient affecter l’organisation à l’avenir.</t>
  </si>
  <si>
    <t>Procédure de mise en œuvre de la méthodologie d’identification des risques</t>
  </si>
  <si>
    <t>Mauvaise mise en œuvre de la méthodologie d’identification des risques.</t>
  </si>
  <si>
    <t>Risques non détectés ou mal évalués, entraînant des décisions inappropriées.</t>
  </si>
  <si>
    <t>Mettre en place des plans d’action clairs pour réagir efficacement en cas de problème.</t>
  </si>
  <si>
    <t>Une cartographie des risques est régulièrement mise à jour et couvre les aspects stratégiques, opérationnels et financiers.</t>
  </si>
  <si>
    <t>Une cartographie des risques est-elle régulièrement mise à jour et couvre les aspects stratégiques, opérationnels et financiers?</t>
  </si>
  <si>
    <t>Cartographie des risques régulièrement mise à jour</t>
  </si>
  <si>
    <t>Cartographie des risques obsolète ou incomplète.</t>
  </si>
  <si>
    <t>Difficulté à prioriser et à gérer efficacement les risques.</t>
  </si>
  <si>
    <t>Effectuer des analyses approfondies pour identifier et gérer les risques sous-estimés ou ignorés.</t>
  </si>
  <si>
    <t>Rapports sur l’évolution de la cartographie des risques</t>
  </si>
  <si>
    <t>Manque d’adaptation de la cartographie des risques aux évolutions.</t>
  </si>
  <si>
    <t>Incapacité à anticiper de nouveaux risques et vulnérabilités.</t>
  </si>
  <si>
    <t>Adopter des processus d’analyse rigoureux pour garantir que les mesures de gestion des risques soient adéquates.</t>
  </si>
  <si>
    <t>Les responsables des risques sont clairement définis et impliqués dans le processus d’identification.</t>
  </si>
  <si>
    <t>Les responsables des risques sont-ils clairement définis et impliqués dans le processus d’identification?</t>
  </si>
  <si>
    <t>Liste des responsables des risques et leur rôle dans l’identification des risques</t>
  </si>
  <si>
    <t>Mauvaise gestion des responsabilités liées à l’identification des risques.</t>
  </si>
  <si>
    <t>Manque de clarté sur les actions à entreprendre en cas de problème.</t>
  </si>
  <si>
    <t>Mettre en place un système de contrôle de la qualité des données utilisées pour prendre des décisions stratégiques.</t>
  </si>
  <si>
    <t>Comptes rendus des réunions sur l’implication des responsables des risques</t>
  </si>
  <si>
    <t>Non-implication des responsables des risques dans le processus.</t>
  </si>
  <si>
    <t>Risques sous-estimés ou ignorés, augmentant l’exposition de l’organisation.</t>
  </si>
  <si>
    <t>Assurer un suivi des résultats des actions mises en place pour garantir leur efficacité dans la gestion des risques</t>
  </si>
  <si>
    <t>Les parties prenantes (direction, équipes opérationnelles, audit interne) sont consultées pour identifier les risques spécifiques à leur domaine.</t>
  </si>
  <si>
    <t>Les parties prenantes sont-elles consultées pour identifier les risques spécifiques à leur domaine?</t>
  </si>
  <si>
    <t>Consultations des parties prenantes pour identifier les risques spécifiques</t>
  </si>
  <si>
    <t>Non-prise en compte des avis des parties prenantes.</t>
  </si>
  <si>
    <t>Décisions biaisées et inadéquation des mesures de gestion des risques.</t>
  </si>
  <si>
    <t>Revoir régulièrement la stratégie de mitigation des risques pour s’assurer qu’elle reflète les réalités actuelles.</t>
  </si>
  <si>
    <t>Rapports de consultations des parties prenantes sur les risques spécifiques</t>
  </si>
  <si>
    <t>Risque de mauvaises informations issues des consultations des parties prenantes.</t>
  </si>
  <si>
    <t>Prise de décisions erronées basées sur des données non fiables.</t>
  </si>
  <si>
    <t>Mettre en place une veille continue pour détecter les nouveaux risques et ajuster les stratégies en conséquence.</t>
  </si>
  <si>
    <t>Les outils d’analyse des risques (ex. matrice des risques, SWOT, analyses scénarios) sont utilisés pour affiner l’évaluation</t>
  </si>
  <si>
    <t>Les outils d’analyse des risques sont-ils utilisés pour affiner l’évaluation?</t>
  </si>
  <si>
    <t>Outils d’analyse des risques utilisés pour affiner l’évaluation</t>
  </si>
  <si>
    <t>Mauvaise application des outils d’analyse des risques.</t>
  </si>
  <si>
    <t>Résultats faussés menant à une mauvaise gestion des risques.</t>
  </si>
  <si>
    <t>Renforcer la capacité d’adaptation aux changements économiques en assurant une réévaluation régulière des risques.</t>
  </si>
  <si>
    <t>Rapports sur l’utilisation des outils d’analyse des risques</t>
  </si>
  <si>
    <t>Sous-utilisation ou utilisation inefficace des outils d’analyse des risques.</t>
  </si>
  <si>
    <t>Manque de précision dans l’identification et l’évaluation des risques.</t>
  </si>
  <si>
    <t>Utiliser des outils d’analyse des tendances pour évaluer les risques émergents dans un environnement concurrentiel.</t>
  </si>
  <si>
    <t>Vérifier que l’évaluation des risques est effectuée de manière
 continue, avec des processus de mise à jour réguliers pour prendre
 en compte les nouvelles menaces ou opportunités</t>
  </si>
  <si>
    <t>Un processus formalisé d’évaluation continue des risques est documenté et appliqué.</t>
  </si>
  <si>
    <t>Un processus formalisé d’évaluation continue des risques est-il documenté et appliqué?</t>
  </si>
  <si>
    <t>Processus formalisé d’évaluation continue des risques</t>
  </si>
  <si>
    <t>Évaluation des risques inadéquate ou mal appliquée.</t>
  </si>
  <si>
    <t>Risques sous-estimés ou exagérés, faussant la stratégie de mitigation.</t>
  </si>
  <si>
    <t>Mettre en place un plan de gestion de crise pour anticiper les impacts financiers négatifs et les crises.</t>
  </si>
  <si>
    <t>Documentation de l’application du processus d’évaluation continue des risques</t>
  </si>
  <si>
    <t>Manque de documentation sur l’évaluation des risques.</t>
  </si>
  <si>
    <t>Perte de traçabilité et difficulté à justifier les décisions prises.</t>
  </si>
  <si>
    <t>Des revues périodiques des risques sont réalisées (ex. trimestriellement ou annuellement).</t>
  </si>
  <si>
    <t>Des revues périodiques des risques sont-elles réalisées (ex. trimestriellement ou annuellement)?</t>
  </si>
  <si>
    <t>Comptes rendus des revues périodiques des risques</t>
  </si>
  <si>
    <t>Difficulté à suivre les résultats des revues des risques.</t>
  </si>
  <si>
    <t>Incapacité à mesurer l’efficacité des mesures mises en place.</t>
  </si>
  <si>
    <t>Rapports de résultats des revues périodiques des risques</t>
  </si>
  <si>
    <t>Retard dans la mise à jour des résultats des revues des risques.</t>
  </si>
  <si>
    <t>Décalage entre les mesures de gestion et la réalité des risques actuels.</t>
  </si>
  <si>
    <t>Un mécanisme de surveillance est en place pour détecter l’émergence de nouveaux risques en temps réel.</t>
  </si>
  <si>
    <t>Un mécanisme de surveillance est-il en place pour détecter l’émergence de nouveaux risques en temps réel?</t>
  </si>
  <si>
    <t>Mécanisme de surveillance des nouveaux risques en temps réel</t>
  </si>
  <si>
    <t>Risque de détection tardive des nouveaux risques.</t>
  </si>
  <si>
    <t>Augmentation des impacts négatifs avant la mise en place de solutions.</t>
  </si>
  <si>
    <t>Rapports de détection des nouveaux risques</t>
  </si>
  <si>
    <t>Inefficacité dans la surveillance des risques émergents.</t>
  </si>
  <si>
    <t>Vulnérabilité accrue face aux nouveaux défis et menaces.</t>
  </si>
  <si>
    <t>Les résultats des évaluations des risques sont comparés aux périodes précédentes pour mesurer l’évolution des menaces et opportunités.</t>
  </si>
  <si>
    <t>Les résultats des évaluations des risques sont-ils comparés aux périodes précédentes pour mesurer l’évolution des menaces et opportunités?</t>
  </si>
  <si>
    <t>Comparaison des résultats des évaluations des risques avec les périodes précédentes</t>
  </si>
  <si>
    <t>Risque d’obsolescence des évaluations des risques comparées aux périodes précédentes</t>
  </si>
  <si>
    <t>Décisions basées sur des données dépassées, augmentant les incertitudes.</t>
  </si>
  <si>
    <t>Rapports d’évolution des risques sur plusieurs périodes</t>
  </si>
  <si>
    <t>Inexistance du rapport d'evolution des risques</t>
  </si>
  <si>
    <t>Manque de visibilité sur l’évolution des risques et des tendances.</t>
  </si>
  <si>
    <t>Une analyse des tendances et des évolutions du marché est intégrée pour anticiper les risques émergents.</t>
  </si>
  <si>
    <t>Une analyse des tendances et des évolutions du marché est-elle intégrée pour anticiper les risques émergents?</t>
  </si>
  <si>
    <t>Analyse des tendances et évolutions du marché pour anticiper les risques émergents</t>
  </si>
  <si>
    <t>Absence de suivi des tendances de marché affectant les risques.</t>
  </si>
  <si>
    <t>Mauvaise adaptation aux changements économiques et concurrentiels.</t>
  </si>
  <si>
    <t>Rapports d’analyse des tendances et évolutions du marché</t>
  </si>
  <si>
    <t>Incapacité à anticiper les évolutions du marché et leurs impacts sur les risque</t>
  </si>
  <si>
    <t>Exposition accrue aux crises et aux pertes financières</t>
  </si>
  <si>
    <t>S’assurer que les risques identifiés sont évalués en fonction de leur
 probabilité d'occurrence et de leur impact potentiel sur
 l'organisation</t>
  </si>
  <si>
    <t>Une grille d’évaluation des risques est définie, avec une notation formelle de la probabilité et de l’impact (ex échelle de à )</t>
  </si>
  <si>
    <t>Une grille d'évaluation des risques avec notation formelle (échelle -) est-elle définie ?</t>
  </si>
  <si>
    <t>Grille d'évaluation des risques (avec échelle de notation)</t>
  </si>
  <si>
    <t>La grille d'évaluation peut comporter des critères subjectifs faussant l'analyse des risques</t>
  </si>
  <si>
    <t>Décisions erronées sur la gestion des risques</t>
  </si>
  <si>
    <t>Mettre en place un comité de revue des décisions</t>
  </si>
  <si>
    <t>Utiliser des outils d’aide à la décision (analyse multicritère, simulations)</t>
  </si>
  <si>
    <t>Manuel de registre d'évaluation</t>
  </si>
  <si>
    <t>Le manuel de registre risque de devenir obsolète et non conforme aux réglementations</t>
  </si>
  <si>
    <t>Amendes ou sanctions réglementaires</t>
  </si>
  <si>
    <t>Former les équipes sur les exigences légales et réaliser des audits de conformité</t>
  </si>
  <si>
    <t>Désigner un responsable conformité pour surveiller les évolutions réglementaires</t>
  </si>
  <si>
    <t>Une matrice des risques est utilisée pour visualiser les risques critiques en fonction de leur probabilité et de leur impact</t>
  </si>
  <si>
    <t>Une matrice des risques est-elle utilisée pour visualiser les risques critiques ?</t>
  </si>
  <si>
    <t>Matrice des risques actualisée</t>
  </si>
  <si>
    <t>La matrice des risques pourrait ne pas être actualisée régulièrement, donnant une vision erronée</t>
  </si>
  <si>
    <t>Mauvaise allocation des ressources de sécurité</t>
  </si>
  <si>
    <t>Prioriser les risques avec une matrice coût/bénéfice</t>
  </si>
  <si>
    <t>Réaliser des audits d’efficacité pour vérifier la couverture des risques critiques</t>
  </si>
  <si>
    <t>Classement des risques par criticité</t>
  </si>
  <si>
    <t>Le classement par criticité peut être biaisé par une mauvaise appréciation des impacts</t>
  </si>
  <si>
    <t>Priorisation incorrecte des risques à traiter</t>
  </si>
  <si>
    <t>Utiliser une méthodologie standardisée (ISO , NIST)</t>
  </si>
  <si>
    <t>Impliquer les parties prenantes dans l’évaluation</t>
  </si>
  <si>
    <t>Des scénarios sont élaborés pour tester l’impact des risques élevés sur les opérations de l’organisation</t>
  </si>
  <si>
    <t>Des scénarios sont-ils élaborés pour tester l'impact des risques élevés ?</t>
  </si>
  <si>
    <t>Scénarios de test documentés</t>
  </si>
  <si>
    <t>Les scénarios de test pourraient omettre des situations critiques importantes</t>
  </si>
  <si>
    <t>Incidents non anticipés et non préparés</t>
  </si>
  <si>
    <t>Organiser des exercices de crise réguliers (simulations, jeux de rôle)</t>
  </si>
  <si>
    <t>Mettre en place une veille proactive sur les menaces émergentes</t>
  </si>
  <si>
    <t>Rapport d'impact des scénarios</t>
  </si>
  <si>
    <t>Le rapport d'impact risque de sous-estimer les conséquences réelles</t>
  </si>
  <si>
    <t>Plans de réponse inadaptés aux situations réelles</t>
  </si>
  <si>
    <t>Tester et mettre à jour régulièrement les plans de réponse</t>
  </si>
  <si>
    <t>Intégrer des retours d’expérience après chaque incident</t>
  </si>
  <si>
    <t>L’évaluation des risques inclut des analyses qualitatives et quantitatives pour une meilleure précision</t>
  </si>
  <si>
    <t>L'évaluation inclut-elle des analyses qualitatives et quantitatives ?</t>
  </si>
  <si>
    <t>Analyse qualitative des risques</t>
  </si>
  <si>
    <t>L'analyse qualitative peut être influencée par des biais d'évaluation</t>
  </si>
  <si>
    <t>Évaluation inexacte de la probabilité des risques</t>
  </si>
  <si>
    <t>S’appuyer sur des données historiques et statistiques</t>
  </si>
  <si>
    <t>Faire valider les estimations par des experts externes</t>
  </si>
  <si>
    <t>Analyse quantitative des risques</t>
  </si>
  <si>
    <t>L'analyse quantitative pourrait utiliser des données incomplètes ou inexactes</t>
  </si>
  <si>
    <t>Conclusions chiffrées non fiables</t>
  </si>
  <si>
    <t>Vérifier les sources et méthodes de calcul utilisées</t>
  </si>
  <si>
    <t>Croiser les données avec d’autres indicateurs pour validation</t>
  </si>
  <si>
    <t>Un comité de validation examine les évaluations et s’assure de leur pertinence avant communication aux instances dirigeantes</t>
  </si>
  <si>
    <t>Un comité de validation examine-t-il les évaluations avant communication ?</t>
  </si>
  <si>
    <t>PV de réunion du comité de validation</t>
  </si>
  <si>
    <t>Les PV de réunion pourraient ne pas retranscrire fidèlement les décisions</t>
  </si>
  <si>
    <t>Conflits sur les décisions prises</t>
  </si>
  <si>
    <t>Établir un processus de résolution des désaccords clair</t>
  </si>
  <si>
    <t>Favoriser la transparence dans la prise de décision</t>
  </si>
  <si>
    <t>Registre des validations</t>
  </si>
  <si>
    <t>Le registre des validations peut présenter des lacunes dans le suivi</t>
  </si>
  <si>
    <t>Contrôles inefficaces maintenus</t>
  </si>
  <si>
    <t>Auditer régulièrement l’efficacité des contrôles en place</t>
  </si>
  <si>
    <t>Supprimer ou remplacer les mesures obsolètes</t>
  </si>
  <si>
    <t>Vérifier que l'organisation met en place des actions de gestion des
 risques pour atténuer ou minimiser les risques significatifs identifiés</t>
  </si>
  <si>
    <t>Des plans d’atténuation des risques sont formellement définis et mis en œuvre pour chaque risque critique</t>
  </si>
  <si>
    <t>Des plans d'atténuation sont-ils définis pour chaque risque critique ?</t>
  </si>
  <si>
    <t>Plans d'atténuation par risque</t>
  </si>
  <si>
    <t>Les plans d'atténuation pourraient proposer des mesures insuffisantes</t>
  </si>
  <si>
    <t>Protection insuffisante contre les risques majeurs</t>
  </si>
  <si>
    <t>Identifier et renforcer les protections sur les risques critiques</t>
  </si>
  <si>
    <t>Adopter une approche de défense en profondeur (multi-couches)</t>
  </si>
  <si>
    <t>Cahier des charges des mesures d'atténuation</t>
  </si>
  <si>
    <t>Le cahier des charges peut contenir des spécifications imprécises</t>
  </si>
  <si>
    <t>Livrables ne répondant pas aux attentes</t>
  </si>
  <si>
    <t>Clarifier les exigences avec les parties prenantes en amont</t>
  </si>
  <si>
    <t>Mettre en place des revues intermédiaires pour ajustements</t>
  </si>
  <si>
    <t>Des contrôles préventifs et correctifs sont instaurés pour réduire l’exposition aux risques identifiés</t>
  </si>
  <si>
    <t>Des contrôles préventifs et correctifs sont-ils instaurés ?</t>
  </si>
  <si>
    <t>registre des contrôles préventifs</t>
  </si>
  <si>
    <t>Les contrôles préventifs pourraient être mal positionnés dans les processus</t>
  </si>
  <si>
    <t>Anomalies détectées trop tardivement</t>
  </si>
  <si>
    <t>Automatiser la détection des anomalies via des outils de monitoring</t>
  </si>
  <si>
    <t>Renforcer les procédures de contrôle qualité en continu</t>
  </si>
  <si>
    <t>Registre des actions correctives</t>
  </si>
  <si>
    <t>Le suivi des actions correctives risque d'être irrégulier</t>
  </si>
  <si>
    <t>Problèmes récurrents non résolus</t>
  </si>
  <si>
    <t>Analyser les causes racines des problèmes récurrents</t>
  </si>
  <si>
    <t>Mettre en œuvre des plans d’action correctifs pérennes</t>
  </si>
  <si>
    <t>Un responsable est désigné pour le suivi de chaque plan de gestion des risques</t>
  </si>
  <si>
    <t>Un responsable est-il désigné pour chaque plan de gestion ?</t>
  </si>
  <si>
    <t>Désignation écrite des responsables</t>
  </si>
  <si>
    <t>La désignation des responsables peut manquer de clarté</t>
  </si>
  <si>
    <t>Retards dans le traitement des incidents</t>
  </si>
  <si>
    <t>Mettre en place un système de suivi des incidents avec alertes automatiques</t>
  </si>
  <si>
    <t>Définir des SLA clairs pour le traitement des incidents</t>
  </si>
  <si>
    <t>Fiche de mission des responsables</t>
  </si>
  <si>
    <t>Les fiches de mission pourraient avoir un périmètre trop vague</t>
  </si>
  <si>
    <t>Missions mal exécutées ou incomplètes</t>
  </si>
  <si>
    <t>Clarifier les rôles et responsabilités pour chaque mission</t>
  </si>
  <si>
    <t>Instaurer des checkpoints de validation intermédiaires</t>
  </si>
  <si>
    <t>Les actions correctives sont adaptées en fonction des résultats des tests et de l’évolution des risques</t>
  </si>
  <si>
    <t>Les actions correctives sont-elles adaptées aux résultats des tests ?</t>
  </si>
  <si>
    <t>Rapport d'analyse des résultats des tests</t>
  </si>
  <si>
    <t>L'analyse des résultats de test peut être mal interprétée</t>
  </si>
  <si>
    <t>Mesures correctives inappropriées</t>
  </si>
  <si>
    <t>Créer une base de données des solutions éprouvées</t>
  </si>
  <si>
    <t>Exiger une analyse cause-racine avant toute correction</t>
  </si>
  <si>
    <t>Plan d'actions correctives ajusté</t>
  </si>
  <si>
    <t>Les ajustements pourraient ne pas répondre aux besoins réels</t>
  </si>
  <si>
    <t>Problèmes opérationnels persistants</t>
  </si>
  <si>
    <t>Cartographier les processus problématiques</t>
  </si>
  <si>
    <t>Affecter des responsables dédiés aux problèmes récurrents</t>
  </si>
  <si>
    <t>Une documentation complète sur les actions entreprises est conservée pour assurer la traçabilité et faciliter les futures mises à jour</t>
  </si>
  <si>
    <t>Une documentation complète des actions est-elle conservée ?</t>
  </si>
  <si>
    <t>Registre documentaire des actions</t>
  </si>
  <si>
    <t>La documentation des actions peut être incomplète</t>
  </si>
  <si>
    <t>Difficultés lors des audits</t>
  </si>
  <si>
    <t>Préparer des dossiers d'audit en continu</t>
  </si>
  <si>
    <t>Former spécifiquement aux exigences des auditeurs</t>
  </si>
  <si>
    <t>Preuve de traçabilité des décisions</t>
  </si>
  <si>
    <t>La traçabilité des décisions peut manquer de preuves tangibles</t>
  </si>
  <si>
    <t>Impossibilité de prouver les décisions</t>
  </si>
  <si>
    <t>Documenter systématiquement les processus décisionnels</t>
  </si>
  <si>
    <t>Utiliser des outils de traçabilité des décisions</t>
  </si>
  <si>
    <t>S’assurer que les résultats de l’évaluation des risques sont
 documentés et communiqués aux parties prenantes pertinentes, y
 compris à la direction, pour garantir une gestion proactive des
 risques</t>
  </si>
  <si>
    <t>Les évaluations des risques sont systématiquement consignées dans un registre centralisé</t>
  </si>
  <si>
    <t>Les évaluations sont-elles consignées dans un registre centralisé ?</t>
  </si>
  <si>
    <t>Registre central des évaluations</t>
  </si>
  <si>
    <t>Le registre central peut avoir des problèmes de centralisation</t>
  </si>
  <si>
    <t>Données critiques non accessibles</t>
  </si>
  <si>
    <t>Mettre en place une architecture redondante pour les données</t>
  </si>
  <si>
    <t>Automatiser les sauvegardes critiques</t>
  </si>
  <si>
    <t>registre de gestion du registre</t>
  </si>
  <si>
    <t>La gestion des registres risque d'être désorganisée</t>
  </si>
  <si>
    <t>Perte d'informations importantes</t>
  </si>
  <si>
    <t>Standardiser les formats de reporting</t>
  </si>
  <si>
    <t>Centraliser l'archivage des documents importants</t>
  </si>
  <si>
    <t>Des rapports de gestion des risques sont générés périodiquement et envoyés aux parties prenantes concernées</t>
  </si>
  <si>
    <t>Des rapports de gestion sont-ils générés périodiquement ?</t>
  </si>
  <si>
    <t>Modèle de rapport de gestion</t>
  </si>
  <si>
    <t>Les modèles de rapport pourraient manquer de standardisation</t>
  </si>
  <si>
    <t>Difficulté à comparer les rapports</t>
  </si>
  <si>
    <t>Adopter des modèles de rapport uniformes</t>
  </si>
  <si>
    <t>Créer des référentiels communs de données</t>
  </si>
  <si>
    <t>Calendrier de reporting périodique</t>
  </si>
  <si>
    <t>La fréquence de reporting peut être inadaptée aux besoins</t>
  </si>
  <si>
    <t>Détection tardive des problèmes</t>
  </si>
  <si>
    <t>Implémenter des outils de monitoring en temps réel</t>
  </si>
  <si>
    <t>Définir des seuils d'alerte précoces</t>
  </si>
  <si>
    <t>Un tableau de bord des risques est mis en place pour suivre en temps réel les tendances et les niveaux de risque</t>
  </si>
  <si>
    <t>Un tableau de bord des risques est-il mis en place ?</t>
  </si>
  <si>
    <t>Architecture du tableau de bord</t>
  </si>
  <si>
    <t>L'architecture du tableau de bord pourrait être mal conçue</t>
  </si>
  <si>
    <t>Mauvaise visibilité sur les performances</t>
  </si>
  <si>
    <t>Développer des tableaux de bord unifiés</t>
  </si>
  <si>
    <t>Automatiser la collecte des données de performance</t>
  </si>
  <si>
    <t>Données sources du tableau de bord</t>
  </si>
  <si>
    <t>Les données sources du tableau de bord pourraient être incomplètes ou non fiables</t>
  </si>
  <si>
    <t>Indicateurs de gestion trompeurs</t>
  </si>
  <si>
    <t>Auditer régulièrement les sources de données</t>
  </si>
  <si>
    <t>Croiser les indicateurs avec des données qualitatives</t>
  </si>
  <si>
    <t>La direction et le Conseil d’Administration reçoivent des présentations régulières sur l’état des risques et les mesures mises en place</t>
  </si>
  <si>
    <t>La direction reçoit-elle des présentations régulières ?</t>
  </si>
  <si>
    <t>Support de présentation à la direction</t>
  </si>
  <si>
    <t>Le support de présentation à la direction risque de contenir des informations trompeuses ou partiales</t>
  </si>
  <si>
    <t>Décisions stratégiques basées sur des informations erronées</t>
  </si>
  <si>
    <t>Valider systématiquement les données avant décision</t>
  </si>
  <si>
    <t>Diversifier les sources d'information stratégique</t>
  </si>
  <si>
    <t>PV de réunion de la direction</t>
  </si>
  <si>
    <t>Le PV de réunion de la direction pourrait ne pas refléter fidèlement les échanges et décisions</t>
  </si>
  <si>
    <t>Incohérences dans la mise en œuvre des décisions</t>
  </si>
  <si>
    <t>Mettre en place un comité de coordination transverse</t>
  </si>
  <si>
    <t>Documenter les procédures de mise en œuvre</t>
  </si>
  <si>
    <t>Un processus d’amélioration continue est intégré pour affiner la communication et l’exploitation des évaluations des risques</t>
  </si>
  <si>
    <t>Un processus d'amélioration continue est-il intégré ?</t>
  </si>
  <si>
    <t>registre d'amélioration continue</t>
  </si>
  <si>
    <t>La registre d'amélioration continue risque d'être mal appliquée ou ignorée</t>
  </si>
  <si>
    <t>Stagnation des processus et perte d'efficacité</t>
  </si>
  <si>
    <t>Réaliser des revues trimestrielles des processus</t>
  </si>
  <si>
    <t>Introduire des mécanismes d'amélioration continue</t>
  </si>
  <si>
    <t>Registre des améliorations apportées</t>
  </si>
  <si>
    <t>Le registre des améliorations pourrait ne pas être tenu à jour régulièrement</t>
  </si>
  <si>
    <t>Améliorations non implémentées malgré les besoins</t>
  </si>
  <si>
    <t>Créer un registre des besoins d'amélioration</t>
  </si>
  <si>
    <t>Instaurer un cycle de revue et validation des améliorations</t>
  </si>
  <si>
    <t>Développement des activités de contrôle sur les technologies</t>
  </si>
  <si>
    <t>S’assurer que l’organisation sélectionne des activités de contrôle
 adaptées aux risques identifiés, en prenant en compte la nature,
 l’ampleur et la criticité des risques</t>
  </si>
  <si>
    <t>L’organisation dispose d’une méthodologie documentée et appliquée pour l’identification des risques</t>
  </si>
  <si>
    <t>Une méthodologie documentée d'identification existe-t-elle ?</t>
  </si>
  <si>
    <t>Manuel méthodologique d'identification</t>
  </si>
  <si>
    <t>Le manuel méthodologique pourrait présenter des lacunes dans l'identification des risques</t>
  </si>
  <si>
    <t>Risques majeurs non identifiés en amont</t>
  </si>
  <si>
    <t>Mener des analyses prospectives et scénarios extrêmes</t>
  </si>
  <si>
    <t>Impliquer des experts externes pour identifier les risques émergents</t>
  </si>
  <si>
    <t>Référentiel des risques types</t>
  </si>
  <si>
    <t>Le référentiel des risques types risque d'être incomplet ou obsolète</t>
  </si>
  <si>
    <t>Références inadéquates pour l'évaluation</t>
  </si>
  <si>
    <t>Créer un référentiel interne normalisé basé sur les standards</t>
  </si>
  <si>
    <t>Benchmarker régulièrement les méthodes d'évaluation sectorielles</t>
  </si>
  <si>
    <t>Une cartographie des risques est régulièrement mise à jour et couvre les aspects stratégiques, opérationnels et financiers</t>
  </si>
  <si>
    <t>La cartographie des risques est-elle régulièrement mise à jour ?</t>
  </si>
  <si>
    <t>Version actualisée de la cartographie</t>
  </si>
  <si>
    <t>La version actualisée de la cartographie pourrait contenir des erreurs</t>
  </si>
  <si>
    <t>Prise de décision sur des données erronées</t>
  </si>
  <si>
    <t>Automatiser les contrôles de qualité des données critiques</t>
  </si>
  <si>
    <t>Croiser systématiquement les sources de données pour validation</t>
  </si>
  <si>
    <t>Historique des mises à jour</t>
  </si>
  <si>
    <t>L'historique des mises à jour pourrait présenter des omissions importantes</t>
  </si>
  <si>
    <t>Historique incomplet et traçabilité compromise</t>
  </si>
  <si>
    <t>Digitaliser et centraliser tous les documents décisionnels</t>
  </si>
  <si>
    <t>Implémenter des systèmes d'audit trail inaltérables</t>
  </si>
  <si>
    <t>Les responsables des risques sont clairement définis et impliqués dans le processus d’identification</t>
  </si>
  <si>
    <t>Les responsables des risques sont-ils clairement définis ?</t>
  </si>
  <si>
    <t>Fiche de poste des responsables</t>
  </si>
  <si>
    <t>La fiche de poste des responsables pourrait mal définir les rôles et responsabilités</t>
  </si>
  <si>
    <t>Responsables peu engagés dans la gestion des risques</t>
  </si>
  <si>
    <t>Intégrer la gestion des risques aux objectifs individuels</t>
  </si>
  <si>
    <t>Organiser des formations obligatoires pour les managers</t>
  </si>
  <si>
    <t>Organigramme des responsabilités</t>
  </si>
  <si>
    <t>L'organigramme des responsabilités pourrait comporter des ambiguïtés</t>
  </si>
  <si>
    <t>Chevauchements ou lacunes dans les actions</t>
  </si>
  <si>
    <t>Établir une matrice RACI claire pour toutes les actions</t>
  </si>
  <si>
    <t>Réaliser des audits trimestriels de couverture des risques</t>
  </si>
  <si>
    <t>Des ateliers ou comités de gestion des risques sont organisés périodiquement pour identifier de nouveaux risques</t>
  </si>
  <si>
    <t>Des ateliers sont-ils organisés périodiquement ?</t>
  </si>
  <si>
    <t>Planning des ateliers</t>
  </si>
  <si>
    <t>Le planning des ateliers risque d'être irréaliste ou mal dimensionné</t>
  </si>
  <si>
    <t>Ateliers inefficaces et temps perdu</t>
  </si>
  <si>
    <t>Former les animateurs aux techniques d'ateliers efficaces</t>
  </si>
  <si>
    <t>Fournir des supports structurés en amont des réunions</t>
  </si>
  <si>
    <t>Compte-rendu des ateliers</t>
  </si>
  <si>
    <t>Le compte-rendu des ateliers pourrait omettre des points essentiels</t>
  </si>
  <si>
    <t>Points d'amélioration non adressés</t>
  </si>
  <si>
    <t>Maintenir un registre dynamique des améliorations prioritaires</t>
  </si>
  <si>
    <t>Attribuer systématiquement des responsables pour chaque action</t>
  </si>
  <si>
    <t>Les parties prenantes (direction, équipes opérationnelles, audit interne) sont consultées pour identifier les risques spécifiques à leur domaine</t>
  </si>
  <si>
    <t>Les parties prenantes sont-elles consultées ?</t>
  </si>
  <si>
    <t>Registre des consultations</t>
  </si>
  <si>
    <t>Le registre des consultations pourrait être incomplet</t>
  </si>
  <si>
    <t>Consultation des parties prenantes incomplète</t>
  </si>
  <si>
    <t>Cartographier précisément l'écosystème des parties prenantes</t>
  </si>
  <si>
    <t>Planifier des revues formelles avec chaque catégorie d'acteurs</t>
  </si>
  <si>
    <t>Synthèse des retours parties prenantes</t>
  </si>
  <si>
    <t>La synthèse des retours parties prenantes risque d'être biaisée</t>
  </si>
  <si>
    <t>Priorisations biaisées des actions</t>
  </si>
  <si>
    <t>Appliquer une grille multicritère objective de priorisation</t>
  </si>
  <si>
    <t>Introduire des mécanismes de pondération transparents</t>
  </si>
  <si>
    <t>Vérifier que des mécanismes de suivi sont mis en place pour évaluer
 l’efficacité des activités de contrôle dans la réduction des risques à
 des niveaux acceptables</t>
  </si>
  <si>
    <t>Un processus formalisé d’évaluation continue des risques est documenté et appliqué</t>
  </si>
  <si>
    <t>Un processus formalisé d'évaluation continue existe-t-il ?</t>
  </si>
  <si>
    <t>registre d'évaluation continue</t>
  </si>
  <si>
    <t>La registre d'évaluation continue pourrait ne pas être suivie rigoureusement</t>
  </si>
  <si>
    <t>Évaluations non systématiques</t>
  </si>
  <si>
    <t>Automatiser les processus d'évaluation des risques clés</t>
  </si>
  <si>
    <t>Faire valider les évaluations par des experts indépendants</t>
  </si>
  <si>
    <t>Checklist d'évaluation</t>
  </si>
  <si>
    <t>La checklist d'évaluation pourrait omettre des points critiques</t>
  </si>
  <si>
    <t>Contrôles incomplets sur des aspects critiques</t>
  </si>
  <si>
    <t>Concentrer les contrôles sur les risques résiduels élevés</t>
  </si>
  <si>
    <t>Organiser des tests surprises sur les points critiques</t>
  </si>
  <si>
    <t>Des revues périodiques des risques sont réalisées (ex trimestriellement ou annuellement)</t>
  </si>
  <si>
    <t>Des revues périodiques des risques sont-elles réalisées ?</t>
  </si>
  <si>
    <t>Calendrier des revues périodiques</t>
  </si>
  <si>
    <t>Le calendrier des revues périodiques risque de ne pas être respecté</t>
  </si>
  <si>
    <t>Détection tardive des dérives</t>
  </si>
  <si>
    <t>Déployer des outils de monitoring en temps réel</t>
  </si>
  <si>
    <t>Configurer des alertes automatiques sur les KRI</t>
  </si>
  <si>
    <t>Rapport de revue des risques</t>
  </si>
  <si>
    <t>Le rapport de revue des risques pourrait contenir des analyses superficielles</t>
  </si>
  <si>
    <t>Analyses superficielles sans valeur ajoutée</t>
  </si>
  <si>
    <t>Former aux méthodes d'analyse approfondie ( pourquoi, etc)</t>
  </si>
  <si>
    <t>Exiger des analyses chiffrées et documentées</t>
  </si>
  <si>
    <t>Un mécanisme de surveillance est en place pour détecter l’émergence de nouveaux risques en temps réel</t>
  </si>
  <si>
    <t>Un mécanisme de surveillance est-il en place ?</t>
  </si>
  <si>
    <t>registre de surveillance</t>
  </si>
  <si>
    <t>La registre de surveillance pourrait être insuffisamment détaillée</t>
  </si>
  <si>
    <t>Surveillance inefficace des risques</t>
  </si>
  <si>
    <t>Intégrer des indicateurs risques aux tableaux de bord DG</t>
  </si>
  <si>
    <t>Automatiser la génération de rapports d'évolution</t>
  </si>
  <si>
    <t>journal des alertes et incidents</t>
  </si>
  <si>
    <t>Le journal des alertes et incidents pourrait ne pas être tenu à jour</t>
  </si>
  <si>
    <t>Historique d'incidents non exploitable</t>
  </si>
  <si>
    <t>Standardiser le format d'enregistrement des incidents</t>
  </si>
  <si>
    <t>Mener systématiquement des revues post-incident</t>
  </si>
  <si>
    <t>Les résultats des évaluations des risques sont comparés aux périodes précédentes pour mesurer l’évolution des menaces et opportunités</t>
  </si>
  <si>
    <t>Les résultats sont-ils comparés aux périodes précédentes ?</t>
  </si>
  <si>
    <t>Document d'analyse comparative</t>
  </si>
  <si>
    <t>Le document d'analyse comparative pourrait utiliser des critères inadaptés</t>
  </si>
  <si>
    <t>Comparaisons faussées entre situations</t>
  </si>
  <si>
    <t>Développer des référentiels comparatifs internes</t>
  </si>
  <si>
    <t>Utiliser des méthodes statistiques pour neutraliser les biais</t>
  </si>
  <si>
    <t>Registre historique</t>
  </si>
  <si>
    <t>Le registre historique pourrait présenter des lacunes dans l'archivage</t>
  </si>
  <si>
    <t>Difficulté à retracer l'évolution des risques</t>
  </si>
  <si>
    <t>Implémenter un outil de suivi avec versionning intégré</t>
  </si>
  <si>
    <t>Établir un journal des modifications obligatoire</t>
  </si>
  <si>
    <t>Une analyse des tendances et des évolutions du marché est intégrée pour anticiper les risques émergents</t>
  </si>
  <si>
    <t>Une analyse des tendances du marché est-elle intégrée ?</t>
  </si>
  <si>
    <t>Rapport de veille marché</t>
  </si>
  <si>
    <t>Le rapport de veille marché pourrait être basé sur des informations obsolètes</t>
  </si>
  <si>
    <t>Veille stratégique non pertinente</t>
  </si>
  <si>
    <t>Définir des axes de veille prioritaires alignés sur la stratégie</t>
  </si>
  <si>
    <t>Mettre en place un comité de validation trimestriel des informations</t>
  </si>
  <si>
    <t>Liste des indicateurs économiques</t>
  </si>
  <si>
    <t>La liste des indicateurs économiques pourrait inclure des métriques non pertinentes</t>
  </si>
  <si>
    <t>Indicateurs économiques trompeurs</t>
  </si>
  <si>
    <t>Introduire des mécanismes de vérification croisée</t>
  </si>
  <si>
    <t>Benchmarker avec des sources externes reconnues</t>
  </si>
  <si>
    <t>S’assurer que les activités de contrôle sont intégrées dans les
 processus opérationnels de l’organisation, de manière à garantir que
 les risques sont gérés de manière continue et proactive</t>
  </si>
  <si>
    <t>Document de la grille d'évaluation</t>
  </si>
  <si>
    <t>Le document de la grille d'évaluation pourrait comporter des critères subjectifs</t>
  </si>
  <si>
    <t>Évaluations subjectives et contestables</t>
  </si>
  <si>
    <t>Standardiser les grilles d'analyse avec critères objectifs</t>
  </si>
  <si>
    <t>Former les évaluateurs aux biais cognitifs</t>
  </si>
  <si>
    <t>Pièce justificative de notation</t>
  </si>
  <si>
    <t>La pièce justificative de notation pourrait manquer de preuves tangibles</t>
  </si>
  <si>
    <t>Difficulté à justifier les notations</t>
  </si>
  <si>
    <t>Documenter systématiquement les méthodologies appliquées</t>
  </si>
  <si>
    <t>Imposer l'archivage des éléments probants</t>
  </si>
  <si>
    <t>Matrice des risques (document)</t>
  </si>
  <si>
    <t>La matrice des risques pourrait ne pas être actualisée régulièrement</t>
  </si>
  <si>
    <t>Vision obsolète de l'exposition aux risques</t>
  </si>
  <si>
    <t>Actualiser la cartographie des risques mensuellement</t>
  </si>
  <si>
    <t>Intégrer des analyses prospectives régulières</t>
  </si>
  <si>
    <t>Liste hiérarchisée</t>
  </si>
  <si>
    <t>La liste hiérarchisée pourrait reposer sur une mauvaise appréciation des priorités</t>
  </si>
  <si>
    <t>Priorités mal définies dans les traitements</t>
  </si>
  <si>
    <t>Utiliser une matrice impact/urgence actualisée</t>
  </si>
  <si>
    <t>Affecter des ressources dédiées aux risques critiques</t>
  </si>
  <si>
    <t>Registre des scénarios</t>
  </si>
  <si>
    <t>Le registre des scénarios pourrait omettre des cas critiques</t>
  </si>
  <si>
    <t>Scénarios de crise incomplets</t>
  </si>
  <si>
    <t>Développer des scénarios avec simulations terrain</t>
  </si>
  <si>
    <t>Tester annuellement tous les scénarios majeurs</t>
  </si>
  <si>
    <t>Rapport d'impact</t>
  </si>
  <si>
    <t>Le rapport d'impact pourrait sous-estimer les conséquences</t>
  </si>
  <si>
    <t>Préparations insuffisantes face aux impacts</t>
  </si>
  <si>
    <t>Élaborer des plans d'action détaillés par scénario</t>
  </si>
  <si>
    <t>Pré-positionner des ressources clés identifiées</t>
  </si>
  <si>
    <t>Document méthodologique qualitatif</t>
  </si>
  <si>
    <t>Le document méthodologique qualitatif pourrait présenter des biais</t>
  </si>
  <si>
    <t>Analyses qualitatives biaisées</t>
  </si>
  <si>
    <t>Introduire des contre-analyses systématiques</t>
  </si>
  <si>
    <t>Combiner approches qualitatives et quantitatives</t>
  </si>
  <si>
    <t>Document méthodologique quantitatif</t>
  </si>
  <si>
    <t>Le document méthodologique quantitatif pourrait utiliser des données erronées</t>
  </si>
  <si>
    <t>Données quantitatives non fiables</t>
  </si>
  <si>
    <t>Automatiser les contrôles d'intégrité des données</t>
  </si>
  <si>
    <t>Vérifier les échantillons et méthodologies statistiques</t>
  </si>
  <si>
    <t>Pièce de validation (PV)</t>
  </si>
  <si>
    <t>La pièce de validation pourrait ne pas refléter l'ensemble des avis</t>
  </si>
  <si>
    <t>Validations partiales ou incomplètes</t>
  </si>
  <si>
    <t>Imposer des validations croisées indépendantes</t>
  </si>
  <si>
    <t>Documenter les processus de validation</t>
  </si>
  <si>
    <t>Registre des décisions</t>
  </si>
  <si>
    <t>Le registre des décisions pourrait présenter des lacunes dans le suivi</t>
  </si>
  <si>
    <t>Suivi défaillant des décisions</t>
  </si>
  <si>
    <t>Digitaliser le circuit de décision avec traçabilité</t>
  </si>
  <si>
    <t>Affecter des responsables de suivi nominatifs</t>
  </si>
  <si>
    <t>Vérifier que les activités de contrôle sont adaptées à l’évolution des
 risques, avec des ajustements réguliers pour garantir qu'elles restent
 efficaces face à des risques changeants</t>
  </si>
  <si>
    <t>Document des contrôles</t>
  </si>
  <si>
    <t>Le document des contrôles pourrait décrire des processus inefficaces</t>
  </si>
  <si>
    <t>Auditer trimestriellement l'efficacité des contrôles</t>
  </si>
  <si>
    <t>Mettre à jour le dispositif de contrôle annuellement</t>
  </si>
  <si>
    <t>Registre des corrections</t>
  </si>
  <si>
    <t>Le registre des corrections pourrait ne pas être tenu à jour</t>
  </si>
  <si>
    <t>Corrections non suivies ou oubliées</t>
  </si>
  <si>
    <t>Implémenter un système de ticketing avec échéances</t>
  </si>
  <si>
    <t>Intégrer les corrections aux objectifs individuels</t>
  </si>
  <si>
    <t>Pièce de désignation</t>
  </si>
  <si>
    <t>La pièce de désignation pourrait mal identifier les responsables</t>
  </si>
  <si>
    <t>Désignation imprécise des acteurs</t>
  </si>
  <si>
    <t>Formaliser des fiches de mission précises</t>
  </si>
  <si>
    <t>Publier un organigramme des responsabilités</t>
  </si>
  <si>
    <t>Document des responsabilités</t>
  </si>
  <si>
    <t>Le document des responsabilités pourrait comporter des ambiguïtés</t>
  </si>
  <si>
    <t>Confusion dans les rôles et actions</t>
  </si>
  <si>
    <t>Organiser des ateliers de clarification semestriels</t>
  </si>
  <si>
    <t>Mettre en place un référentiel RACI détaillé</t>
  </si>
  <si>
    <t>Des tests et audits sont réalisés régulièrement pour évaluer l’efficacité des actions de gestion des risques</t>
  </si>
  <si>
    <t>Des tests et audits sont-ils réalisés régulièrement ?</t>
  </si>
  <si>
    <t>Calendrier des audits</t>
  </si>
  <si>
    <t>Le calendrier des audits risque de ne pas couvrir tous les domaines critiques</t>
  </si>
  <si>
    <t>Risques majeurs non détectés</t>
  </si>
  <si>
    <t>Déployer des outils d'analyse prédictive</t>
  </si>
  <si>
    <t>Renforcer les signalements remontants</t>
  </si>
  <si>
    <t>Rapport d'audit</t>
  </si>
  <si>
    <t>Le rapport d'audit pourrait contenir des conclusions erronées</t>
  </si>
  <si>
    <t>Décisions basées sur des informations fausses</t>
  </si>
  <si>
    <t>Instaurer un délai de réflexion minimum</t>
  </si>
  <si>
    <t>Exiger des analyses alternatives comparées</t>
  </si>
  <si>
    <t>Document d'ajustement</t>
  </si>
  <si>
    <t>Le document d'ajustement pourrait proposer des mesures inadaptées</t>
  </si>
  <si>
    <t>Analyser systématiquement les causes racines</t>
  </si>
  <si>
    <t>Imposer des revues post-incident formalisées</t>
  </si>
  <si>
    <t>Plan d'action</t>
  </si>
  <si>
    <t>Le plan d'action pourrait omettre certaines mesures correctives essentielles ou mal prioriser les actions à mener</t>
  </si>
  <si>
    <t>Corrections inefficaces ou retardées</t>
  </si>
  <si>
    <t>Établir des échéances contraignantes</t>
  </si>
  <si>
    <t>Mesurer l'efficacité des correctifs</t>
  </si>
  <si>
    <t>Registre documentaire</t>
  </si>
  <si>
    <t>Le registre documentaire présente des lacunes dans l'archivage systématique des documents justificatifs</t>
  </si>
  <si>
    <t>Difficultés en cas d'audit ou de litige</t>
  </si>
  <si>
    <t>Constituer des dossiers probants permanents</t>
  </si>
  <si>
    <t>Former aux exigences réglementaires</t>
  </si>
  <si>
    <t>Pièce de traçabilité</t>
  </si>
  <si>
    <t>La pièce de traçabilité ne contient pas tous les éléments nécessaires pour reconstituer le processus décisionnel</t>
  </si>
  <si>
    <t>Impossibilité de reconstituer les choix stratégiques</t>
  </si>
  <si>
    <t>Sauvegarder les éléments de décision</t>
  </si>
  <si>
    <t>Utiliser des technologies d'archivage sécurisé</t>
  </si>
  <si>
    <t>S’assurer que les responsabilités des différentes parties prenantes
 concernant les activités de contrôle sont clairement définies et que
 les ressources nécessaires sont allouées pour leur mise en œuvre</t>
  </si>
  <si>
    <t>Registre central</t>
  </si>
  <si>
    <t>Le registre central comporte des erreurs de consolidation qui faussent les données enregistrées</t>
  </si>
  <si>
    <t>Reporting inexact et analyses biaisées</t>
  </si>
  <si>
    <t>Standardiser les modèles de rapport</t>
  </si>
  <si>
    <t>Former aux bonnes pratiques analytiques</t>
  </si>
  <si>
    <t>Document de registre</t>
  </si>
  <si>
    <t>Le document de registre contient des instructions ambiguës ou ne reflétant pas les pratiques actuelles</t>
  </si>
  <si>
    <t>Mauvaises interprétations et erreurs d'exécution</t>
  </si>
  <si>
    <t>Clarifier les processus opérationnels</t>
  </si>
  <si>
    <t>Vérifier la compréhension des consignes</t>
  </si>
  <si>
    <t>Supports de reporting</t>
  </si>
  <si>
    <t>Les supports de reporting transmettent des données inexactes ou des analyses partielles</t>
  </si>
  <si>
    <t>Prise de décision erronée</t>
  </si>
  <si>
    <t>Instaurer des comités pluridisciplinaires</t>
  </si>
  <si>
    <t>Formaliser les processus décisionnels</t>
  </si>
  <si>
    <t>Calendrier de reporting</t>
  </si>
  <si>
    <t>Le calendrier de reporting fixe des échéances inadaptées aux besoins opérationnels réels</t>
  </si>
  <si>
    <t>Retards dans la détection des problèmes</t>
  </si>
  <si>
    <t>Automatiser les alertes sur indicateurs clés</t>
  </si>
  <si>
    <t>Réduire les délais de remontée</t>
  </si>
  <si>
    <t>Document d'architecture</t>
  </si>
  <si>
    <t>Le document d'architecture fournit une description incomplète des systèmes et de leurs interactions</t>
  </si>
  <si>
    <t>Mauvaise compréhension des dépendances et vulnérabilités</t>
  </si>
  <si>
    <t>Cartographier les interconnexions critiques</t>
  </si>
  <si>
    <t>Quantifier les seuils de vulnérabilité</t>
  </si>
  <si>
    <t>Liste des sources</t>
  </si>
  <si>
    <t>La liste des sources inclut des références non vérifiées ou obsolètes</t>
  </si>
  <si>
    <t>Informations peu fiables utilisées pour les analyses</t>
  </si>
  <si>
    <t>Certifier les sources utilisées</t>
  </si>
  <si>
    <t>Établir une politique stricte de gestion</t>
  </si>
  <si>
    <t>Supports de présentation</t>
  </si>
  <si>
    <t>Les supports de présentation offrent une vision partiale ou trompeuse des résultats</t>
  </si>
  <si>
    <t>Orientation stratégique biaisée</t>
  </si>
  <si>
    <t>Confronter les analyses aux réalités terrain</t>
  </si>
  <si>
    <t>Diversifier les sources d'information</t>
  </si>
  <si>
    <t>Pièce de réunion</t>
  </si>
  <si>
    <t>La pièce de réunion ne retranscrit pas fidèlement l'ensemble des discussions et décisions</t>
  </si>
  <si>
    <t>Désalignement sur les décisions prises</t>
  </si>
  <si>
    <t>Organiser des ateliers d'alignement</t>
  </si>
  <si>
    <t>Lier les KPI aux objectifs stratégiques</t>
  </si>
  <si>
    <t>Document de processus</t>
  </si>
  <si>
    <t>Le document de processus décrit des flux qui divergent des pratiques terrain</t>
  </si>
  <si>
    <t>Inefficacité des contrôles et des procédures</t>
  </si>
  <si>
    <t>Réviser annuellement les procédures</t>
  </si>
  <si>
    <t>Introduire des tests surprise</t>
  </si>
  <si>
    <t>Registre des améliorations</t>
  </si>
  <si>
    <t>Le registre des améliorations n'est pas tenu à jour de manière exhaustive</t>
  </si>
  <si>
    <t>Perte d'opportunités d'optimisation</t>
  </si>
  <si>
    <t>Mettre en place un système de suggestions</t>
  </si>
  <si>
    <t>Récompenser les améliorations validées</t>
  </si>
  <si>
    <t>Vérifier que les résultats des activités de contrôle sont documentés
 et partagés avec la direction, permettant une évaluation régulière et
 un ajustement des stratégies de gestion des risques</t>
  </si>
  <si>
    <t>Existence d’un système formalisé de documentation des résultats des contrôles, accessible aux parties prenantes concernées</t>
  </si>
  <si>
    <t>Existe-t-il un système formalisé de documentation ?</t>
  </si>
  <si>
    <t>Inventaire documentaire</t>
  </si>
  <si>
    <t>L'inventaire documentaire omet certains documents essentiels</t>
  </si>
  <si>
    <t>Lacunes dans la gestion des preuves</t>
  </si>
  <si>
    <t>Classifier rigoureusement les documents</t>
  </si>
  <si>
    <t>Former à la gestion des preuves digitales</t>
  </si>
  <si>
    <t>Liste des actifs</t>
  </si>
  <si>
    <t>La liste des actifs ne recense pas la totalité du patrimoine informationnel</t>
  </si>
  <si>
    <t>Exposition à des pertes ou vols de données</t>
  </si>
  <si>
    <t>Chiffrer les données sensibles</t>
  </si>
  <si>
    <t>Déployer des systèmes de détection avancés</t>
  </si>
  <si>
    <t>Fréquence et régularité des rapports sur les activités de contrôle et leur efficacité</t>
  </si>
  <si>
    <t>Les rapports sur les activités de contrôle sont-ils fréquents et réguliers ?</t>
  </si>
  <si>
    <t>Calendrier des rapports</t>
  </si>
  <si>
    <t>Le calendrier des rapports établit une périodicité ne correspondant pas aux besoins</t>
  </si>
  <si>
    <t>Détection tardive des anomalies</t>
  </si>
  <si>
    <t>Implémenter des systèmes de surveillance en temps réel avec IA</t>
  </si>
  <si>
    <t>Configurer des alertes automatiques sur les seuils critiques</t>
  </si>
  <si>
    <t>Registre des activités</t>
  </si>
  <si>
    <t>Le registre des activités présente des omissions dans le suivi opérationnel</t>
  </si>
  <si>
    <t>Manque de visibilité sur les activités</t>
  </si>
  <si>
    <t>Déployer des tableaux de bord unifiés en temps réel</t>
  </si>
  <si>
    <t>Automatiser les rapports d'activité quotidiens</t>
  </si>
  <si>
    <t>Présence d’une méthodologie standardisée pour l’analyse et l’interprétation des résultats des contrôles</t>
  </si>
  <si>
    <t>Une méthodologie standardisée est-elle présente ?</t>
  </si>
  <si>
    <t>Document méthodologique</t>
  </si>
  <si>
    <t>Le document méthodologique propose des approches inadaptées au contexte</t>
  </si>
  <si>
    <t>Analyses et contrôles inefficaces</t>
  </si>
  <si>
    <t>Adopter des frameworks d'analyse reconnus (COSO, ISO)</t>
  </si>
  <si>
    <t>Former les auditeurs aux dernières techniques de contrôle</t>
  </si>
  <si>
    <t>Liste des standards</t>
  </si>
  <si>
    <t>La liste des standards s'appuie sur des normes périmées</t>
  </si>
  <si>
    <t>Non-conformité aux exigences actuelles</t>
  </si>
  <si>
    <t>Mettre en place une veille réglementaire automatisée</t>
  </si>
  <si>
    <t>Désigner des responsables conformité par domaine</t>
  </si>
  <si>
    <t>Intégration des résultats des contrôles dans les processus de décision stratégiques</t>
  </si>
  <si>
    <t>Les résultats des contrôles sont-ils intégrés aux décisions ?</t>
  </si>
  <si>
    <t>Rapport d'intégration</t>
  </si>
  <si>
    <t>Le rapport d'intégration minimise les difficultés rencontrées lors des mises en œuvre</t>
  </si>
  <si>
    <t>Problèmes opérationnels sous-estimés</t>
  </si>
  <si>
    <t>Implémenter des indicateurs de gravité objectifs</t>
  </si>
  <si>
    <t>Réaliser des revues de risques opérationnels mensuelles</t>
  </si>
  <si>
    <t>Pièce décisionnelle</t>
  </si>
  <si>
    <t>La pièce décisionnelle ne documente pas suffisamment les arbitrages effectués</t>
  </si>
  <si>
    <t>Arbitrages non documentés et non justifiés</t>
  </si>
  <si>
    <t>Utiliser des outils de workflow avec traçabilité intégrée</t>
  </si>
  <si>
    <t>Imposer la documentation systématique des décisions</t>
  </si>
  <si>
    <t>Présence d’un processus de remontée des informations critiques à la direction pour action immédiate en cas d’anomalie majeure</t>
  </si>
  <si>
    <t>Existe-t-il un processus de remontée d'informations critiques ?</t>
  </si>
  <si>
    <t>Le registre des alertes ne capture pas toutes les anomalies détectées</t>
  </si>
  <si>
    <t>Anomalies non traitées en temps opportun</t>
  </si>
  <si>
    <t>Créer un système de ticketing avec escalade automatique</t>
  </si>
  <si>
    <t>Définir des SLA stricts pour la résolution</t>
  </si>
  <si>
    <t>Registre des alertes</t>
  </si>
  <si>
    <t>Le rapport d'analyse contient des interprétations erronées des données</t>
  </si>
  <si>
    <t>Interprétations fausses menant à de mauvaises actions</t>
  </si>
  <si>
    <t>Standardiser les guides d'interprétation</t>
  </si>
  <si>
    <t>Instaurer des validations croisées obligatoires</t>
  </si>
  <si>
    <t>Mise en œuvre des politiques et registres</t>
  </si>
  <si>
    <t>S’assurer que l’organisation sélectionne des contrôles généraux
 informatiques appropriés pour protéger les systèmes d'information
 contre les menaces internes et externes</t>
  </si>
  <si>
    <t>Réalisation d’une analyse des risques identifiant les menaces internes et externes pertinentes</t>
  </si>
  <si>
    <t>Une analyse des risques identifiant les menaces est-elle réalisée ?</t>
  </si>
  <si>
    <t>Rapport d'analyse</t>
  </si>
  <si>
    <t>La matrice des risques présente une évaluation inexacte des menaces</t>
  </si>
  <si>
    <t>Évaluation incorrecte des menaces</t>
  </si>
  <si>
    <t>Mettre à jour trimestriellement la matrice des menaces</t>
  </si>
  <si>
    <t>Confronter les évaluations à des scénarios réalistes</t>
  </si>
  <si>
    <t>Matrice des risques</t>
  </si>
  <si>
    <t>Le document de sélection applique des critères non objectifs</t>
  </si>
  <si>
    <t>Sélection biaisée ou inéquitable</t>
  </si>
  <si>
    <t>Établir des critères de sélection objectifs et mesurables</t>
  </si>
  <si>
    <t>Introduire des mécanismes de contrôle aléatoire</t>
  </si>
  <si>
    <t>Sélection de contrôles basés sur les résultats de l’analyse des risques, prenant en compte l’impact et la probabilité des menaces</t>
  </si>
  <si>
    <t>Les contrôles sont-ils sélectionnés selon l'analyse des risques ?</t>
  </si>
  <si>
    <t>Document de sélection</t>
  </si>
  <si>
    <t>La liste des contrôles omet des points de vigilance essentiels</t>
  </si>
  <si>
    <t>Points de contrôle critiques ignorés</t>
  </si>
  <si>
    <t>Cartographier les points de contrôle critiques</t>
  </si>
  <si>
    <t>Affecter des responsables dédiés pour chaque point critique</t>
  </si>
  <si>
    <t>Liste des contrôles</t>
  </si>
  <si>
    <t>Les registres de contrôle pourraient ne pas être appliquées de manière uniforme</t>
  </si>
  <si>
    <t>Application incohérente des contrôles</t>
  </si>
  <si>
    <t>Harmoniser les procédures de contrôle entre services</t>
  </si>
  <si>
    <t>Auditer régulièrement l'application des contrôles</t>
  </si>
  <si>
    <t>Implémentation de contrôles pour des menaces spécifiques telles que les attaques par phishing, les ransomwares et les accès non autorisés</t>
  </si>
  <si>
    <t>Des contrôles spécifiques sont-ils implémentés ?</t>
  </si>
  <si>
    <t>Plan d'implémentation</t>
  </si>
  <si>
    <t>Le plan d'implémentation pourrait fixer des délais trop courts, compromettant la qualité de la mise en œuvre</t>
  </si>
  <si>
    <t>Mise en œuvre précipitée et de mauvaise qualité</t>
  </si>
  <si>
    <t>Instaurer des phases de test obligatoires avant déploiement</t>
  </si>
  <si>
    <t>Développer des checklists qualité pour chaque implémentation</t>
  </si>
  <si>
    <t>Registre des déploiements</t>
  </si>
  <si>
    <t>Le registre des déploiements présente des lacunes dans l'enregistrement des mises en production</t>
  </si>
  <si>
    <t>Traçabilité incomplète des déploiements</t>
  </si>
  <si>
    <t>Mettre en place un système de gestion des changements</t>
  </si>
  <si>
    <t>Utiliser des outils de versioning pour tous les déploiements</t>
  </si>
  <si>
    <t>Réalisation de tests réguliers pour vérifier l’efficacité des contrôles dans la détection et la prévention des menaces</t>
  </si>
  <si>
    <t>Des tests réguliers sont-ils réalisés ?</t>
  </si>
  <si>
    <t>Calendrier des tests</t>
  </si>
  <si>
    <t>Le calendrier des tests omet certains scénarios critiques, laissant des vulnérabilités non détectées</t>
  </si>
  <si>
    <t>Vulnérabilités résiduelles non détectées</t>
  </si>
  <si>
    <t>Réaliser des tests d'intrusion et scans de vulnérabilité</t>
  </si>
  <si>
    <t>Effectuer des analyses de couverture des contrôles</t>
  </si>
  <si>
    <t>Rapport des résultats</t>
  </si>
  <si>
    <t>Le rapport des résultats contient des analyses partielles ou des interprétations erronées</t>
  </si>
  <si>
    <t>Analyses biaisées induisant des décisions erronées</t>
  </si>
  <si>
    <t>Diversifier les sources et méthodes d'analyse</t>
  </si>
  <si>
    <t>Documentation des processus permettant de sélectionner, implémenter et évaluer les contrôles pour garantir leur efficacité continue</t>
  </si>
  <si>
    <t>Les processus de sélection/évaluation sont-ils documentés ?</t>
  </si>
  <si>
    <t>Document processuel</t>
  </si>
  <si>
    <t>Le document processuel décrit des flux qui ne correspondent pas aux pratiques réelles</t>
  </si>
  <si>
    <t>Écart entre procédures documentées et pratiques réelles</t>
  </si>
  <si>
    <t>Organiser des audits surprises sur le terrain</t>
  </si>
  <si>
    <t>Comparer les procédures documentées avec les pratiques réelles</t>
  </si>
  <si>
    <t>Supports d'évaluation</t>
  </si>
  <si>
    <t>Les supports d'évaluation utilisent des outils inadaptés au contexte opérationnel</t>
  </si>
  <si>
    <t>Évaluations inadaptées au contexte opérationnel</t>
  </si>
  <si>
    <t>Adapter les grilles d'évaluation aux spécificités opérationnelles</t>
  </si>
  <si>
    <t>Former les évaluateurs aux contextes métiers</t>
  </si>
  <si>
    <t>Vérifier que les contrôles généraux informatiques sont conçus pour
 être efficaces à tous les niveaux de l’infrastructure informatique,
 incluant les réseaux, les bases de données, les applications et les
 dispositifs matériels</t>
  </si>
  <si>
    <t>Existence de contrôles distincts adaptés à chaque couche de l’infrastructure</t>
  </si>
  <si>
    <t>Existe-t-il des contrôles distincts par couche ?</t>
  </si>
  <si>
    <t>Inventaire des couches</t>
  </si>
  <si>
    <t>L'inventaire des couches présente des omissions dans le recensement des composants</t>
  </si>
  <si>
    <t>Composants critiques non inventoriés</t>
  </si>
  <si>
    <t>Créer un inventaire centralisé des composants critiques</t>
  </si>
  <si>
    <t>Mettre en place un système de tagging des actifs</t>
  </si>
  <si>
    <t>Liste des protections</t>
  </si>
  <si>
    <t>La liste des protections ne couvre pas l'ensemble des menaces identifiées</t>
  </si>
  <si>
    <t>Exposition à des menaces non couvertes</t>
  </si>
  <si>
    <t>Réaliser des analyses de couverture des menaces</t>
  </si>
  <si>
    <t>Combler les lacunes de protection identifiées</t>
  </si>
  <si>
    <t>Documentation des exigences de sécurité spécifiques à chaque niveau</t>
  </si>
  <si>
    <t>Les exigences de sécurité sont-elles documentées ?</t>
  </si>
  <si>
    <t>Document des normes</t>
  </si>
  <si>
    <t>Le document des normes s'appuie sur des référentiels périmés</t>
  </si>
  <si>
    <t>Non-conformité aux standards actuels</t>
  </si>
  <si>
    <t>Établir un plan de mise en conformité progressive</t>
  </si>
  <si>
    <t>Réaliser des audits de conformité trimestriels</t>
  </si>
  <si>
    <t>Registre des exigences</t>
  </si>
  <si>
    <t>Le registre des exigences ne capture pas tous les besoins essentiels</t>
  </si>
  <si>
    <t>Besoins opérationnels essentiels ignorés</t>
  </si>
  <si>
    <t>Implémenter un système de remontée des besoins opérationnels</t>
  </si>
  <si>
    <t>Prioriser les ressources selon l'impact opérationnel</t>
  </si>
  <si>
    <t>Mise en œuvre de contrôles cohérents à travers toutes les couches, garantissant une protection globale</t>
  </si>
  <si>
    <t>Des contrôles cohérents sont-ils mis en œuvre ?</t>
  </si>
  <si>
    <t>Rapport de cohérence</t>
  </si>
  <si>
    <t>Le rapport de cohérence ne relève pas certaines incohérences majeures</t>
  </si>
  <si>
    <t>Incohérences persistantes non corrigées</t>
  </si>
  <si>
    <t>Maintenir un registre des incohérences avec suivi de résolution</t>
  </si>
  <si>
    <t>Affecter des responsables de correction nominatifs</t>
  </si>
  <si>
    <t>Matrice de couverture</t>
  </si>
  <si>
    <t>La matrice de couverture laisse des zones de risque non évaluées</t>
  </si>
  <si>
    <t>Zones de risque non évaluées</t>
  </si>
  <si>
    <t>Effectuer des évaluations de risque exhaustives</t>
  </si>
  <si>
    <t>Cartographier les zones à risque ignorées</t>
  </si>
  <si>
    <t>Tests de pénétration effectués régulièrement pour valider l’efficacité des contrôles à différents niveaux</t>
  </si>
  <si>
    <t>Des tests de pénétration sont-ils effectués ?</t>
  </si>
  <si>
    <t>Plan de tests</t>
  </si>
  <si>
    <t>Le plan de tests néglige certains cas d'usage importants</t>
  </si>
  <si>
    <t>Cas d'usage critiques non testés</t>
  </si>
  <si>
    <t>Développer des scénarios de test couvrant tous les cas critiques</t>
  </si>
  <si>
    <t>Automatiser les tests sur les cas d'usage essentiels</t>
  </si>
  <si>
    <t>Rapport d'intrusion</t>
  </si>
  <si>
    <t>Le rapport d'intrusion ne détecte pas toutes les vulnérabilités existantes</t>
  </si>
  <si>
    <t>Failles de sécurité non identifiées</t>
  </si>
  <si>
    <t>Mener des audits de sécurité complets</t>
  </si>
  <si>
    <t>Mettre en place un programme de bug bounty</t>
  </si>
  <si>
    <t>Surveillance continue des systèmes pour détecter des anomalies à tous les niveaux de l’infrastructure</t>
  </si>
  <si>
    <t>Une surveillance continue est-elle en place ?</t>
  </si>
  <si>
    <t>Document de monitoring</t>
  </si>
  <si>
    <t>Le document de monitoring surveille des indicateurs non pertinents</t>
  </si>
  <si>
    <t>Surveillance inefficace des indicateurs clés</t>
  </si>
  <si>
    <t>Définir des KPI sécurité pertinents et mesurables</t>
  </si>
  <si>
    <t>Automatiser le reporting des indicateurs clés</t>
  </si>
  <si>
    <t>Registre des incidents</t>
  </si>
  <si>
    <t>Le registre des incidents présente des omissions dans le suivi</t>
  </si>
  <si>
    <t>Incidents non suivis ou documentés</t>
  </si>
  <si>
    <t>Standardiser les procédures de documentation d'incidents</t>
  </si>
  <si>
    <t>Imposer des revues post-incident systématiques</t>
  </si>
  <si>
    <t>S’assurer que les contrôles généraux informatiques sont
 régulièrement réévalués pour tenir compte des évolutions
 technologiques, des nouvelles menaces et des changements dans
 l’infrastructure de l’organisation</t>
  </si>
  <si>
    <t>Mise en place d’un processus de réévaluation périodique des contrôles (annuelle, semestrielle)</t>
  </si>
  <si>
    <t>Un processus de réévaluation périodique existe-t-il ?</t>
  </si>
  <si>
    <t>Calendrier de révision</t>
  </si>
  <si>
    <t>Le calendrier de révision n'est pas respecté selon la périodicité requise</t>
  </si>
  <si>
    <t>Révisions non effectuées à temps</t>
  </si>
  <si>
    <t>Planifier un calendrier contraignant de révisions</t>
  </si>
  <si>
    <t>Automatiser les rappels pour les révisions périodiques</t>
  </si>
  <si>
    <t>Rapport d'évaluation</t>
  </si>
  <si>
    <t>Le rapport d'évaluation fournit une analyse incomplète des contrôles</t>
  </si>
  <si>
    <t>Évaluation incomplète de l'efficacité des contrôles</t>
  </si>
  <si>
    <t>Développer des métriques d'efficacité des contrôles</t>
  </si>
  <si>
    <t>Réaliser des tests d'efficacité sur échantillons</t>
  </si>
  <si>
    <t>Surveillance des évolutions technologiques pour adapter les contrôles en conséquence</t>
  </si>
  <si>
    <t>Les évolutions technologiques sont-elles surveillées ?</t>
  </si>
  <si>
    <t>Inventaire technologique</t>
  </si>
  <si>
    <t>L'inventaire technologique omet certains équipements critiques</t>
  </si>
  <si>
    <t>Équipements critiques non gérés</t>
  </si>
  <si>
    <t>Créer un registre central des équipements critiques</t>
  </si>
  <si>
    <t>Implémenter un système de gestion du cycle de vie</t>
  </si>
  <si>
    <t>Liste des évolutions</t>
  </si>
  <si>
    <t>La liste des évolutions n'anticipe pas suffisamment les besoins futurs</t>
  </si>
  <si>
    <t>Capacité d'anticipation insuffisante</t>
  </si>
  <si>
    <t>Former aux techniques d'anticipation et prospective</t>
  </si>
  <si>
    <t>Développer des scénarios prévisionnels réguliers</t>
  </si>
  <si>
    <t>Mise à jour continue des contrôles pour répondre aux nouvelles menaces identifiées</t>
  </si>
  <si>
    <t>Les contrôles sont-ils mis à jour continuellement ?</t>
  </si>
  <si>
    <t>Registre des mises à jour des contrôles (versions/dates/responsables)</t>
  </si>
  <si>
    <t>Le registre des mises à jour ne trace pas toutes les modifications apportées</t>
  </si>
  <si>
    <t>Historique des modifications incomplet</t>
  </si>
  <si>
    <t>Utiliser des outils de gestion de configuration</t>
  </si>
  <si>
    <t>Sauvegarder systématiquement l'historique des changements</t>
  </si>
  <si>
    <t>Liste des modifications techniques apportées</t>
  </si>
  <si>
    <t>La liste des modifications techniques est incomplète</t>
  </si>
  <si>
    <t>Changements techniques non tracés</t>
  </si>
  <si>
    <t>Effectuer des audits complets du périmètre de sécurité</t>
  </si>
  <si>
    <t>Combler les lacunes de couverture identifiées</t>
  </si>
  <si>
    <t>Réalisation d’audits de sécurité pour identifier les écarts dans les contrôles existants face aux évolutions de l’environnement technologique</t>
  </si>
  <si>
    <t>Des audits de sécurité sont-ils réalisés ?</t>
  </si>
  <si>
    <t>Plan d'audit sécurité (périmètre/méthodologie)</t>
  </si>
  <si>
    <t>Le plan d'audit sécurité ne couvre pas l'ensemble du périmètre critique</t>
  </si>
  <si>
    <t>Périmètre de sécurité non entièrement audité</t>
  </si>
  <si>
    <t>Formaliser des plans d'action d'amélioration précis</t>
  </si>
  <si>
    <t>Affecter des responsables et échéances claires</t>
  </si>
  <si>
    <t>Rapport d'audit (vulnérabilités/recommandations)</t>
  </si>
  <si>
    <t>Le rapport d'audit ne propose pas de recommandations actionnables</t>
  </si>
  <si>
    <t>Améliorations non implémentées faute de recommandations claires</t>
  </si>
  <si>
    <t>Implémenter des outils d'analyse des tendances</t>
  </si>
  <si>
    <t>Former à la détection des signaux faibles</t>
  </si>
  <si>
    <t>Intégration de l’analyse des tendances en cybersécurité pour anticiper les risques futurs</t>
  </si>
  <si>
    <t>L'analyse des tendances est-elle intégrée ?</t>
  </si>
  <si>
    <t>Document d'analyse trimestrielle des tendances</t>
  </si>
  <si>
    <t>L'analyse trimestrielle des tendances manque de profondeur</t>
  </si>
  <si>
    <t>Tendances et signaux faibles non détectés</t>
  </si>
  <si>
    <t>Croiser les projections avec des données externes</t>
  </si>
  <si>
    <t>Valider les hypothèses avec des experts indépendants</t>
  </si>
  <si>
    <t>Matrice d'évolution des risques (historique/projections)</t>
  </si>
  <si>
    <t>La matrice d'évolution des risques repose sur des projections erronées</t>
  </si>
  <si>
    <t>Projections de risques inexactes</t>
  </si>
  <si>
    <t>Élargir la couverture des systèmes de surveillance</t>
  </si>
  <si>
    <t>Automatiser la détection des écarts de couverture</t>
  </si>
  <si>
    <t>Vérifier que des mécanismes de suivi sont en place pour surveiller la
 mise en œuvre des contrôles généraux informatiques et évaluer leur
 efficacité en continu</t>
  </si>
  <si>
    <t>Utilisation de systèmes de surveillance automatisée pour contrôler l’efficacité des contrôles en temps réel</t>
  </si>
  <si>
    <t>Des systèmes de surveillance automatisée sont-ils utilisés ?</t>
  </si>
  <si>
    <t>Inventaire des systèmes de surveillance (outils/localisation)</t>
  </si>
  <si>
    <t>L'inventaire des systèmes de surveillance présente des lacunes</t>
  </si>
  <si>
    <t>Couverture de surveillance insuffisante</t>
  </si>
  <si>
    <t>Réaliser des audits techniques approfondis</t>
  </si>
  <si>
    <t>Mettre en place un plan de correction des écarts</t>
  </si>
  <si>
    <t>Liste des configurations techniques</t>
  </si>
  <si>
    <t>La liste des configurations techniques contient des écarts par rapport aux standards</t>
  </si>
  <si>
    <t>Écarts par rapport aux standards techniques</t>
  </si>
  <si>
    <t>Créer une matrice des obligations réglementaires</t>
  </si>
  <si>
    <t>Automatiser les rappels pour les échéances réglementaires</t>
  </si>
  <si>
    <t>Mise en place de rapports de performance réguliers pour évaluer l’efficacité des contrôles de manière continue</t>
  </si>
  <si>
    <t>Des rapports de performance sont-ils mis en place ?</t>
  </si>
  <si>
    <t>Calendrier des reporting (périodicité/destinataires)</t>
  </si>
  <si>
    <t>Le calendrier de reporting ne respecte pas les fréquences réglementaires</t>
  </si>
  <si>
    <t>Manquements aux obligations réglementaires</t>
  </si>
  <si>
    <t>Développer des outils de suivi historique des indicateurs</t>
  </si>
  <si>
    <t>Sauvegarder sécurisé les données historiques</t>
  </si>
  <si>
    <t>Registre des KPI sécurité (historique des données)</t>
  </si>
  <si>
    <t>Le registre des KPI sécurité ne permet pas un suivi historique fiable</t>
  </si>
  <si>
    <t>Suivi historique des indicateurs de sécurité impossible</t>
  </si>
  <si>
    <t>Implémenter des correctifs définitifs et vérifiables</t>
  </si>
  <si>
    <t>Analyse des incidents de sécurité pour tester la réactivité et l’efficacité des contrôles mis en place</t>
  </si>
  <si>
    <t>Les incidents de sécurité sont-ils analysés ?</t>
  </si>
  <si>
    <t>Document de fiches standardisées d'incidents</t>
  </si>
  <si>
    <t>Déclaration incomplète des incidents</t>
  </si>
  <si>
    <t>Incidents récurrents par manque de résolution complète</t>
  </si>
  <si>
    <t>Diversifier les méthodes d'évaluation des risques</t>
  </si>
  <si>
    <t>Confronter les évaluations à la réalité opérationnelle</t>
  </si>
  <si>
    <t>Rapport d'analyse root cause des incidents majeurs</t>
  </si>
  <si>
    <t>Analyse RCA insuffisante</t>
  </si>
  <si>
    <t>Causes racines non traitées entraînant des problèmes persistants</t>
  </si>
  <si>
    <t>Mettre en place des indicateurs de vérification</t>
  </si>
  <si>
    <t>Documenter systématiquement les preuves de correction</t>
  </si>
  <si>
    <t>Évaluation continue de la conformité des contrôles avec les exigences réglementaires et normatives</t>
  </si>
  <si>
    <t>La conformité est-elle évaluée continuellement ?</t>
  </si>
  <si>
    <t>Supports d'évaluation (grilles/checklists)</t>
  </si>
  <si>
    <t>Critères d'évaluation obsolètes</t>
  </si>
  <si>
    <t>Évaluations inexactes des risques et performances</t>
  </si>
  <si>
    <t>Standardiser les exigences de documentation</t>
  </si>
  <si>
    <t>Auditer régulièrement la complétude des dossiers</t>
  </si>
  <si>
    <t>Registre des écarts et corrections</t>
  </si>
  <si>
    <t>Traçage incomplet des corrections</t>
  </si>
  <si>
    <t>Impossibilité de vérifier l'efficacité des corrections</t>
  </si>
  <si>
    <t>Développer des procédures opérationnelles détaillées</t>
  </si>
  <si>
    <t>Former régulièrement sur les processus critiques</t>
  </si>
  <si>
    <t>Mise en place de mécanismes de réajustement des contrôles en fonction des résultats du suivi continu</t>
  </si>
  <si>
    <t>Des mécanismes de réajustement existent-ils ?</t>
  </si>
  <si>
    <t>Document de registre de réajustement</t>
  </si>
  <si>
    <t>Non-application des registres</t>
  </si>
  <si>
    <t>Non-conformité aux exigences réglementaires de documentation</t>
  </si>
  <si>
    <t>Évaluer les compétences stratégiques du personnel</t>
  </si>
  <si>
    <t>Mettre en place des plans de développement individualisés</t>
  </si>
  <si>
    <t>Liste des mécanismes disponibles (mode d'emploi)</t>
  </si>
  <si>
    <t>Documentation technique inexacte</t>
  </si>
  <si>
    <t>Erreurs dans l'exécution des processus opérationnels</t>
  </si>
  <si>
    <t>Identifier les compétences critiques manquantes</t>
  </si>
  <si>
    <t>Accélérer les programmes de formation ciblés</t>
  </si>
  <si>
    <t>S’assurer que les responsables de la mise en œuvre des contrôles
 généraux informatiques sont qualifiés et formés pour gérer les
 risques informatiques et maintenir les contrôles à jour</t>
  </si>
  <si>
    <t>Existence de programmes de formation pour les responsables des contrôles, incluant la sécurité des systèmes d’information</t>
  </si>
  <si>
    <t>Existe-t-il des programmes de formation ?</t>
  </si>
  <si>
    <t>Plan de formation annuel (thèmes/publics)</t>
  </si>
  <si>
    <t>Couverture inadéquate des formations</t>
  </si>
  <si>
    <t>Lacunes dans les compétences critiques du personnel</t>
  </si>
  <si>
    <t>Digitaliser les processus de documentation réglementaire</t>
  </si>
  <si>
    <t>Implémenter des contrôles automatiques de conformité</t>
  </si>
  <si>
    <t>Calendrier des sessions (dates/formateurs)</t>
  </si>
  <si>
    <t>Non-respect du planning de formation</t>
  </si>
  <si>
    <t>Retards dans le développement des compétences nécessaires</t>
  </si>
  <si>
    <t>Créer des simulateurs de scénarios critiques</t>
  </si>
  <si>
    <t>Tester mensuellement les plans de continuité d'activité</t>
  </si>
  <si>
    <t>Formation continue pour rester à jour avec les évolutions des menaces informatiques et des meilleures pratiques</t>
  </si>
  <si>
    <t>La formation est-elle continue ?</t>
  </si>
  <si>
    <t>Registre de présence aux événements sectoriels</t>
  </si>
  <si>
    <t>Traçabilité insuffisante des participations</t>
  </si>
  <si>
    <t>Difficulté à démontrer la conformité aux exigences</t>
  </si>
  <si>
    <t>Créer un référentiel documentaire unique pour toutes les exigences</t>
  </si>
  <si>
    <t>Automatiser le suivi des preuves de conformité</t>
  </si>
  <si>
    <t>Liste des comités techniques pertinents</t>
  </si>
  <si>
    <t>Composition inadaptée des comités</t>
  </si>
  <si>
    <t>Décisions stratégiques mal alignées avec les besoins</t>
  </si>
  <si>
    <t>Aligner la stratégie avec une analyse annuelle des besoins métiers</t>
  </si>
  <si>
    <t>Impliquer les opérationnels dans les comités stratégiques</t>
  </si>
  <si>
    <t>Participation des responsables à des forums de cybersécurité ou à des formations spécialisées</t>
  </si>
  <si>
    <t>Les responsables participent-ils à des forums ?</t>
  </si>
  <si>
    <t>Document référentiel des compétences requises</t>
  </si>
  <si>
    <t>Référentiel des compétences non actualisé</t>
  </si>
  <si>
    <t>Inadéquation entre compétences disponibles et besoins</t>
  </si>
  <si>
    <t>Réaliser un audit complet des compétences disponibles</t>
  </si>
  <si>
    <t>Mettre en place un plan de formation adaptatif</t>
  </si>
  <si>
    <t>Rapport des évaluations individuelles annuelles</t>
  </si>
  <si>
    <t>Évaluation annuelle superficielle</t>
  </si>
  <si>
    <t>Faiblesses organisationnelles non détectées</t>
  </si>
  <si>
    <t>Implémenter des diagnostics organisationnels réguliers</t>
  </si>
  <si>
    <t>Benchmarker avec les meilleures pratiques du secteur</t>
  </si>
  <si>
    <t>Mise en place d’évaluations régulières des compétences des responsables des contrôles pour identifier les besoins de formation</t>
  </si>
  <si>
    <t>Des évaluations régulières des compétences existent-elles ?</t>
  </si>
  <si>
    <t>Contrat cadre avec les experts externes</t>
  </si>
  <si>
    <t>Dépendance excessive aux experts externes</t>
  </si>
  <si>
    <t>Coûts supplémentaires et perte de savoir-faire interne</t>
  </si>
  <si>
    <t>Analyser systématiquement les coûts cachés</t>
  </si>
  <si>
    <t>Développer des programmes de transfert de compétences</t>
  </si>
  <si>
    <t>Registre des prestations externes</t>
  </si>
  <si>
    <t>Suivi incomplet des prestations externes</t>
  </si>
  <si>
    <t>Risques accrus liés à la gestion des fournisseurs</t>
  </si>
  <si>
    <t>Élaborer une cartographie des risques fournisseurs</t>
  </si>
  <si>
    <t>Standardiser les processus de due diligence</t>
  </si>
  <si>
    <t>Collaboration avec des experts externes pour assurer un niveau élevé de compétence et de préparation face aux nouvelles menaces</t>
  </si>
  <si>
    <t>Une collaboration avec des experts externes existe-t-elle ?</t>
  </si>
  <si>
    <t>Document des registres opérationnelles consolidées</t>
  </si>
  <si>
    <t>registres opérationnelles non mises à jour</t>
  </si>
  <si>
    <t>Prise de décision basée sur des données erronées</t>
  </si>
  <si>
    <t>Implémenter des contrôles de qualité des données</t>
  </si>
  <si>
    <t>Former les décideurs à l'analyse critique des données</t>
  </si>
  <si>
    <t>Inventaire des normes en vigueur</t>
  </si>
  <si>
    <t>Inventaire normatif incomplet</t>
  </si>
  <si>
    <t>Exposition à des sanctions réglementaires</t>
  </si>
  <si>
    <t>Mettre en place une veille réglementaire proactive</t>
  </si>
  <si>
    <t>Nommer des responsables conformité par domaine</t>
  </si>
  <si>
    <t>Vérifier que des registres documentées sont en place pour la
 mise en œuvre, la gestion et la réévaluation des contrôles généraux
 informatiques, garantissant la cohérence et la traçabilité des actions
 entreprises</t>
  </si>
  <si>
    <t>Existence de documents formels décrivant les registres de mise en œuvre, de gestion et de réévaluation des contrôles</t>
  </si>
  <si>
    <t>Des documents formels décrivant les registres existent-ils ?</t>
  </si>
  <si>
    <t>Calendrier des révisions programmées</t>
  </si>
  <si>
    <t>Retard dans les révisions documentaires</t>
  </si>
  <si>
    <t>Application de procédures obsolètes</t>
  </si>
  <si>
    <t>Auditer trimestriellement les procédures en vigueur</t>
  </si>
  <si>
    <t>Automatiser les mises à jour des processus</t>
  </si>
  <si>
    <t>Registre des versions validées</t>
  </si>
  <si>
    <t>Utilisation de versions non validées</t>
  </si>
  <si>
    <t>Incohérences dans l'exécution des processus</t>
  </si>
  <si>
    <t>Développer des guides procéduraux détaillés</t>
  </si>
  <si>
    <t>Organiser des ateliers d'harmonisation inter-services</t>
  </si>
  <si>
    <t>es registres sont mises à jour régulièrement pour refléter les évolutions technologiques et les changements dans les exigences réglementaires</t>
  </si>
  <si>
    <t>Les registres sont-elles mises à jour régulièrement ?</t>
  </si>
  <si>
    <t>Rapport de synthèse des actions documentées</t>
  </si>
  <si>
    <t>Synthèse des actions incomplète</t>
  </si>
  <si>
    <t>Vision incomplète des progrès réalisés</t>
  </si>
  <si>
    <t>Créer des tableaux de bord de progression en temps réel</t>
  </si>
  <si>
    <t>Automatiser les rapports d'avancement</t>
  </si>
  <si>
    <t>Liste des documents produits et archivés</t>
  </si>
  <si>
    <t>Gestion archivistique défaillante</t>
  </si>
  <si>
    <t>Difficultés d'accès aux documents essentiels</t>
  </si>
  <si>
    <t>Centraliser les documents dans un système sécurisé</t>
  </si>
  <si>
    <t>Mettre en place une politique de gestion documentaire stricte</t>
  </si>
  <si>
    <t>Documentation complète des actions entreprises pour chaque mise en œuvre et réévaluation des contrôles</t>
  </si>
  <si>
    <t>Les actions sont-elles documentées complètement ?</t>
  </si>
  <si>
    <t>Registre des actions documentées (fiches complètes/preuves)</t>
  </si>
  <si>
    <t>Preuves d'actions manquantes</t>
  </si>
  <si>
    <t>Impossibilité de prouver la conformité</t>
  </si>
  <si>
    <t>Digitaliser les preuves de conformité</t>
  </si>
  <si>
    <t>Utiliser des technologies blockchain pour l'archivage</t>
  </si>
  <si>
    <t>Liste des documents produits avec statut</t>
  </si>
  <si>
    <t>Statut documentaire non clair</t>
  </si>
  <si>
    <t>Confusion dans l'utilisation des documents</t>
  </si>
  <si>
    <t>Standardiser les modèles de documents</t>
  </si>
  <si>
    <t>Former le personnel aux bonnes pratiques documentaires</t>
  </si>
  <si>
    <t>Accès facilité à la documentation pour les parties prenantes afin d’assurer la transparence des processus</t>
  </si>
  <si>
    <t>L'accès à la documentation est-il facilité ?</t>
  </si>
  <si>
    <t>Document de politique d'accès (droits/registres)</t>
  </si>
  <si>
    <t>Politique d'accès non appliquée</t>
  </si>
  <si>
    <t>Expositions à des accès non autorisés</t>
  </si>
  <si>
    <t>Implémenter des contrôles d'accès stricts</t>
  </si>
  <si>
    <t>Mettre en place un système de gestion des identités</t>
  </si>
  <si>
    <t>Supports d'accès (guides/plateforme)</t>
  </si>
  <si>
    <t>Supports d'accès inefficaces</t>
  </si>
  <si>
    <t>Retards dans les processus décisionnels</t>
  </si>
  <si>
    <t>Cartographier et optimiser les processus décisionnels</t>
  </si>
  <si>
    <t>Définir des SLA pour chaque étape décisionnelle</t>
  </si>
  <si>
    <t>Traçabilité des décisions concernant l’adaptation ou l’évolution des contrôles grâce à des rapports de suivi</t>
  </si>
  <si>
    <t>La traçabilité des décisions est-elle assurée ?</t>
  </si>
  <si>
    <t>Journal des décisions (dates/motivations)</t>
  </si>
  <si>
    <t>Journal des décisions incomplet</t>
  </si>
  <si>
    <t>Historique décisionnel incomplet</t>
  </si>
  <si>
    <t>Digitaliser l'ensemble du processus décisionnel</t>
  </si>
  <si>
    <t>Sauvegarder systématiquement les éléments de décision</t>
  </si>
  <si>
    <t>PV des comités de validation</t>
  </si>
  <si>
    <t>PV de validation manquants</t>
  </si>
  <si>
    <t>Absence de preuve des validations</t>
  </si>
  <si>
    <t>Formaliser les processus de validation</t>
  </si>
  <si>
    <t>Implémenter des workflows électroniques</t>
  </si>
  <si>
    <t>S’assurer que des tests d’audit sont régulièrement réalisés pour
 vérifier l’efficacité des contrôles généraux informatiques et leur
 conformité aux normes et réglementations applicables</t>
  </si>
  <si>
    <t>Sélection d’auditeurs qualifiés, internes ou externes, pour effectuer des audits sur la sécurité des systèmes d’information</t>
  </si>
  <si>
    <t>Des auditeurs qualifiés sont-ils sélectionnés ?</t>
  </si>
  <si>
    <t>Liste des auditeurs certifiés (diplômes/expérience)</t>
  </si>
  <si>
    <t>Qualifications des auditeurs non vérifiées</t>
  </si>
  <si>
    <t>Qualité dégradée des évaluations</t>
  </si>
  <si>
    <t>Standardiser les méthodologies d'évaluation</t>
  </si>
  <si>
    <t>Document des critères de sélection</t>
  </si>
  <si>
    <t>Critères de sélection inadaptés</t>
  </si>
  <si>
    <t>Mauvaise allocation des ressources d'audit</t>
  </si>
  <si>
    <t>Optimiser la planification des audits</t>
  </si>
  <si>
    <t>Allouer les ressources selon une analyse de risque</t>
  </si>
  <si>
    <t>Réalisation d’audits réguliers et documentés pour identifier les lacunes dans les contrôles de sécurité</t>
  </si>
  <si>
    <t>Des audits réguliers sont-ils réalisés ?</t>
  </si>
  <si>
    <t>Calendrier des audits programmés (fréquence/périmètre)</t>
  </si>
  <si>
    <t>Calendrier d'audit non respecté</t>
  </si>
  <si>
    <t>Retard dans l'identifiacation des faiblesses</t>
  </si>
  <si>
    <t>Automatiser la détection des faiblesses</t>
  </si>
  <si>
    <t>Mettre en place des alertes précoces</t>
  </si>
  <si>
    <t>Rapport d'audit périodique</t>
  </si>
  <si>
    <t>Suivi des audits défaillant</t>
  </si>
  <si>
    <t>Recommandations non prises en compte</t>
  </si>
  <si>
    <t>Créer un système de suivi des recommandations</t>
  </si>
  <si>
    <t>Lier la mise en œuvre aux objectifs individuels</t>
  </si>
  <si>
    <t>Prise en compte des recommandations des audits pour améliorer les contrôles généraux</t>
  </si>
  <si>
    <t>Les recommandations des audits sont-elles prises en compte ?</t>
  </si>
  <si>
    <t>Registre des recommandations (suivi/statut)</t>
  </si>
  <si>
    <t>Suivi ineffectif des recommandations</t>
  </si>
  <si>
    <t>Persistance des non-conformités</t>
  </si>
  <si>
    <t>Renforcer les mécanismes de suivi des actions</t>
  </si>
  <si>
    <t>Plan de mise en œuvre des préconisations</t>
  </si>
  <si>
    <t>Mise en œuvre partielle des préconisations</t>
  </si>
  <si>
    <t>Efficacité réduite des plans d'action</t>
  </si>
  <si>
    <t>Développer une cartographie des risques dynamique</t>
  </si>
  <si>
    <t>Intégrer des scénarios prospectifs</t>
  </si>
  <si>
    <t>Rapport d’audit détaillant les failles, les risques, ainsi que les recommandations pour des actions correctives</t>
  </si>
  <si>
    <t>Des rapports d'audit détaillés sont-ils produits ?</t>
  </si>
  <si>
    <t>Document de rapport d'audit (version détaillée)</t>
  </si>
  <si>
    <t>Rapport d'audit incomplet</t>
  </si>
  <si>
    <t>Vue incomplète des risques</t>
  </si>
  <si>
    <t>Automatiser les mises à jour des données stratégiques</t>
  </si>
  <si>
    <t>Imposer des revues trimestrielles des informations</t>
  </si>
  <si>
    <t>Annexes techniques des audits</t>
  </si>
  <si>
    <t>Annexes techniques non actualisées</t>
  </si>
  <si>
    <t>Décisions basées sur des informations obsolètes</t>
  </si>
  <si>
    <t>Standardiser les processus de résolution</t>
  </si>
  <si>
    <t>Définir des échéances contraignantes</t>
  </si>
  <si>
    <t>Suivi des actions correctives suite aux audits pour s’assurer de la mise en œuvre effective des améliorations suggérées</t>
  </si>
  <si>
    <t>Les actions correctives sont-elles suivies ?</t>
  </si>
  <si>
    <t>Tableau de suivi des correctifs (avancement/responsables)</t>
  </si>
  <si>
    <t>Avancement des correctifs non suivi</t>
  </si>
  <si>
    <t>Retard dans la résolution des problèmes</t>
  </si>
  <si>
    <t>Implémenter des contrôles post-correction</t>
  </si>
  <si>
    <t>Liste des actions clôturées</t>
  </si>
  <si>
    <t>Clôture prématurée d'actions</t>
  </si>
  <si>
    <t>Correctifs inefficaces ou incomplets</t>
  </si>
  <si>
    <t>Réévaluer régulièrement l'appétence au risque</t>
  </si>
  <si>
    <t>Mettre à jour les indicateurs de risque</t>
  </si>
  <si>
    <t>S’assurer que des règles de contrôle claires et bien définies sont
 mises en place pour chaque domaine critique, et qu’elles couvrent
 toutes les activités pertinentes pour assurer la conformité et la
 gestion des risques</t>
  </si>
  <si>
    <t>Application des règles aux processus spécifiques pour chaque activité opérationnelle liée à la sécurité</t>
  </si>
  <si>
    <t>Les règles sont-elles appliquées aux processus ?</t>
  </si>
  <si>
    <t>Procès-verbal d'application des règles</t>
  </si>
  <si>
    <t>Non-respect des règles documenté</t>
  </si>
  <si>
    <t>Augmentation des risques opérationnels</t>
  </si>
  <si>
    <t>Auditer les écarts de perception</t>
  </si>
  <si>
    <t>Confronter les croyances aux données réelles</t>
  </si>
  <si>
    <t>Matrice de conformité processus/règles</t>
  </si>
  <si>
    <t>Matrice de conformité inexacte</t>
  </si>
  <si>
    <t>Fausse perception de la conformité</t>
  </si>
  <si>
    <t>Benchmarker les pratiques avec les standards</t>
  </si>
  <si>
    <t>Mettre en place un plan d'alignement progressif</t>
  </si>
  <si>
    <t>Révision des règles de contrôle en fonction de l’évolution des risques et des menaces</t>
  </si>
  <si>
    <t>Les règles sont-elles révisées régulièrement ?</t>
  </si>
  <si>
    <t>Calendrier des révisions des règles</t>
  </si>
  <si>
    <t>Révisions des règles retardées</t>
  </si>
  <si>
    <t>Pratiques non alignées avec les standards</t>
  </si>
  <si>
    <t>Analyser les causes racines des erreurs</t>
  </si>
  <si>
    <t>Implémenter des contrôles qualité automatisés</t>
  </si>
  <si>
    <t>Registre des versions approuvées</t>
  </si>
  <si>
    <t>Versions non approuvées utilisées</t>
  </si>
  <si>
    <t>Augmentation des erreurs critiques</t>
  </si>
  <si>
    <t>Harmoniser les processus entre services</t>
  </si>
  <si>
    <t>Documenter toutes les exceptions</t>
  </si>
  <si>
    <t>Communication claire des règles aux parties prenantes pour garantir leur application uniforme</t>
  </si>
  <si>
    <t>Les règles sont-elles clairement communiquées ?</t>
  </si>
  <si>
    <t>Guide de diffusion des règles (supports/formats)</t>
  </si>
  <si>
    <t>Diffusion inégale des règles</t>
  </si>
  <si>
    <t>Incohérence dans l'application des processus</t>
  </si>
  <si>
    <t>Tester régulièrement les connaissances du personnel</t>
  </si>
  <si>
    <t>Digitaliser les formations obligatoires</t>
  </si>
  <si>
    <t>Attestations de lecture des règles</t>
  </si>
  <si>
    <t>Attestations de lecture non collectées</t>
  </si>
  <si>
    <t>Impossibilité de prouver la connaissance des règles par le personnel</t>
  </si>
  <si>
    <t>Développer des checklists exhaustives</t>
  </si>
  <si>
    <t>Automatiser les rappels pour les points critiques</t>
  </si>
  <si>
    <t>Mise en œuvre de mécanismes de contrôle pour vérifier le respect des règles établies</t>
  </si>
  <si>
    <t>Le respect des règles est-il vérifié ?</t>
  </si>
  <si>
    <t>Checklist de vérification du respect</t>
  </si>
  <si>
    <t>Checklist non exhaustive</t>
  </si>
  <si>
    <t>Points critiques oubliés lors des vérifications</t>
  </si>
  <si>
    <t>Mettre en place un système de gestion des problèmes</t>
  </si>
  <si>
    <t>Affecter des responsables de résolution</t>
  </si>
  <si>
    <t>Rapport des écarts constatés</t>
  </si>
  <si>
    <t>Écarts non rapportés systématiquement</t>
  </si>
  <si>
    <t>Adapter le plan d'audit aux risques émergents</t>
  </si>
  <si>
    <t>Former les auditeurs aux risques spécifiques</t>
  </si>
  <si>
    <t>Audit de conformité pour s’assurer que les règles de contrôle sont bien appliquées et respectées</t>
  </si>
  <si>
    <t>Des audits de conformité sont-ils réalisés ?</t>
  </si>
  <si>
    <t>Plan d'audit de conformité</t>
  </si>
  <si>
    <t>Plan d'audit non aligné aux risques</t>
  </si>
  <si>
    <t>Risques importants non couverts par les audits</t>
  </si>
  <si>
    <t>Préparer des dossiers d'audit permanents</t>
  </si>
  <si>
    <t>Standardiser les preuves de conformité</t>
  </si>
  <si>
    <t>Compte-rendu des non-conformités</t>
  </si>
  <si>
    <t>Non-conformités mal documentées</t>
  </si>
  <si>
    <t>Difficulté à démontrer la conformité aux auditeurs</t>
  </si>
  <si>
    <t>Digitaliser le suivi des participants</t>
  </si>
  <si>
    <t>Automatiser les invitations et présences</t>
  </si>
  <si>
    <t>Vérifier que les responsables des contrôles sont impliqués dans la
 définition et la mise à jour des règles et des registres, afin de
 garantir que celles-ci répondent aux besoins spécifiques des
 systèmes d'information et aux exigences de contrôle</t>
  </si>
  <si>
    <t>Participation active des responsables des contrôles à l’élaboration et à la mise à jour des règles de contrôle</t>
  </si>
  <si>
    <t>Les responsables participent-ils activement ?</t>
  </si>
  <si>
    <t>PV de participation aux revues</t>
  </si>
  <si>
    <t>Participation aux revues non tracée</t>
  </si>
  <si>
    <t>Impossibilité de suivre les participants aux revues qualité</t>
  </si>
  <si>
    <t>Mettre en place des enquêtes de satisfaction</t>
  </si>
  <si>
    <t>Développer des programmes de reconnaissance</t>
  </si>
  <si>
    <t>Liste des contributions actives</t>
  </si>
  <si>
    <t>Contributions non reconnues</t>
  </si>
  <si>
    <t>Baisse de motivation des employés</t>
  </si>
  <si>
    <t>Standardiser les procédures de réunion</t>
  </si>
  <si>
    <t>Imposer des comptes-rendus d'action</t>
  </si>
  <si>
    <t>Collaboration avec les équipes techniques pour adapter les règles de contrôle aux besoins spécifiques des systèmes d’information</t>
  </si>
  <si>
    <t>La collaboration avec les équipes techniques existe-t-elle ?</t>
  </si>
  <si>
    <t>Liste des réunions techniques</t>
  </si>
  <si>
    <t>Réunions techniques non productives</t>
  </si>
  <si>
    <t>Perte de temps en réunions inefficaces</t>
  </si>
  <si>
    <t>Clarifier les décisions par écrit</t>
  </si>
  <si>
    <t>Organiser des séances de questions-réponses</t>
  </si>
  <si>
    <t>Registre des décisions collaboratives</t>
  </si>
  <si>
    <t>Décisions collaboratives non formalisées</t>
  </si>
  <si>
    <t>Décisions mal comprises ou contestées</t>
  </si>
  <si>
    <t>Implémenter un système de validation électronique</t>
  </si>
  <si>
    <t>Configurer des alertes pour les validations manquantes</t>
  </si>
  <si>
    <t>Existence d’un processus d’approbation formel pour toute mise à jour des règles par les responsables des contrôles</t>
  </si>
  <si>
    <t>Un processus d'approbation formel existe-t-il ?</t>
  </si>
  <si>
    <t>Document de registre d’approbation</t>
  </si>
  <si>
    <t>registre d'approbation non suivie</t>
  </si>
  <si>
    <t>Validations manquantes sur documents importants</t>
  </si>
  <si>
    <t>Digitaliser les processus d'approbation</t>
  </si>
  <si>
    <t>Lier les approbations aux workflows</t>
  </si>
  <si>
    <t>Plan de validation formelle</t>
  </si>
  <si>
    <t>Validation formelle absente</t>
  </si>
  <si>
    <t>Décisions sans approbation officielle</t>
  </si>
  <si>
    <t>Auditer régulièrement la cohérence des processus</t>
  </si>
  <si>
    <t>Documenter toutes les dérogations</t>
  </si>
  <si>
    <t>Révision périodique des règles par les responsables pour garantir qu’elles sont toujours pertinentes</t>
  </si>
  <si>
    <t>Les règles sont-elles révisées périodiquement ?</t>
  </si>
  <si>
    <t>Fiche de révision des règles</t>
  </si>
  <si>
    <t>Révisions des règles non standardisées</t>
  </si>
  <si>
    <t>Incohérences entre les processus</t>
  </si>
  <si>
    <t>Mettre en place un système de gestion documentaire</t>
  </si>
  <si>
    <t>Automatiser les mises à jour des versions</t>
  </si>
  <si>
    <t>Manuel de versionnage</t>
  </si>
  <si>
    <t>Versionnage incohérent</t>
  </si>
  <si>
    <t>Utilisation de versions obsolètes de documents</t>
  </si>
  <si>
    <t>Implémenter des contrôles d'intégrité des données</t>
  </si>
  <si>
    <t>Sauvegarder régulièrement la base documentaire</t>
  </si>
  <si>
    <t>Mise à jour continue des règles pour répondre aux nouvelles menaces et aux évolutions technologiques</t>
  </si>
  <si>
    <t>Les règles sont-elles mises à jour continuellement ?</t>
  </si>
  <si>
    <t>Registre des mises à jour</t>
  </si>
  <si>
    <t>Mises à jour non enregistrées</t>
  </si>
  <si>
    <t>Base documentaire non fiable</t>
  </si>
  <si>
    <t>Auditer l'application des procédures</t>
  </si>
  <si>
    <t>Automatiser les rappels procéduraux</t>
  </si>
  <si>
    <t>Liste des modifications</t>
  </si>
  <si>
    <t>Modifications non communiquées</t>
  </si>
  <si>
    <t>Application de procédures périmées</t>
  </si>
  <si>
    <t>Déployer des outils de monitoring opérationnel</t>
  </si>
  <si>
    <t>Centraliser les indicateurs clés</t>
  </si>
  <si>
    <t>Information et Communication</t>
  </si>
  <si>
    <t>Utilisation d’informations de qualité</t>
  </si>
  <si>
    <t>S’assurer que des mécanismes de suivi sont en place pour garantir
 le respect des règles et registres de contrôle, avec des rapports
 réguliers sur leur mise en œuvre et des audits pour vérifier leur
 efficacité</t>
  </si>
  <si>
    <t>Des mécanismes de suivi réguliers sont définis et suivis par un responsable ou un comité dédié</t>
  </si>
  <si>
    <t>Des mécanismes de suivi réguliers existent-ils ?</t>
  </si>
  <si>
    <t>Plan de suivi opérationnel</t>
  </si>
  <si>
    <t>Suivi opérationnel défaillant</t>
  </si>
  <si>
    <t>Perte de visibilité sur les opérations</t>
  </si>
  <si>
    <t>Imposer l'analyse des KPI avant décision</t>
  </si>
  <si>
    <t>Former les décideurs à l'utilisation des indicateurs</t>
  </si>
  <si>
    <t>Rapport des indicateurs clés</t>
  </si>
  <si>
    <t>Indicateurs clés non analysés</t>
  </si>
  <si>
    <t>Décisions sans analyse des indicateurs clés</t>
  </si>
  <si>
    <t>Automatiser la collecte des données décisionnelles</t>
  </si>
  <si>
    <t>Développer des tableaux de bord stratégiques</t>
  </si>
  <si>
    <t>Des rapports de suivi sont générés périodiquement et examinés par la direction pour évaluer l’efficacité des contrôles</t>
  </si>
  <si>
    <t>Des rapports de suivi sont-ils examinés ?</t>
  </si>
  <si>
    <t>Document d’examen des rapports</t>
  </si>
  <si>
    <t>Examen superficiel des rapports</t>
  </si>
  <si>
    <t>Problèmes détectés trop tard</t>
  </si>
  <si>
    <t>Implémenter des systèmes de détection précoce avec alertes automatiques</t>
  </si>
  <si>
    <t>Configurer des seuils d'alerte adaptatifs pour les indicateurs clés</t>
  </si>
  <si>
    <t>Charte d’analyse des données</t>
  </si>
  <si>
    <t>Analyse des données non standardisée</t>
  </si>
  <si>
    <t>Données non comparables entre périodes</t>
  </si>
  <si>
    <t>Standardiser les formats et méthodes de collecte de données</t>
  </si>
  <si>
    <t>Créer des référentiels de données historiques normalisés</t>
  </si>
  <si>
    <t>Des audits internes sont réalisés à intervalles réguliers pour évaluer la conformité des registres de contrôle</t>
  </si>
  <si>
    <t>Des audits internes sont-ils réalisés ?</t>
  </si>
  <si>
    <t>Liste des audits internes</t>
  </si>
  <si>
    <t>Omission des audits critiques</t>
  </si>
  <si>
    <t>Failles majeures non identifiées</t>
  </si>
  <si>
    <t>Réaliser des audits de sécurité approfondis trimestriels</t>
  </si>
  <si>
    <t>Registre des conclusions d’audit</t>
  </si>
  <si>
    <t>Absence de conclusions formalisées</t>
  </si>
  <si>
    <t>Absence de plans d'action clairs</t>
  </si>
  <si>
    <t>Développer des plans d'action SMART (Spécifiques, Mesurables, Atteignables, Réalistes, Temporels)</t>
  </si>
  <si>
    <t>Affecter des responsables clairement identifiés pour chaque action</t>
  </si>
  <si>
    <t>Les résultats des audits sont documentés et communiqués aux parties prenantes concernées</t>
  </si>
  <si>
    <t>Les résultats des audits sont-ils communiqués ?</t>
  </si>
  <si>
    <t>Plan de communication des résultats</t>
  </si>
  <si>
    <t>Communication partielle des résultats</t>
  </si>
  <si>
    <t>Décisions basées sur des informations incomplètes</t>
  </si>
  <si>
    <t>Imposer la validation croisée des informations avant décision</t>
  </si>
  <si>
    <t>Diversifier les sources d'information stratégiques</t>
  </si>
  <si>
    <t>Fiche de diffusion managériale</t>
  </si>
  <si>
    <t>Transmission managériale défaillante</t>
  </si>
  <si>
    <t>Mauvaise transmission des consignes</t>
  </si>
  <si>
    <t>Standardiser les canaux et supports de transmission</t>
  </si>
  <si>
    <t>Vérifier systématiquement la compréhension des consignes</t>
  </si>
  <si>
    <t>Des actions sont prises pour résoudre les problèmes identifiés lors des audits, avec des échéances claires pour la mise en œuvre des corrections</t>
  </si>
  <si>
    <t>Des actions sont-elles prises avec échéances claires ?</t>
  </si>
  <si>
    <t>Manuel de gestion des actions</t>
  </si>
  <si>
    <t>registres d'action floues</t>
  </si>
  <si>
    <t>Responsabilités mal définies</t>
  </si>
  <si>
    <t>Élaborer des fiches de poste détaillées</t>
  </si>
  <si>
    <t>Publier un organigramme des responsabilités actualisé</t>
  </si>
  <si>
    <t>Inventaire des échéances</t>
  </si>
  <si>
    <t>Non-respect des échéances</t>
  </si>
  <si>
    <t>Retards chroniques dans les projets</t>
  </si>
  <si>
    <t>Mettre en place un système de suivi de projet avec alertes</t>
  </si>
  <si>
    <t>Définir des jalons intermédiaires contraignants</t>
  </si>
  <si>
    <t>Vérifier que des actions correctives sont prises lorsque des écarts
 sont identifiés dans l’application des règles et registres de
 contrôle, avec des processus de mise à jour ou de renforcement des
 contrôles si nécessaire</t>
  </si>
  <si>
    <t>Un processus documenté est en place pour identifier, analyser et corriger les écarts dans les registres de contrôle</t>
  </si>
  <si>
    <t>Un processus documenté de correction existe-t-il ?</t>
  </si>
  <si>
    <t>Document de registre corrective</t>
  </si>
  <si>
    <t>Méthodes correctives inopérantes</t>
  </si>
  <si>
    <t>Solutions inefficaces réappliquées</t>
  </si>
  <si>
    <t>Analyser systématiquement les causes d'échec</t>
  </si>
  <si>
    <t>Implémenter un référentiel de solutions validées</t>
  </si>
  <si>
    <t>Charte de traitement des écarts</t>
  </si>
  <si>
    <t>Tolérance excessive aux écarts</t>
  </si>
  <si>
    <t>Acceptation d'écarts inacceptables</t>
  </si>
  <si>
    <t>Établir des tolérances qualité clairement définies</t>
  </si>
  <si>
    <t>Automatiser le signalement des écarts</t>
  </si>
  <si>
    <t>Des actions correctives sont systématiquement définies pour chaque écart observé, avec des délais précis pour leur mise en œuvre</t>
  </si>
  <si>
    <t>Des actions correctives sont-elles définies ?</t>
  </si>
  <si>
    <t>Liste des actions CAPA</t>
  </si>
  <si>
    <t>Négligence des actions préventives</t>
  </si>
  <si>
    <t>Incidents qui auraient pu être évités</t>
  </si>
  <si>
    <t>Développer des scénarios préventifs pour risques connus</t>
  </si>
  <si>
    <t>Organiser des simulations régulières</t>
  </si>
  <si>
    <t>Rapport efficacité</t>
  </si>
  <si>
    <t>Défaut de suivi post-correction</t>
  </si>
  <si>
    <t>Efficacité des corrections non vérifiée</t>
  </si>
  <si>
    <t>Imposer des contrôles post-correction systématiques</t>
  </si>
  <si>
    <t>Mesurer l'efficacité via des indicateurs dédiés</t>
  </si>
  <si>
    <t>Les actions correctives sont suivies et évaluées pour vérifier leur efficacité</t>
  </si>
  <si>
    <t>L'efficacité des corrections est-elles évaluée ?</t>
  </si>
  <si>
    <t>Plan de révision des contrôles</t>
  </si>
  <si>
    <t>Contrôles non actualisés</t>
  </si>
  <si>
    <t>Détection trop tardive des anomalies</t>
  </si>
  <si>
    <t>Automatiser la documentation des corrections</t>
  </si>
  <si>
    <t>Créer une base de connaissances des résolutions</t>
  </si>
  <si>
    <t>Registre des ajustements</t>
  </si>
  <si>
    <t>Ajustements mal documentés</t>
  </si>
  <si>
    <t>Impossibilité de reproduire les corrections</t>
  </si>
  <si>
    <t>Former aux techniques de prise de décision</t>
  </si>
  <si>
    <t>Implémenter des outils d'aide à la décision</t>
  </si>
  <si>
    <t>Des processus de révision des contrôles sont activés pour s’assurer que les ajustements sont apportés en fonction des écarts identifiés</t>
  </si>
  <si>
    <t>Les contrôles sont-ils révisés après écarts ?</t>
  </si>
  <si>
    <t>Fiche de reporting directionnel</t>
  </si>
  <si>
    <t>Reporting directionnel incomplet</t>
  </si>
  <si>
    <t>Prises de décision inadaptées</t>
  </si>
  <si>
    <t>Utiliser des méthodes de planification éprouvées (GANTT, PERT)</t>
  </si>
  <si>
    <t>Allouer des marges de sécurité réalistes</t>
  </si>
  <si>
    <t>Manuel d’information stratégique</t>
  </si>
  <si>
    <t>Données stratégiques inexactes</t>
  </si>
  <si>
    <t>Planification inefficace des actions</t>
  </si>
  <si>
    <t>Certifier les compétences via des tests pratiques</t>
  </si>
  <si>
    <t>Maintenir un registre des compétences à jour</t>
  </si>
  <si>
    <t>La direction est informée des actions correctives prises et de leur impact sur l’efficacité des contrôles</t>
  </si>
  <si>
    <t>La direction est-elle informée des impacts ?</t>
  </si>
  <si>
    <t>Registre des formations</t>
  </si>
  <si>
    <t>Enregistrement des formations absent</t>
  </si>
  <si>
    <t>Incapacité à prouver les compétences</t>
  </si>
  <si>
    <t>Réaliser des audits de compétences annuels</t>
  </si>
  <si>
    <t>Adapter les plans de formation aux besoins réels</t>
  </si>
  <si>
    <t>Plan de développement des compétences</t>
  </si>
  <si>
    <t>Développement des compétences incohérent</t>
  </si>
  <si>
    <t>Inadéquation entre compétences et besoins</t>
  </si>
  <si>
    <t>Mettre à jour le référentiel de compétences</t>
  </si>
  <si>
    <t>Organiser des sessions de mise à niveau trimestrielles</t>
  </si>
  <si>
    <t>S’assurer que des formations régulières sont proposées aux
 collaborateurs pour garantir leur compréhension et leur capacité à
 mettre en œuvre correctement les règles et registres de contrôle</t>
  </si>
  <si>
    <t>Des programmes de formation sont définis pour assurer la compétence des collaborateurs en matière de contrôle interne</t>
  </si>
  <si>
    <t>Des programmes de formation existent-ils ?</t>
  </si>
  <si>
    <t>Charte de périodicité des formations</t>
  </si>
  <si>
    <t>Périodicité des formations non respectée</t>
  </si>
  <si>
    <t>Savoir-faire devenus obsolètes</t>
  </si>
  <si>
    <t>Évaluer l'acquisition des connaissances</t>
  </si>
  <si>
    <t>Diversifier les méthodes pédagogiques</t>
  </si>
  <si>
    <t>inventaire des contenus pédagogiques</t>
  </si>
  <si>
    <t>Supports pédagogiques dépassés</t>
  </si>
  <si>
    <t>Mauvaise assimilation des connaissances</t>
  </si>
  <si>
    <t>Benchmarker régulièrement les standards qualité</t>
  </si>
  <si>
    <t>Automatiser les contrôles qualité critiques</t>
  </si>
  <si>
    <t>La fréquence des formations est définie et suivie, avec une mise à jour des contenus pour refléter les évolutions des règles et registres</t>
  </si>
  <si>
    <t>La périodicité des formations est-elle clairement établie et respectée, avec adaptation des contenus ?</t>
  </si>
  <si>
    <t>Document de politique qualité</t>
  </si>
  <si>
    <t>Politique qualité obsolète</t>
  </si>
  <si>
    <t>Non-conformité aux standards qualité</t>
  </si>
  <si>
    <t>Réaliser des cartographies des processus</t>
  </si>
  <si>
    <t>Mesurer l'efficience de chaque processus</t>
  </si>
  <si>
    <t>Liste des référentiels métiers</t>
  </si>
  <si>
    <t>Référentiels métiers périmés</t>
  </si>
  <si>
    <t>Processus inefficaces et contre-productifs</t>
  </si>
  <si>
    <t>Évaluer l'impact des formations via des KPI</t>
  </si>
  <si>
    <t>Recueillir des feedbacks terrain post-formation</t>
  </si>
  <si>
    <t>Un système d’évaluation est mis en place pour mesurer l’efficacité des formations et l’acquisition des compétences</t>
  </si>
  <si>
    <t>Existe-t-il une méthode pour évaluer l'impact des formations sur les compétences ?</t>
  </si>
  <si>
    <t>Liste évaluations post-formation</t>
  </si>
  <si>
    <t>Évaluation post-formation absente</t>
  </si>
  <si>
    <t>Impact des formations non évalué</t>
  </si>
  <si>
    <t>Développer des tableaux de bord ROI formation</t>
  </si>
  <si>
    <t>Lier les formations aux objectifs métiers</t>
  </si>
  <si>
    <t>Rapport impact compétences</t>
  </si>
  <si>
    <t>Impact des compétences non quantifié</t>
  </si>
  <si>
    <t>Retour sur investissement inconnu</t>
  </si>
  <si>
    <t>Standardiser les supports de formation</t>
  </si>
  <si>
    <t>Valider le contenu par des experts métiers</t>
  </si>
  <si>
    <t>Les responsables de formation sont qualifiés et bien informés des changements dans les règles et registres</t>
  </si>
  <si>
    <t>Les formateurs possèdent-ils les qualifications nécessaires et sont-ils tenus informés ?</t>
  </si>
  <si>
    <t>Registre qualifications formateurs</t>
  </si>
  <si>
    <t>Formateurs non qualifiés</t>
  </si>
  <si>
    <t>Transmission erronée des connaissances</t>
  </si>
  <si>
    <t>Mettre à jour annuellement les programmes</t>
  </si>
  <si>
    <t>Créer des parcours de développement individualisés</t>
  </si>
  <si>
    <t>Document mises à jour pédagogiques</t>
  </si>
  <si>
    <t>Contenus de formation non révisés</t>
  </si>
  <si>
    <t>Enseignement d'informations dépassées</t>
  </si>
  <si>
    <t>Implémenter des programmes d'inclusion</t>
  </si>
  <si>
    <t>Diversifier les canaux de communication interne</t>
  </si>
  <si>
    <t>Les formations sont accessibles à tous les collaborateurs concernés et sont adaptées à leurs fonctions</t>
  </si>
  <si>
    <t>L'accès aux formations est-il universel et personnalisé selon les postes ?</t>
  </si>
  <si>
    <t>Plan parcours formation</t>
  </si>
  <si>
    <t>Parcours de formation inapproprié</t>
  </si>
  <si>
    <t>Évolution professionnelle entravée</t>
  </si>
  <si>
    <t>Tester rigoureusement les solutions avant déploiement</t>
  </si>
  <si>
    <t>Mettre en place des environnements de test réalistes</t>
  </si>
  <si>
    <t>Fiche accessibilité personnalisée</t>
  </si>
  <si>
    <t>Accessibilité non adaptée aux besoins</t>
  </si>
  <si>
    <t>Exclusion de certains collaborateurs</t>
  </si>
  <si>
    <t>Automatiser les contrôles qualité intermédiaires</t>
  </si>
  <si>
    <t>Implémenter des systèmes de double vérification</t>
  </si>
  <si>
    <t>S’assurer que des mécanismes sont en place pour collecter des
 informations fiables et pertinentes sur les activités de l’organisation,
 en particulier celles liées au contrôle interne</t>
  </si>
  <si>
    <t>Des systèmes d’information appropriés sont utilisés pour collecter et centraliser les données relatives au contrôle interne</t>
  </si>
  <si>
    <t>Des solutions informatiques permettent-elles de regrouper les données de contrôle ?</t>
  </si>
  <si>
    <t>Pièce solution informatique</t>
  </si>
  <si>
    <t>Solution technique inadaptée au problème</t>
  </si>
  <si>
    <t>Échec des solutions techniques</t>
  </si>
  <si>
    <t>Renforcer les contrôles finaux produits</t>
  </si>
  <si>
    <t>Analyser systématiquement les retours clients</t>
  </si>
  <si>
    <t>Calendrier contrôles données</t>
  </si>
  <si>
    <t>Contrôles des données irréguliers</t>
  </si>
  <si>
    <t>Erreurs passant inaperçues</t>
  </si>
  <si>
    <t>Mettre en place des sauvegardes automatiques</t>
  </si>
  <si>
    <t>Standardiser les formats de données critiques</t>
  </si>
  <si>
    <t>Des contrôles sont en place pour vérifier la fiabilité des données collectées</t>
  </si>
  <si>
    <t>La qualité des données recueillies fait-elle l'objet de vérifications ?</t>
  </si>
  <si>
    <t>Liste vérifications qualité</t>
  </si>
  <si>
    <t>Vérifications qualité incomplètes</t>
  </si>
  <si>
    <t>Défauts atteignant les clients</t>
  </si>
  <si>
    <t>Automatiser la collecte des preuves</t>
  </si>
  <si>
    <t>Rapport anomalies détectées</t>
  </si>
  <si>
    <t>Anomalies non corrigées systématiquement</t>
  </si>
  <si>
    <t>Aggravation des dysfonctionnements</t>
  </si>
  <si>
    <t>Élaborer des plans de continuité d'activité</t>
  </si>
  <si>
    <t>Identifier des solutions de secours pré-approuvées</t>
  </si>
  <si>
    <t>Les processus de collecte sont systématiques, transparents et bien documentés</t>
  </si>
  <si>
    <t>La collecte d'informations suit-elle une registre claire et traçable ?</t>
  </si>
  <si>
    <t>Registre registres collecte</t>
  </si>
  <si>
    <t>registres de collecte non suivies</t>
  </si>
  <si>
    <t>Données perdues ou incomplètes</t>
  </si>
  <si>
    <t>Optimiser les circuits décisionnels</t>
  </si>
  <si>
    <t>Limiter le nombre d'approbations nécessaires</t>
  </si>
  <si>
    <t>Document traçabilité données</t>
  </si>
  <si>
    <t>Traçabilité des données insuffisante</t>
  </si>
  <si>
    <t>Audits impossibles à réaliser</t>
  </si>
  <si>
    <t>Standardiser les modèles d'analyse</t>
  </si>
  <si>
    <t>Former aux biais cognitifs dans l'analyse</t>
  </si>
  <si>
    <t>Les informations collectées sont accessibles en temps réel et sont utilisées pour améliorer les processus internes</t>
  </si>
  <si>
    <t>Les données sont-elles disponibles immédiatement pour optimiser les processus ?</t>
  </si>
  <si>
    <t>Plan accès immédiat</t>
  </si>
  <si>
    <t>Accès urgent impossible</t>
  </si>
  <si>
    <t>Blocage des opérations urgentes</t>
  </si>
  <si>
    <t>Cartographier les processus critiques</t>
  </si>
  <si>
    <t>Mettre en place des indicateurs de surveillance</t>
  </si>
  <si>
    <t>Fiche disponibilité données</t>
  </si>
  <si>
    <t>Disponibilité des données aléatoire</t>
  </si>
  <si>
    <t>Retard dans les prises de décision</t>
  </si>
  <si>
    <t>Implémenter des systèmes de détection d'erreurs</t>
  </si>
  <si>
    <t>Automatiser la documentation des anomalies</t>
  </si>
  <si>
    <t>Des critères de pertinence sont définis pour assurer que les informations collectées répondent aux besoins des parties prenantes</t>
  </si>
  <si>
    <t>Des filtres garantissent-ils l'adéquation des informations aux attentes ?</t>
  </si>
  <si>
    <t>Pièce paramètres filtres</t>
  </si>
  <si>
    <t>Paramétrage des filtres erroné</t>
  </si>
  <si>
    <t>Analyses et rapports biaisés</t>
  </si>
  <si>
    <t>Sauvegarder l'historique des actions correctives</t>
  </si>
  <si>
    <t>Créer une base de connaissances des problèmes résolus</t>
  </si>
  <si>
    <t>Calendrier ajustements filtres</t>
  </si>
  <si>
    <t>Ajustements non planifiés</t>
  </si>
  <si>
    <t>Perturbation des processus clés</t>
  </si>
  <si>
    <t>Vérifier systématiquement la qualité des données</t>
  </si>
  <si>
    <t>Implémenter des contrôles d'intégrité</t>
  </si>
  <si>
    <t>Vérifier que les informations générées sont complètes, précises et à
 jour, de manière à refléter fidèlement la situation de l’organisation et
 ses performances en matière de contrôle interne</t>
  </si>
  <si>
    <t>Un processus de validation est mis en place pour vérifier l’exactitude des informations générées avant leur diffusion</t>
  </si>
  <si>
    <t>Une validation systématique assure-t-elle la justesse des données diffusées ?</t>
  </si>
  <si>
    <t>Liste validations systématiques</t>
  </si>
  <si>
    <t>Validations automatisées absentes</t>
  </si>
  <si>
    <t>Erreurs non détectées s'accumulent</t>
  </si>
  <si>
    <t>Standardiser les méthodes d'analyse</t>
  </si>
  <si>
    <t>Former aux techniques d'analyse avancées</t>
  </si>
  <si>
    <t>Rapport erreurs corrigées</t>
  </si>
  <si>
    <t>Corrections d'erreurs non documentées</t>
  </si>
  <si>
    <t>Historique des corrections perdu</t>
  </si>
  <si>
    <t>Analyser les causes profondes des récidives</t>
  </si>
  <si>
    <t>Implémenter des solutions définitives</t>
  </si>
  <si>
    <t>Des rapports de gestion des risques et de contrôle interne sont générés avec des données complètes et à jour</t>
  </si>
  <si>
    <t>Les rapports s'appuient-ils sur des informations exhaustives et actuelles ?</t>
  </si>
  <si>
    <t>Registre sources données</t>
  </si>
  <si>
    <t>Sources de données non certifiées</t>
  </si>
  <si>
    <t>Décisions basées sur données non fiables</t>
  </si>
  <si>
    <t>Automatiser le nettoyage des données</t>
  </si>
  <si>
    <t>Mettre en place des contrôles de cohérence</t>
  </si>
  <si>
    <t>Document exhaustivité rapports</t>
  </si>
  <si>
    <t>Informations manquantes dans les rapports</t>
  </si>
  <si>
    <t>Analyses incomplètes et biaisées</t>
  </si>
  <si>
    <t>Clarifier les procédures opérationnelles</t>
  </si>
  <si>
    <t>Organiser des ateliers de clarification</t>
  </si>
  <si>
    <t>Des mécanismes de révision des informations sont établis pour corriger les erreurs et assurer leur conformité avec la réalité de l’organisation</t>
  </si>
  <si>
    <t>Des registres rectificatives maintiennent-elles la conformité des données ?</t>
  </si>
  <si>
    <t>Plan registres rectificatives</t>
  </si>
  <si>
    <t>registres de correction inefficaces</t>
  </si>
  <si>
    <t>Automatiser les mises à jour d'information</t>
  </si>
  <si>
    <t>Mettre en place des alertes sur documents obsolètes</t>
  </si>
  <si>
    <t>Fiche conformité données</t>
  </si>
  <si>
    <t>Non-conformité des données persistante</t>
  </si>
  <si>
    <t>Qualité des données constamment dégradée</t>
  </si>
  <si>
    <t>Réviser l'efficacité des contrôles existants</t>
  </si>
  <si>
    <t>Optimiser le rapport coût/efficacité des contrôles</t>
  </si>
  <si>
    <t>Les responsables des informations sont définis et responsables de la mise à jour régulière de ces données</t>
  </si>
  <si>
    <t>Chaque jeu de données a-t-il un gestionnaire attitré pour les mises à jour ?</t>
  </si>
  <si>
    <t>Pièce responsables données</t>
  </si>
  <si>
    <t>Confusion dans l'exécution des tâches</t>
  </si>
  <si>
    <t>Standardiser les formats de données</t>
  </si>
  <si>
    <t>Implémenter des outils d'ETL (Extract, Transform, Load)</t>
  </si>
  <si>
    <t>Calendrier mises à jour</t>
  </si>
  <si>
    <t>Mises à jour retardées</t>
  </si>
  <si>
    <t>Utilisation d'informations obsolètes</t>
  </si>
  <si>
    <t>Renforcer les contrôles d'accès aux données</t>
  </si>
  <si>
    <t>Des outils de contrôle de la qualité des informations sont utilisés pour garantir leur fiabilité</t>
  </si>
  <si>
    <t>La fiabilité des informations est-elle contrôlée par des outils dédiés ?</t>
  </si>
  <si>
    <t>Liste outils contrôle</t>
  </si>
  <si>
    <t>Outils de contrôle inadéquats</t>
  </si>
  <si>
    <t>Contrôles inefficaces et coûteux</t>
  </si>
  <si>
    <t>Mettre en place un plan de maintenance préventive</t>
  </si>
  <si>
    <t>Former le personnel aux bonnes pratiques techniques</t>
  </si>
  <si>
    <t>Rapport fiabilité données</t>
  </si>
  <si>
    <t>Données peu fiables</t>
  </si>
  <si>
    <t>Données inexploitables</t>
  </si>
  <si>
    <t>Automatiser la détection des anomalies techniques</t>
  </si>
  <si>
    <t>Maintenir un stock de pièces critiques</t>
  </si>
  <si>
    <t>S’assurer que les informations nécessaires au bon fonctionnement
 des autres composantes du contrôle interne sont accessibles en
 temps utile et sous un format compréhensible pour les
 responsables concernés</t>
  </si>
  <si>
    <t>Les informations pertinentes sont accessibles à tous les responsables concernés à travers des plateformes sécurisées et bien structurées</t>
  </si>
  <si>
    <t>Les données clés sont-elles consultables via des interfaces sécurisées ?</t>
  </si>
  <si>
    <t>Registre accès sécurisés</t>
  </si>
  <si>
    <t>Accès non sécurisés</t>
  </si>
  <si>
    <t>Fuites de données sensibles</t>
  </si>
  <si>
    <t>Documenter toutes les pannes et solutions</t>
  </si>
  <si>
    <t>Analyser les tendances des pannes récurrentes</t>
  </si>
  <si>
    <t>Document interfaces données</t>
  </si>
  <si>
    <t>Interfaces techniques défectueuses</t>
  </si>
  <si>
    <t>Pannes techniques répétées</t>
  </si>
  <si>
    <t>Former les équipes aux gestes techniques de base</t>
  </si>
  <si>
    <t>Mettre en place un système de mentorat technique</t>
  </si>
  <si>
    <t>Des formats standardisés sont utilisés pour la présentation des informations, afin de garantir leur compréhension rapide et efficace</t>
  </si>
  <si>
    <t>L'uniformisation des présentations facilite-t-elle leur interprétation ?</t>
  </si>
  <si>
    <t>Plan standardisation présentations</t>
  </si>
  <si>
    <t>Présentations non standardisées</t>
  </si>
  <si>
    <t>Incohérence dans les rapports</t>
  </si>
  <si>
    <t>Standardiser les modèles et formats de reporting</t>
  </si>
  <si>
    <t>Mettre en place des contrôles qualité automatisés pour les rapports</t>
  </si>
  <si>
    <t>Fiche modèles rapports</t>
  </si>
  <si>
    <t>Modèles de rapports obsolètes</t>
  </si>
  <si>
    <t>Rapports inadaptés aux besoins</t>
  </si>
  <si>
    <t>Implémenter un processus de collecte des besoins utilisateurs</t>
  </si>
  <si>
    <t>Former les rédacteurs à l'analyse des besoins métiers</t>
  </si>
  <si>
    <t>Des mécanismes de partage d’information sont en place pour faciliter l’accès en temps réel aux données nécessaires</t>
  </si>
  <si>
    <t>Le partage d'information permet-il un accès immédiat aux données utiles ?</t>
  </si>
  <si>
    <t>Pièce partage information</t>
  </si>
  <si>
    <t>Partage d'informations restreint</t>
  </si>
  <si>
    <t>Collaboration entravée entre services</t>
  </si>
  <si>
    <t>Créer des comités transversaux réguliers</t>
  </si>
  <si>
    <t>Développer une plateforme collaborative centralisée</t>
  </si>
  <si>
    <t>Calendrier accès données</t>
  </si>
  <si>
    <t>Accès aux données irrégulier</t>
  </si>
  <si>
    <t>Accès désorganisés aux informations</t>
  </si>
  <si>
    <t>Structurer un référentiel documentaire unique</t>
  </si>
  <si>
    <t>Mettre en place une politique de gestion des connaissances</t>
  </si>
  <si>
    <t>Les responsables du contrôle interne ont un accès direct aux informations critiques pour leur prise de décision</t>
  </si>
  <si>
    <t>Les décideurs bénéficient-ils d'un accès prioritaire aux informations sensibles ?</t>
  </si>
  <si>
    <t>Liste accès prioritaires</t>
  </si>
  <si>
    <t>Les accès prioritaires ne sont pas correctement gérés, exposant le système à des intrusions</t>
  </si>
  <si>
    <t>Vulnérabilité aux cyberattaques</t>
  </si>
  <si>
    <t>Réaliser des tests d'intrusion réguliers</t>
  </si>
  <si>
    <t>Former tous les employés aux bonnes pratiques cybersécurité</t>
  </si>
  <si>
    <t>Rapport données sensibles</t>
  </si>
  <si>
    <t>Le rapport des données sensibles présente des failles de confidentialité</t>
  </si>
  <si>
    <t>Divulgation d'informations confidentielles</t>
  </si>
  <si>
    <t>Implémenter des solutions de chiffrement des données</t>
  </si>
  <si>
    <t>Restreindre l'accès selon le principe du besoin de connaître</t>
  </si>
  <si>
    <t>Des notifications et alertes sont envoyées en cas de mise à jour ou de nouvelles informations pertinentes à prendre en compte</t>
  </si>
  <si>
    <t>Un système d'alerte signale-t-il les actualisations importantes ?</t>
  </si>
  <si>
    <t>Registre alertes système</t>
  </si>
  <si>
    <t>Les alertes système ne sont pas traitées dans les délais requis</t>
  </si>
  <si>
    <t>Retards dans le traitement des alertes</t>
  </si>
  <si>
    <t>Automatiser le traitement des alertes</t>
  </si>
  <si>
    <t>Définir des SLA stricts pour la réponse aux incidents</t>
  </si>
  <si>
    <t>Document notifications importantes</t>
  </si>
  <si>
    <t>Les notifications importantes ne parviennent pas aux destinataires concernés</t>
  </si>
  <si>
    <t>Communication interne défaillante</t>
  </si>
  <si>
    <t>Centraliser les canaux de communication</t>
  </si>
  <si>
    <t>Organiser des points d'échange inter-services hebdomadaires</t>
  </si>
  <si>
    <t>Communication interne</t>
  </si>
  <si>
    <t>Vérifier que des processus formels de validation des informations
 sont mis en place pour garantir leur exactitude, leur fiabilité et leur
 cohérence avant leur utilisation dans les autres composantes du
 contrôle interne</t>
  </si>
  <si>
    <t>Les informations sont vérifiées par des personnes qualifiées avant leur diffusion dans le cadre du contrôle interne</t>
  </si>
  <si>
    <t>Des experts valident-ils les informations avant leur utilisation ?</t>
  </si>
  <si>
    <t>Plan validation experts</t>
  </si>
  <si>
    <t>La validation par les experts n'est pas systématiquement effectuée</t>
  </si>
  <si>
    <t>Décisions sans expertise appropriée</t>
  </si>
  <si>
    <t>Créer un comité d'experts pour validation des décisions</t>
  </si>
  <si>
    <t>Documenter systématiquement les sources d'expertise</t>
  </si>
  <si>
    <t>Fiche approbations métiers</t>
  </si>
  <si>
    <t>Les approbations métiers subissent des retards préjudiciables</t>
  </si>
  <si>
    <t>Retards dans les livraisons critiques</t>
  </si>
  <si>
    <t>Optimiser la planification des livraisons</t>
  </si>
  <si>
    <t>Mettre en place des indicateurs de suivi en temps réel</t>
  </si>
  <si>
    <t>Des contrôles de qualité sont mis en place pour garantir l’exactitude et la cohérence des informations</t>
  </si>
  <si>
    <t>La qualité et la cohérence des données sont-elles systématiquement contrôlées ?</t>
  </si>
  <si>
    <t>Pièce contrôles qualité</t>
  </si>
  <si>
    <t>Les contrôles qualité sont réalisés de manière incomplète</t>
  </si>
  <si>
    <t>Qualité non conforme aux attentes</t>
  </si>
  <si>
    <t>Renforcer les contrôles qualité intermédiaires</t>
  </si>
  <si>
    <t>Implémenter des checklists de validation finale</t>
  </si>
  <si>
    <t>Calendrier audits qualité</t>
  </si>
  <si>
    <t>Le calendrier des audits qualité n'est pas respecté</t>
  </si>
  <si>
    <t>Audits sans valeur ajoutée</t>
  </si>
  <si>
    <t>Former les auditeurs aux techniques d'audit à valeur ajoutée</t>
  </si>
  <si>
    <t>Aligner les plans d'audit sur les risques réels</t>
  </si>
  <si>
    <t>Les informations sont soumises à une double vérification, si nécessaire, pour s’assurer de leur fiabilité</t>
  </si>
  <si>
    <t>Certaines informations subissent-elles une vérification renforcée ?</t>
  </si>
  <si>
    <t>Liste vérifications renforcées</t>
  </si>
  <si>
    <t>Les vérifications renforcées sont fréquemment omises</t>
  </si>
  <si>
    <t>Zones à risque non couvertes</t>
  </si>
  <si>
    <t>Mettre à jour régulièrement la cartographie des risques</t>
  </si>
  <si>
    <t>Effectuer des audits surprises sur zones sensibles</t>
  </si>
  <si>
    <t>Rapport contrôles approfondis</t>
  </si>
  <si>
    <t>Les contrôles approfondis ne couvrent pas tous les risques</t>
  </si>
  <si>
    <t>Absence de preuves d'audit</t>
  </si>
  <si>
    <t>Digitaliser les preuves d'audit</t>
  </si>
  <si>
    <t>Standardiser les méthodes de documentation</t>
  </si>
  <si>
    <t>Des audits ou des révisions périodiques sont effectués pour valider la conformité des processus de validation avec les normes internes</t>
  </si>
  <si>
    <t>Des audits périodiques contrôlent-ils les processus de validation ?</t>
  </si>
  <si>
    <t>Registre audits processus</t>
  </si>
  <si>
    <t>Les audits processus ne sont pas correctement enregistrés</t>
  </si>
  <si>
    <t>Outils de validation défectueux</t>
  </si>
  <si>
    <t>Valider régulièrement les outils de contrôle</t>
  </si>
  <si>
    <t>Maintenir un environnement de test dédié</t>
  </si>
  <si>
    <t>Document registres audit</t>
  </si>
  <si>
    <t>Les registres d'audit sont obsolètes et inadaptées</t>
  </si>
  <si>
    <t>Incohérences dans les processus</t>
  </si>
  <si>
    <t>Cartographier et harmoniser les processus</t>
  </si>
  <si>
    <t>Documenter toutes les exceptions et dérogations</t>
  </si>
  <si>
    <t>Des outils automatisés ou logiciels sont utilisés pour faciliter et standardiser le processus de validation des informations</t>
  </si>
  <si>
    <t>L'automatisation standardise-t-elle les validations ?</t>
  </si>
  <si>
    <t>Plan automatisation validations</t>
  </si>
  <si>
    <t>L'automatisation des validations présente des dysfonctionnements récurrents</t>
  </si>
  <si>
    <t>Retards dans les mises à jour système</t>
  </si>
  <si>
    <t>Automatiser les mises à jour systèmes</t>
  </si>
  <si>
    <t>Établir un calendrier de maintenance contraignant</t>
  </si>
  <si>
    <t>Fiche workflows standardisés</t>
  </si>
  <si>
    <t>Les workflows ne suivent pas de standards définis</t>
  </si>
  <si>
    <t>Données non actualisées utilisées</t>
  </si>
  <si>
    <t>Implémenter des alertes sur données obsolètes</t>
  </si>
  <si>
    <t>Créer des processus d'actualisation automatisés</t>
  </si>
  <si>
    <t>S’assurer que les informations relatives aux risques et aux contrôles
 internes sont régulièrement mises à jour et partagées avec les
 parties prenantes pertinentes, y compris la direction et le Conseil</t>
  </si>
  <si>
    <t>Un calendrier de mise à jour des informations relatives aux risques et contrôles internes est défini et respecté</t>
  </si>
  <si>
    <t>Un échéancier encadre-t-il les mises à jour informationnelles ?</t>
  </si>
  <si>
    <t>Pièce échéancier MAJ</t>
  </si>
  <si>
    <t>Les mises à jour ne respectent pas l'échéancier prévu</t>
  </si>
  <si>
    <t>Reporting directionnel erroné</t>
  </si>
  <si>
    <t>Vérifier les sources des rapports directionnels</t>
  </si>
  <si>
    <t>Introduire des contre-vérifications indépendantes</t>
  </si>
  <si>
    <t>Calendrier révisions données</t>
  </si>
  <si>
    <t>Les révisions des données sont effectuées avec retard</t>
  </si>
  <si>
    <t>Contrôle global inefficace</t>
  </si>
  <si>
    <t>Développer un tableau de bord de contrôle global</t>
  </si>
  <si>
    <t>Automatiser la consolidation des indicateurs</t>
  </si>
  <si>
    <t>Des rapports réguliers sur les risques et les contrôles internes sont partagés avec la direction et le Conseil, conformément à la fréquence prévue</t>
  </si>
  <si>
    <t>La gouvernance reçoit-elle des rapports périodiques conformément au planning ?</t>
  </si>
  <si>
    <t>Liste reporting direction</t>
  </si>
  <si>
    <t>Le reporting à la direction omet des informations cruciales</t>
  </si>
  <si>
    <t>Délais excessifs entre actualisations</t>
  </si>
  <si>
    <t>Réduire les fréquences d'actualisation</t>
  </si>
  <si>
    <t>Automatiser les processus de reporting</t>
  </si>
  <si>
    <t>Rapport gouvernance périodique</t>
  </si>
  <si>
    <t>La gouvernance périodique ne permet pas un contrôle efficace</t>
  </si>
  <si>
    <t>Non-respect des politiques internes</t>
  </si>
  <si>
    <t>Mettre en place des contrôles de conformité automatisés</t>
  </si>
  <si>
    <t>Sanctionner les écarts répétés aux politiques</t>
  </si>
  <si>
    <t>Les informations sont mises à jour en temps réel ou à intervalles réguliers pour refléter les changements dans les risques ou les contrôles</t>
  </si>
  <si>
    <t>L'actualisation des données suit-elle un rythme défini ou se fait-elle en continu ?</t>
  </si>
  <si>
    <t>Registre rythmes actualisation</t>
  </si>
  <si>
    <t>Les actualisations sont trop espacées dans le temps</t>
  </si>
  <si>
    <t>Décisions stratégiques non validées</t>
  </si>
  <si>
    <t>Instaurer des comités de validation stratégique</t>
  </si>
  <si>
    <t>Documenter systématiquement les décisions</t>
  </si>
  <si>
    <t>Document politique MAJ</t>
  </si>
  <si>
    <t>La politique de mise à jour n'est pas appliquée</t>
  </si>
  <si>
    <t>Validations métier manquantes</t>
  </si>
  <si>
    <t>Implémenter des workflows de validation métier</t>
  </si>
  <si>
    <t>Former les validateurs aux enjeux métiers</t>
  </si>
  <si>
    <t>La direction et le Conseil sont consultés lors des mises à jour majeures des informations sur les risques</t>
  </si>
  <si>
    <t>Les mises à jour significatives requièrent-elles l'avis de la direction ?</t>
  </si>
  <si>
    <t>Plan approbation direction</t>
  </si>
  <si>
    <t>L'approbation par la direction fait défaut pour des décisions importantes</t>
  </si>
  <si>
    <t>Accès non justifiés aux systèmes</t>
  </si>
  <si>
    <t>Appliquer le principe du moindre privilège</t>
  </si>
  <si>
    <t>Auditer trimestriellement les habilitations</t>
  </si>
  <si>
    <t>Fiche validations stratégiques</t>
  </si>
  <si>
    <t>Les validations stratégiques ne sont pas systématiquement réalisées</t>
  </si>
  <si>
    <t>Évaluation superficielle des habilitations</t>
  </si>
  <si>
    <t>Mettre en place des évaluations des compétences</t>
  </si>
  <si>
    <t>Développer des parcours de formation individualisés</t>
  </si>
  <si>
    <t>Les informations mises à jour sont accessibles à toutes les parties prenantes concernées, en fonction de leur niveau de responsabilité</t>
  </si>
  <si>
    <t>Les données actualisées sont-elles accessibles selon le principe de besoin ?</t>
  </si>
  <si>
    <t>Pièce principes accès</t>
  </si>
  <si>
    <t>Les principes d'accès ne sont pas strictement respectés</t>
  </si>
  <si>
    <t>Retard dans le développement des compétences</t>
  </si>
  <si>
    <t>Réviser annuellement les contenus de formation</t>
  </si>
  <si>
    <t>Impliquer les experts métiers dans les mises à jour</t>
  </si>
  <si>
    <t>Calendrier besoins accès</t>
  </si>
  <si>
    <t>L'évaluation des besoins d'accès est insuffisante</t>
  </si>
  <si>
    <t>Contenus de formation obsolètes</t>
  </si>
  <si>
    <t>Mesurer l'impact des formations via des KPI</t>
  </si>
  <si>
    <t>Implémenter des évaluations post-formation</t>
  </si>
  <si>
    <t>Vérifier que des outils de gestion de l'information et des technologies
 appropriées sont utilisés pour faciliter la collecte, l'analyse et la
 distribution des informations pertinentes relatives au contrôle
 interne</t>
  </si>
  <si>
    <t>Le calendrier des formations est-il rigoureusement appliqué avec contenus actualisés ?</t>
  </si>
  <si>
    <t>Liste calendrier formations</t>
  </si>
  <si>
    <t>Le calendrier des formations n'est pas suivi rigoureusement</t>
  </si>
  <si>
    <t>Impact des formations non mesuré</t>
  </si>
  <si>
    <t>Tester systématiquement les acquis de formation</t>
  </si>
  <si>
    <t>Certifier les compétences acquises</t>
  </si>
  <si>
    <t>Rapport contenus actualisés</t>
  </si>
  <si>
    <t>Les contenus de formation ne sont pas actualisés</t>
  </si>
  <si>
    <t>Compétences acquises non vérifiées</t>
  </si>
  <si>
    <t>Standardiser les critères qualité des formations</t>
  </si>
  <si>
    <t>Recueillir des feedbacks stagiaires systématiques</t>
  </si>
  <si>
    <t>L'évaluation des formations mesure-t-elle tant leur efficacité que l'apprentissage ?</t>
  </si>
  <si>
    <t>Registre efficacité formations</t>
  </si>
  <si>
    <t>L'efficacité des formations n'est pas mesurée</t>
  </si>
  <si>
    <t>Qualité réduite des formations</t>
  </si>
  <si>
    <t>Mettre en place une veille réglementaire active</t>
  </si>
  <si>
    <t>Nommer des correspondants conformité</t>
  </si>
  <si>
    <t>Document évaluation apprentissage</t>
  </si>
  <si>
    <t>L'évaluation des apprentissages est absente ou superficielle</t>
  </si>
  <si>
    <t>Non-conformité réglementaire</t>
  </si>
  <si>
    <t>Analyser annuellement les besoins en compétences</t>
  </si>
  <si>
    <t>Adapter les plans de formation aux évolutions métiers</t>
  </si>
  <si>
    <t>Les formateurs maîtrisent-ils les dernières évolutions réglementaires ?</t>
  </si>
  <si>
    <t>Liste des certifications formateurs actualisées</t>
  </si>
  <si>
    <t>Formateurs non certifiés à jour</t>
  </si>
  <si>
    <t>Inadéquation formation/besoins</t>
  </si>
  <si>
    <t>Réaliser des audits d'architecture sécurité</t>
  </si>
  <si>
    <t>Mettre en place des tests de résistance annuels</t>
  </si>
  <si>
    <t>Rapport de veille réglementaire mensuel</t>
  </si>
  <si>
    <t>Mises à jour réglementaires manquées</t>
  </si>
  <si>
    <t>Architecture système vulnérable</t>
  </si>
  <si>
    <t>Automatiser la consolidation des données</t>
  </si>
  <si>
    <t>Implémenter des outils ETL professionnels</t>
  </si>
  <si>
    <t>L'offre de formation est-elle inclusive et différenciée selon les métiers ?</t>
  </si>
  <si>
    <t>Registre des formations par métier</t>
  </si>
  <si>
    <t>Formations non alignées aux besoins métiers</t>
  </si>
  <si>
    <t>Données non consolidées</t>
  </si>
  <si>
    <t>Définir des standards qualité pour les données</t>
  </si>
  <si>
    <t>Nommer des data stewards par domaine</t>
  </si>
  <si>
    <t>Document de politique d'inclusion</t>
  </si>
  <si>
    <t>Politique d'inclusion non déployée</t>
  </si>
  <si>
    <t>Absence de contrôle qualité données</t>
  </si>
  <si>
    <t>Déployer des outils de détection d'anomalies</t>
  </si>
  <si>
    <t>Configurer des alertes sur données aberrantes</t>
  </si>
  <si>
    <t>Des rappels et des sessions de mise à jour régulières sont programmés pour maintenir le niveau de connaissance des collaborateurs à jour</t>
  </si>
  <si>
    <t>Des recyclages périodiques maintiennent-ils les compétences à niveau ?</t>
  </si>
  <si>
    <t>Plan de recyclage annuel</t>
  </si>
  <si>
    <t>Recyclage annuel non effectué</t>
  </si>
  <si>
    <t>Anomalies non détectées</t>
  </si>
  <si>
    <t>Homologuer les méthodes d'analyse</t>
  </si>
  <si>
    <t>Auditer régulièrement les pratiques analytiques</t>
  </si>
  <si>
    <t>Fiche d'évaluation des compétences</t>
  </si>
  <si>
    <t>Évaluation des compétences non réalisée</t>
  </si>
  <si>
    <t>Méthodes non homologuées utilisées</t>
  </si>
  <si>
    <t>Standardiser les processus de collecte</t>
  </si>
  <si>
    <t>Automatiser les contrôles d'exhaustivité</t>
  </si>
  <si>
    <t>S’assurer que l’organisation a mis en place des processus formels
 pour communiquer de manière régulière et transparente les
 informations nécessaires au fonctionnement du contrôle interne à
 tous les niveaux de l’organisation</t>
  </si>
  <si>
    <t>L'architecture informatique permet-elle une centralisation des données de contrôle ?</t>
  </si>
  <si>
    <t>Pièce technique d'architecture système</t>
  </si>
  <si>
    <t>Architecture système non sécurisée</t>
  </si>
  <si>
    <t>Collecte données incomplète</t>
  </si>
  <si>
    <t>Optimiser l'infrastructure pour l'accès temps réel</t>
  </si>
  <si>
    <t>Mettre en place des systèmes de cache performants</t>
  </si>
  <si>
    <t>calendrier de consolidation des données</t>
  </si>
  <si>
    <t>Données non consolidées régulièrement</t>
  </si>
  <si>
    <t>Accès temps réel non fonctionnel</t>
  </si>
  <si>
    <t>Développer des indicateurs de performance opérationnelle</t>
  </si>
  <si>
    <t>Lier les bénéfices aux objectifs stratégiques</t>
  </si>
  <si>
    <t>La véracité des informations collectées fait-elle l'objet de contrôles ?</t>
  </si>
  <si>
    <t>Liste des contrôles de véracité</t>
  </si>
  <si>
    <t>Absence de contrôle de fiabilité des données</t>
  </si>
  <si>
    <t>Bénéfices opérationnels non quantifiés</t>
  </si>
  <si>
    <t>Réviser trimestriellement les indicateurs qualité</t>
  </si>
  <si>
    <t>Benchmarker avec les standards du secteur</t>
  </si>
  <si>
    <t>Rapport d'audit des données</t>
  </si>
  <si>
    <t>Audit des données non mené</t>
  </si>
  <si>
    <t>Indicateurs qualité obsolètes</t>
  </si>
  <si>
    <t>Implémenter des algorithmes de filtrage avancés</t>
  </si>
  <si>
    <t>Former les utilisateurs aux techniques de filtrage</t>
  </si>
  <si>
    <t>La méthodologie de collecte est-elle formalisée et transparente ?</t>
  </si>
  <si>
    <t>Registre des méthodologies approuvées</t>
  </si>
  <si>
    <t>Méthodologies non homologuées utilisées</t>
  </si>
  <si>
    <t>Filtrage données inefficace</t>
  </si>
  <si>
    <t>Vérifier systématiquement l'exhaustivité des rapports</t>
  </si>
  <si>
    <t>Automatiser les contrôles de complétude</t>
  </si>
  <si>
    <t>Document de registres de collecte</t>
  </si>
  <si>
    <t>registres de collecte non respectées</t>
  </si>
  <si>
    <t>Rapports avec informations manquantes</t>
  </si>
  <si>
    <t>Auditer l'exhaustivité des données sources</t>
  </si>
  <si>
    <t>L'immédiateté d'accès aux données permet-elle des améliorations opérationnelles ?</t>
  </si>
  <si>
    <t>Plan d'accès en temps réel</t>
  </si>
  <si>
    <t>Accès en temps réel non opérationnel</t>
  </si>
  <si>
    <t>Exhaustivité données non vérifiée</t>
  </si>
  <si>
    <t>Analyser l'efficacité des actions correctives</t>
  </si>
  <si>
    <t>Implémenter des indicateurs de suivi des corrections</t>
  </si>
  <si>
    <t>Fiche des gains opérationnels</t>
  </si>
  <si>
    <t>Bénéfices opérationnels non mesurés</t>
  </si>
  <si>
    <t>Actions correctives inefficaces</t>
  </si>
  <si>
    <t>Automatiser les processus de mise à jour</t>
  </si>
  <si>
    <t>Définir des responsables pour chaque mise à jour</t>
  </si>
  <si>
    <t>Des indicateurs qualitatifs filtrent-ils les informations pertinentes ?</t>
  </si>
  <si>
    <t>Pièce des indicateurs qualité</t>
  </si>
  <si>
    <t>Indicateurs qualité non actualisés</t>
  </si>
  <si>
    <t>Retards mises à jour</t>
  </si>
  <si>
    <t>Clarifier les rôles et responsabilités</t>
  </si>
  <si>
    <t>Calendrier de filtrage des données</t>
  </si>
  <si>
    <t>Filtrage des données non conforme</t>
  </si>
  <si>
    <t xml:space="preserve">Moyenne </t>
  </si>
  <si>
    <t>Responsabilités non attribuées</t>
  </si>
  <si>
    <t>Identifier formellement les gestionnaires</t>
  </si>
  <si>
    <t>Communiquer largement les points de contact</t>
  </si>
  <si>
    <t>Vérifier que les informations sont partagées de manière appropriée,
 en fonction des rôles et des responsabilités des différentes parties
 prenantes, et qu'elles sont adaptées à leur niveau de responsabilité</t>
  </si>
  <si>
    <t>Les reporting intègrent-ils des données exhaustives et récentes ?</t>
  </si>
  <si>
    <t>Liste des données de reporting</t>
  </si>
  <si>
    <t>Reporting avec données manquantes</t>
  </si>
  <si>
    <t>Gestionnaires non identifiés</t>
  </si>
  <si>
    <t>Réaliser une analyse des besoins utilisateurs</t>
  </si>
  <si>
    <t>Mettre en place un comité de sélection des outils</t>
  </si>
  <si>
    <t>Rapport d'exhaustivité des informations</t>
  </si>
  <si>
    <t>Exhaustivité des données non vérifiée</t>
  </si>
  <si>
    <t>Outils logiciels inadaptés</t>
  </si>
  <si>
    <t>Former les utilisateurs aux outils existants</t>
  </si>
  <si>
    <t>Standardiser les solutions logicielles par métier</t>
  </si>
  <si>
    <t>Des processus correctifs assurent-ils l'adéquation des données à la réalité ?</t>
  </si>
  <si>
    <t>Registre des processus correctifs</t>
  </si>
  <si>
    <t>Absence contrôle intégrité</t>
  </si>
  <si>
    <t>Implémenter des contrôles automatisés d'intégrité des données</t>
  </si>
  <si>
    <t>Mettre en place des checksums et signatures numériques</t>
  </si>
  <si>
    <t>Document de mise à jour des données</t>
  </si>
  <si>
    <t>Mises à jour des données en retard</t>
  </si>
  <si>
    <t>Tests validation omis</t>
  </si>
  <si>
    <t>Établir un protocole de test obligatoire avant déploiement</t>
  </si>
  <si>
    <t>Automatiser les tests de validation récurrents</t>
  </si>
  <si>
    <t>La maintenance des données est-elle assignée à des responsables identifiés ?</t>
  </si>
  <si>
    <t>Plan de responsabilités données</t>
  </si>
  <si>
    <t>Responsabilités données non attribuées</t>
  </si>
  <si>
    <t>Qualité données non évaluée</t>
  </si>
  <si>
    <t>Déployer des outils de profiling des données</t>
  </si>
  <si>
    <t>Fiche des gestionnaires désignés</t>
  </si>
  <si>
    <t>Gestionnaires données non identifiés</t>
  </si>
  <si>
    <t>Accès non surveillés</t>
  </si>
  <si>
    <t>Implémenter un système de journalisation des accès</t>
  </si>
  <si>
    <t>Mettre en place des alertes sur accès anormaux</t>
  </si>
  <si>
    <t>Des outils de contrôle de la qualité des informations sont utilisés pour garantir leur fiabilité (ex logiciels de gestion des informations)</t>
  </si>
  <si>
    <t>Des solutions logicielles garantissent-elles l'intégrité des informations ?</t>
  </si>
  <si>
    <t>Pièce des solutions logicielles</t>
  </si>
  <si>
    <t>Interfaces utilisateurs défectueuses</t>
  </si>
  <si>
    <t>Réaliser des tests utilisateurs réguliers</t>
  </si>
  <si>
    <t>Standardiser les interfaces selon les meilleures pratiques</t>
  </si>
  <si>
    <t>Calendrier de vérification d'intégrité</t>
  </si>
  <si>
    <t>Contrôle d'intégrité absent</t>
  </si>
  <si>
    <t>Standardisation visuelle absente</t>
  </si>
  <si>
    <t>Développer un guide de style visuel</t>
  </si>
  <si>
    <t>Former les équipes aux standards UI/UX</t>
  </si>
  <si>
    <t>Des tests sont effectués pour vérifier que les informations générées sont exhaustives et pertinentes dans le cadre de la gestion du contrôle interne</t>
  </si>
  <si>
    <t>Des tests contrôlent-ils la pertinence et l'exhaustivité des données ?</t>
  </si>
  <si>
    <t>Liste des tests de validation</t>
  </si>
  <si>
    <t>Tests de validation omis</t>
  </si>
  <si>
    <t>Normes présentation non appliquées</t>
  </si>
  <si>
    <t>Créer des templates de présentation unifiés</t>
  </si>
  <si>
    <t>Automatiser les contrôles de conformité visuelle</t>
  </si>
  <si>
    <t>Rapport de pertinence des données</t>
  </si>
  <si>
    <t>Qualité des données non analysée</t>
  </si>
  <si>
    <t>Flux information désorganisés</t>
  </si>
  <si>
    <t>Modéliser et documenter les flux d'information</t>
  </si>
  <si>
    <t>Implémenter des outils de workflow management</t>
  </si>
  <si>
    <t>S’assurer que les informations partagées en interne sont pertinentes
 et à jour, en particulier celles relatives aux risques identifiés, aux
 actions de contrôle mises en place et aux résultats des évaluations
 de performance</t>
  </si>
  <si>
    <t>Les interfaces sécurisées donnent-elles accès aux informations utiles ?</t>
  </si>
  <si>
    <t>Registre des accès sécurisés</t>
  </si>
  <si>
    <t>Accès sécurisés non monitorés</t>
  </si>
  <si>
    <t>Audits flux non programmés</t>
  </si>
  <si>
    <t>Planifier des audits de flux trimestriels</t>
  </si>
  <si>
    <t>Automatiser le traçage des flux critiques</t>
  </si>
  <si>
    <t>Document des interfaces utilisateurs</t>
  </si>
  <si>
    <t>Interfaces utilisateurs non fonctionnelles</t>
  </si>
  <si>
    <t>Accès critiques non restreints</t>
  </si>
  <si>
    <t>Isoler physiquement les accès critiques</t>
  </si>
  <si>
    <t>L'harmonisation des présentations accélère-t-elle la compréhension ?</t>
  </si>
  <si>
    <t>Plan d'harmonisation visuelle</t>
  </si>
  <si>
    <t>Permissions trop permissives</t>
  </si>
  <si>
    <t>Réviser trimestriellement les permissions</t>
  </si>
  <si>
    <t>Implémenter une approche Zero Trust</t>
  </si>
  <si>
    <t>Fiche des standards de présentation</t>
  </si>
  <si>
    <t>Normes de présentation non appliquées</t>
  </si>
  <si>
    <t>Alertes système ignorées</t>
  </si>
  <si>
    <t>Configurer des priorités pour les alertes</t>
  </si>
  <si>
    <t>Automatiser l'assignation des alertes</t>
  </si>
  <si>
    <t>Les flux d'information permettent-ils un accès instantané aux données ?</t>
  </si>
  <si>
    <t>Pièce des flux d'information</t>
  </si>
  <si>
    <t>Flux d'information désorganisés</t>
  </si>
  <si>
    <t>Alertes non traitées</t>
  </si>
  <si>
    <t>Définir des SLA stricts pour le traitement</t>
  </si>
  <si>
    <t>Mettre en place une boucle de feedback</t>
  </si>
  <si>
    <t>Calendrier des audits de circulation</t>
  </si>
  <si>
    <t>Audits des flux non programmés</t>
  </si>
  <si>
    <t>Feedback non remonté</t>
  </si>
  <si>
    <t>Centraliser les remontées de feedback</t>
  </si>
  <si>
    <t>Automatiser l'analyse des retours</t>
  </si>
  <si>
    <t>Les gestionnaires accèdent-ils sans intermédiaire aux informations stratégiques ?</t>
  </si>
  <si>
    <t>Liste des accès stratégiques</t>
  </si>
  <si>
    <t>Retours non exploités</t>
  </si>
  <si>
    <t>Créer un système de suivi des actions</t>
  </si>
  <si>
    <t>Publier régulièrement les résultats</t>
  </si>
  <si>
    <t>Rapport des privilèges d'accès</t>
  </si>
  <si>
    <t>Permissions d'accès trop permissives</t>
  </si>
  <si>
    <t>Dispositifs inefficaces</t>
  </si>
  <si>
    <t>Réévaluer trimestriellement les dispositifs</t>
  </si>
  <si>
    <t>Benchmarker avec les meilleures pratiques</t>
  </si>
  <si>
    <t>Les mises à jour déclenchent-elles des notifications automatiques ?</t>
  </si>
  <si>
    <t>Registre des notifications système</t>
  </si>
  <si>
    <t>Alertes système non traitées</t>
  </si>
  <si>
    <t>Sensibilisation insuffisante</t>
  </si>
  <si>
    <t>Organiser des campagnes de sensibilisation</t>
  </si>
  <si>
    <t>Mesurer l'impact des formations</t>
  </si>
  <si>
    <t>Document des règles d'alerte</t>
  </si>
  <si>
    <t>Délais systématiquement dépassés</t>
  </si>
  <si>
    <t>Implémenter des outils de suivi de délais</t>
  </si>
  <si>
    <t>Analyser les causes racines des retards</t>
  </si>
  <si>
    <t>Communication externe</t>
  </si>
  <si>
    <t>Vérifier que des mécanismes de feedback sont mis en place pour
 permettre aux parties prenantes internes de poser des questions et
 d’obtenir des éclaircissements sur les informations reçues</t>
  </si>
  <si>
    <t>Les canaux de feedback formels sont établis (réunions, plateformes en ligne, forums internes) pour permettre aux parties prenantes internes de poser des questions</t>
  </si>
  <si>
    <t>Des canaux dédiés recueillent-ils les retours d'information ?</t>
  </si>
  <si>
    <t>Plan des canaux de feedback</t>
  </si>
  <si>
    <t>Performance non mesurée</t>
  </si>
  <si>
    <t>Définir des KPI de performance clés</t>
  </si>
  <si>
    <t>Automatiser le reporting des performances</t>
  </si>
  <si>
    <t>Fiche de collecte des retours</t>
  </si>
  <si>
    <t>Remarques ignorées</t>
  </si>
  <si>
    <t>Mettre en place une boîte à idées</t>
  </si>
  <si>
    <t>Analyser systématiquement les suggestions</t>
  </si>
  <si>
    <t>Les parties prenantes internes sont informées des mécanismes de feedback disponibles et savent comment les utiliser</t>
  </si>
  <si>
    <t>Les acteurs connaissent-ils les dispositifs de feedback disponibles ?</t>
  </si>
  <si>
    <t>Pièce des dispositifs disponibles</t>
  </si>
  <si>
    <t>Actions non suivies</t>
  </si>
  <si>
    <t>Implémenter un système de ticketing</t>
  </si>
  <si>
    <t>Automatiser les rappels de suivi</t>
  </si>
  <si>
    <t>Calendrier de sensibilisation</t>
  </si>
  <si>
    <t>Qualité non évaluée</t>
  </si>
  <si>
    <t>Standardiser les évaluations qualité</t>
  </si>
  <si>
    <t>Publier des rapports qualité mensuels</t>
  </si>
  <si>
    <t>Les réponses aux questions ou demandes de clarification sont fournies en temps utile et de manière transparente</t>
  </si>
  <si>
    <t>Les réponses aux interrogations sont-elles rapides et transparentes ?</t>
  </si>
  <si>
    <t>Liste des délais de réponse</t>
  </si>
  <si>
    <t>Délais dépassés</t>
  </si>
  <si>
    <t>Indicateurs obsolètes</t>
  </si>
  <si>
    <t>Réviser annuellement les indicateurs</t>
  </si>
  <si>
    <t>Aligner les KPI sur les objectifs stratégiques</t>
  </si>
  <si>
    <t>Rapport de performance du support</t>
  </si>
  <si>
    <t>Technologies inadaptées</t>
  </si>
  <si>
    <t>Réaliser une analyse des besoins technologiques</t>
  </si>
  <si>
    <t>Mettre en place un comité de veille technologique</t>
  </si>
  <si>
    <t>Un processus de suivi est mis en place pour assurer la prise en compte des préoccupations exprimées</t>
  </si>
  <si>
    <t>Un suivi formalisé garantit-il la prise en compte des remarques ?</t>
  </si>
  <si>
    <t>Registre des remarques traitées</t>
  </si>
  <si>
    <t>Optimisation retardée</t>
  </si>
  <si>
    <t>Établir un plan d'optimisation continu</t>
  </si>
  <si>
    <t>Mesurer les gains d'optimisation</t>
  </si>
  <si>
    <t>Document de suivi des actions</t>
  </si>
  <si>
    <t>Absences critiques</t>
  </si>
  <si>
    <t>Mettre en place un plan de succession</t>
  </si>
  <si>
    <t>Développer des compétences transversales</t>
  </si>
  <si>
    <t>Des rapports réguliers sont générés pour évaluer la qualité et l’efficacité du feedback reçu et des réponses données</t>
  </si>
  <si>
    <t>Des bilans réguliers mesurent-ils l'efficacité des échanges ?</t>
  </si>
  <si>
    <t>Plan d'évaluation des échanges</t>
  </si>
  <si>
    <t>Décisions non tracées</t>
  </si>
  <si>
    <t>Implémenter un système de traçabilité décisionnelle</t>
  </si>
  <si>
    <t>Utiliser des technologies blockchain pour l'audit</t>
  </si>
  <si>
    <t>Fiche des indicateurs d'efficacité</t>
  </si>
  <si>
    <t>Accès non contrôlés</t>
  </si>
  <si>
    <t>Automatiser les contrôles d'accès</t>
  </si>
  <si>
    <t>Réaliser des audits de sécurité aléatoires</t>
  </si>
  <si>
    <t>S’assurer que des outils de communication adéquats (réunions,
 rapports, systèmes d’information) sont utilisés pour faciliter
 l’échange d’informations entre les différentes parties prenantes
 impliquées dans le contrôle interne</t>
  </si>
  <si>
    <t>Des outils de communication modernes sont utilisés pour partager des informations en temps réel</t>
  </si>
  <si>
    <t>Les technologies modernes optimisent-elles la circulation de l'information ?</t>
  </si>
  <si>
    <t>Pièce des technologies utilisées</t>
  </si>
  <si>
    <t>Diffusion inefficace</t>
  </si>
  <si>
    <t>Optimiser les canaux de diffusion</t>
  </si>
  <si>
    <t>Segmenter les audiences cibles</t>
  </si>
  <si>
    <t>Calendrier d'optimisation technologique</t>
  </si>
  <si>
    <t>Infrastructures fragmentées</t>
  </si>
  <si>
    <t>Unifier les infrastructures</t>
  </si>
  <si>
    <t>Mettre en place une gouvernance centralisée</t>
  </si>
  <si>
    <t>Des réunions régulières sont organisées pour échanger sur les enjeux du contrôle interne entre les parties prenantes</t>
  </si>
  <si>
    <t>Des rencontres périodiques abordent-elles les enjeux du contrôle interne ?</t>
  </si>
  <si>
    <t>Liste des participants aux réunions</t>
  </si>
  <si>
    <t>Sécurité compromise</t>
  </si>
  <si>
    <t>Mettre à jour les politiques de sécurité</t>
  </si>
  <si>
    <t>Rapport des décisions stratégiques</t>
  </si>
  <si>
    <t>Protocoles non suivis</t>
  </si>
  <si>
    <t>Standardiser les protocoles opérationnels</t>
  </si>
  <si>
    <t>Former régulièrement aux procédures</t>
  </si>
  <si>
    <t>Les rapports d’activité ou de contrôle interne sont bien structurés et partagés avec toutes les parties prenantes concernées</t>
  </si>
  <si>
    <t>La diffusion des rapports cible-t-elle efficacement les destinataires ?</t>
  </si>
  <si>
    <t>Liste des destinataires autorisés</t>
  </si>
  <si>
    <t>Registres ambigus</t>
  </si>
  <si>
    <t>Clarifier les registres et nomenclatures</t>
  </si>
  <si>
    <t>Automatiser la documentation</t>
  </si>
  <si>
    <t>Rapport de diffusion ciblée</t>
  </si>
  <si>
    <t>Besoins non analysés</t>
  </si>
  <si>
    <t>Implémenter des processus d'analyse des besoins</t>
  </si>
  <si>
    <t>Mettre en place des comités utilisateurs</t>
  </si>
  <si>
    <t>Des systèmes d’information sont en place pour centraliser et distribuer les données de contrôle interne de manière cohérente</t>
  </si>
  <si>
    <t>L'infrastructure informatique unifie-t-elle la gestion des données ?</t>
  </si>
  <si>
    <t>Registre des infrastructures unifiées</t>
  </si>
  <si>
    <t>Compétences non évaluées</t>
  </si>
  <si>
    <t>Évaluer les compétences trimestriellement</t>
  </si>
  <si>
    <t>Développer des plans de formation individualisés</t>
  </si>
  <si>
    <t>Document d'architecture système</t>
  </si>
  <si>
    <t>Risques non priorisés</t>
  </si>
  <si>
    <t>Prioriser les risques selon leur criticité</t>
  </si>
  <si>
    <t>Mettre à jour mensuellement la matrice des risques</t>
  </si>
  <si>
    <t>Des registres de communication formelles sont définies pour s’assurer que toutes les parties prenantes sont correctement informées</t>
  </si>
  <si>
    <t>Des protocoles encadrent-ils la communication interne formelle ?</t>
  </si>
  <si>
    <t>Plan des protocoles applicables</t>
  </si>
  <si>
    <t>Délégations floues</t>
  </si>
  <si>
    <t>Clarifier les délégations par écrit</t>
  </si>
  <si>
    <t>Fiche des registres internes</t>
  </si>
  <si>
    <t>registres ambiguës</t>
  </si>
  <si>
    <t>Continuité d'activité menacée</t>
  </si>
  <si>
    <t>Tester régulièrement les plans de continuité</t>
  </si>
  <si>
    <t>Maintenir des solutions de secours opérationnelles</t>
  </si>
  <si>
    <t>Vérifier que la communication interne des informations nécessaires
 au contrôle interne est régulièrement suivie, avec des rapports ou
 des audits pour évaluer l'efficacité des mécanismes de
 communication en place</t>
  </si>
  <si>
    <t>Des outils informatiques adaptés (par exemple, logiciels de gestion des risques, plateformes collaboratives) sont utilisés pour collecter et analyser les informations relatives au contrôle interne</t>
  </si>
  <si>
    <t>Les outils d'analyse répondent-ils aux besoins du contrôle interne ?</t>
  </si>
  <si>
    <t>Pièce des besoins analytiques</t>
  </si>
  <si>
    <t>Capacité d'innovation réduite</t>
  </si>
  <si>
    <t>Créer un comité d'innovation</t>
  </si>
  <si>
    <t>Allouer un budget dédié à l'innovation</t>
  </si>
  <si>
    <t>Calendrier des évaluations outils</t>
  </si>
  <si>
    <t>Outils périmés</t>
  </si>
  <si>
    <t>Utilisation de technologies obsolètes</t>
  </si>
  <si>
    <t>Établir un plan de migration technologique</t>
  </si>
  <si>
    <t>Former aux nouvelles technologies</t>
  </si>
  <si>
    <t>Les technologies mises en place sont régulièrement mises à jour pour garantir leur efficacité face aux nouvelles exigences</t>
  </si>
  <si>
    <t>La maintenance technologique suit-elle les évolutions nécessaires ?</t>
  </si>
  <si>
    <t>Liste des maintenances programmées</t>
  </si>
  <si>
    <t>Maintenances négligées</t>
  </si>
  <si>
    <t>Détérioration progressive des équipements</t>
  </si>
  <si>
    <t>Mettre en place un programme de maintenance prédictive</t>
  </si>
  <si>
    <t>Monitorer en continu l'état des équipements</t>
  </si>
  <si>
    <t>Rapport d'évolution technologique</t>
  </si>
  <si>
    <t>Innovation ralentie</t>
  </si>
  <si>
    <t>Retard dans l'adoption de nouvelles technologies</t>
  </si>
  <si>
    <t>Créer un calendrier d'adoption technologique</t>
  </si>
  <si>
    <t>Nommer des champions du changement</t>
  </si>
  <si>
    <t>Les utilisateurs ont accès à des tableaux de bord ou des rapports automatisés pour faciliter la prise de décision en matière de contrôle interne</t>
  </si>
  <si>
    <t>Les décideurs disposent-ils d'interfaces décisionnelles automatisées ?</t>
  </si>
  <si>
    <t>Registre des interfaces décisionnelles</t>
  </si>
  <si>
    <t>Données décisionnelles erronées</t>
  </si>
  <si>
    <t>Prises de décision basées sur des informations inexactes</t>
  </si>
  <si>
    <t>Implémenter des contrôles qualité des données</t>
  </si>
  <si>
    <t>Croiser systématiquement les sources d'information</t>
  </si>
  <si>
    <t>Document des fonctionnalités clés</t>
  </si>
  <si>
    <t>Fonctionnalités clés non documentées</t>
  </si>
  <si>
    <t>Fonctionnalités importantes mal comprises</t>
  </si>
  <si>
    <t>Documenter exhaustivement les fonctionnalités</t>
  </si>
  <si>
    <t>Organiser des sessions de démonstration</t>
  </si>
  <si>
    <t>Les outils de gestion de l’information sont intégrés de manière cohérente aux autres systèmes de l’organisation pour éviter les silos d’information</t>
  </si>
  <si>
    <t>L'interopérabilité des systèmes évite-t-elle les silos informationnels ?</t>
  </si>
  <si>
    <t>Plan d'interopérabilité système</t>
  </si>
  <si>
    <t>Interopérabilité système défaillante</t>
  </si>
  <si>
    <t>Incompatibilité entre les systèmes</t>
  </si>
  <si>
    <t>Standardiser les protocoles d'intégration</t>
  </si>
  <si>
    <t>Mettre en place des tests d'interopérabilité</t>
  </si>
  <si>
    <t>Fiche de connectivité applicative</t>
  </si>
  <si>
    <t>Connectivité applicative instable</t>
  </si>
  <si>
    <t>Instabilité des connexions entre applications</t>
  </si>
  <si>
    <t>Optimiser l'infrastructure réseau</t>
  </si>
  <si>
    <t>Implémenter des solutions de failover</t>
  </si>
  <si>
    <t>Des formations sont proposées pour assurer une utilisation optimale des outils et technologies disponibles</t>
  </si>
  <si>
    <t>L'appropriation des outils fait-elle l'objet de formations spécifiques ?</t>
  </si>
  <si>
    <t>Pièce des modules de formation</t>
  </si>
  <si>
    <t>Modules de formation obsolètes</t>
  </si>
  <si>
    <t>Contenus de formation dépassés</t>
  </si>
  <si>
    <t>Actualiser trimestriellement les contenus de formation</t>
  </si>
  <si>
    <t>Impliquer les experts métiers dans les formations</t>
  </si>
  <si>
    <t>Calendrier des sessions dédiées</t>
  </si>
  <si>
    <t>Sessions dédiées annulées</t>
  </si>
  <si>
    <t>Annulation de sessions de formation spécialisées</t>
  </si>
  <si>
    <t>Développer des programmes de formation alternatifs</t>
  </si>
  <si>
    <t>Mettre en place un système de mentorat</t>
  </si>
  <si>
    <t>S’assurer que l’organisation dispose de processus formels pour
 communiquer avec les tiers sur les points pertinents concernant le
 contrôle interne, notamment les risques et les mesures prises pour y
 faire face</t>
  </si>
  <si>
    <t>Des processus formels de communication interne sont définis, y compris des registres de diffusion des informations nécessaires pour le contrôle interne</t>
  </si>
  <si>
    <t>La politique de communication interne est-elle clairement établie ?</t>
  </si>
  <si>
    <t>Liste des règles de communication</t>
  </si>
  <si>
    <t>Règles de communication ambiguës</t>
  </si>
  <si>
    <t>Malentendus fréquents dans les communications</t>
  </si>
  <si>
    <t>Standardiser les protocoles de communication</t>
  </si>
  <si>
    <t>Former aux techniques de communication efficace</t>
  </si>
  <si>
    <t>Rapport de conformité interne</t>
  </si>
  <si>
    <t>Non-conformité interne persistante</t>
  </si>
  <si>
    <t>Persistance des écarts aux normes internes</t>
  </si>
  <si>
    <t>Automatiser le suivi de la conformité</t>
  </si>
  <si>
    <t>Récompenser les bonnes pratiques</t>
  </si>
  <si>
    <t>Les informations pertinentes sont diffusées régulièrement à tous les niveaux de l’organisation en fonction de la pertinence pour chaque groupe</t>
  </si>
  <si>
    <t>La diffusion d'information suit-elle une logique de pertinence hiérarchisée ?</t>
  </si>
  <si>
    <t>Registre des flux hiérarchisés</t>
  </si>
  <si>
    <t>Flux hiérarchisés désorganisés</t>
  </si>
  <si>
    <t>Désorganisation des flux d'information prioritaires</t>
  </si>
  <si>
    <t>Implémenter un système de tagging par criticité/urgence</t>
  </si>
  <si>
    <t>Automatiser le routage selon des règles métiers</t>
  </si>
  <si>
    <t>Document de priorisation informationnelle</t>
  </si>
  <si>
    <t>Priorisation informationnelle absente</t>
  </si>
  <si>
    <t>Absence de hiérarchisation des informations</t>
  </si>
  <si>
    <t>Développer une matrice d'évaluation multicritère</t>
  </si>
  <si>
    <t>Former aux techniques de priorisation</t>
  </si>
  <si>
    <t>Des mécanismes de feedback sont en place pour s’assurer que les informations sont bien comprises et utilisées de manière appropriée</t>
  </si>
  <si>
    <t>Des boucles de rétroaction valident-elles la bonne compréhension ?</t>
  </si>
  <si>
    <t>Liste des mécanismes de feedback</t>
  </si>
  <si>
    <t>Mécanismes de feedback inefficaces</t>
  </si>
  <si>
    <t>Retours utilisateurs mal pris en compte</t>
  </si>
  <si>
    <t>Standardiser les canaux de collecte de feedback</t>
  </si>
  <si>
    <t>Mettre en place des boucles de rétroaction systématiques</t>
  </si>
  <si>
    <t>Rapport de validation de compréhension</t>
  </si>
  <si>
    <t>Validation de compréhension non effectuée</t>
  </si>
  <si>
    <t>Compréhension non vérifiée systématiquement</t>
  </si>
  <si>
    <t>Implémenter des quizz de validation post-communication</t>
  </si>
  <si>
    <t>Mesurer régulièrement le taux de compréhension</t>
  </si>
  <si>
    <t>Des supports de communication adaptés (ex newsletters, bulletins) sont utilisés pour diffuser les informations de manière claire et accessible</t>
  </si>
  <si>
    <t>Les supports de communication sont-ils adaptés à leur public ?</t>
  </si>
  <si>
    <t>Registre des supports adaptés</t>
  </si>
  <si>
    <t>Supports inadaptés aux besoins</t>
  </si>
  <si>
    <t>Supports inadaptés aux utilisateurs finaux</t>
  </si>
  <si>
    <t>Réaliser des tests utilisateurs avant déploiement</t>
  </si>
  <si>
    <t>Adopter des principes de design universel</t>
  </si>
  <si>
    <t>Document d'analyse des publics cibles</t>
  </si>
  <si>
    <t>Publics cibles mal identifiés</t>
  </si>
  <si>
    <t>Publics destinataires mal ciblés</t>
  </si>
  <si>
    <t>Segmenter les audiences par profils d'utilisation</t>
  </si>
  <si>
    <t>Personnaliser les contenus par persona</t>
  </si>
  <si>
    <t>La transparence des informations est évaluée régulièrement</t>
  </si>
  <si>
    <t>La clarté des informations partagées est-elle régulièrement évaluée ?</t>
  </si>
  <si>
    <t>Plan d'évaluation de clarté</t>
  </si>
  <si>
    <t>Évaluation de clarté insuffisante</t>
  </si>
  <si>
    <t>Évaluation insuffisante de la clarté</t>
  </si>
  <si>
    <t>Appliquer des tests de lisibilité standardisés</t>
  </si>
  <si>
    <t>Former aux normes d'accessibilité</t>
  </si>
  <si>
    <t>Fiche des critères de lisibilité</t>
  </si>
  <si>
    <t>Critères de lisibilité non appliqués</t>
  </si>
  <si>
    <t>Normes de lisibilité ignorées</t>
  </si>
  <si>
    <t>Cartographier les canaux officiels par type d'information</t>
  </si>
  <si>
    <t>Automatiser les contrôles de conformité des canaux</t>
  </si>
  <si>
    <t>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</si>
  <si>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Les informations sont filtrées et adaptées selon les rôles et responsabilités des différentes parties prenantes</t>
  </si>
  <si>
    <t>La distribution d'information respecte-t-elle le principe de besoin de savoir ?</t>
  </si>
  <si>
    <t>Pièce des règles de distribution</t>
  </si>
  <si>
    <t>Règles de distribution non respectées</t>
  </si>
  <si>
    <t>Non-respect des canaux de distribution</t>
  </si>
  <si>
    <t>Implémenter un système de gestion des identités</t>
  </si>
  <si>
    <t>Auditer trimestriellement les accès</t>
  </si>
  <si>
    <t>Calendrier des contrôles d'accès</t>
  </si>
  <si>
    <t>Contrôles d'accès irréguliers</t>
  </si>
  <si>
    <t>Contrôles d'accès inconstants</t>
  </si>
  <si>
    <t>Publier un RACI mis à jour trimestriellement</t>
  </si>
  <si>
    <t>Lier les responsabilités aux objectifs individuels</t>
  </si>
  <si>
    <t>Les niveaux de responsabilité sont clairement définis et les informations sont partagées uniquement avec les parties concernées</t>
  </si>
  <si>
    <t>La matrice des responsabilités guide-t-elle le partage d'information ?</t>
  </si>
  <si>
    <t>Liste des responsabilités définies</t>
  </si>
  <si>
    <t>Flou dans l'attribution des responsabilités</t>
  </si>
  <si>
    <t>Mettre en place un référentiel de compétences dynamique</t>
  </si>
  <si>
    <t>Aligner les habilitations sur les évaluations annuelles</t>
  </si>
  <si>
    <t>Rapport d'application de la matrice</t>
  </si>
  <si>
    <t>Matrice non appliquée</t>
  </si>
  <si>
    <t>Non-application des matrices de compétences</t>
  </si>
  <si>
    <t>Automatiser les mises à jour de profils</t>
  </si>
  <si>
    <t>Synchroniser avec les RH mensuellement</t>
  </si>
  <si>
    <t>Des processus sont mis en place pour garantir que les parties prenantes reçoivent les informations dans un format adapté à leurs besoins et à leur niveau de décision</t>
  </si>
  <si>
    <t>Les processus garantissent-ils un accès différencié selon les profils ?</t>
  </si>
  <si>
    <t>Registre des profils utilisateurs</t>
  </si>
  <si>
    <t>Profils utilisateurs non actualisés</t>
  </si>
  <si>
    <t>Profils utilisateurs non à jour</t>
  </si>
  <si>
    <t>Réviser semestriellement les droits</t>
  </si>
  <si>
    <t>Document des droits d'accès</t>
  </si>
  <si>
    <t>Droits d'accès trop permissifs</t>
  </si>
  <si>
    <t>Droits d'accès trop larges</t>
  </si>
  <si>
    <t>Établir un plan de formation continue obligatoire</t>
  </si>
  <si>
    <t>Lier les évolutions de poste aux formations</t>
  </si>
  <si>
    <t>Des formations sont proposées pour garantir que les parties prenantes comprennent bien les informations partagées et leur rôle dans le contrôle interne</t>
  </si>
  <si>
    <t>Des modules pédagogiques facilitent-ils l'appropriation des informations ?</t>
  </si>
  <si>
    <t>Plan de formation continue</t>
  </si>
  <si>
    <t>Formation continue négligée</t>
  </si>
  <si>
    <t>Formation continue insuffisante</t>
  </si>
  <si>
    <t>Créer un comité de révision pédagogique</t>
  </si>
  <si>
    <t>Mettre en place un cycle de mise à jour semestriel</t>
  </si>
  <si>
    <t>Fiche des modules pédagogiques</t>
  </si>
  <si>
    <t>Modules pédagogiques non révisés</t>
  </si>
  <si>
    <t>Modules pédagogiques non actualisés</t>
  </si>
  <si>
    <t>Imposer des deadlines pour les révisions</t>
  </si>
  <si>
    <t>Automatiser les alertes de révision</t>
  </si>
  <si>
    <t>Les informations partagées sont régulièrement évaluées pour s’assurer qu’elles sont toujours pertinentes et compréhensibles pour les destinataires</t>
  </si>
  <si>
    <t>La pertinence des contenus diffusés est-elle périodiquement réévaluée ?</t>
  </si>
  <si>
    <t>Pièce des révisions éditoriales</t>
  </si>
  <si>
    <t>Révisions éditoriales retardées</t>
  </si>
  <si>
    <t>Retards dans les révisions éditoriales</t>
  </si>
  <si>
    <t>Élaborer une grille d'évaluation standardisée</t>
  </si>
  <si>
    <t>Former les évaluateurs à l'analyse objective</t>
  </si>
  <si>
    <t>Calendrier des évaluations de contenu</t>
  </si>
  <si>
    <t>Évaluations de contenu non faites</t>
  </si>
  <si>
    <t>Absence d'évaluation des contenus</t>
  </si>
  <si>
    <t>Développer des guidelines de communication unifiés</t>
  </si>
  <si>
    <t>Nommer des référents communication par domaine</t>
  </si>
  <si>
    <t>S’assurer que les informations partagées avec les tiers sont
 pertinentes, complètes et compréhensibles, et qu’elles sont
 adaptées au rôle et aux besoins de chaque partie prenante externe</t>
  </si>
  <si>
    <t>Les informations partagées avec les tiers sont spécifiquement adaptées à leurs besoins et à leur niveau de compréhension</t>
  </si>
  <si>
    <t>Les communications externes sont-elles spécifiquement adaptées ?</t>
  </si>
  <si>
    <t>Liste des communications externes</t>
  </si>
  <si>
    <t>Communications externes incohérentes</t>
  </si>
  <si>
    <t>Incohérence dans les communications externes</t>
  </si>
  <si>
    <t>Adapter les supports aux spécificités des parties prenantes</t>
  </si>
  <si>
    <t>Créer des personas pour chaque catégorie</t>
  </si>
  <si>
    <t>Rapport d'adaptation aux parties prenantes</t>
  </si>
  <si>
    <t>Adaptation aux parties prenantes insuffisante</t>
  </si>
  <si>
    <t>Mauvaise adaptation aux parties prenantes</t>
  </si>
  <si>
    <t>Implémenter des filtres qualité automatisés</t>
  </si>
  <si>
    <t>Introduire des validations croisées</t>
  </si>
  <si>
    <t>Des processus sont en place pour vérifier la pertinence et la précision des informations avant leur diffusion vers les parties externes</t>
  </si>
  <si>
    <t>Un filtre qualité s'applique-t-il aux informations externes ?</t>
  </si>
  <si>
    <t>Registre des filtres qualité</t>
  </si>
  <si>
    <t>Filtres qualité inefficaces</t>
  </si>
  <si>
    <t>Solliciter des relectures par experts externes</t>
  </si>
  <si>
    <t>Benchmarker avec les meilleures pratiques sectorielles</t>
  </si>
  <si>
    <t>Document de validation externe</t>
  </si>
  <si>
    <t>Validation externe absente</t>
  </si>
  <si>
    <t>Absence de validation externe</t>
  </si>
  <si>
    <t>Former à la vulgarisation technique</t>
  </si>
  <si>
    <t>Développer un glossaire interactif</t>
  </si>
  <si>
    <t>Les informations sont rédigées dans un format clair et compréhensible pour les destinataires, en évitant le jargon ou les termes trop techniques</t>
  </si>
  <si>
    <t>Le langage employé est-il adapté à la compréhension des tiers ?</t>
  </si>
  <si>
    <t>Plan de simplification linguistique</t>
  </si>
  <si>
    <t>Simplification linguistique non réalisée</t>
  </si>
  <si>
    <t>Langage trop technique non simplifié</t>
  </si>
  <si>
    <t>Compléter et actualiser trimestriellement les glossaires</t>
  </si>
  <si>
    <t>Intégrer des explications contextuelles</t>
  </si>
  <si>
    <t>Fiche des glossaires disponibles</t>
  </si>
  <si>
    <t>Glossaires incomplets</t>
  </si>
  <si>
    <t>Imposer des normes de concision</t>
  </si>
  <si>
    <t>Former aux techniques de synthèse</t>
  </si>
  <si>
    <t>Des guides ou des résumés exécutifs sont fournis lorsque cela est nécessaire pour faciliter la compréhension des informations complexes</t>
  </si>
  <si>
    <t>Des synthèses accompagnent-elles les documents complexes ?</t>
  </si>
  <si>
    <t>registre de synthèse des documents complexes</t>
  </si>
  <si>
    <t>Synthèse des documents complexe</t>
  </si>
  <si>
    <t>Complexité excessive des synthèses</t>
  </si>
  <si>
    <t>Standardiser les templates de fiches techniques</t>
  </si>
  <si>
    <t>Automatiser les contrôles de conformité</t>
  </si>
  <si>
    <t>Modèle type de fiche synthétique</t>
  </si>
  <si>
    <t>Fiches synthétiques non standardisées</t>
  </si>
  <si>
    <t>Fiches techniques non standardisées</t>
  </si>
  <si>
    <t>Planifier des revues documentaires trimestrielles</t>
  </si>
  <si>
    <t>Affecter des responsables par famille documentaire</t>
  </si>
  <si>
    <t>Les informations sont régulièrement mises à jour pour refléter les changements dans les opérations ou la réglementation de l’organisation</t>
  </si>
  <si>
    <t>La révision des informations suit-elle l'évolution du contexte ?</t>
  </si>
  <si>
    <t>Calendrier de révision des documents</t>
  </si>
  <si>
    <t>Révision des documents retardée</t>
  </si>
  <si>
    <t>Retard dans la révision des documents</t>
  </si>
  <si>
    <t>Digitaliser le suivi des mises à jour</t>
  </si>
  <si>
    <t>Configurer des alertes sur documents obsolètes</t>
  </si>
  <si>
    <t>Politique de mise à jour documentaire</t>
  </si>
  <si>
    <t>Mises à jour documentaires irrégulières</t>
  </si>
  <si>
    <t>Centraliser les engagements dans un registre contractuel</t>
  </si>
  <si>
    <t>Automatiser les alertes d'échéance</t>
  </si>
  <si>
    <t>Activités de Surveillance</t>
  </si>
  <si>
    <t>Évaluations continues et indépendantes</t>
  </si>
  <si>
    <t>Vérifier que des mécanismes de suivi et de contrôle sont en place
 pour s’assurer que les tiers respectent les engagements relatifs au
 contrôle interne, et que les résultats de cette coopération sont
 régulièrement évalués</t>
  </si>
  <si>
    <t>L'organisation dispose de contrats ou accors formels définissant les obligations des tiers en matière de contrôle interne</t>
  </si>
  <si>
    <t>Les engagements des tiers sont-ils contractualisés ?</t>
  </si>
  <si>
    <t>Contrat type avec engagements tiers</t>
  </si>
  <si>
    <t>Engagements tiers non formalisés</t>
  </si>
  <si>
    <t>Engagements tiers non contractualisés</t>
  </si>
  <si>
    <t>Implémenter un système de suivi des obligations</t>
  </si>
  <si>
    <t>Générer des rapports d'avancement mensuels</t>
  </si>
  <si>
    <t>Registre des engagements contractuels</t>
  </si>
  <si>
    <t>Engagements contractuels non suivis</t>
  </si>
  <si>
    <t>Non-suivi des engagements contractuels</t>
  </si>
  <si>
    <t>Développer des indicateurs de performance objectifs</t>
  </si>
  <si>
    <t>Croiser les données avec des sources externes</t>
  </si>
  <si>
    <t>Des indicateurs de suivi de la conformité des tiers sont mis en place et suivis régulièrement</t>
  </si>
  <si>
    <t>Le respect des obligations tierces fait-il l'objet de suivi ?</t>
  </si>
  <si>
    <t>Tableau de bord de suivi des obligations</t>
  </si>
  <si>
    <t>Suivi des obligations défaillant</t>
  </si>
  <si>
    <t>Défaillance dans le suivi des obligations</t>
  </si>
  <si>
    <t>Diversifier les méthodes d'audit</t>
  </si>
  <si>
    <t>Impliquer des auditeurs externes ponctuellement</t>
  </si>
  <si>
    <t>Grille d'évaluation des performances</t>
  </si>
  <si>
    <t>Evaluation des performances biaisées</t>
  </si>
  <si>
    <t>Évaluation biaisée des performances</t>
  </si>
  <si>
    <t>Standardiser les protocoles de contrôle</t>
  </si>
  <si>
    <t>Automatiser les contrôles récurrents</t>
  </si>
  <si>
    <t>Des audits ou revues de conformité des tiers sont réalisés périodiquement pour évaluer le respect des engagements</t>
  </si>
  <si>
    <t>La conformité des tiers est-elle vérifiée périodiquement ?</t>
  </si>
  <si>
    <t>Programme annuel d'audit des tiers</t>
  </si>
  <si>
    <t>Couverture d'audit insuffisante ou non représentative</t>
  </si>
  <si>
    <t>Audits non représentatifs</t>
  </si>
  <si>
    <t>Mettre en place un système de déclaration obligatoire</t>
  </si>
  <si>
    <t>Sanctionner les omissions répétées</t>
  </si>
  <si>
    <t>Checklist de vérification de conformité</t>
  </si>
  <si>
    <t>Contrôles incomplets ou non standardisés</t>
  </si>
  <si>
    <t>Contrôles partiels ou non standardisés</t>
  </si>
  <si>
    <t>Améliorer la traçabilité via un système centralisé</t>
  </si>
  <si>
    <t>Implémenter des analyses de tendances</t>
  </si>
  <si>
    <t>Un processus de remontée des incidents liés au non-respect des engagements des tiers est défini et appliqué</t>
  </si>
  <si>
    <t>Un dispositif signale-t-il les manquements des partenaires ?</t>
  </si>
  <si>
    <t>document de signalement des manquements</t>
  </si>
  <si>
    <t>Sous-déclaration des non-conformités</t>
  </si>
  <si>
    <t>Sous-déclaration des écarts</t>
  </si>
  <si>
    <t>Développer des grilles d'évaluation objectives</t>
  </si>
  <si>
    <t>Registre des écarts fournisseurs</t>
  </si>
  <si>
    <t>Absence de traçabilité des défaillances fournisseurs</t>
  </si>
  <si>
    <t>Traçabilité insuffisante des problèmes fournisseurs</t>
  </si>
  <si>
    <t>Enrichir la cartographie des risques mensuellement</t>
  </si>
  <si>
    <t>Les résultats des évaluations des tiers sont documentés et intégrés dans le processus global de gestion des risques</t>
  </si>
  <si>
    <t>Les évaluations des tiers sont-elles intégrées au système de risque ?</t>
  </si>
  <si>
    <t>Méthodologie d'évaluation des risques tiers</t>
  </si>
  <si>
    <t>Méthode d'évaluation subjective ou non actualisée</t>
  </si>
  <si>
    <t>Méthodes d'évaluation subjectives</t>
  </si>
  <si>
    <t>Renforcer les contrôles d'accès aux données sensibles</t>
  </si>
  <si>
    <t>Implémenter des solutions de DLP (Data Loss Prevention)</t>
  </si>
  <si>
    <t>Rapport d'intégration des risques</t>
  </si>
  <si>
    <t>Vision partielle ou biaisée des expositions</t>
  </si>
  <si>
    <t>Vision incomplète des risques</t>
  </si>
  <si>
    <t>Auditer les clauses de confidentialité annuellement</t>
  </si>
  <si>
    <t>Former systématiquement sur les engagements</t>
  </si>
  <si>
    <t>S’assurer que des mesures sont mises en place pour gérer les
 risques associés à la communication avec les tiers, notamment en
 termes de confidentialité, de conformité aux réglementations et de
 protection des données sensibles</t>
  </si>
  <si>
    <t>Des clauses de confidentialité et de protection des données sont intégrées aux contrats avec les tiers</t>
  </si>
  <si>
    <t>La confidentialité des données partagées est-elle garantie contractuellement ?</t>
  </si>
  <si>
    <t>Annexe confidentielle type</t>
  </si>
  <si>
    <t>Divulgation non autorisée d'informations sensibles</t>
  </si>
  <si>
    <t>Fuite d'informations sensibles</t>
  </si>
  <si>
    <t>Établir une classification des tiers par criticité</t>
  </si>
  <si>
    <t>Adapter les contrôles selon le niveau de risque</t>
  </si>
  <si>
    <t>Clause de confidentialité standard</t>
  </si>
  <si>
    <t>Violation des obligations contractuelles de confidentialité</t>
  </si>
  <si>
    <t>Violation des clauses de confidentialité</t>
  </si>
  <si>
    <t>Approfondir les analyses via des outils spécialisés</t>
  </si>
  <si>
    <t>Nommer des responsables data par domaine</t>
  </si>
  <si>
    <t>Les tiers ayant accès à des informations sensibles sont soumis à des évaluations préalables et régulières de leur sécurité</t>
  </si>
  <si>
    <t>Les tiers accédant à des données sensibles sont-ils évalués ?</t>
  </si>
  <si>
    <t>registre d'évaluation des tiers sensibles</t>
  </si>
  <si>
    <t>Identification erronée des tiers critiques</t>
  </si>
  <si>
    <t>Mauvaise identification des tiers critiques</t>
  </si>
  <si>
    <t>Automatiser le suivi des engagements contractuels</t>
  </si>
  <si>
    <t>Générer des alertes sur les manquements</t>
  </si>
  <si>
    <t>Grille d'analyse des risques données</t>
  </si>
  <si>
    <t>Analyse superficielle des risques data</t>
  </si>
  <si>
    <t>Affecter des responsables conformité</t>
  </si>
  <si>
    <t>Un cadre de conformité réglementaire est défini pour s’assurer du respect des lois sur la protection des données et la cybersécurité</t>
  </si>
  <si>
    <t>Le cadre réglementaire s'impose-t-il aux relations avec les tiers ?</t>
  </si>
  <si>
    <t>Charte relations fournisseurs</t>
  </si>
  <si>
    <t>Engagements contractuels non respectés</t>
  </si>
  <si>
    <t>Non-respect des engagements contractuels</t>
  </si>
  <si>
    <t>Tester trimestriellement les procédures de crise</t>
  </si>
  <si>
    <t>Mettre à jour les scénarios post-test</t>
  </si>
  <si>
    <t>Référentiel de conformité réglementaire</t>
  </si>
  <si>
    <t>Références réglementaires obsolètes</t>
  </si>
  <si>
    <t>Références réglementaires périmées</t>
  </si>
  <si>
    <t>Standardiser les procédures de traitement des écarts</t>
  </si>
  <si>
    <t>Documenter systématiquement les corrections</t>
  </si>
  <si>
    <t>Des registres de gestion des incidents de sécurité impliquant des tiers sont établies et testées régulièrement</t>
  </si>
  <si>
    <t>La gestion des incidents impliquant des tiers est-elle formalisée ?</t>
  </si>
  <si>
    <t>Plan de gestion des incidents tiers</t>
  </si>
  <si>
    <t>Procédures de crise inefficaces ou méconnues</t>
  </si>
  <si>
    <t>Procédures de crise inefficaces</t>
  </si>
  <si>
    <t>Automatiser la révocation des accès</t>
  </si>
  <si>
    <t>Synchroniser avec les processus RH</t>
  </si>
  <si>
    <t>Protocole de traitement des écarts</t>
  </si>
  <si>
    <t>Traitement incohérent des non-conformités</t>
  </si>
  <si>
    <t>Traitement incohérent des écarts</t>
  </si>
  <si>
    <t>Renforcer les processus de vérification d'habilitation</t>
  </si>
  <si>
    <t>Introduire des contrôles biométriques pour les accès sensibles</t>
  </si>
  <si>
    <t>Les accès aux données et aux systèmes d’information par les tiers sont contrôlés et limités selon le principe du moindre privilège</t>
  </si>
  <si>
    <t>L'accès des tiers aux systèmes est-il strictement contrôlé ?</t>
  </si>
  <si>
    <t>Liste des accès tiers autorisés</t>
  </si>
  <si>
    <t>Accès excessifs ou non révoqués</t>
  </si>
  <si>
    <t>Accès non revoqués</t>
  </si>
  <si>
    <t>Digitaliser les processus de validation</t>
  </si>
  <si>
    <t>Implémenter des alertes sur validations expirées</t>
  </si>
  <si>
    <t>Fiche de contrôle des habilitations</t>
  </si>
  <si>
    <t>Vérifications d'habilitation non fiables</t>
  </si>
  <si>
    <t>Planifier un calendrier de contrôles réguliers</t>
  </si>
  <si>
    <t>Automatiser la génération des rapports de contrôle</t>
  </si>
  <si>
    <t>Vérifier que les résultats des échanges avec les tiers sont
 documentés et intégrés dans le système de gestion des risques, afin
 d’assurer que le contrôle interne reste efficace face aux risques
 externes</t>
  </si>
  <si>
    <t>Un processus de validation est en place pour garantir la fiabilité des informations partagées avec les tiers</t>
  </si>
  <si>
    <t>La crédibilité des informations transmises aux tiers est-elle validée ?</t>
  </si>
  <si>
    <t>Registre des validations d'informations</t>
  </si>
  <si>
    <t>Validations non documentées ou expirées</t>
  </si>
  <si>
    <t>Validations non tracées ou expirées</t>
  </si>
  <si>
    <t>Mettre en place des KPI de qualité documentaire</t>
  </si>
  <si>
    <t>Lier les indicateurs aux objectifs qualité</t>
  </si>
  <si>
    <t>Calendrier des vérifications documentaires</t>
  </si>
  <si>
    <t>Retards dans les contrôles périodiques</t>
  </si>
  <si>
    <t>Retards dans les contrôles réguliers</t>
  </si>
  <si>
    <t>Développer des tableaux de bord de suivi contractuel</t>
  </si>
  <si>
    <t>Aligner les indicateurs sur les engagements stratégiques</t>
  </si>
  <si>
    <t>Les résultats des interactions avec les tiers sont pris en compte dans l’actualisation des cartographies des risques</t>
  </si>
  <si>
    <t>Les interactions avec les tiers nourrissent-elles la cartographie des risques ?</t>
  </si>
  <si>
    <t>Rapport d'intégration des risques tiers</t>
  </si>
  <si>
    <t>Reporting incomplet sur les risques fournisseurs</t>
  </si>
  <si>
    <t>Standardiser les modèles de reporting fournisseurs</t>
  </si>
  <si>
    <t>Automatiser la collecte des données fournisseurs</t>
  </si>
  <si>
    <t>Guide d'alimentation de la cartographie</t>
  </si>
  <si>
    <t>Cartographie des risques inexacte ou incomplète</t>
  </si>
  <si>
    <t>Cartographie des risques imprécise</t>
  </si>
  <si>
    <t>Utiliser des outils de cartographie dynamique des risques</t>
  </si>
  <si>
    <t>Actualiser mensuellement la matrice risques fournisseurs</t>
  </si>
  <si>
    <t>Un mécanisme de retour d’expérience est instauré pour identifier les points d’amélioration des échanges avec les tiers</t>
  </si>
  <si>
    <t>Capitalise-t-on sur les retours d'expérience avec les partenaires ?</t>
  </si>
  <si>
    <t>Plan de capitalisation des RETEX</t>
  </si>
  <si>
    <t>Non-exploitation des leçons apprises</t>
  </si>
  <si>
    <t>Non-utilisation des retours d'expérience</t>
  </si>
  <si>
    <t>Créer une base de connaissances des incidents fournisseurs</t>
  </si>
  <si>
    <t>Imposer des analyses post-incident obligatoires</t>
  </si>
  <si>
    <t>Liste des retours partenaires exploitables</t>
  </si>
  <si>
    <t>Retours d'expérience non valorisés</t>
  </si>
  <si>
    <t>Retours terrains non exploités</t>
  </si>
  <si>
    <t>Centraliser les remontées terrains dans un système unique</t>
  </si>
  <si>
    <t>Mettre en place des boucles de feedback mensuelles</t>
  </si>
  <si>
    <t>Les échanges avec les tiers font l’objet d’un suivi et de comptes rendus réguliers pour assurer la transparence</t>
  </si>
  <si>
    <t>La traçabilité des échanges avec les tiers est-elle assurée ?</t>
  </si>
  <si>
    <t>Registre des échanges avec les tiers</t>
  </si>
  <si>
    <t>Pertes d'informations dans les échanges</t>
  </si>
  <si>
    <t>Normaliser les protocoles d'échange d'information</t>
  </si>
  <si>
    <t>Sauvegarder automatiquement toutes les communications</t>
  </si>
  <si>
    <t>Fiche de traçabilité des correspondances</t>
  </si>
  <si>
    <t>Rupture de la traçabilité des communications</t>
  </si>
  <si>
    <t>Implémenter un système de traçabilité des échanges</t>
  </si>
  <si>
    <t>Utiliser des logs horodatés pour toutes les communications</t>
  </si>
  <si>
    <t>Des mécanismes d’alerte sont définis pour détecter toute anomalie dans la communication ou la gestion des engagements des tiers</t>
  </si>
  <si>
    <t>Des alertes identifient-elles les anomalies dans les relations tierces ?</t>
  </si>
  <si>
    <t>Rapport d'alerte sur anomalies</t>
  </si>
  <si>
    <t>Détection tardive des anomalies critiques</t>
  </si>
  <si>
    <t>Détection tardive des anomalies majeures</t>
  </si>
  <si>
    <t>Configurer des alertes automatiques sur indicateurs clés</t>
  </si>
  <si>
    <t>Déployer des outils de détection précoce</t>
  </si>
  <si>
    <t>Guide de gestion des indicateurs critiques</t>
  </si>
  <si>
    <t>Suivi inefficace des KPI clés</t>
  </si>
  <si>
    <t>Suivi inefficace des indicateurs clés</t>
  </si>
  <si>
    <t>Développer des tableaux de bord temps réel</t>
  </si>
  <si>
    <t>Automatiser les rapports d'anomalies hebdomadaires</t>
  </si>
  <si>
    <t>S’assurer que l’organisation met en place des processus
 d’évaluation continue pour surveiller l’efficacité des composantes
 du contrôle interne de manière régulière et systématique</t>
  </si>
  <si>
    <t>Un programme d’évaluation continue du contrôle interne est formalisé et mis en œuvre</t>
  </si>
  <si>
    <t>L'évaluation permanente du contrôle interne est-elle institutionnalisée ?</t>
  </si>
  <si>
    <t>Plan d'évaluation permanente</t>
  </si>
  <si>
    <t>Évaluations irrégulières ou superficielles</t>
  </si>
  <si>
    <t>Établir un calendrier d'évaluation trimestriel</t>
  </si>
  <si>
    <t>Standardiser les grilles d'évaluation</t>
  </si>
  <si>
    <t>Liste des référentiels contrôle interne</t>
  </si>
  <si>
    <t>Référentiels de contrôle obsolètes</t>
  </si>
  <si>
    <t>Mettre à jour semestriellement les référentiels</t>
  </si>
  <si>
    <t>Former les équipes aux nouveaux référentiels</t>
  </si>
  <si>
    <t>Des indicateurs de performance et de suivi des contrôles internes sont définis et régulièrement actualisés</t>
  </si>
  <si>
    <t>Des métriques mesurent-elles la performance des contrôles ?</t>
  </si>
  <si>
    <t>Registre des métriques de contrôle</t>
  </si>
  <si>
    <t>Métriques de surveillance non pertinentes</t>
  </si>
  <si>
    <t>Métriques de surveillance inadaptées</t>
  </si>
  <si>
    <t>Adapter les métriques aux processus critiques</t>
  </si>
  <si>
    <t>Aligner les indicateurs sur les objectifs stratégiques</t>
  </si>
  <si>
    <t>Rapport mensuel de performance</t>
  </si>
  <si>
    <t>Reporting inexact ou incomplet</t>
  </si>
  <si>
    <t>Automatiser la génération des rapports</t>
  </si>
  <si>
    <t>Des revues périodiques des processus de contrôle interne sont réalisées par les équipes concernées</t>
  </si>
  <si>
    <t>Les processus de contrôle font-ils l'objet de revues systématiques ?</t>
  </si>
  <si>
    <t>Calendrier des revues processus</t>
  </si>
  <si>
    <t>Revues processus non effectuées à temps</t>
  </si>
  <si>
    <t>Revues processus non réalisées à temps</t>
  </si>
  <si>
    <t>Planifier des revues processus trimestrielles</t>
  </si>
  <si>
    <t>Affecter des responsables par processus</t>
  </si>
  <si>
    <t>Guide d'audit des contrôles</t>
  </si>
  <si>
    <t>Méthodologie d'audit inadaptée</t>
  </si>
  <si>
    <t>Méthodologie d'audit inappropriée</t>
  </si>
  <si>
    <t>Former les auditeurs aux meilleures pratiques</t>
  </si>
  <si>
    <t>Les évaluations continues du contrôle interne intègrent des analyses de tendances et des benchmarks sectoriels</t>
  </si>
  <si>
    <t>Les analyses prospectives enrichissent-elles les évaluations ?</t>
  </si>
  <si>
    <t>Plan d'analyse prospective</t>
  </si>
  <si>
    <t>Anticipation insuffisante des risques futurs</t>
  </si>
  <si>
    <t>Anticipation insuffisante des risques</t>
  </si>
  <si>
    <t>Développer des scénarios risques prospectifs</t>
  </si>
  <si>
    <t>Organiser des ateliers risques semestriels</t>
  </si>
  <si>
    <t>Liste des scénarios risques</t>
  </si>
  <si>
    <t>Scénarios risques incomplets ou irréalistes</t>
  </si>
  <si>
    <t>Scénarios risques incomplets</t>
  </si>
  <si>
    <t>Enrichir la bibliothèque de scénarios types</t>
  </si>
  <si>
    <t>Tester annuellement les scénarios critiques</t>
  </si>
  <si>
    <t>Un système d’alerte est mis en place pour signaler les écarts ou dysfonctionnements détectés au cours des évaluations</t>
  </si>
  <si>
    <t>Un dispositif alerte-t-il sur les dérives constatées ?</t>
  </si>
  <si>
    <t>Fiche de surveillance des dérives</t>
  </si>
  <si>
    <t>Détection tardive des dérives opérationnelles</t>
  </si>
  <si>
    <t>Configurer un système d'alerte multicanal</t>
  </si>
  <si>
    <t>Tester mensuellement le système d'alerte</t>
  </si>
  <si>
    <t>Guide d'alerte précoce</t>
  </si>
  <si>
    <t>Système d'alerte inefficace</t>
  </si>
  <si>
    <t>Évaluations ponctuelles non documentées</t>
  </si>
  <si>
    <t>Documenter systématiquement les évaluations</t>
  </si>
  <si>
    <t>Centraliser les preuves d'évaluation</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</si>
  <si>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</si>
  <si>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Un processus formel est défini pour déclencher une évaluation du contrôle interne en cas de changement majeur</t>
  </si>
  <si>
    <t>Les changements majeurs déclenchent-ils des évaluations ad hoc ?</t>
  </si>
  <si>
    <t>Registre des évaluations ad hoc</t>
  </si>
  <si>
    <t>Système d'alerte inéfficace</t>
  </si>
  <si>
    <t>Réaliser des analyses d'impact préalables</t>
  </si>
  <si>
    <t>Impliquer les experts métiers dans les évaluations</t>
  </si>
  <si>
    <t>Rapport d'impact des changements</t>
  </si>
  <si>
    <t>Sous-estimation des impacts des changements</t>
  </si>
  <si>
    <t>Élaborer un plan de gestion du changement</t>
  </si>
  <si>
    <t>Former les managers au change management</t>
  </si>
  <si>
    <t>Les impacts des transformations organisationnelles ou technologiques sur le contrôle interne sont systématiquement analysés</t>
  </si>
  <si>
    <t>L'impact des transformations sur les contrôles est-il systématiquement analysé ?</t>
  </si>
  <si>
    <t>Plan d'analyse des transformations</t>
  </si>
  <si>
    <t>Mauvaise gestion des transformations</t>
  </si>
  <si>
    <t>Adapter les contrôles aux nouveaux risques</t>
  </si>
  <si>
    <t>Auditer semestriellement l'adéquation des contrôles</t>
  </si>
  <si>
    <t>Liste des adaptations de contrôles</t>
  </si>
  <si>
    <t>Contrôles non adaptés aux nouveaux risques</t>
  </si>
  <si>
    <t>Contrôles inadaptés aux nouveaux risques</t>
  </si>
  <si>
    <t>Renforcer les tests pré-production</t>
  </si>
  <si>
    <t>Automatiser les tests régressifs</t>
  </si>
  <si>
    <t>Des tests de robustesse des contrôles internes sont réalisés avant et après l’implémentation de nouvelles technologies ou processus</t>
  </si>
  <si>
    <t>Des stress tests sont-ils conduits avant et après le déploiement de nouvelles solutions ?</t>
  </si>
  <si>
    <t>Plan de stress tests pré-déploiement</t>
  </si>
  <si>
    <t>Tests insuffisants avant mise en production</t>
  </si>
  <si>
    <t>Tests pré-production insuffisants</t>
  </si>
  <si>
    <t>Standardiser les évaluations post-déploiement</t>
  </si>
  <si>
    <t>Impliquer des utilisateurs finaux dans les tests</t>
  </si>
  <si>
    <t>Rapport d'évaluation post-déploiement</t>
  </si>
  <si>
    <t>Évaluation biaisée après implémentation</t>
  </si>
  <si>
    <t>Évaluation post-déploiement biaisée</t>
  </si>
  <si>
    <t>Déployer des outils de monitoring continu</t>
  </si>
  <si>
    <t>Configurer des alertes sur anomalies données</t>
  </si>
  <si>
    <t>Un suivi est mis en place pour évaluer l’adaptation des registres de contrôle après chaque évolution importante</t>
  </si>
  <si>
    <t>Un monitoring évalue-t-il l'ajustement des registres post-évolution ?</t>
  </si>
  <si>
    <t>Fiche de monitoring des registres</t>
  </si>
  <si>
    <t>Surveillance inefficace des données critiques</t>
  </si>
  <si>
    <t>Surveillance inefficace des données</t>
  </si>
  <si>
    <t>Documenter tous les ajustements opérationnels</t>
  </si>
  <si>
    <t>Mettre en place un registre des modifications</t>
  </si>
  <si>
    <t>Registre des ajustements opérationnels</t>
  </si>
  <si>
    <t>Ajustements non documentés ou non conformes</t>
  </si>
  <si>
    <t>Ajustements non documentés</t>
  </si>
  <si>
    <t>Analyser systématiquement les retours terrains</t>
  </si>
  <si>
    <t>Implémenter un système de suivi des actions</t>
  </si>
  <si>
    <t>Les évaluations ponctuelles prennent en compte les retours d’expérience et recommandations des parties prenantes internes et externes</t>
  </si>
  <si>
    <t>Les retours terrains internes/externes nourrissent-ils les évaluations ad hoc ?</t>
  </si>
  <si>
    <t>Liste des retours terrains intégrés</t>
  </si>
  <si>
    <t>Retours terrains non pris en compte</t>
  </si>
  <si>
    <t>Retours terrains ignorés</t>
  </si>
  <si>
    <t>Optimiser l'utilisation des feedbacks</t>
  </si>
  <si>
    <t>Former les équipes à l'analyse des retours</t>
  </si>
  <si>
    <t>Guide d'exploitation des feedbacks</t>
  </si>
  <si>
    <t>Mauvais usage des retours utilisateurs</t>
  </si>
  <si>
    <t>Mauvaise utilisation des feedbacks</t>
  </si>
  <si>
    <t>Publier un calendrier contraignant des contributions</t>
  </si>
  <si>
    <t>Automatiser les rappels pour les échéances</t>
  </si>
  <si>
    <t>S’assurer que les responsables des composantes du contrôle
 interne sont impliqués dans les évaluations et qu'ils sont informés
 des résultats afin de pouvoir apporter des améliorations lorsque cela
 est nécessaire</t>
  </si>
  <si>
    <t>Les responsables des composantes du contrôle interne participent activement aux revues et audits des contrôles internes</t>
  </si>
  <si>
    <t>Les responsables contribuent-ils activement aux revues de contrôle ?</t>
  </si>
  <si>
    <t>Calendrier des contributions responsables</t>
  </si>
  <si>
    <t>Calendrier non respecté pour les contributions</t>
  </si>
  <si>
    <t>Calendrier des contributions non respecté</t>
  </si>
  <si>
    <t>Rendre obligatoire la participation aux revues</t>
  </si>
  <si>
    <t>Lier la participation aux objectifs individuels</t>
  </si>
  <si>
    <t>Rapport de participation aux revues</t>
  </si>
  <si>
    <t>Participation insuffisante aux revues qualité</t>
  </si>
  <si>
    <t>Participation insuffisante aux revues</t>
  </si>
  <si>
    <t>Standardiser la diffusion des résultats</t>
  </si>
  <si>
    <t>Centraliser les rapports dans un portail unique</t>
  </si>
  <si>
    <t>Un processus formalisé est en place pour la communication des résultats des évaluations aux responsables concernés</t>
  </si>
  <si>
    <t>Un circuit formel diffuse-t-il les résultats d'évaluation aux décideurs ?</t>
  </si>
  <si>
    <t>registre de diffusion des résultats</t>
  </si>
  <si>
    <t>Diffusion incomplète ou tardive des résultats</t>
  </si>
  <si>
    <t>Diffusion partielle des résultats</t>
  </si>
  <si>
    <t>Documenter le processus décisionnel</t>
  </si>
  <si>
    <t>Publier les comptes-rendus de décision</t>
  </si>
  <si>
    <t>Circuit formel de reporting décisionnel</t>
  </si>
  <si>
    <t>Circuit décisionnel ralenti ou opaque</t>
  </si>
  <si>
    <t>Processus décisionnel opaque</t>
  </si>
  <si>
    <t>Renforcer la qualité des revues périodiques</t>
  </si>
  <si>
    <t>Imposer des plans d'action post-revue</t>
  </si>
  <si>
    <t>Des réunions périodiques sont organisées pour discuter des résultats des évaluations et des mesures d’amélioration</t>
  </si>
  <si>
    <t>Des revues périodiques analysent-elles les résultats et pistes d'amélioration ?</t>
  </si>
  <si>
    <t>Plan de revues périodiques</t>
  </si>
  <si>
    <t>Revues périodiques reportées ou superficielles</t>
  </si>
  <si>
    <t>Revues périodiques superficielles</t>
  </si>
  <si>
    <t>Créer un registre des pistes d'amélioration</t>
  </si>
  <si>
    <t>Prioriser les améliorations par impact</t>
  </si>
  <si>
    <t>Registre des pistes d'amélioration</t>
  </si>
  <si>
    <t>Pistes d'amélioration non exploitées</t>
  </si>
  <si>
    <t>Pistes d'amélioration non utilisées</t>
  </si>
  <si>
    <t>Mettre en place un suivi des recommandations</t>
  </si>
  <si>
    <t>Publier trimestriellement le taux d'application</t>
  </si>
  <si>
    <t>Les recommandations issues des évaluations sont suivies et intégrées dans les plans d’action des équipes responsables</t>
  </si>
  <si>
    <t>Les préconisations sont-elles intégrées dans les feuilles de route opérationnelles ?</t>
  </si>
  <si>
    <t>Feuille de route des préconisations</t>
  </si>
  <si>
    <t>Préconisations non appliquées ou retardées</t>
  </si>
  <si>
    <t>Recommandations non appliquées</t>
  </si>
  <si>
    <t>Utiliser une matrice impact/urgence pour prioriser</t>
  </si>
  <si>
    <t>Affecter des ressources dédiées aux actions critiques</t>
  </si>
  <si>
    <t>Liste des actions priorisées</t>
  </si>
  <si>
    <t>Priorisation inefficace des actions correctives</t>
  </si>
  <si>
    <t>Priorisation défaillante des actions</t>
  </si>
  <si>
    <t>Former spécifiquement aux nouvelles optimisations</t>
  </si>
  <si>
    <t>Certifier les compétences sur les nouveaux processus</t>
  </si>
  <si>
    <t>Des formations sont dispensées aux responsables pour leur permettre d’adapter et d’optimiser les dispositifs de contrôle interne</t>
  </si>
  <si>
    <t>Des modules pédagogiques aident-ils à l'optimisation des dispositifs ?</t>
  </si>
  <si>
    <t>Module pédagogique d'optimisation</t>
  </si>
  <si>
    <t>Formation insuffisante sur les optimisations</t>
  </si>
  <si>
    <t>Auditer régulièrement le respect des standards</t>
  </si>
  <si>
    <t>Guide des bonnes pratiques</t>
  </si>
  <si>
    <t>Non-respect des standards opérationnels</t>
  </si>
  <si>
    <t>Non-respect des standards</t>
  </si>
  <si>
    <t>Réviser annuellement les indicateurs clés</t>
  </si>
  <si>
    <t>Aligner les KPI sur les objectifs métiers</t>
  </si>
  <si>
    <t>Points de contrôle</t>
  </si>
  <si>
    <t>objectifs de contrôle</t>
  </si>
  <si>
    <t>criteres d'evaluation</t>
  </si>
  <si>
    <t>Questions d'evaluation</t>
  </si>
  <si>
    <t>Réponses</t>
  </si>
  <si>
    <t>Criticités</t>
  </si>
  <si>
    <t>Consequences</t>
  </si>
  <si>
    <t>Audit des applications en service</t>
  </si>
  <si>
    <t>Organisation</t>
  </si>
  <si>
    <t>S’assurer de l’existence d'un comité informatique</t>
  </si>
  <si>
    <t>Existence d'un comité informatique</t>
  </si>
  <si>
    <t>Décision de création du comité informatique signée par le DG</t>
  </si>
  <si>
    <t>Existe-t-il un comité informatique ?</t>
  </si>
  <si>
    <t>Inexistence d'un comité informatique</t>
  </si>
  <si>
    <t>Décisions informatiques déconnectées des besoins métiers.</t>
  </si>
  <si>
    <t>mpliquer les métiers dans les instances de décision concernant les SI.</t>
  </si>
  <si>
    <t>Procès-verbal de réunion attestant de la création du comité informatique.</t>
  </si>
  <si>
    <t>Formaliser les besoins métiers et les traduire en exigences fonctionnelles et techniques.</t>
  </si>
  <si>
    <t>Le Comité est présidé par le Directeur Général</t>
  </si>
  <si>
    <t>PV de session du comité</t>
  </si>
  <si>
    <t>Le Comité est-il présidé par le Directeur Général ?</t>
  </si>
  <si>
    <t>Le Comité n'est pas présidé par le Directeur Général</t>
  </si>
  <si>
    <t>Manque d'autorité et de légitimité des décisions du comité.</t>
  </si>
  <si>
    <t>Clarifier les rôles et responsabilités du comité de pilotage SI.</t>
  </si>
  <si>
    <t>Décision de nomination du Président du comité informatique signée par le Directeur Général.</t>
  </si>
  <si>
    <t>Documenter les décisions prises et les diffuser aux parties prenantes.</t>
  </si>
  <si>
    <t>Les directions utilisatrices sont représentées au sein de ce Comité</t>
  </si>
  <si>
    <t>Décision d'affectation des directions au comité</t>
  </si>
  <si>
    <t>Les directions utilisatrices sont-elles représentées au sein de ce Comité ?</t>
  </si>
  <si>
    <t>Les directions utilisatrices ne sont pas représentées au sein de 
 ce Comité.</t>
  </si>
  <si>
    <t>Systèmes inadaptés aux besoins réels des utilisateurs.</t>
  </si>
  <si>
    <t>Mener des études d'utilisabilité et des tests utilisateurs avant et après la mise en production.</t>
  </si>
  <si>
    <t>Mettre en place un processus de recueil et de gestion des feedbacks utilisateurs.</t>
  </si>
  <si>
    <t>Les directions utilisatrices sont influentes au sein de ce Comité</t>
  </si>
  <si>
    <t>Procès-verbal des réunions mentionnant les contributions des directions utilisatrices</t>
  </si>
  <si>
    <t>Les directions utilisatrices sont-elles influentes au sein de ce Comité ?</t>
  </si>
  <si>
    <t>Les directions utilisatrices ne sont pas influentes au sein de ce 
 Comité</t>
  </si>
  <si>
    <t>Faible adoption par les utilisateurs et non atteinte des objectifs métiers.</t>
  </si>
  <si>
    <t>Accompagner les utilisateurs dans la prise en main des nouveaux systèmes.</t>
  </si>
  <si>
    <t>Document de gouvernance IT attestant du poids décisionnel des directions métiers</t>
  </si>
  <si>
    <t>Définir des indicateurs de performance (KPI) pour mesurer l'adoption et l'atteinte des objectifs.</t>
  </si>
  <si>
    <t>L'ordre du jour des réunions est documenté?</t>
  </si>
  <si>
    <t>Ordres du jour archivés des réunions du comité</t>
  </si>
  <si>
    <t>L'ordre du jour des réunions est-il documenté?</t>
  </si>
  <si>
    <t>Systèmes inadaptés aux besoins métiers.</t>
  </si>
  <si>
    <t>Pertes de temps et sujets importants non traités.</t>
  </si>
  <si>
    <t>Prioriser les sujets et les tâches en fonction de leur importance et de leur urgence.</t>
  </si>
  <si>
    <t>Procès-verbaux des réunions avec suivi des points traités</t>
  </si>
  <si>
    <t>Mettre en place des outils de gestion de projet et de suivi des tâches.</t>
  </si>
  <si>
    <t>S’assurer de l’existence d'une politique relative aux 
 applications</t>
  </si>
  <si>
    <t>Il existe une politique relative aux applications au sein de l'institution</t>
  </si>
  <si>
    <t>Document officiel de la politique applicative</t>
  </si>
  <si>
    <t>Existe-t-il une politique relative aux applications au sein de l'institution?</t>
  </si>
  <si>
    <t>Réunions inefficaces.</t>
  </si>
  <si>
    <t>Coûts élevés et duplication des fonctions.</t>
  </si>
  <si>
    <t>Rationaliser les applications et les systèmes existants.</t>
  </si>
  <si>
    <t>Procès-verbal de validation par la direction générale</t>
  </si>
  <si>
    <t>Automatiser les tâches répétitives et chronophages.</t>
  </si>
  <si>
    <t>La politique est connue des utilisateurs d'applications</t>
  </si>
  <si>
    <t>Registre des formations suivies par les utilisateurs</t>
  </si>
  <si>
    <t>La politique est-elle connue des utilisateurs d'applications?</t>
  </si>
  <si>
    <t>Gestion anarchique des applications.</t>
  </si>
  <si>
    <t>Problèmes de sécurité et erreurs d'utilisation.</t>
  </si>
  <si>
    <t>Sensibiliser les utilisateurs aux bonnes pratiques de sécurité.</t>
  </si>
  <si>
    <t>Attestations de connaissance de la politique signées par les utilisateurs</t>
  </si>
  <si>
    <t>Mettre en place des contrôles d'accès et des mécanismes d'authentification robustes.</t>
  </si>
  <si>
    <t>La politique est largement diffusée</t>
  </si>
  <si>
    <t>Plan de communication institutionnel</t>
  </si>
  <si>
    <t>La politique est-elle largement diffusée?</t>
  </si>
  <si>
    <t>Non-respect de la politique.</t>
  </si>
  <si>
    <t>Application incomplète de la politique et problèmes de conformité.</t>
  </si>
  <si>
    <t>Formaliser et diffuser la politique de sécurité SI.</t>
  </si>
  <si>
    <t>Preuves matérielles de diffusion (emails, publications intranet)</t>
  </si>
  <si>
    <t>Effectuer des audits réguliers pour vérifier la conformité aux normes et réglementations.</t>
  </si>
  <si>
    <t>La politique est mise en œuvre</t>
  </si>
  <si>
    <t>Rapport d'audit de conformité</t>
  </si>
  <si>
    <t>La politique est-elle mise en œuvre?</t>
  </si>
  <si>
    <t>Méconnaissance de la politique par une partie du personnel.</t>
  </si>
  <si>
    <t>Aucun impact concret sur les pratiques et les problèmes persistent.</t>
  </si>
  <si>
    <t>Mettre en place un plan d'action correctif pour résoudre les problèmes identifiés.</t>
  </si>
  <si>
    <t>Journal des contrôles effectués</t>
  </si>
  <si>
    <t>Suivre l'efficacité des actions correctives et ajuster si nécessaire.</t>
  </si>
  <si>
    <t>La politique couvre l'ensemble du cycle de vie de l’application</t>
  </si>
  <si>
    <t>Document décrivant le cycle de vie complet des applications</t>
  </si>
  <si>
    <t>La politique couvre-t-elle l'ensemble du cycle de vie de l'application?</t>
  </si>
  <si>
    <t>La politique reste théorique.</t>
  </si>
  <si>
    <t>Problèmes de sécurité et erreurs lors de certaines phases du cycle de vie de l'application.</t>
  </si>
  <si>
    <t>Intégrer la sécurité dès la phase de conception des applications (approche Security by Design).</t>
  </si>
  <si>
    <t>Procédures opérationnelles pour chaque phase du cycle</t>
  </si>
  <si>
    <t>Réaliser des tests de sécurité tout au long du cycle de développement.</t>
  </si>
  <si>
    <t>La politique favorise la responsabilisation des utilisateurs dans l'usage de leur système d’information (application)</t>
  </si>
  <si>
    <t>Charte d'utilisation signée par les utilisateurs</t>
  </si>
  <si>
    <t>La politique favorise-t-elle la responsabilisation des utilisateurs dans l'usage de leur système d'information (application)?</t>
  </si>
  <si>
    <t>La politique est incomplète et ne couvre pas toutes les étapes.</t>
  </si>
  <si>
    <t>Mauvaise qualité des données et pertes d'informations.</t>
  </si>
  <si>
    <t>Mettre en place des processus de validation et de nettoyage des données.</t>
  </si>
  <si>
    <t>Sauvegarder régulièrement les données et mettre en place un plan de reprise d'activité.</t>
  </si>
  <si>
    <t>La politique préconise l'attribution formelle de responsabilités aux utilisateurs du système (application)</t>
  </si>
  <si>
    <t>Fiches de poste avec responsabilités applicatives définies</t>
  </si>
  <si>
    <t>La politique préconise-t-elle l'attribution formelle de responsabilités aux utilisateurs du système (application)?</t>
  </si>
  <si>
    <t>Manque d'implication des utilisateurs.</t>
  </si>
  <si>
    <t>Manque de clarté sur qui fait quoi et erreurs fréquentes.</t>
  </si>
  <si>
    <t>Définir clairement les rôles et responsabilités de chaque acteur.</t>
  </si>
  <si>
    <t>Matrice RACI officielle</t>
  </si>
  <si>
    <t>Documenter les processus et les procédures.</t>
  </si>
  <si>
    <t>S’assurer que les rôle et responsabilités des utilisateurs sont 
 bien définis</t>
  </si>
  <si>
    <t>Le rôle et les responsabilités des utilisateurs vis-à-vis de l’application sont clairement identifiés</t>
  </si>
  <si>
    <t>Manuel des procédures utilisateurs</t>
  </si>
  <si>
    <t>Le rôle et les responsabilités des utilisateurs vis-à-vis de l'application sont-ils clairement identifiés?</t>
  </si>
  <si>
    <t>Responsabilités mal définies.</t>
  </si>
  <si>
    <t>Difficultés à identifier les responsables en cas de problème.</t>
  </si>
  <si>
    <t>Mettre en place une matrice RACI (Responsible, Accountable, Consulted, Informed).</t>
  </si>
  <si>
    <t>Tableau des droits d'accès par profil métier</t>
  </si>
  <si>
    <t>Définir un processus d'escalade des problèmes.</t>
  </si>
  <si>
    <t>Le rôle et les responsabilités des utilisateurs vis-à-vis de l’application couvrent l’analyse des risques</t>
  </si>
  <si>
    <t>Rapport d'analyse des risques impliquant les utilisateurs métiers</t>
  </si>
  <si>
    <t>Le rôle et les responsabilités des utilisateurs vis-à-vis de l'application couvrent-ils l'analyse des risques?</t>
  </si>
  <si>
    <t>Manque de clarté sur les rôles et responsabilités.</t>
  </si>
  <si>
    <t>Mesures de sécurité non adaptées.</t>
  </si>
  <si>
    <t>Effectuer une analyse de risques pour identifier les menaces et les vulnérabilités.</t>
  </si>
  <si>
    <t>Procès-verbal de validation des risques par les responsables métiers</t>
  </si>
  <si>
    <t>Mettre en place des mesures de sécurité appropriées pour atténuer les risques.</t>
  </si>
  <si>
    <t>Le rôle et les responsabilités des utilisateurs vis-à-vis de l’application couvrent la définition des besoins de sécurité</t>
  </si>
  <si>
    <t>Cahier des charges sécurité co-construit avec les métiers</t>
  </si>
  <si>
    <t>Le rôle et les responsabilités des utilisateurs vis-à-vis de l'application couvrent-ils la définition des besoins de sécurité?</t>
  </si>
  <si>
    <t>Absence de prise en compte des besoins de sécurité par les utilisateurs.</t>
  </si>
  <si>
    <t>Systèmes obsolètes.</t>
  </si>
  <si>
    <t>Systèmes à jour et maintenus.</t>
  </si>
  <si>
    <t>PV de réunion de définition des exigences de sécurité</t>
  </si>
  <si>
    <t>Plan de secours et de reprise après sinistre.</t>
  </si>
  <si>
    <t>Le rôle et les responsabilités des utilisateurs vis-à-vis de l’application couvrent la gestion des changements et des évolutions</t>
  </si>
  <si>
    <t>Procédure formalisée de gestion des changements</t>
  </si>
  <si>
    <t>Le rôle et les responsabilités des utilisateurs vis-à-vis de l'application couvrent-ils la gestion des changements et des évolutions?</t>
  </si>
  <si>
    <t>Gestion des changements et des évolutions inadaptée aux besoins.</t>
  </si>
  <si>
    <t>Difficultés à maintenir l'application et insatisfaction des utilisateurs.</t>
  </si>
  <si>
    <t>Définir des objectifs de sécurité clairs et mesurables.</t>
  </si>
  <si>
    <t>Registre des demandes d'évolution initiées par les métiers</t>
  </si>
  <si>
    <t>Suivre et évaluer régulièrement la performance de la sécurité.</t>
  </si>
  <si>
    <t>Le rôle et les responsabilités des utilisateurs vis-à-vis de l’application couvrent l’administration de l’application</t>
  </si>
  <si>
    <t>Procédures d'administration déléguée aux utilisateurs</t>
  </si>
  <si>
    <t>Le rôle et les responsabilités des utilisateurs vis-à-vis de l'application couvrent-ils l'administration de l'application?</t>
  </si>
  <si>
    <t>Administration de l'application déconnectée des besoins des utilisateurs.</t>
  </si>
  <si>
    <t>Difficulté à maintenir l'application et insatisfaction des utilisateurs.</t>
  </si>
  <si>
    <t>Séparer les tâches critiques pour éviter les conflits d'intérêts et les fraudes.</t>
  </si>
  <si>
    <t>Journal des opérations administratives réalisées par les métiers</t>
  </si>
  <si>
    <t>Former le personnel sur les politiques et procédures de sécurité.</t>
  </si>
  <si>
    <t>S’assurer qu’une analyse des risques a été réalisée</t>
  </si>
  <si>
    <t>Une analyse des risques spécifique à l’application a été réalisée</t>
  </si>
  <si>
    <t>Rapport complet d'analyse des risques applicative</t>
  </si>
  <si>
    <t>Une analyse des risques spécifique à l'application a-t-elle été réalisée?</t>
  </si>
  <si>
    <t>Mauvaise identification des risques pour l'application.</t>
  </si>
  <si>
    <t>Définir un niveau de sécurité cible et allouer les ressources nécessaires.</t>
  </si>
  <si>
    <t>Grille d'évaluation des risques spécifique à l'application</t>
  </si>
  <si>
    <t>Mettre en œuvre des contrôles de sécurité pour surveiller et protéger les systèmes.</t>
  </si>
  <si>
    <t>L'analyse des risques a débouché sur la définition des besoins de sécurité</t>
  </si>
  <si>
    <t>Document de synthèse des besoins de sécurité</t>
  </si>
  <si>
    <t>L'analyse des risques a-t-elle débouché sur la définition des besoins de sécurité?</t>
  </si>
  <si>
    <t>Définition des besoins de sécurité incomplète ou inadaptée.</t>
  </si>
  <si>
    <t>Définition des besoins de sécurité incomplète ou inadéquate.</t>
  </si>
  <si>
    <t>Documenter la méthodologie utilisée pour l'analyse et la gestion des risques.</t>
  </si>
  <si>
    <t>PV de validation des exigences par la direction</t>
  </si>
  <si>
    <t>Former le personnel sur la méthodologie et les outils utilisés.</t>
  </si>
  <si>
    <t>La méthode d'analyse des risques est définie et documentée (ex: EBIOS Risk Manager, MEHARI)?</t>
  </si>
  <si>
    <t>Manuel méthodologique d'analyse des risques (EBIOS/MEHARI)</t>
  </si>
  <si>
    <t>La méthode d'analyse des risques est-elle définie et documentée (ex: EBIOS Risk Manager, MEHARI)?</t>
  </si>
  <si>
    <t>Méthode d'analyse des risques non standardisée et non documentée.</t>
  </si>
  <si>
    <t>Prendre en compte la confidentialité, l'intégrité et la disponibilité des données lors de la conception et de la mise en œuvre des systèmes.</t>
  </si>
  <si>
    <t>Procédure d'évaluation des risques documentée</t>
  </si>
  <si>
    <t>Mettre en place des mesures pour protéger les données contre les accès non autorisés, les modifications et les pertes.</t>
  </si>
  <si>
    <t>Les risques identifiés sont classifiés et priorisés?</t>
  </si>
  <si>
    <t>Matrice de criticité des risques classés</t>
  </si>
  <si>
    <t>Les risques identifiés sont-ils classifiés et priorisés?</t>
  </si>
  <si>
    <t>Risques mal identifiés et non priorisés.</t>
  </si>
  <si>
    <t>Effectuer une analyse de risques approfondie et prioriser les risques en fonction de leur impact potentiel.</t>
  </si>
  <si>
    <t>Plan de traitement des risques priorisés</t>
  </si>
  <si>
    <t>Mettre en place un processus de gestion des risques.</t>
  </si>
  <si>
    <t>Les mesures de sécurité mises en place sont proportionnées aux risques identifiés?</t>
  </si>
  <si>
    <t>Rapport de mise en œuvre des mesures de sécurité</t>
  </si>
  <si>
    <t>Les mesures de sécurité mises en place sont-elles proportionnées aux risques identifiés?</t>
  </si>
  <si>
    <t>Mesures de sécurité inadaptées aux risques identifiés.</t>
  </si>
  <si>
    <t>Adopter des mesures de sécurité appropriées et proportionnées aux risques identifiés.</t>
  </si>
  <si>
    <t>Évaluation du niveau de couverture des risques</t>
  </si>
  <si>
    <t>Effectuer des tests de pénétration et des audits de sécurité réguliers.</t>
  </si>
  <si>
    <t>S’assurer que le prolongement de l'analyse de risque et de son expansion ont été réalisés</t>
  </si>
  <si>
    <t>Il y a eu un prolongement de l'analyse des risques et de l'expression des besoins de sécurité?</t>
  </si>
  <si>
    <t>Compte-rendu d'extension de l'analyse des risques</t>
  </si>
  <si>
    <t>Y a-t-il eu un prolongement de l'analyse des risques et de l'expression des besoins de sécurité?</t>
  </si>
  <si>
    <t>Expression des besoins de sécurité non prise en compte.</t>
  </si>
  <si>
    <t>Recueillir et prendre en compte les besoins de sécurité des utilisateurs et des parties prenantes.</t>
  </si>
  <si>
    <t>Document d'évolution des besoins de sécurité</t>
  </si>
  <si>
    <t>Organiser des sessions de sensibilisation à la sécurité pour les utilisateurs.</t>
  </si>
  <si>
    <t>Un contrat de service (SLA) entre l'informatique et la direction utilisatrice a été mis en œuvre?</t>
  </si>
  <si>
    <t>Contrat de Service (SLA) signé avec la direction métier</t>
  </si>
  <si>
    <t>Un contrat de service (SLA) entre l'informatique et la direction utilisatrice a-t-il été mis en œuvre?</t>
  </si>
  <si>
    <t>Contrat de service (SLA) inexistant ou non appliqué.</t>
  </si>
  <si>
    <t>Mettre en place un contrat de service (SLA) clair et précis qui définit les responsabilités en matière de sécurité.</t>
  </si>
  <si>
    <t>Annexe sécurité du SLA définissant les engagements</t>
  </si>
  <si>
    <t>S'assurer que le SLA est respecté et appliqué.</t>
  </si>
  <si>
    <t>L'analyse des risques est mise à jour régulièrement en fonction des évolutions de l'application et des menaces?</t>
  </si>
  <si>
    <t>Plan de révision périodique des risques</t>
  </si>
  <si>
    <t>L'analyse des risques est-elle mise à jour régulièrement en fonction des évolutions de l'application et des menaces?</t>
  </si>
  <si>
    <t>Analyse des risques non mise à jour régulièrement.</t>
  </si>
  <si>
    <t>Mettre à jour régulièrement l'analyse des risques pour refléter l'évolution des menaces et des vulnérabilités.</t>
  </si>
  <si>
    <t>PV des mises à jour de l'analyse des risques</t>
  </si>
  <si>
    <t>Documenter les modifications apportées à l'analyse des risques.</t>
  </si>
  <si>
    <t>Les besoins de sécurité sont revus et validés par les parties prenantes?</t>
  </si>
  <si>
    <t>PV de revue des besoins de sécurité</t>
  </si>
  <si>
    <t>Les besoins de sécurité sont-ils revus et validés par les parties prenantes?</t>
  </si>
  <si>
    <t>Besoins de sécurité non revus ni validés.</t>
  </si>
  <si>
    <t>Revoir et valider régulièrement les besoins de sécurité pour s'assurer qu'ils restent pertinents.</t>
  </si>
  <si>
    <t>Fiche de validation des modifications par les métiers</t>
  </si>
  <si>
    <t>Documenter les besoins de sécurité et les décisions prises.</t>
  </si>
  <si>
    <t>Les résultats de l'analyse des risques sont utilisés pour définir les priorités en matière de sécurité?</t>
  </si>
  <si>
    <t>Plan d'action sécurité priorisé</t>
  </si>
  <si>
    <t>Les résultats de l'analyse des risques sont-ils utilisés pour définir les priorités en matière de sécurité?</t>
  </si>
  <si>
    <t>Mauvaise définition des priorités en matière de sécurité.</t>
  </si>
  <si>
    <t>Définir clairement les priorités en matière de sécurité en fonction des risques identifiés et des objectifs de l'organisation.</t>
  </si>
  <si>
    <t>Tableau de bord des risques résiduels</t>
  </si>
  <si>
    <t>Allouer les ressources nécessaires pour mettre en œuvre les mesures de sécurité prioritaires.</t>
  </si>
  <si>
    <t>S’assurer que l’analyse et évaluation du niveau de sensibilité a été réalisée</t>
  </si>
  <si>
    <t>Il y a une séparation des tâches au sein de la direction utilisatrice indépendamment de l'application?</t>
  </si>
  <si>
    <t>Organigramme fonctionnel avec séparation des tâches</t>
  </si>
  <si>
    <t>Absence de séparation des tâches au sein de la direction utilisatrice.</t>
  </si>
  <si>
    <t>Mettre en place une séparation des tâches pour les fonctions critiques au sein de la direction utilisatrice afin de minimiser les risques de conflits d'intérêts et de fraudes.</t>
  </si>
  <si>
    <t>Description des contrôles d'incompatibilité</t>
  </si>
  <si>
    <t>Définir des rôles et des responsabilités clairs pour chaque membre du personnel.</t>
  </si>
  <si>
    <t>Il y a une « maturité » de l'organisation vis-à-vis de ses systèmes d'information?</t>
  </si>
  <si>
    <t>Rapport d'évaluation de la maturité organisationnelle</t>
  </si>
  <si>
    <t>Il y a une «maturité» de l'organisation vis-à-vis de ses systèmes d'information?</t>
  </si>
  <si>
    <t>Niveau de sécurité insuffisant.</t>
  </si>
  <si>
    <t>Définir un niveau de sécurité cible et allouer les ressources nécessaires pour atteindre ce niveau.</t>
  </si>
  <si>
    <t>Plan d'amélioration continue des processus</t>
  </si>
  <si>
    <t>Mettre en œuvre des contrôles de sécurité pour surveiller et protéger les systèmes et les données.</t>
  </si>
  <si>
    <t>Une méthode d'évaluation de la sensibilité des données est définie et documentée?</t>
  </si>
  <si>
    <t>Politique de classification des données</t>
  </si>
  <si>
    <t>Méthode non définie et non documentée.</t>
  </si>
  <si>
    <t>Définir et documenter une méthodologie claire pour l'analyse et la gestion des risques de sécurité.</t>
  </si>
  <si>
    <t>Grille d'évaluation de la sensibilité des informations</t>
  </si>
  <si>
    <t>L'évaluation prend en compte la confidentialité, l'intégrité et la disponibilité des données?</t>
  </si>
  <si>
    <t>Rapport d'évaluation CID (Confidentialité, Intégrité, Disponibilité)</t>
  </si>
  <si>
    <t>Confidentialité, l'intégrité et la disponibilité non prises en compte.</t>
  </si>
  <si>
    <t>Cartographie des flux de données sensibles</t>
  </si>
  <si>
    <t>Les résultats de l'évaluation sont utilisés pour définir les mesures de sécurité appropriées?</t>
  </si>
  <si>
    <t>Plan de sécurité adapté aux niveaux de sensibilité</t>
  </si>
  <si>
    <t>Mesures de sécurité inappropriées.</t>
  </si>
  <si>
    <t>Vulnérabilité aux menaces.</t>
  </si>
  <si>
    <t>Identifier et corriger les vulnérabilités.</t>
  </si>
  <si>
    <t>Matrice des mesures de protection par type de données</t>
  </si>
  <si>
    <t>Mettre en place des mesures de sécurité pour atténuer les menaces.</t>
  </si>
  <si>
    <t>Vérifier l’existence d’un manuel d'administration de l'application</t>
  </si>
  <si>
    <t>Un ou des manuels pour l’application existe</t>
  </si>
  <si>
    <t>Fiche de versionnage du manuel</t>
  </si>
  <si>
    <t>Un ou des manuels pour l'application existe?</t>
  </si>
  <si>
    <t>Manuels inexistants.</t>
  </si>
  <si>
    <t>Difficulté d'utilisation et erreurs potentielles.</t>
  </si>
  <si>
    <t>Simplifier l'interface utilisateur et fournir une documentation claire.</t>
  </si>
  <si>
    <t>Procès-verbal de validation</t>
  </si>
  <si>
    <t>Former les utilisateurs sur l'utilisation correcte de l'application.</t>
  </si>
  <si>
    <t>Le manuel est à jour</t>
  </si>
  <si>
    <t>Registre de formation des utilisateurs</t>
  </si>
  <si>
    <t>Le manuel est à jour?</t>
  </si>
  <si>
    <t>Manuels non mis à jour.</t>
  </si>
  <si>
    <t>Information obsolète et utilisation incorrecte de l'application.</t>
  </si>
  <si>
    <t>Mettre à jour régulièrement les informations et les données de l'application.</t>
  </si>
  <si>
    <t>Test de connaissance utilisateurs</t>
  </si>
  <si>
    <t>Fournir des instructions claires sur l'utilisation prévue de l'application.</t>
  </si>
  <si>
    <t>Le manuel est maitrisé</t>
  </si>
  <si>
    <t>Manuel utilisateur complet</t>
  </si>
  <si>
    <t>Le manuel est maîtrisé?</t>
  </si>
  <si>
    <t>Manuels non maîtrisés.</t>
  </si>
  <si>
    <t>Difficulté à appliquer les bonnes pratiques et procédures.</t>
  </si>
  <si>
    <t>Fournir une formation et un soutien adéquats aux utilisateurs.</t>
  </si>
  <si>
    <t>Procédure opérationnelle standardisée</t>
  </si>
  <si>
    <t>Mettre en place des mécanismes pour encourager l'adoption des meilleures pratiques.</t>
  </si>
  <si>
    <t>Le manuel comprend un mode d'emploi</t>
  </si>
  <si>
    <t>Guide administrateur applicatif</t>
  </si>
  <si>
    <t>Le manuel comprend un mode d'emploi?</t>
  </si>
  <si>
    <t>Absence de mode d'emploi.</t>
  </si>
  <si>
    <t>Concevoir une interface utilisateur intuitive et conviviale.</t>
  </si>
  <si>
    <t>Schéma d'architecture technique</t>
  </si>
  <si>
    <t>Mettre en œuvre des contrôles pour prévenir les erreurs potentielles.</t>
  </si>
  <si>
    <t>Le manuel comprend une présentation du module d’administration de l’application</t>
  </si>
  <si>
    <t>Matrice des droits d'accès</t>
  </si>
  <si>
    <t>Le manuel comprend une présentation du module d'administration de l'application?</t>
  </si>
  <si>
    <t>Absence de présentation du module d'administration.</t>
  </si>
  <si>
    <t>Administration difficile.</t>
  </si>
  <si>
    <t>Simplifier les tâches d'administration et automatiser les processus.</t>
  </si>
  <si>
    <t>Politique de sécurité applicative</t>
  </si>
  <si>
    <t>Fournir aux administrateurs les outils et la formation nécessaires.</t>
  </si>
  <si>
    <t>Le manuel comprend des droits d’accès</t>
  </si>
  <si>
    <t>Formulaire de demande de modification</t>
  </si>
  <si>
    <t>Le manuel comprend des droits d'accès?</t>
  </si>
  <si>
    <t>Absence d'information sur les droits d'accès.</t>
  </si>
  <si>
    <t>Accès non autorisés et gestion des droits inefficace.</t>
  </si>
  <si>
    <t>Mettre en place un contrôle d'accès strict et une gestion des droits efficace.</t>
  </si>
  <si>
    <t>Procès-verbal de validation propriétaire</t>
  </si>
  <si>
    <t>Surveiller régulièrement les accès et les activités des utilisateurs.</t>
  </si>
  <si>
    <t>Vérifier l’existence de procédures formalisées</t>
  </si>
  <si>
    <t>Des procédures formalisées imposant l’accord du « propriétaire » de l’application pour tout changement sur les programmes de l’application existent</t>
  </si>
  <si>
    <t>Procédure de changement de planning</t>
  </si>
  <si>
    <t>Des procédures formalisées imposant l'accord du «propriétaire» de l'application pour tout changement sur les programmes de l'application existent?</t>
  </si>
  <si>
    <t>Absence d'accord du « propriétaire » de l'application pour tout changement sur les programmes.</t>
  </si>
  <si>
    <t>Changement non autorisées.</t>
  </si>
  <si>
    <t>Mettre en place des contrôles pour empêcher les modifications non autorisées.</t>
  </si>
  <si>
    <t>Journal des modifications approuvées</t>
  </si>
  <si>
    <t>Enregistrer et auditer tous les changements.</t>
  </si>
  <si>
    <t>Des procédures formalisées imposant l’accord du « propriétaire » de l’application pour tout changement sur la planification des traitements informatiques existent</t>
  </si>
  <si>
    <t>Charte d'évolution technologique</t>
  </si>
  <si>
    <t>Des procédures formalisées imposant l'accord du «propriétaire» de l'application pour tout changement sur la planification des traitements informatiques existent?</t>
  </si>
  <si>
    <t>Absence d'accord du « propriétaire » de l'application pour la planification des traitements informatiques.</t>
  </si>
  <si>
    <t>Risques liées à une gestion mauvaise.</t>
  </si>
  <si>
    <t>Adopter des pratiques de gestion des risques saines.</t>
  </si>
  <si>
    <t>PV du comité technique</t>
  </si>
  <si>
    <t>Examiner et mettre à jour régulièrement les politiques et les procédures.</t>
  </si>
  <si>
    <t>Des procédures formalisées imposant l’accord du « propriétaire » de l’application pour tout changement sur l’environnement technologique de l’application existent</t>
  </si>
  <si>
    <t>Procédures administratives formalisées</t>
  </si>
  <si>
    <t>Des procédures formalisées imposant l'accord du «propriétaire» de l'application pour tout changement sur l'environnement technologique de l'application existent?</t>
  </si>
  <si>
    <t>Absence d'accord du « propriétaire » de l'application pour tout changement sur l'environnement technologique.</t>
  </si>
  <si>
    <t>Résolution lente des incidents.</t>
  </si>
  <si>
    <t>Mettre en place un processus efficace de gestion des incidents.</t>
  </si>
  <si>
    <t>Registre des opérations effectuées</t>
  </si>
  <si>
    <t>Allouer des ressources suffisantes pour la résolution des incidents.</t>
  </si>
  <si>
    <t>L'administration est bien assurée par les utilisateurs</t>
  </si>
  <si>
    <t>Processus de gestion des incidents</t>
  </si>
  <si>
    <t>L'administration est bien assurée par les utilisateurs?</t>
  </si>
  <si>
    <t>Mauvaise gestion de l'application.</t>
  </si>
  <si>
    <t>Identifier les performance des applications pas a jour</t>
  </si>
  <si>
    <t>Mettre en place une surveillance des performances et des alertes.</t>
  </si>
  <si>
    <t>Fiches types d'intervention</t>
  </si>
  <si>
    <t>Maintenir les applications à jour.</t>
  </si>
  <si>
    <t>Vérifier l'existence de procédures formalisées de gestion des incidents</t>
  </si>
  <si>
    <t>Des procédures formalisées de gestion des incidents sont-elles en place ?</t>
  </si>
  <si>
    <t>Problèmes de gestion des incidents.</t>
  </si>
  <si>
    <t>Définir des accords de niveau de service (SLA) et des procédures d'escalade.</t>
  </si>
  <si>
    <t>Tableau de bord SLA</t>
  </si>
  <si>
    <t>Automatiser la résolution des incidents.</t>
  </si>
  <si>
    <t>S’assurer de l’existence et de la mise à disposition du compte rendu mensuel au propriétaire</t>
  </si>
  <si>
    <t>Le propriétaire dispose d'un compte rendu mensuel de la performance de l'application</t>
  </si>
  <si>
    <t>Engagement contractuel formalisé</t>
  </si>
  <si>
    <t>Le propriétaire dispose-t-il d'un compte rendu mensuel de la performance de l'application ?</t>
  </si>
  <si>
    <t>Manque de visibilité sur la performance de l'application.</t>
  </si>
  <si>
    <t>Dégradation des performances non détectées.</t>
  </si>
  <si>
    <t>Mettre en place une surveillance proactive des performances.</t>
  </si>
  <si>
    <t>Preuve de livraison dans les délais</t>
  </si>
  <si>
    <t>Analyser les causes profondes des dégradations de performance.</t>
  </si>
  <si>
    <t>Le compte rendu respecte le contrat du service</t>
  </si>
  <si>
    <t>Indicateurs clés de performance</t>
  </si>
  <si>
    <t>Le compte rendu respecte-t-il le contrat de service ?</t>
  </si>
  <si>
    <t>Non-respect des obligations contractuelles.</t>
  </si>
  <si>
    <t>Contentieux avec le fournisseur.</t>
  </si>
  <si>
    <t>Négocier des contrats clairs avec des clauses de pénalité.</t>
  </si>
  <si>
    <t>Commentaires du propriétaire</t>
  </si>
  <si>
    <t>Mettre en place une communication régulière avec le fournisseur.</t>
  </si>
  <si>
    <t>Le compte rendu est transmis au propriétaire dans les délais convenus?</t>
  </si>
  <si>
    <t>Procédure de validation</t>
  </si>
  <si>
    <t>Le compte rendu est-il transmis au propriétaire dans les délais convenus ?</t>
  </si>
  <si>
    <t>Comptes rendus incompréhensibles ou incomplets.</t>
  </si>
  <si>
    <t>Compte rendu inexistant.</t>
  </si>
  <si>
    <t>Fournir des comptes rendus réguliers sur les performances et les incidents.</t>
  </si>
  <si>
    <t>Attestation de réception</t>
  </si>
  <si>
    <t>Documenter tous les échanges et les accords.</t>
  </si>
  <si>
    <t>Le compte rendu contient des indicateurs de performance pertinents pour le propriétaire?</t>
  </si>
  <si>
    <t>Manuel des procédures</t>
  </si>
  <si>
    <t>Le compte rendu contient-il des indicateurs de performance pertinents pour le propriétaire ?</t>
  </si>
  <si>
    <t>Mauvaise communication avec le propriétaire.</t>
  </si>
  <si>
    <t>Contrats de niveau service inadéquats.</t>
  </si>
  <si>
    <t>Négocier des contrats de niveau de service adaptés aux besoins de l'entreprise.</t>
  </si>
  <si>
    <t>Plan de diffusion interne</t>
  </si>
  <si>
    <t>Revoir régulièrement les contrats et les ajuster si nécessaire.</t>
  </si>
  <si>
    <t>Un processus est en place pour s'assurer que le propriétaire comprend et valide le compte rendu</t>
  </si>
  <si>
    <t>Registre de diffusion</t>
  </si>
  <si>
    <t>Un processus est-il en place pour s'assurer que le propriétaire comprend et valide le compte rendu ?</t>
  </si>
  <si>
    <t>Absence de guide utilisateur.</t>
  </si>
  <si>
    <t>Mauvaise connaissance et manque de conformité.</t>
  </si>
  <si>
    <t>Former le personnel sur les politiques, les procédures et les exigences de conformité.</t>
  </si>
  <si>
    <t>Accusés de réception</t>
  </si>
  <si>
    <t>Mettre à disposition des ressources et une documentation accessibles.</t>
  </si>
  <si>
    <t>S’assurer de l’existence d'un guide d'utilisateur, manuel de 
 procédures</t>
  </si>
  <si>
    <t>Il existe un guide utilisateurs / manuel de procédures</t>
  </si>
  <si>
    <t>Version officielle du manuel utilisateur</t>
  </si>
  <si>
    <t>Existe-t-il un guide utilisateurs / manuel de procédures ?</t>
  </si>
  <si>
    <t>Mauvaise diffusion des guides.</t>
  </si>
  <si>
    <t>Information inaccessible.</t>
  </si>
  <si>
    <t>Mettre en place des contrôles d'accès pour restreindre l'accès aux informations sensibles.</t>
  </si>
  <si>
    <t>Plan de diffusion et registre de distribution</t>
  </si>
  <si>
    <t>Chiffrer les données sensibles.</t>
  </si>
  <si>
    <t>Le manuel est diffusé</t>
  </si>
  <si>
    <t>Historique des versions et dates de mise à jour</t>
  </si>
  <si>
    <t>Le manuel est-il diffusé ?</t>
  </si>
  <si>
    <t>Guides non mis à jour.</t>
  </si>
  <si>
    <t>Mauvaise utilisation de l'outil.</t>
  </si>
  <si>
    <t>Fournir une formation adéquate sur l'utilisation correcte des outils.</t>
  </si>
  <si>
    <t>Procès-verbal de validation des mises à jour</t>
  </si>
  <si>
    <t>Mettre en place des mécanismes de contrôle pour éviter les erreurs.</t>
  </si>
  <si>
    <t>Registre des formations dispensées</t>
  </si>
  <si>
    <t>Le manuel est-il à jour ?</t>
  </si>
  <si>
    <t>Guides non maîtrisés.</t>
  </si>
  <si>
    <t>Personnel incompétent.</t>
  </si>
  <si>
    <t>Recruter du personnel qualifié et expérimenté.</t>
  </si>
  <si>
    <t>Évaluations des connaissances des utilisateurs</t>
  </si>
  <si>
    <t>Fournir une formation continue au personnel.</t>
  </si>
  <si>
    <t>Guide d'utilisation complet</t>
  </si>
  <si>
    <t>Le manuel est-il maîtrisé ?</t>
  </si>
  <si>
    <t>Absence de description des contrôles.</t>
  </si>
  <si>
    <t>Contrôle d'accès inapproprié.</t>
  </si>
  <si>
    <t>Mettre en place un contrôle d'accès basé sur les rôles et les responsabilités.</t>
  </si>
  <si>
    <t>Cas pratiques et exemples d'utilisation</t>
  </si>
  <si>
    <t>Revoir et révoquer régulièrement les accès inutiles.</t>
  </si>
  <si>
    <t>Le manuel comprend le mode d’emploi de l'application</t>
  </si>
  <si>
    <t>Documentation des contrôles automatisés</t>
  </si>
  <si>
    <t>Le manuel comprend-il le mode d'emploi de l'application ?</t>
  </si>
  <si>
    <t>Absence de matrice d'accès.</t>
  </si>
  <si>
    <t>Accès non contrôlé à des données sensibles.</t>
  </si>
  <si>
    <t>Restreindre l'accès aux données sensibles en fonction du principe du moindre privilège.</t>
  </si>
  <si>
    <t>Procédures des contrôles manuels compensatoires</t>
  </si>
  <si>
    <t>Mettre en place des journaux d'audit et des alertes pour les accès non autorisés.</t>
  </si>
  <si>
    <t>Le manuel comprend une description des contrôles programmés et des contrôles manuels compensatoires à chaque phase du traitement</t>
  </si>
  <si>
    <t>Matrice officielle des droits d'accès</t>
  </si>
  <si>
    <t>Le manuel comprend-il une description des contrôles programmés et des contrôles manuels compensatoires à chaque phase du traitement ?</t>
  </si>
  <si>
    <t>Principe du moindre privilège non appliqué.</t>
  </si>
  <si>
    <t>Habilitations inutiles.</t>
  </si>
  <si>
    <t>Supprimer les habilitations inutiles et révoquer les accès des anciens employés.</t>
  </si>
  <si>
    <t>Procédure de gestion des habilitations</t>
  </si>
  <si>
    <t>Revoir régulièrement les habilitations et les accès.</t>
  </si>
  <si>
    <t>Application</t>
  </si>
  <si>
    <t>S'assurer que l'accès aux ressources de l'application (données et transactions) est restreint par un système de gestion d'accès</t>
  </si>
  <si>
    <t>Existence d'une matrice d'accès formelle</t>
  </si>
  <si>
    <t>Procédures de contrôle intégrées</t>
  </si>
  <si>
    <t>Existe-t-il une matrice d'accès formelle ?</t>
  </si>
  <si>
    <t>Droits d'accès non revus.</t>
  </si>
  <si>
    <t>Informations de comptes compromis.</t>
  </si>
  <si>
    <t>Mettre en place des mesures de sécurité pour protéger les informations de compte, telles que l'authentification multifacteur (MFA).</t>
  </si>
  <si>
    <t>Guide des contrôles manuels compensatoires</t>
  </si>
  <si>
    <t>Surveiller régulièrement les comptes à la recherche d'activités suspectes.</t>
  </si>
  <si>
    <t>Mise en œuvre du principe du moindre privilège</t>
  </si>
  <si>
    <t>Le principe du moindre privilège est-il mis en œuvre ?</t>
  </si>
  <si>
    <t>Accès non contrôlés aux ressources sensibles.</t>
  </si>
  <si>
    <t>Absence de suivi et gestion.</t>
  </si>
  <si>
    <t>Mettre en place des outils et des processus de surveillance et de gestion.</t>
  </si>
  <si>
    <t>Définir des indicateurs clés de performance (KPI) et des rapports réguliers.</t>
  </si>
  <si>
    <t>Revue périodique des droits d'accès</t>
  </si>
  <si>
    <t>Calendrier des revues</t>
  </si>
  <si>
    <t>Les droits d'accès sont-ils revus périodiquement ?</t>
  </si>
  <si>
    <t>Escalade des accès non maîtrisée.</t>
  </si>
  <si>
    <t>Accès de la fraude.</t>
  </si>
  <si>
    <t>Mettre en place des contrôles pour détecter et prévenir les activités frauduleuses.</t>
  </si>
  <si>
    <t>Compte-rendu de revue</t>
  </si>
  <si>
    <t>Former le personnel sur la détection et la prévention des fraudes.</t>
  </si>
  <si>
    <t>Journalisation des accès aux ressources sensibles</t>
  </si>
  <si>
    <t>Évaluation de la Conception</t>
  </si>
  <si>
    <t>Les accès aux ressources sensibles sont-ils journalisés ?</t>
  </si>
  <si>
    <t>Absence de politique de gestion des identités et des accès.</t>
  </si>
  <si>
    <t>Mesures de sécurité insuffisante.</t>
  </si>
  <si>
    <t>Renforcer les mesures de sécurité, telles que les pare-feu, les systèmes de détection d'intrusion et les logiciels antivirus.</t>
  </si>
  <si>
    <t>Évaluation de l'Efficacité</t>
  </si>
  <si>
    <t>Effectuer des audits de sécurité réguliers.</t>
  </si>
  <si>
    <t>Processus d'escalade pour les accès exceptionnels</t>
  </si>
  <si>
    <t>Procédure formalisée de demande d'accès exceptionnel</t>
  </si>
  <si>
    <t>Un processus d'escalade est-il en place pour les accès exceptionnels ?</t>
  </si>
  <si>
    <t>Mauvaise définition des rôles et des responsabilités.</t>
  </si>
  <si>
    <t>Mettre en place un contrôle d'accès approprié pour limiter l'accès aux systèmes et aux données.</t>
  </si>
  <si>
    <t>Registre des accès exceptionnels</t>
  </si>
  <si>
    <t>Surveiller les accès et les activités des utilisateurs.</t>
  </si>
  <si>
    <t>S’assurer qu’une procédure de gestion des profils utilisateurs existe</t>
  </si>
  <si>
    <t>Existence d'une politique de gestion des identités et des accès</t>
  </si>
  <si>
    <t>Politique IAM officielle (document approuvé par la direction)</t>
  </si>
  <si>
    <t>Existe-t-il une politique de gestion des identités et des accès ?</t>
  </si>
  <si>
    <t>Processus de création non formalisé.</t>
  </si>
  <si>
    <t>Mauvais compréhension des privilèges.</t>
  </si>
  <si>
    <t>Fournir une formation claire et concise sur les privilèges et les responsabilités.</t>
  </si>
  <si>
    <t>Schéma des processus IAM (workflows visuels de gestion du cycle de vie des identités)</t>
  </si>
  <si>
    <t>Mettre en place des mécanismes pour vérifier la compréhension des utilisateurs.</t>
  </si>
  <si>
    <t>Définition claire des rôles et responsabilités</t>
  </si>
  <si>
    <t>Matrice RACI (Responsible/Accountable/Consulted/Informed) pour les tâches IAM</t>
  </si>
  <si>
    <t>Les rôles et responsabilités sont-ils clairement définis ?</t>
  </si>
  <si>
    <t>Processus de modification non existant.</t>
  </si>
  <si>
    <t>Mots de passe partagés.</t>
  </si>
  <si>
    <t>Interdire le partage des mots de passe et mettre en place des politiques de mots de passe forts.</t>
  </si>
  <si>
    <t>Fiches de poste détaillant les responsabilités liées aux accès applicatifs</t>
  </si>
  <si>
    <t>Utiliser un gestionnaire de mots de passe.</t>
  </si>
  <si>
    <t>Processus de création de compte utilisateur formalisé</t>
  </si>
  <si>
    <t>Procédure de création de compte (étapes de A à Z avec acteurs)</t>
  </si>
  <si>
    <t>Un processus de création de compte utilisateur est-il formalisé ?</t>
  </si>
  <si>
    <t>Processus de suppression inexistant.</t>
  </si>
  <si>
    <t>Compte avec mots de passe.</t>
  </si>
  <si>
    <t>Imposer des mots de passe forts.</t>
  </si>
  <si>
    <t>Formulaire de demande d'accès (modèle standardisé avec validation hiérarchique)</t>
  </si>
  <si>
    <t>Mettre en place l'authentification multifacteur (MFA).</t>
  </si>
  <si>
    <t>Procédure de modification de profil utilisateur</t>
  </si>
  <si>
    <t>Procédure écrite de modification de profil</t>
  </si>
  <si>
    <t>Existe-t-il une procédure de modification de profil utilisateur ?</t>
  </si>
  <si>
    <t>Authentification non renforcée.</t>
  </si>
  <si>
    <t>Risque d'accès compromis.</t>
  </si>
  <si>
    <t>Surveiller les tentatives de connexion suspectes.</t>
  </si>
  <si>
    <t>Registre des modifications de profils</t>
  </si>
  <si>
    <t>Mettre en place des alertes pour les accès inhabituels.</t>
  </si>
  <si>
    <t>Procédure de suppression de compte utilisateur</t>
  </si>
  <si>
    <t>Procédure de suppression/désactivation des comptes</t>
  </si>
  <si>
    <t>Existe-t-il une procédure de suppression de compte utilisateur ?</t>
  </si>
  <si>
    <t>Politique de mot de passe inexistante.</t>
  </si>
  <si>
    <t>Donnée d'identification non sécurisées.</t>
  </si>
  <si>
    <t>Chiffrer les données d'identification stockées.</t>
  </si>
  <si>
    <t>Liste des comptes supprimés avec justifications</t>
  </si>
  <si>
    <t>Ne jamais stocker les mots de passe en clair.</t>
  </si>
  <si>
    <t>Vérifier que l’identification des utilisateurs est réalisée</t>
  </si>
  <si>
    <t>Mise en œuvre d'un mécanisme d'authentification fort</t>
  </si>
  <si>
    <t>Documentation technique du mécanisme</t>
  </si>
  <si>
    <t>Un mécanisme d'authentification fort est-il mis en œuvre ?</t>
  </si>
  <si>
    <t>Verrouillage de compte absent.</t>
  </si>
  <si>
    <t>Détournement du contrôle de la sécurité.</t>
  </si>
  <si>
    <t>Appliquer le principe du moindre privilège.</t>
  </si>
  <si>
    <t>Rapport de mise en œuvre et tests</t>
  </si>
  <si>
    <t>Séparer les tâches critiques entre plusieurs personnes.</t>
  </si>
  <si>
    <t>Existence d'une politique de mot de passe</t>
  </si>
  <si>
    <t>Document de politique des mots de passe</t>
  </si>
  <si>
    <t>Existe-t-il une politique de mot de passe ?</t>
  </si>
  <si>
    <t>Audits inexistants.</t>
  </si>
  <si>
    <t>Activités malveillantes non détectées.</t>
  </si>
  <si>
    <t>Mettre en place un système de détection d'intrusion (IDS).</t>
  </si>
  <si>
    <t>Preuve de configuration système (captures)</t>
  </si>
  <si>
    <t>Analyser régulièrement les journaux d'événements.</t>
  </si>
  <si>
    <t>Mise en œuvre d'un verrouillage de compte</t>
  </si>
  <si>
    <t>Politique de verrouillage de compte documentée</t>
  </si>
  <si>
    <t>Un verrouillage de compte est-il mis en œuvre ?</t>
  </si>
  <si>
    <t>Intégrité non vérifiée.</t>
  </si>
  <si>
    <t>Violation de données non détecté.</t>
  </si>
  <si>
    <t>Mettre en place des systèmes de surveillance de l'intégrité des données.</t>
  </si>
  <si>
    <t>Journal des verrouillages automatiques appliqués</t>
  </si>
  <si>
    <t>Effectuer des tests de pénétration réguliers.</t>
  </si>
  <si>
    <t>Audits réguliers des comptes utilisateurs inactifs</t>
  </si>
  <si>
    <t>Procédure d'audit des comptes inactifs</t>
  </si>
  <si>
    <t>Des audits réguliers des comptes utilisateurs inactifs sont-ils réalisés ?</t>
  </si>
  <si>
    <t>Mots de passe non uniques et personnels.</t>
  </si>
  <si>
    <t>Protection réduite des informations.</t>
  </si>
  <si>
    <t>Chiffrer les données sensibles en transit et au repos.</t>
  </si>
  <si>
    <t>Liste des comptes désactivés pour inactivité</t>
  </si>
  <si>
    <t>Mettre en place des politiques de contrôle d'accès strictes.</t>
  </si>
  <si>
    <t>Vérification de l'intégrité du processus d'identification</t>
  </si>
  <si>
    <t>Rapport de test du processus d'identification</t>
  </si>
  <si>
    <t>L'intégrité du processus d'identification est-elle vérifiée ?</t>
  </si>
  <si>
    <t>Mots de passe par défaut conservés.</t>
  </si>
  <si>
    <t>Compromettre l'ensemble de sécurité.</t>
  </si>
  <si>
    <t>Mettre en œuvre une architecture de sécurité en couches.</t>
  </si>
  <si>
    <t>Procédure de contrôle d'intégrité</t>
  </si>
  <si>
    <t>Vérifier qu’un mot de passe est associé à l'identifiant</t>
  </si>
  <si>
    <t>Tous les comptes utilisateurs disposent d'un mot de passe unique et personnel</t>
  </si>
  <si>
    <t>Procédure de première connexion</t>
  </si>
  <si>
    <t>Tous les comptes utilisateurs disposent-ils d'un mot de passe unique et personnel ?</t>
  </si>
  <si>
    <t>Stockage non sécurisé des mots de passe.</t>
  </si>
  <si>
    <t>Compromettre des informations.</t>
  </si>
  <si>
    <t>Classifier les données selon leur sensibilité.</t>
  </si>
  <si>
    <t>Journal des premières connexions</t>
  </si>
  <si>
    <t>Appliquer des mesures de protection spécifiques à chaque niveau de classification.</t>
  </si>
  <si>
    <t>Les mots de passe par défaut sont modifiés lors de la première connexion</t>
  </si>
  <si>
    <t>Documentation technique du mécanisme de stockage</t>
  </si>
  <si>
    <t>existe-t-il un rapport d'audit de securite de stockage ?</t>
  </si>
  <si>
    <t>Stockage des mots de passe en clair.</t>
  </si>
  <si>
    <t>Vulnérabilité des mots de passe.</t>
  </si>
  <si>
    <t>Interdire l'utilisation de mots de passe courants ou facilement devinables.</t>
  </si>
  <si>
    <t>Rapport d'audit de sécurité du stockage</t>
  </si>
  <si>
    <t>Encourager l'utilisation de gestionnaires de mots de passe.</t>
  </si>
  <si>
    <t>Les mots de passe sont stockés de manière sécurisée</t>
  </si>
  <si>
    <t>Liste des règles de complexité appliquées</t>
  </si>
  <si>
    <t>Les mots de passe sont-ils stockés de manière sécurisée ?</t>
  </si>
  <si>
    <t>Utilisation de mots de passe faibles.</t>
  </si>
  <si>
    <t>Les intrusions passe ne pas être découvert.</t>
  </si>
  <si>
    <t>Mettre en place une surveillance continue des systèmes.</t>
  </si>
  <si>
    <t>Rapport de test des règles de mot de passe</t>
  </si>
  <si>
    <t>Collecter et analyser les logs de sécurité.</t>
  </si>
  <si>
    <t>Les mots de passe ne sont pas stockés en clair</t>
  </si>
  <si>
    <t>Rapport d'audit du mécanisme de chiffrement</t>
  </si>
  <si>
    <t>Les mots de passe ne sont-ils pas stockés en clair ?</t>
  </si>
  <si>
    <t>Tentatives d'intrusion non enregistrées.</t>
  </si>
  <si>
    <t>Manque de compréhension et des problèmes de sécurité.</t>
  </si>
  <si>
    <t>Fournir une formation régulière sur la sécurité aux utilisateurs.</t>
  </si>
  <si>
    <t>Configuration système du stockage sécurisé</t>
  </si>
  <si>
    <t>Sensibiliser les utilisateurs aux risques de sécurité.</t>
  </si>
  <si>
    <t>Le système n'autorise pas l'utilisation de mots de passe faibles</t>
  </si>
  <si>
    <t>Règles techniques de complexité appliquées</t>
  </si>
  <si>
    <t>Le système n'autorise-t-il pas l'utilisation de mots de passe faibles ?</t>
  </si>
  <si>
    <t>Logs non analysés.</t>
  </si>
  <si>
    <t>Attaques non traitées.</t>
  </si>
  <si>
    <t>Traiter les attaques.</t>
  </si>
  <si>
    <t>Analyser les pistes.</t>
  </si>
  <si>
    <t>S’assurer que les tentatives de connexions infructueuses à l'application sont suivies</t>
  </si>
  <si>
    <t>Journalisation des tentatives de connexion infructueuses</t>
  </si>
  <si>
    <t>Politique de journalisation des tentatives</t>
  </si>
  <si>
    <t>Les tentatives de connexion infructueuses sont-elles journalisées ?</t>
  </si>
  <si>
    <t>Alertes non mises en place.</t>
  </si>
  <si>
    <t>Pistes non analysés</t>
  </si>
  <si>
    <t>Renforcer les mesures de sécurité.</t>
  </si>
  <si>
    <t>Exemple de logs de connexion infructueuses</t>
  </si>
  <si>
    <t>Documenter les privilèges.</t>
  </si>
  <si>
    <t>Analyse des logs de connexion</t>
  </si>
  <si>
    <t>Procédure d'analyse régulière</t>
  </si>
  <si>
    <t>Les logs de connexion sont-ils analysés ?</t>
  </si>
  <si>
    <t>Procédure de réponse inexistante.</t>
  </si>
  <si>
    <t>Minimiser les risques liés aux opérations techniques.</t>
  </si>
  <si>
    <t>Rapport d'analyse mensuel des logs</t>
  </si>
  <si>
    <t>Sécuriser l'application et améliorer ses performances.</t>
  </si>
  <si>
    <t>Mise en place d'alertes en cas de nombre anormal de tentatives</t>
  </si>
  <si>
    <t>Paramétrage des seuils d'alerte</t>
  </si>
  <si>
    <t>Des alertes sont-elles mises en place en cas de nombre anormal de tentatives de connexion ?</t>
  </si>
  <si>
    <t>Logs de connexion non conservés.</t>
  </si>
  <si>
    <t>Privilège non documenté.</t>
  </si>
  <si>
    <t>Sécuriser les informations.</t>
  </si>
  <si>
    <t>Historique des alertes déclenchées</t>
  </si>
  <si>
    <t>Assurer le suivi des actions.</t>
  </si>
  <si>
    <t>Procédure de réponse aux incidents de sécurité</t>
  </si>
  <si>
    <t>Procédure de réponse aux incidents</t>
  </si>
  <si>
    <t>Existe-t-il une procédure de réponse aux incidents de sécurité ?</t>
  </si>
  <si>
    <t>Absence de rôles et de droits spécifiques.</t>
  </si>
  <si>
    <t>Risque liée aux opération dans le domaine technique.</t>
  </si>
  <si>
    <t>Former sur les systèmes.</t>
  </si>
  <si>
    <t>Fiche type de traitement d'incident</t>
  </si>
  <si>
    <t>Garantir l'intégrité des données.</t>
  </si>
  <si>
    <t>Conservation des logs de connexion</t>
  </si>
  <si>
    <t>Politique de rétention des logs</t>
  </si>
  <si>
    <t>Les logs de connexion sont-ils conservés ?</t>
  </si>
  <si>
    <t>Mâtres non séparés.</t>
  </si>
  <si>
    <t>Application vulnérable et peu performante.</t>
  </si>
  <si>
    <t>Corriger les erreurs de saisie.</t>
  </si>
  <si>
    <t>Preuve de conformité (archivage)</t>
  </si>
  <si>
    <t>Protéger les journaux d'événements.</t>
  </si>
  <si>
    <t>S’assurer que l'accès aux données et aux transactions de l’application est géré</t>
  </si>
  <si>
    <t>Existence de rôles et de droits d'accès spécifiques</t>
  </si>
  <si>
    <t>Catalogue des rôles applicatifs</t>
  </si>
  <si>
    <t>Existe-t-il des rôles et des droits d'accès spécifiques ?</t>
  </si>
  <si>
    <t>Mesures de contrôle inadéquates.</t>
  </si>
  <si>
    <t>Informations pas sécurisée.</t>
  </si>
  <si>
    <t>Mettre à jour le suivi.</t>
  </si>
  <si>
    <t>Matrice des droits associés</t>
  </si>
  <si>
    <t>Intégrer les données.</t>
  </si>
  <si>
    <t>Séparation des tâches</t>
  </si>
  <si>
    <t>Schéma des incompatibilités fonctionnelles</t>
  </si>
  <si>
    <t>Les tâches sont-elles séparées ?</t>
  </si>
  <si>
    <t>Capacité non garantie.</t>
  </si>
  <si>
    <t>Action sans suivis.</t>
  </si>
  <si>
    <t>Définir des mesures.</t>
  </si>
  <si>
    <t>Rapport d'audit des conflits potentiels</t>
  </si>
  <si>
    <t>Documenter les informations.</t>
  </si>
  <si>
    <t>Mise en œuvre de contrôles d'accès basés sur les rôles</t>
  </si>
  <si>
    <t>Politique de gestion des accès</t>
  </si>
  <si>
    <t>La mise en œuvre de contrôles d'accès basés sur les rôles est-elle assurée ?</t>
  </si>
  <si>
    <t>Données sensibles non protégées.</t>
  </si>
  <si>
    <t>Non-connaissance des systèmes.</t>
  </si>
  <si>
    <t>Gérer correctement l'information.</t>
  </si>
  <si>
    <t>Matrice des rôles et responsabilités</t>
  </si>
  <si>
    <t>Mettre en place des actions et des accompagnements.</t>
  </si>
  <si>
    <t>Traçabilité des modifications apportées aux données et aux transactions</t>
  </si>
  <si>
    <t>Journal des modifications</t>
  </si>
  <si>
    <t>La traçabilité des modifications apportées aux données et aux transactions est-elle assurée ?</t>
  </si>
  <si>
    <t>Actions des administrateurs non journalisées.</t>
  </si>
  <si>
    <t>Manque d'intégrité des donnés.</t>
  </si>
  <si>
    <t>Simplifier l'interface.</t>
  </si>
  <si>
    <t>Procédure de gestion des changements</t>
  </si>
  <si>
    <t>Clarifier les messages.</t>
  </si>
  <si>
    <t>Protection des données sensibles</t>
  </si>
  <si>
    <t>Politique de protection des données</t>
  </si>
  <si>
    <t>Les données sensibles sont-elles protégées ?</t>
  </si>
  <si>
    <t>Logs d'audit insuffisants.</t>
  </si>
  <si>
    <t>Erreur pendant les phases de saisie</t>
  </si>
  <si>
    <t>Vérifier les informations.</t>
  </si>
  <si>
    <t>Registre des traitements</t>
  </si>
  <si>
    <t>Promouvoir la découverte et l'utilisation.</t>
  </si>
  <si>
    <t>Vérifier l’existence de pistes d’audit sur le système d’administration de l’application</t>
  </si>
  <si>
    <t>Journalisation de toutes les actions réalisées par les administrateurs</t>
  </si>
  <si>
    <t>Journal d'audit des actions administrateur</t>
  </si>
  <si>
    <t>Toutes les actions réalisées par les administrateurs sont-elles journalisées ?</t>
  </si>
  <si>
    <t>Logs d'audit non protégés.</t>
  </si>
  <si>
    <t>Protection des journaux d'évènements.</t>
  </si>
  <si>
    <t>Faciliter l'accès aux paramètres et l'utilisation de l'application.</t>
  </si>
  <si>
    <t>Procédure de gestion des accès privilégiés</t>
  </si>
  <si>
    <t>Vérifier les données.</t>
  </si>
  <si>
    <t>Les logs d'audit contiennent suffisamment d'informations</t>
  </si>
  <si>
    <t>Politique de conservation des logs d'audit</t>
  </si>
  <si>
    <t>Les logs d'audit contiennent-ils suffisamment d'informations ?</t>
  </si>
  <si>
    <t>Logs d'audit non revus.</t>
  </si>
  <si>
    <t>Suivis non mit à jours.</t>
  </si>
  <si>
    <t>Mettre en place un système de suivi automatisé</t>
  </si>
  <si>
    <t>Guide de configuration des logs</t>
  </si>
  <si>
    <t>Développer un référentiel de données centralisé</t>
  </si>
  <si>
    <t>Les logs d'audit sont protégés contre les modifications et les suppressions non autorisées</t>
  </si>
  <si>
    <t>Politique de sécurité des logs d'audit</t>
  </si>
  <si>
    <t>Les logs d'audit sont-ils protégés contre les modifications et les suppressions non autorisées ?</t>
  </si>
  <si>
    <t>Procédure de gestion inexistante.</t>
  </si>
  <si>
    <t>Données pas intégrés.</t>
  </si>
  <si>
    <t>Établir un cadre de mesure précis</t>
  </si>
  <si>
    <t>Procédure de gestion des incidents de sécurité</t>
  </si>
  <si>
    <t>Créer une politique de documentation systématique</t>
  </si>
  <si>
    <t>Les logs d'audit sont régulièrement revus</t>
  </si>
  <si>
    <t>Planning de revue des logs d'audit</t>
  </si>
  <si>
    <t>Les logs d'audit sont-ils régulièrement revus ?</t>
  </si>
  <si>
    <t>Procédure de contrôle inexistante.</t>
  </si>
  <si>
    <t>Mesures non définies.</t>
  </si>
  <si>
    <t>Développer un processus de gouvernance des données</t>
  </si>
  <si>
    <t>Rapport de revue des logs d'audit</t>
  </si>
  <si>
    <t>Mettre en place un programme de formation continue</t>
  </si>
  <si>
    <t>Existence d'une procédure de gestion des logs d'audit</t>
  </si>
  <si>
    <t>Procédure de gestion des logs d'audit</t>
  </si>
  <si>
    <t>Existe-t-il une procédure de gestion des logs d'audit ?</t>
  </si>
  <si>
    <t>Rapprochement inexistant.</t>
  </si>
  <si>
    <t>Informations non documentées.</t>
  </si>
  <si>
    <t>Refondre l'interface utilisateur</t>
  </si>
  <si>
    <t>Vérifier que tous les documents servant de base à la saisie sont pris en compte</t>
  </si>
  <si>
    <t>Existence d'une procédure de contrôle des documents source</t>
  </si>
  <si>
    <t>Procédure de contrôle des documents source</t>
  </si>
  <si>
    <t>Existe-t-il une procédure de contrôle des documents source ?</t>
  </si>
  <si>
    <t>Anomalies non documentées.</t>
  </si>
  <si>
    <t>Information mal géré.</t>
  </si>
  <si>
    <t>Développer des processus de validation des informations</t>
  </si>
  <si>
    <t>Liste des documents source</t>
  </si>
  <si>
    <t>Créer un programme de valorisation des connaissances</t>
  </si>
  <si>
    <t>Rapprochement des documents saisis avec les documents source</t>
  </si>
  <si>
    <t>Procédure de rapprochement des données</t>
  </si>
  <si>
    <t>Les documents saisis sont-ils rapprochés avec les documents source ?</t>
  </si>
  <si>
    <t>Corrections non réalisées.</t>
  </si>
  <si>
    <t>Absence d'action ou d'accompagnements.</t>
  </si>
  <si>
    <t>Simplifier la navigation des paramètres</t>
  </si>
  <si>
    <t>Journal de rapprochement</t>
  </si>
  <si>
    <t>Mettre en place des contrôles de cohérence des données</t>
  </si>
  <si>
    <t>Documentation des anomalies et des erreurs de saisie</t>
  </si>
  <si>
    <t>Procédure de documentation des anomalies</t>
  </si>
  <si>
    <t>Les anomalies et des erreurs de saisie sont-elles documentées ?</t>
  </si>
  <si>
    <t>Contrôles insuffisants.</t>
  </si>
  <si>
    <t>Interface complexe et confuse.</t>
  </si>
  <si>
    <t>Établir un cadre de gouvernance formalisé</t>
  </si>
  <si>
    <t>Registre des anomalies</t>
  </si>
  <si>
    <t>Développer un système de catalogage des données</t>
  </si>
  <si>
    <t>Suivi des corrections apportées aux erreurs de saisie</t>
  </si>
  <si>
    <t>Procédure de correction des erreurs de saisie</t>
  </si>
  <si>
    <t>Les corrections apportées aux erreurs de saisie sont-elles suivies ?</t>
  </si>
  <si>
    <t>Interface non intuitive.</t>
  </si>
  <si>
    <t>Difficultés des messages.</t>
  </si>
  <si>
    <t>Créer des systèmes de métadonnées</t>
  </si>
  <si>
    <t>Journal des corrections</t>
  </si>
  <si>
    <t>Étendre les capacités de monitoring</t>
  </si>
  <si>
    <t>Mise en place de contrôles pour garantir l'intégrité des documents source</t>
  </si>
  <si>
    <t>Procédure de gestion des documents source</t>
  </si>
  <si>
    <t>Des contrôles sont-ils mis en place pour garantir l'intégrité des documents source ?</t>
  </si>
  <si>
    <t>Messages d'erreur ambigus.</t>
  </si>
  <si>
    <t>Information non vérifiées.</t>
  </si>
  <si>
    <t>Renforcer la sécurité des données</t>
  </si>
  <si>
    <t>Politique de sauvegarde et de restauration</t>
  </si>
  <si>
    <t>Mettre en place des processus de qualification des données</t>
  </si>
  <si>
    <t>S’assurer que les facilités de saisie, l’ergonomie de la saisie, les messages écrans et les contrôles sont mis en œuvre</t>
  </si>
  <si>
    <t>L'interface de saisie est intuitive et facile à utiliser</t>
  </si>
  <si>
    <t>Guide d'utilisation de l'interface</t>
  </si>
  <si>
    <t>L'interface de saisie est-elle intuitive et facile à utiliser ?</t>
  </si>
  <si>
    <t>Contrôles de validation inexistants.</t>
  </si>
  <si>
    <t>Découverte et utilisations pas mis de l'avant.</t>
  </si>
  <si>
    <t>Implémenter des contrôles d'accès granulaires</t>
  </si>
  <si>
    <t>Retours utilisateurs sur l'ergonomie</t>
  </si>
  <si>
    <t>Créer des systèmes de journalisation</t>
  </si>
  <si>
    <t>Les messages d'erreur sont clairs et explicites</t>
  </si>
  <si>
    <t>Catalogue des messages d'erreur</t>
  </si>
  <si>
    <t>Les messages d'erreur sont-ils clairs et explicites ?</t>
  </si>
  <si>
    <t>Absence d'aide à la saisie.</t>
  </si>
  <si>
    <t>Difficultés à trouver les paramètres et l'utilisation de l'application.</t>
  </si>
  <si>
    <t>Développer une stratégie de cybersécurité</t>
  </si>
  <si>
    <t>Documentation technique de l'application</t>
  </si>
  <si>
    <t>Créer des systèmes de traçabilité</t>
  </si>
  <si>
    <t>Des contrôles de validation sont mis en place</t>
  </si>
  <si>
    <t>Spécifications fonctionnelles (contrôles de validation)</t>
  </si>
  <si>
    <t>Des contrôles de validation sont-ils mis en place ?</t>
  </si>
  <si>
    <t>Tests d'ergonomie non réalisés.</t>
  </si>
  <si>
    <t>Données non vérifiées.</t>
  </si>
  <si>
    <t>Mettre en place des programmes de formation utilisateurs</t>
  </si>
  <si>
    <t>Scénarios de tests (contrôles de validation)</t>
  </si>
  <si>
    <t>Développer des processus de mise à jour automatisés</t>
  </si>
  <si>
    <t>L'application propose des aides à la saisie</t>
  </si>
  <si>
    <t>Manuel utilisateur (aides à la saisie)</t>
  </si>
  <si>
    <t>L'application propose-t-elle des aides à la saisie ?</t>
  </si>
  <si>
    <t>Règles de validation imprécises.</t>
  </si>
  <si>
    <t>Mesures de gestions non mitent en place.</t>
  </si>
  <si>
    <t>Réaliser des audits de sécurité réguliers</t>
  </si>
  <si>
    <t>Tutoriels ou FAQ</t>
  </si>
  <si>
    <t>Développer des outils de recherche de données</t>
  </si>
  <si>
    <t>Des tests d'ergonomie sont réalisés</t>
  </si>
  <si>
    <t>Plan de tests d'ergonomie</t>
  </si>
  <si>
    <t>Des tests d'ergonomie sont-ils réalisés ?</t>
  </si>
  <si>
    <t>Contrôles automatiques inexistants.</t>
  </si>
  <si>
    <t>Donnée non répertorié.</t>
  </si>
  <si>
    <t>Créer des tableaux de bord de performance</t>
  </si>
  <si>
    <t>Rapport des tests d'ergonomie</t>
  </si>
  <si>
    <t>Mettre en place des mécanismes de protection des données</t>
  </si>
  <si>
    <t>S’assurer que les contrôles de validation des « brouillards » de saisie pour validation par réconciliation existent</t>
  </si>
  <si>
    <t>Définition claire des règles de validation des brouillards de saisie</t>
  </si>
  <si>
    <t>Spécifications fonctionnelles (règles de validation)</t>
  </si>
  <si>
    <t>Les règles de validation des brouillards de saisie sont-elles clairement définies ?</t>
  </si>
  <si>
    <t>Réconciliation inexistante.</t>
  </si>
  <si>
    <t>Non-identification de l'information.</t>
  </si>
  <si>
    <t>Développer des algorithmes de détection d'anomalies</t>
  </si>
  <si>
    <t>Catalogue des règles de validation</t>
  </si>
  <si>
    <t>Établir des protocoles de communication clairs</t>
  </si>
  <si>
    <t>Mise en place de contrôles automatiques</t>
  </si>
  <si>
    <t>Politique de sauvegarde et de restauration, Journal des sauvegardes</t>
  </si>
  <si>
    <t>Des contrôles automatiques sont-ils mis en place ?</t>
  </si>
  <si>
    <t>Contrôles non conformes.</t>
  </si>
  <si>
    <t>Suivis limités sur l'application.</t>
  </si>
  <si>
    <t>Créer des mécanismes de validation des informations</t>
  </si>
  <si>
    <t>Procédure de réconciliation des brouillards, Journal de réconciliation</t>
  </si>
  <si>
    <t>Développer des outils de partage des connaissances</t>
  </si>
  <si>
    <t>Processus de réconciliation des brouillards de saisie avec les données source</t>
  </si>
  <si>
    <t>Procédure de documentation des anomalies, Registre des écarts de réconciliation</t>
  </si>
  <si>
    <t>Un processus de réconciliation des brouillards de saisie avec les données source est-il en place ?</t>
  </si>
  <si>
    <t>Absence de suivi des anomalies.</t>
  </si>
  <si>
    <t>Risque de compromettre des données.</t>
  </si>
  <si>
    <t>Simplifier la documentation des paramètres</t>
  </si>
  <si>
    <t>Procédure de correction des anomalies, Journal des corrections</t>
  </si>
  <si>
    <t>Mettre en place des contrôles qualité des données</t>
  </si>
  <si>
    <t>Documentation des anomalies et des écarts constatés lors de la réconciliation</t>
  </si>
  <si>
    <t>Politique de classification des données, Inventaire des données sensibles</t>
  </si>
  <si>
    <t>Les anomalies et des écarts constatés lors de la réconciliation sont-ils documentés ?</t>
  </si>
  <si>
    <t>Corrections non suivies.</t>
  </si>
  <si>
    <t>Non-identification.</t>
  </si>
  <si>
    <t>Développer un référentiel de gouvernance</t>
  </si>
  <si>
    <t>Politique de contrôle de la saisie, Guide des procédures de saisie</t>
  </si>
  <si>
    <t>Créer un système d'indexation des données</t>
  </si>
  <si>
    <t>Suivi des corrections apportées aux brouillards de saisie après la réconciliation</t>
  </si>
  <si>
    <t>Procédure de validation des données, Journal des contrôles de validation</t>
  </si>
  <si>
    <t>Les corrections apportées aux brouillards de saisie après la réconciliation sont-elles suivies ?</t>
  </si>
  <si>
    <t>Données sensibles mal gérées.</t>
  </si>
  <si>
    <t>Non-pertinence.</t>
  </si>
  <si>
    <t>Implémenter des systèmes de classification</t>
  </si>
  <si>
    <t>Politique de gestion des accès, Profils d'accès aux écrans de saisie</t>
  </si>
  <si>
    <t>Améliorer le suivi des opérations</t>
  </si>
  <si>
    <t>Vérifier que les saisies des données « sensibles » et notamment les données permanentes, sont gérés</t>
  </si>
  <si>
    <t>Définition et classification des données sensibles et permanentes</t>
  </si>
  <si>
    <t>Politique de journalisation, Configuration des journaux de saisie</t>
  </si>
  <si>
    <t>Les données sensibles et permanentes sont-elles définies et classifiées ?</t>
  </si>
  <si>
    <t>Absence de contrôles de saisie.</t>
  </si>
  <si>
    <t>Exposés le donnée à être consultés.</t>
  </si>
  <si>
    <t>Renforcer la protection des données sensibles</t>
  </si>
  <si>
    <t>Manuel utilisateur, Accusé de réception de la communication du manuel</t>
  </si>
  <si>
    <t>Mettre en place des processus de priorisation</t>
  </si>
  <si>
    <t>Existence de contrôles de saisie spécifiques pour les données sensibles et permanentes</t>
  </si>
  <si>
    <t>Procédure de mise à disposition du manuel, Plateforme de partage documentaire</t>
  </si>
  <si>
    <t>Des contrôles de saisie spécifiques sont-ils mis en place pour les données sensibles et permanentes ?</t>
  </si>
  <si>
    <t>Données sensibles inexactes.</t>
  </si>
  <si>
    <t>Peu de suivie des opérations.</t>
  </si>
  <si>
    <t>Développer des politiques d'accès sécurisées</t>
  </si>
  <si>
    <t>Plan de formation des nouveaux utilisateurs, Registre des formations suivies</t>
  </si>
  <si>
    <t>Créer des rapports d'audit détaillés</t>
  </si>
  <si>
    <t>Validation de l'exactitude des données sensibles et permanentes saisies</t>
  </si>
  <si>
    <t>Procédure de notification des mises à jour du manuel, Journal des notifications</t>
  </si>
  <si>
    <t>L'exactitude des données sensibles et permanentes saisies est-elle validée ?</t>
  </si>
  <si>
    <t>Accès non restreint aux données sensibles.</t>
  </si>
  <si>
    <t>Risques de compromission des données.</t>
  </si>
  <si>
    <t>Mettre en place une stratégie de sécurité globale</t>
  </si>
  <si>
    <t>Registre des consultations et téléchargements du manuel, Analyse des usages du manuel</t>
  </si>
  <si>
    <t>Développer des outils de transparence</t>
  </si>
  <si>
    <t>Restriction de l'accès aux écrans de saisie des données sensibles et permanentes</t>
  </si>
  <si>
    <t>Procédure de demande et d'approbation des transmissions, Registre des transmissions</t>
  </si>
  <si>
    <t>L'accès aux écrans de saisie des données sensibles et permanentes est-il restreint ?</t>
  </si>
  <si>
    <t>Saisie des données sensibles non journalisée.</t>
  </si>
  <si>
    <t>Manque de transparence des manipulations.</t>
  </si>
  <si>
    <t>Créer des programmes de sensibilisation</t>
  </si>
  <si>
    <t>Liste des personnes autorisées, Politique d'habilitation</t>
  </si>
  <si>
    <t>Développer des mécanismes de migration</t>
  </si>
  <si>
    <t>Journalisation des saisies des données sensibles et permanentes</t>
  </si>
  <si>
    <t>Politique d'utilisation des protocoles sécurisés, Configuration des systèmes de transmission</t>
  </si>
  <si>
    <t>Les saisies des données sensibles et permanentes sont-elles journalisées ?</t>
  </si>
  <si>
    <t>Absence de preuve de communication.</t>
  </si>
  <si>
    <t>Connaissance faible.</t>
  </si>
  <si>
    <t>Mettre en place des vérifications de sécurité</t>
  </si>
  <si>
    <t>Procédure de contrôle de l'intégrité des fichiers, Journal des contrôles d'intégrité</t>
  </si>
  <si>
    <t>Créer des processus de résilience</t>
  </si>
  <si>
    <t>Vérifier que les opérations effectuées sur des données sensibles sont suivies</t>
  </si>
  <si>
    <t>Preuve de la communication du manuel aux utilisateurs</t>
  </si>
  <si>
    <t>Politique de documentation des transmissions, Modèle de fiche de transmission</t>
  </si>
  <si>
    <t>Une preuve de la communication du manuel aux utilisateurs est-elle disponible ?</t>
  </si>
  <si>
    <t>Manuels non disponibles.</t>
  </si>
  <si>
    <t>Perte de temps.</t>
  </si>
  <si>
    <t>Développer un cadre de gestion des risques</t>
  </si>
  <si>
    <t>Spécifications du format et de la structure des fichiers, Schémas de données</t>
  </si>
  <si>
    <t>Établir des mécanismes de conformité</t>
  </si>
  <si>
    <t>Le manuel est disponible sur un emplacement partagé et facilement accessible</t>
  </si>
  <si>
    <t>Procédure de contrôle de la cohérence des données, Rapports de contrôle de cohérence</t>
  </si>
  <si>
    <t>Le manuel est-il disponible sur un emplacement partagé et facilement accessible ?</t>
  </si>
  <si>
    <t>Nouveaux utilisateurs mal formés.</t>
  </si>
  <si>
    <t>Incompréhension des utilisateurs.</t>
  </si>
  <si>
    <t>Mettre en place des formations utilisateurs</t>
  </si>
  <si>
    <t>Procédure de gestion des erreurs d'intégration, Registre des erreurs d'intégration</t>
  </si>
  <si>
    <t>Développer des processus de mise à jour automatiques</t>
  </si>
  <si>
    <t>Les nouveaux utilisateurs reçoivent le manuel lors de leur formation</t>
  </si>
  <si>
    <t>Politique de journalisation des intégrations, Logs d'intégration</t>
  </si>
  <si>
    <t>Les nouveaux utilisateurs reçoivent-ils le manuel lors de leur formation ?</t>
  </si>
  <si>
    <t>Outils d'aide inexistants.</t>
  </si>
  <si>
    <t>Incapacité de mettre à jour.</t>
  </si>
  <si>
    <t>Renforcer les protocoles de sécurité des échanges</t>
  </si>
  <si>
    <t>Plan de tests d'intégration, Rapports de tests d'intégration</t>
  </si>
  <si>
    <t>Existence d'un mécanisme pour notifier les utilisateurs des mises à jour du manuel</t>
  </si>
  <si>
    <t>Politique de stockage sécurisé des données rejetées, Description de l'environnement de stockage</t>
  </si>
  <si>
    <t>Existe-t-il un mécanisme pour notifier les utilisateurs des mises à jour du manuel ?</t>
  </si>
  <si>
    <t>Consultations non suivies.</t>
  </si>
  <si>
    <t>Interception des données.</t>
  </si>
  <si>
    <t>Sécuriser les canaux de communication</t>
  </si>
  <si>
    <t>Politique de conservation des données rejetées, Planning de suppression des données rejetées</t>
  </si>
  <si>
    <t>Développer des mécanismes anti-corruption de données</t>
  </si>
  <si>
    <t>Suivi des consultations et des téléchargements du manuel</t>
  </si>
  <si>
    <t>Procédure de documentation des raisons du rejet, Registre des rejets</t>
  </si>
  <si>
    <t>Les consultations et des téléchargements du manuel sont-ils suivis ?</t>
  </si>
  <si>
    <t>Absence de contrôle des transferts de fichiers.</t>
  </si>
  <si>
    <t>Rôle des personnes difficile à comprendre.</t>
  </si>
  <si>
    <t>Créer des systèmes de traçabilité et de localisation</t>
  </si>
  <si>
    <t>Politique de sécurité des données rejetées, Logs d'accès aux données rejetées</t>
  </si>
  <si>
    <t>Simplifier l'exploitation des données</t>
  </si>
  <si>
    <t>Vérifier l’existence des procédures de transmission de fichiers en entrée</t>
  </si>
  <si>
    <t>Procédure de demande et d'approbation des transmissions de fichiers</t>
  </si>
  <si>
    <t>Procédure de suppression définitive des données rejetées, Journal des suppressions</t>
  </si>
  <si>
    <t>Existe-t-il une procédure de demande et d'approbation des transmissions de fichiers ?</t>
  </si>
  <si>
    <t>Personnes autorisées non identifiables.</t>
  </si>
  <si>
    <t>La sécurité d'échanges ne sont pas garantis.</t>
  </si>
  <si>
    <t>Améliorer la lisibilité des rapports</t>
  </si>
  <si>
    <t>Procédure d'analyse des causes des rejets, Rapports d'analyse des rejets</t>
  </si>
  <si>
    <t>Mettre en place des contrôles de saisie</t>
  </si>
  <si>
    <t>Identification des personnes autorisées à transmettre des fichiers</t>
  </si>
  <si>
    <t>Identification des responsables de l'analyse et de la correction, Organigramme des responsabilités</t>
  </si>
  <si>
    <t>Les personnes autorisées à transmettre des fichiers sont-elles identifiées ?</t>
  </si>
  <si>
    <t>Protocoles de communication non sécurisés.</t>
  </si>
  <si>
    <t>Risque de corruption des données.</t>
  </si>
  <si>
    <t>Standardiser la documentation</t>
  </si>
  <si>
    <t>Procédure de mise en place des mesures correctives, Plan d'actions correctives</t>
  </si>
  <si>
    <t>Développer des systèmes de détection d'incidents</t>
  </si>
  <si>
    <t>Utilisation de protocoles de communication sécurisés (ex : SFTP, FTPS)</t>
  </si>
  <si>
    <t>Procédure de suivi des mesures correctives, Registre de suivi des actions correctives</t>
  </si>
  <si>
    <t>Des protocoles de communication sécurisés (ex: SFTP, FTPS) sont-ils utilisés ?</t>
  </si>
  <si>
    <t>Intégrité non contrôlée.</t>
  </si>
  <si>
    <t>Absence de pistes pour la localisation des problèmes.</t>
  </si>
  <si>
    <t>Définir des procédures de gestion des responsabilités</t>
  </si>
  <si>
    <t>Procédure de documentation des corrections, Journal des corrections apportées</t>
  </si>
  <si>
    <t>Créer des outils d'analyse de données</t>
  </si>
  <si>
    <t>Contrôle de l'intégrité des fichiers transmis (hashage)</t>
  </si>
  <si>
    <t>Politique de gestion des accès (aux données rejetées), Journal des accès (aux données rejetées)</t>
  </si>
  <si>
    <t>L'intégrité des fichiers transmis (hachage) est-elle contrôlée ?</t>
  </si>
  <si>
    <t>Transmissions non documentées.</t>
  </si>
  <si>
    <t>Difficulté lors de l'exploitation des données.</t>
  </si>
  <si>
    <t>Améliorer la précision des rapports</t>
  </si>
  <si>
    <t>Procédure de validation des corrections apportées, Registre des validations</t>
  </si>
  <si>
    <t>Développer des protocoles de gestion des erreurs</t>
  </si>
  <si>
    <t>Documentation de toutes les transmissions de fichiers</t>
  </si>
  <si>
    <t>Politique de sauvegarde et de restauration (des données rejetées), Journal des sauvegardes (des données rejetées)</t>
  </si>
  <si>
    <t>Toutes les transmissions de fichiers sont-elles documentées ?</t>
  </si>
  <si>
    <t>Format des fichiers entrants non validé.</t>
  </si>
  <si>
    <t>Difficulté de comprendre les rapports.</t>
  </si>
  <si>
    <t>Sécuriser les systèmes et applications</t>
  </si>
  <si>
    <t>Procédure d'archivage des données rejetées, Politique d'archivage</t>
  </si>
  <si>
    <t>Redéfinir la matrice des rôles</t>
  </si>
  <si>
    <t>S’assurer de l’effectivités des contrôles mis en œuvre lors de 
 l'intégration des données par fichiers à l'application</t>
  </si>
  <si>
    <t>Validation du format et de la structure des fichiers intégrés</t>
  </si>
  <si>
    <t>Rapport de respect des délais (de traitement des rejets), Indicateurs de performance (KPI)</t>
  </si>
  <si>
    <t>Quels mécanismes sont en place pour valider le format des fichiers entrants ?</t>
  </si>
  <si>
    <t>Incohérence des données.</t>
  </si>
  <si>
    <t>Étendre les capacités de suivi</t>
  </si>
  <si>
    <t>Politique de communication sur les corrections apportées, Journal des communications</t>
  </si>
  <si>
    <t>Optimiser la gestion des droits d'accès</t>
  </si>
  <si>
    <t>Contrôle de la cohérence des données intégrées avec les données existantes</t>
  </si>
  <si>
    <t>Procédure de contrôle de la cohérence des données</t>
  </si>
  <si>
    <t>Comment la cohérence des nouvelles données avec les données existantes est-elle assurée pendant le processus d'intégration ?</t>
  </si>
  <si>
    <t>Processus de gestion des erreurs inexistants.</t>
  </si>
  <si>
    <t>Non détection des erreurs des saisies de données.</t>
  </si>
  <si>
    <t>Rapports de contrôle de cohérence</t>
  </si>
  <si>
    <t>Maîtriser les processus opérationnels</t>
  </si>
  <si>
    <t>Gestion des erreurs d'intégration (rejet, correction)</t>
  </si>
  <si>
    <t>Procédure de gestion des erreurs d'intégration</t>
  </si>
  <si>
    <t>Quel est le processus de gestion des erreurs qui se produisent pendant l'intégration des données ?</t>
  </si>
  <si>
    <t>Informations non renseignées.</t>
  </si>
  <si>
    <t>Non documentées.</t>
  </si>
  <si>
    <t>Renforcer les contrôles internes</t>
  </si>
  <si>
    <t>Registre des erreurs d'intégration</t>
  </si>
  <si>
    <t>Documenter systématiquement les actions</t>
  </si>
  <si>
    <t>Journalisation des intégrations de fichiers</t>
  </si>
  <si>
    <t>Politique de journalisation des intégrations</t>
  </si>
  <si>
    <t>Quelles informations sont enregistrées lors de chaque processus d'intégration de fichiers ?</t>
  </si>
  <si>
    <t>Contrôles d'intégration inefficaces.</t>
  </si>
  <si>
    <t>Échec d'identifier les incidents.</t>
  </si>
  <si>
    <t>Réduire la dépendance aux fonctions actuelles</t>
  </si>
  <si>
    <t>Logs d'intégration</t>
  </si>
  <si>
    <t>Sécuriser les infrastructures applicatives</t>
  </si>
  <si>
    <t>Tests de validation des contrôles d'intégration</t>
  </si>
  <si>
    <t>Plan de tests d'intégration</t>
  </si>
  <si>
    <t>Comment testez-vous l'efficacité des contrôles d'intégration ?</t>
  </si>
  <si>
    <t>Rejets non stockés.</t>
  </si>
  <si>
    <t>Exposition aux responsabilités.</t>
  </si>
  <si>
    <t>Gérer l'obsolescence technologique</t>
  </si>
  <si>
    <t>Rapports de tests d'intégration</t>
  </si>
  <si>
    <t>Développer des outils de veille stratégique</t>
  </si>
  <si>
    <t>S’assurer de la conservation de toutes les données rejetées</t>
  </si>
  <si>
    <t>Définition d'un emplacement de stockage sécurisé pour les données rejetées</t>
  </si>
  <si>
    <t>Politique de stockage sécurisé des données rejetées</t>
  </si>
  <si>
    <t>Où sont stockées les données rejetées ?</t>
  </si>
  <si>
    <t>Données rejetées non conservées.</t>
  </si>
  <si>
    <t>Informations non disponibles pour l'analyse.</t>
  </si>
  <si>
    <t>Aligner les objectifs et les moyens</t>
  </si>
  <si>
    <t>Description de l'environnement de stockage</t>
  </si>
  <si>
    <t>Mettre en place des analyses de causes racines</t>
  </si>
  <si>
    <t>Conservation des données rejetées pendant une période déterminée</t>
  </si>
  <si>
    <t>Politique de conservation des données rejetées</t>
  </si>
  <si>
    <t>Combien de temps les données rejetées sont-elles conservées ?</t>
  </si>
  <si>
    <t>Informations non capturées.</t>
  </si>
  <si>
    <t>Inexactitude des rapports d'information.</t>
  </si>
  <si>
    <t>Contrôler la diffusion des données</t>
  </si>
  <si>
    <t>Planning de suppression des données rejetées</t>
  </si>
  <si>
    <t>Simplifier l'intervention des acteurs</t>
  </si>
  <si>
    <t>Documentation des raisons du rejet</t>
  </si>
  <si>
    <t>Procédure de documentation des raisons du rejet</t>
  </si>
  <si>
    <t>Quelles informations sont capturées lorsque des données sont rejetées ?</t>
  </si>
  <si>
    <t>Pas de solution en cas d'erreur.</t>
  </si>
  <si>
    <t>Respecter les protocoles de résolution</t>
  </si>
  <si>
    <t>Registre des rejets</t>
  </si>
  <si>
    <t>Développer de nouvelles applications</t>
  </si>
  <si>
    <t>Protection des données rejetées contre les modifications et les suppressions non autorisées</t>
  </si>
  <si>
    <t>Politique de sécurité des données rejetées</t>
  </si>
  <si>
    <t>Quelles mesures de sécurité sont en place pour empêcher les modifications ou suppressions non autorisées des données rejetées ?</t>
  </si>
  <si>
    <t>Procédure d'analyse inexistante.</t>
  </si>
  <si>
    <t>Vulnérabilité des systèmes et applications.</t>
  </si>
  <si>
    <t>Mettre en place des revues d'information</t>
  </si>
  <si>
    <t>Logs d'accès aux données rejetées</t>
  </si>
  <si>
    <t>Corriger systématiquement les impacts</t>
  </si>
  <si>
    <t>Procédure de suppression définitive des données rejetées après la période de conservation</t>
  </si>
  <si>
    <t>Procédure de suppression définitive des données rejetées</t>
  </si>
  <si>
    <t>Quel processus est utilisé pour supprimer définitivement les données rejetées après l'expiration de la période de conservation ?</t>
  </si>
  <si>
    <t>Analyse des rejets non réalisée.</t>
  </si>
  <si>
    <t>Mauvais rôles.</t>
  </si>
  <si>
    <t>Contrôler les droits d'accès</t>
  </si>
  <si>
    <t>Journal des suppressions</t>
  </si>
  <si>
    <t>Former à la culture de sécurité</t>
  </si>
  <si>
    <t>S’assurer qu’une analyse et correction des données rejetées est 
 effectuée</t>
  </si>
  <si>
    <t>Procédure d'analyse des causes des rejets</t>
  </si>
  <si>
    <t>Existe-t-il une procédure documentée pour analyser les causes des rejets de données ?</t>
  </si>
  <si>
    <t>Actions correctives inexistantes.</t>
  </si>
  <si>
    <t>Suivi limité.</t>
  </si>
  <si>
    <t>Maîtriser les flux de données</t>
  </si>
  <si>
    <t>Rapports d'analyse des rejets</t>
  </si>
  <si>
    <t>Établir une politique de sécurité complète</t>
  </si>
  <si>
    <t>Identification des responsables de l'analyse et de la correction</t>
  </si>
  <si>
    <t>Qui est responsable de l'analyse des causes des rejets de données ?</t>
  </si>
  <si>
    <t>Données rejetées non suivies.</t>
  </si>
  <si>
    <t>Mauvaise gestion des droits d'accès.</t>
  </si>
  <si>
    <t>Protéger les données sensibles</t>
  </si>
  <si>
    <t>Développer de nouvelles applications sécurisées</t>
  </si>
  <si>
    <t>Mise en place de mesures correctives pour éviter les rejets futurs</t>
  </si>
  <si>
    <t>Procédure de mise en place des mesures correctives</t>
  </si>
  <si>
    <t>Quelles actions correctives sont prises pour prévenir les futurs rejets de données ?</t>
  </si>
  <si>
    <t>Corrections non documentées.</t>
  </si>
  <si>
    <t>Vulnérabilité des systèmes.</t>
  </si>
  <si>
    <t>Gérer les menaces persistantes</t>
  </si>
  <si>
    <t>Plan d'actions correctives</t>
  </si>
  <si>
    <t>Mettre à jour régulièrement les informations</t>
  </si>
  <si>
    <t>Suivi des données rejetées jusqu'à leur correction</t>
  </si>
  <si>
    <t>Procédure de suivi des mesures correctives</t>
  </si>
  <si>
    <t>Comment les données rejetées sont-elles suivies tout au long du processus de correction ?</t>
  </si>
  <si>
    <t>Procédures non connues.</t>
  </si>
  <si>
    <t>Informations non disponible.</t>
  </si>
  <si>
    <t>Centraliser les sources d'information</t>
  </si>
  <si>
    <t>Registre de suivi des actions correctives</t>
  </si>
  <si>
    <t>Mettre en place des mécanismes anti-corruption</t>
  </si>
  <si>
    <t>Documentation des corrections apportées aux données rejetées</t>
  </si>
  <si>
    <t>Procédure de documentation des corrections</t>
  </si>
  <si>
    <t>Comment les corrections apportées aux données rejetées sont-elles documentées ?</t>
  </si>
  <si>
    <t>Rôles et responsabilités imprécis.</t>
  </si>
  <si>
    <t>Absence de vérifications des sécurité.</t>
  </si>
  <si>
    <t>Développer des référentiels de données</t>
  </si>
  <si>
    <t>Journal des corrections apportées</t>
  </si>
  <si>
    <t>Créer des tableaux de bord de suivi</t>
  </si>
  <si>
    <t>S’assurer qu’un contrôle des corrections des données rejetées 
 est effectif</t>
  </si>
  <si>
    <t>Efficacité du processus de contrôle</t>
  </si>
  <si>
    <t>Indicateurs de performance du processus de contrôle</t>
  </si>
  <si>
    <t>Les limites du processus de contrôle (périmètre, ressources, responsabilités) sont-elles clairement définies et respectées lors de la vérification des corrections ?</t>
  </si>
  <si>
    <t>Délai de validation trop long.</t>
  </si>
  <si>
    <t>Processus non maîtrisées.</t>
  </si>
  <si>
    <t>Mettre en place des alertes de sécurité</t>
  </si>
  <si>
    <t>Rapports d'efficacité des contrôles</t>
  </si>
  <si>
    <t>Établir un cadre de gouvernance des données</t>
  </si>
  <si>
    <t>Qualité des corrections apportées</t>
  </si>
  <si>
    <t>Grille d'évaluation de la qualité des corrections</t>
  </si>
  <si>
    <t>Le nombre de corrections apportées aux données rejetées est-il mesuré et correspond-il aux attentes ou aux besoins identifiés ?</t>
  </si>
  <si>
    <t>Absence de système pour corriger les erreurs.</t>
  </si>
  <si>
    <t>Contrôles inadéquats.</t>
  </si>
  <si>
    <t>Renforcer les mécanismes de contrôle</t>
  </si>
  <si>
    <t>Revue des corrections apportées</t>
  </si>
  <si>
    <t>Traçabilité des corrections</t>
  </si>
  <si>
    <t>Procédure de traitement des corrections</t>
  </si>
  <si>
    <t>Chaque correction apportée aux données rejetées est-elle enregistrée de manière à permettre un suivi clair et une vérification ultérieure ?</t>
  </si>
  <si>
    <t>Politique de conservation inexistante.</t>
  </si>
  <si>
    <t>Actions non documentés.</t>
  </si>
  <si>
    <t>Réduire la dépendance aux systèmes existants</t>
  </si>
  <si>
    <t>Journal des traitements</t>
  </si>
  <si>
    <t>Sécuriser les applications</t>
  </si>
  <si>
    <t>Rapidité et respect des délais</t>
  </si>
  <si>
    <t>Rapport de respect des délais (de traitement des rejets)</t>
  </si>
  <si>
    <t>Les corrections des données rejetées sont-elles contrôlées et validées dans les délais prévus, sans retard impactant le processus global ?</t>
  </si>
  <si>
    <t>Logs non protégés.</t>
  </si>
  <si>
    <t>Dépendance aux fonctions actuelles .</t>
  </si>
  <si>
    <t>Améliorer la gestion de l'infrastructure</t>
  </si>
  <si>
    <t>Indicateurs de performance (KPI)</t>
  </si>
  <si>
    <t>Conformité aux procédures établies</t>
  </si>
  <si>
    <t>Le contrôle des corrections des données rejetées respecte-t-il les procédures et protocoles établis (par exemple, validation par un responsable, utilisation d’outils spécifiques) ?</t>
  </si>
  <si>
    <t>Application pas sécurisées</t>
  </si>
  <si>
    <t>Registre des non-conformités</t>
  </si>
  <si>
    <t>Aligner les objectifs organisationnels</t>
  </si>
  <si>
    <t>Vérifier que la mise à jour des données sensibles est suivie</t>
  </si>
  <si>
    <t>Procédure de mise à jour des données sensibles documentée</t>
  </si>
  <si>
    <t>Procédure de mise à jour des données sensibles</t>
  </si>
  <si>
    <t>La procédure de mise à jour des données sensibles est-elle facilement accessible et compréhensible par tous les utilisateurs concernés ?</t>
  </si>
  <si>
    <t>Inventaire incomplet.</t>
  </si>
  <si>
    <t>Difficulté à gérer les éléments d'infrastructure.</t>
  </si>
  <si>
    <t>Journal des mises à jour</t>
  </si>
  <si>
    <t>Responsabilités clairement définies pour la mise à jour des données sensibles</t>
  </si>
  <si>
    <t>Matrice des responsabilités (RACI) pour la mise à jour</t>
  </si>
  <si>
    <t>Les responsabilités pour la mise à jour des données sensibles sont-elles clairement attribuées à des personnes compétentes ?</t>
  </si>
  <si>
    <t>Paramètres non documentés.</t>
  </si>
  <si>
    <t>Vulnérabilité à l'obsolescence.</t>
  </si>
  <si>
    <t>Description des rôles et responsabilités</t>
  </si>
  <si>
    <t>Validation des modifications apportées aux données sensibles</t>
  </si>
  <si>
    <t>Procédure de validation des modifications</t>
  </si>
  <si>
    <t>Existe-t-il un processus d'approbation pour les modifications des données sensibles avant leur application ?</t>
  </si>
  <si>
    <t>Analyses irrégulières.</t>
  </si>
  <si>
    <t>Mauvaise compréhension des tendances.</t>
  </si>
  <si>
    <t>Journal des validations</t>
  </si>
  <si>
    <t>Traçabilité des mises à jour des données sensibles</t>
  </si>
  <si>
    <t>Politique de traçabilité des données</t>
  </si>
  <si>
    <t>Le système de traçabilité enregistre-t-il l'utilisateur, la date, l'heure et la justification de chaque modification apportée aux données sensibles ?</t>
  </si>
  <si>
    <t>Objectifs imprécis.</t>
  </si>
  <si>
    <t>Difficultés à atteindre les objectifs.</t>
  </si>
  <si>
    <t>Logs d'audit des modifications</t>
  </si>
  <si>
    <t>Contrôler précisément les droits d'accès</t>
  </si>
  <si>
    <t>Gestion des erreurs de mise à jour des données sensibles</t>
  </si>
  <si>
    <t>Procédure de gestion des erreurs de mise à jour</t>
  </si>
  <si>
    <t>Existe-t-il une procédure pour détecter, signaler et corriger les erreurs lors de la mise à jour des données sensibles ?</t>
  </si>
  <si>
    <t>Historique incomplet.</t>
  </si>
  <si>
    <t>Difficultés à analyser les causes des problèmes.</t>
  </si>
  <si>
    <t>Registre des erreurs de mise à jour</t>
  </si>
  <si>
    <t>S’assurer que la journalisation des mises à jour est effective</t>
  </si>
  <si>
    <t>Journalisation complète de toutes les mises à jour (utilisateur, date, heure, données modifiées)</t>
  </si>
  <si>
    <t>Politique de journalisation des accès et modifications</t>
  </si>
  <si>
    <t>Est-ce que les logs d'activité incluent l'utilisateur, la date, l'heure, les données modifiées, le type de modification et toute autre information pertinente pour assurer une traçabilité complète ?</t>
  </si>
  <si>
    <t>Distribution des états de sortie non vérifiée.</t>
  </si>
  <si>
    <t>Diffusion des données non contrôlée.</t>
  </si>
  <si>
    <t>Logs d'audit complets</t>
  </si>
  <si>
    <t>Archivage régulier des logs de mise à jour</t>
  </si>
  <si>
    <t>Politique d'archivage des logs</t>
  </si>
  <si>
    <t>Les logs de mise à jour sont-ils archivés régulièrement selon une fréquence définie ?</t>
  </si>
  <si>
    <t>Responsabilités imprécises.</t>
  </si>
  <si>
    <t>Intervention des acteurs complexes.</t>
  </si>
  <si>
    <t>Plan d'archivage</t>
  </si>
  <si>
    <t>Politique de conservation des logs de mise à jour définie</t>
  </si>
  <si>
    <t>Politique de conservation des logs</t>
  </si>
  <si>
    <t>Existe-t-il une politique de conservation des logs de mise à jour qui spécifie la durée pendant laquelle les logs doivent être conservés ?</t>
  </si>
  <si>
    <t>Processus de remédiation inexistant.</t>
  </si>
  <si>
    <t>Non-respect des protocoles de résolution.</t>
  </si>
  <si>
    <t>Durée de conservation définie</t>
  </si>
  <si>
    <t>Protection des logs de mise à jour contre la suppression ou la modification</t>
  </si>
  <si>
    <t>Politique de sécurité des logs</t>
  </si>
  <si>
    <t>Les logs de mise à jour sont-ils protégés contre la suppression ou la modification non autorisée ?</t>
  </si>
  <si>
    <t>Procédure non documentée.</t>
  </si>
  <si>
    <t>Application inexistantes.</t>
  </si>
  <si>
    <t>Créer des référentiels de données</t>
  </si>
  <si>
    <t>Procédure de gestion des accès aux logs</t>
  </si>
  <si>
    <t>Développer des tableaux de bord de suivi</t>
  </si>
  <si>
    <t>Analyse des logs de mise à jour pour détecter les anomalies</t>
  </si>
  <si>
    <t>Procédure d'analyse des logs</t>
  </si>
  <si>
    <t>Les logs de mise à jour sont-ils analysés régulièrement pour détecter les anomalies, les activités suspectes ou les erreurs ?</t>
  </si>
  <si>
    <t>Revue des états de sortie incomplète.</t>
  </si>
  <si>
    <t>Information non revue.</t>
  </si>
  <si>
    <t>Rapport d'analyse des logs</t>
  </si>
  <si>
    <t>Vérifier l’existence des contrôles automatiques périodiques</t>
  </si>
  <si>
    <t>Inventaire des contrôles automatiques périodiques</t>
  </si>
  <si>
    <t>Inventaire des contrôles automatiques</t>
  </si>
  <si>
    <t>Existe-t-il un inventaire complet et à jour de tous les contrôles automatiques périodiques ?</t>
  </si>
  <si>
    <t>Absence d'actions correctives.</t>
  </si>
  <si>
    <t>Impact non corrigé.</t>
  </si>
  <si>
    <t>Contrôler les points de validation des rapports</t>
  </si>
  <si>
    <t>Description détaillée de chaque contrôle</t>
  </si>
  <si>
    <t>Sécuriser les interfaces</t>
  </si>
  <si>
    <t>Documentation des paramètres de chaque contrôle automatique périodique</t>
  </si>
  <si>
    <t>Documentation des paramètres des contrôles</t>
  </si>
  <si>
    <t>Les paramètres de chaque contrôle automatique périodique sont-ils documentés de manière claire et précise ?</t>
  </si>
  <si>
    <t>Vérification inexistante.</t>
  </si>
  <si>
    <t>Absence des points de contrôle des droits.</t>
  </si>
  <si>
    <t>Simplifier la maintenance des applications</t>
  </si>
  <si>
    <t>Configuration des contrôles</t>
  </si>
  <si>
    <t>Gérer rigoureusement les listes de distribution</t>
  </si>
  <si>
    <t>Analyse des résultats des contrôles automatiques périodiques</t>
  </si>
  <si>
    <t>Analyse des résultats des contrôles</t>
  </si>
  <si>
    <t>Les résultats des contrôles automatiques périodiques sont-ils analysés régulièrement pour identifier les anomalies ?</t>
  </si>
  <si>
    <t>Non-connaissance de la sécurité.</t>
  </si>
  <si>
    <t>Vérifier les identités des utilisateurs</t>
  </si>
  <si>
    <t>Rapport d'analyse des résultats</t>
  </si>
  <si>
    <t>Développer des mécanismes anti-corruption de fichiers</t>
  </si>
  <si>
    <t>Description des objectifs de chaque contrôle automatique périodique</t>
  </si>
  <si>
    <t>Description des objectifs des contrôles</t>
  </si>
  <si>
    <t>Les objectifs de chaque contrôle sont-ils bien définis et répondent aux besoins de sécurité et de conformité de l'organisation?</t>
  </si>
  <si>
    <t>Informations sur l'activité inexistantes.</t>
  </si>
  <si>
    <t>Donnée non maitrisée.</t>
  </si>
  <si>
    <t>Contrôler les flux systémiques</t>
  </si>
  <si>
    <t>Indicateurs clés de performance (KPI) des contrôles</t>
  </si>
  <si>
    <t>Implémenter des mesures de sécurité</t>
  </si>
  <si>
    <t>Historique des exécutions des contrôles automatiques périodiques</t>
  </si>
  <si>
    <t>Historique des exécutions des contrôles</t>
  </si>
  <si>
    <t>Existe-t-il un historique des exécutions des contrôles automatiques périodiques qui comprend les résultats (réussite/échec)?</t>
  </si>
  <si>
    <t>Méthode non documentée.</t>
  </si>
  <si>
    <t>Sécurité incomplète.</t>
  </si>
  <si>
    <t>Établir des processus de remédiation</t>
  </si>
  <si>
    <t>Journal des exécutions</t>
  </si>
  <si>
    <t>Désigner des responsables clairement</t>
  </si>
  <si>
    <t>Vérifier que la couverture, le contenu et la distribution des états 
 de sortie est effective</t>
  </si>
  <si>
    <t>Suivi de la distribution des états de sortie</t>
  </si>
  <si>
    <t>Procédure de suivi des états de sortie</t>
  </si>
  <si>
    <t>Existe-t-il un processus de suivi de la distribution des états de sortie qui permet de confirmer que les destinataires ont reçu les rapports ?</t>
  </si>
  <si>
    <t>Efficacité non évaluée.</t>
  </si>
  <si>
    <t>Protection des données inexistantes.</t>
  </si>
  <si>
    <t>Développer des procédures de sécurité</t>
  </si>
  <si>
    <t>Grille de suivi des états de sortie</t>
  </si>
  <si>
    <t>Améliorer la qualité des informations</t>
  </si>
  <si>
    <t>Responsabilités clairement définies pour la revue des états de sortie</t>
  </si>
  <si>
    <t>Matrice des responsabilités (RACI) pour la revue</t>
  </si>
  <si>
    <t>Les responsabilités pour la revue des états de sortie sont-elles clairement définies, y compris la personne responsable et le délai de revue ?</t>
  </si>
  <si>
    <t>Nécessaire vérification inexistante.</t>
  </si>
  <si>
    <t>Développer l'expertise de l'environnement</t>
  </si>
  <si>
    <t>Maîtriser le cycle de vie des projets</t>
  </si>
  <si>
    <t>Identification des anomalies détectées lors de la revue des états de sortie</t>
  </si>
  <si>
    <t>Procédure d'identification des anomalies</t>
  </si>
  <si>
    <t>Existe-t-il un processus pour enregistrer et suivre les anomalies identifiées lors de la revue des états de sortie ?</t>
  </si>
  <si>
    <t>Mesures de sécurité insuffisantes.</t>
  </si>
  <si>
    <t>Menaces persistantes</t>
  </si>
  <si>
    <t>Évaluer précisément les besoins</t>
  </si>
  <si>
    <t>Registre des anomalies détectées</t>
  </si>
  <si>
    <t>Approfondir la compréhension des systèmes</t>
  </si>
  <si>
    <t>Procédure de revue des états de sortie définie</t>
  </si>
  <si>
    <t>Procédure de revue des états de sortie</t>
  </si>
  <si>
    <t>Existe-t-il une procédure documentée pour la revue des états de sortie qui spécifie les étapes à suivre et les éléments à vérifier ?</t>
  </si>
  <si>
    <t>Absence de procédure documentée pour la revue des états de sortie.</t>
  </si>
  <si>
    <t>informations ne sont pas à jours.</t>
  </si>
  <si>
    <t>Standardiser les actions</t>
  </si>
  <si>
    <t>Plan de revue des états de sortie</t>
  </si>
  <si>
    <t>Développer des processus de validation</t>
  </si>
  <si>
    <t>Documentation des points vérifiés lors de la revue des états de sortie</t>
  </si>
  <si>
    <t>Procédure de documentation des points vérifiés</t>
  </si>
  <si>
    <t>La revue des états de sortie comprend-elle une documentation des points critiques vérifiés afin de garantir la qualité et la cohérence des informations ?</t>
  </si>
  <si>
    <t>Documentation des points critiques absente.</t>
  </si>
  <si>
    <t>Absence d'informations.</t>
  </si>
  <si>
    <t>Suivre les tentatives d'intrusion</t>
  </si>
  <si>
    <t>Feuille de travail de la revue</t>
  </si>
  <si>
    <t>Standardiser les processus de correction</t>
  </si>
  <si>
    <t>S’assurer que la revue détaillée des états disponibles et de leur 
 destinataire est effective</t>
  </si>
  <si>
    <t>Suivi des actions correctives mises en place suite à la revue des états de sortie</t>
  </si>
  <si>
    <t>Procédure de suivi des actions correctives</t>
  </si>
  <si>
    <t>Existe-t-il un suivi des actions correctives mises en place en réponse aux anomalies détectées lors de la revue des états de sortie, afin de vérifier leur efficacité ?</t>
  </si>
  <si>
    <t>Actions correctives absentes en cas d'anomalies détectées.</t>
  </si>
  <si>
    <t>Informations corrompues.</t>
  </si>
  <si>
    <t>Clarifier les procédures</t>
  </si>
  <si>
    <t>Automatiser les évaluations et les contrôles</t>
  </si>
  <si>
    <t>Vérification que les états de sortie contiennent les informations nécessaires</t>
  </si>
  <si>
    <t>Définition des informations nécessaires des états</t>
  </si>
  <si>
    <t>Une vérification est-elle effectuée pour s'assurer que les états de sortie contiennent toutes les informations nécessaires et pertinentes ?</t>
  </si>
  <si>
    <t>Vérification insuffisante des informations dans les états de sortie.</t>
  </si>
  <si>
    <t>Absence de point de contrôle des rapports.</t>
  </si>
  <si>
    <t>Mettre en place des mécanismes de validation des rapports</t>
  </si>
  <si>
    <t>Modèles d'états de sortie</t>
  </si>
  <si>
    <t>Développer des tableaux de bord de contrôle automatisés</t>
  </si>
  <si>
    <t>Vérification que les moyens de contrôle sont mis en place</t>
  </si>
  <si>
    <t>Description des moyens de contrôle mis en place</t>
  </si>
  <si>
    <t>Des contrôles sont-ils mis en place pour vérifier l'intégrité et la validité des informations contenues dans les états de sortie?</t>
  </si>
  <si>
    <t>Interfacer non contrôlés.</t>
  </si>
  <si>
    <t>Mettre en place des tests d’interface réguliers pour détecter les anomalies</t>
  </si>
  <si>
    <t>Rapports des contrôles effectués</t>
  </si>
  <si>
    <t>Développer des protocoles de validation des interactions entre interfaces</t>
  </si>
  <si>
    <t>Définition des informations nécessaires pour le suivi de l'activité</t>
  </si>
  <si>
    <t>Définition des informations nécessaires au suivi</t>
  </si>
  <si>
    <t>Les informations nécessaires pour le suivi de l'activité sont-elles clairement définies, documentées et régulièrement réévaluées ?</t>
  </si>
  <si>
    <t>Informations sur l'activité incomplètes.</t>
  </si>
  <si>
    <t>Applications complexes à maintenir</t>
  </si>
  <si>
    <t>Simplifier l’architecture des applications</t>
  </si>
  <si>
    <t>Liste des informations à suivre</t>
  </si>
  <si>
    <t>Développer des guides de maintenance standardisés</t>
  </si>
  <si>
    <t>Identification des moyens de contrôle nécessaires pour la gestion des risques</t>
  </si>
  <si>
    <t>Identification des moyens de contrôle nécessaires</t>
  </si>
  <si>
    <t>Existe-t-il une méthode documentée pour identifier les contrôles nécessaires afin de gérer les risques liés aux états de sortie ?</t>
  </si>
  <si>
    <t>Méthode non documentée pour les contrôles.</t>
  </si>
  <si>
    <t>Accès à distribution à un liste de personnes.</t>
  </si>
  <si>
    <t>Mettre en place un registre sécurisé des accès autorisés</t>
  </si>
  <si>
    <t>Politique de gestion des risques</t>
  </si>
  <si>
    <t>Développer des contrôles d’accès basés sur les rôles des utilisateurs</t>
  </si>
  <si>
    <t>Vérifier que le niveau d’information et de moyen de contrôle 
 adapté</t>
  </si>
  <si>
    <t>Evaluation de l'efficacité des moyens de contrôle</t>
  </si>
  <si>
    <t>Procédure d'évaluation de l'efficacité des contrôles</t>
  </si>
  <si>
    <t>L'efficacité des contrôles mis en place pour les états de sortie est-elle évaluée régulièrement, et les résultats de cette évaluation sont-ils documentés ?</t>
  </si>
  <si>
    <t>Efficacité des contrôles non évaluée.</t>
  </si>
  <si>
    <t>Distribution à des employés non vérifiés.</t>
  </si>
  <si>
    <t>Développer un processus de vérification d’identité</t>
  </si>
  <si>
    <t>Rapports d'évaluation de l'efficacité</t>
  </si>
  <si>
    <t>Créer des procédures d’authentification renforcées</t>
  </si>
  <si>
    <t>Vérification que les états de sortie sont distribués aux destinataires prévus</t>
  </si>
  <si>
    <t>Liste des destinataires prévus des états</t>
  </si>
  <si>
    <t>Existe-t-il un mécanisme de vérification pour confirmer que les états de sortie sont distribués uniquement aux destinataires autorisés ?</t>
  </si>
  <si>
    <t>Mécanisme de vérification inexistant.</t>
  </si>
  <si>
    <t>Le risque lié à la corruption de fichiers.</t>
  </si>
  <si>
    <t>Implémenter des mécanismes de contrôle d’intégrité</t>
  </si>
  <si>
    <t>Politique de diffusion des informations</t>
  </si>
  <si>
    <t>Développer des systèmes de sauvegarde et restauration</t>
  </si>
  <si>
    <t>Mise en place de mesures pour garantir la confidentialité des états de sortie</t>
  </si>
  <si>
    <t>Procédure de mise en place des mesures de confidentialité</t>
  </si>
  <si>
    <t>Des mesures de sécurité, telles que le chiffrement ou le contrôle d'accès, sont-elles en place pour protéger la confidentialité des états de sortie ?</t>
  </si>
  <si>
    <t>Mesures de sécurité inadaptées.</t>
  </si>
  <si>
    <t>Contrôle des flux du système.</t>
  </si>
  <si>
    <t>Mettre en place des systèmes de monitoring en temps réel</t>
  </si>
  <si>
    <t>Politique de confidentialité</t>
  </si>
  <si>
    <t>Développer des alertes de flux anormaux</t>
  </si>
  <si>
    <t>Identification des destinataires de chaque état de sortie</t>
  </si>
  <si>
    <t>Identification des destinataires de chaque état</t>
  </si>
  <si>
    <t>Existe-t-il une liste documentée des destinataires autorisés pour chaque type d'état de sortie ?</t>
  </si>
  <si>
    <t>Liste des destinataires autorisés inexistante.</t>
  </si>
  <si>
    <t>Absence de contrôle des données.</t>
  </si>
  <si>
    <t>Créer un référentiel centralisé des données</t>
  </si>
  <si>
    <t>Liste de diffusion des états</t>
  </si>
  <si>
    <t>Mettre en place des processus de validation des données</t>
  </si>
  <si>
    <t>Suivi des livraisons des états de sortie</t>
  </si>
  <si>
    <t>Procédure de suivi des livraisons</t>
  </si>
  <si>
    <t>Le processus de livraison des états de sortie inclut-il un suivi pour s'assurer de leur réception par les destinataires ?</t>
  </si>
  <si>
    <t>Processus de livraison inadéquat.</t>
  </si>
  <si>
    <t>Mesures pas implémentés dans le système.</t>
  </si>
  <si>
    <t>Développer un cadre de mise en œuvre des mesures</t>
  </si>
  <si>
    <t>Journal de distribution des états</t>
  </si>
  <si>
    <t>Créer des procédures d’intégration systématique</t>
  </si>
  <si>
    <t>S’assurer que la distribution des états de sortie est effective</t>
  </si>
  <si>
    <t>Liste formalisée des destinataires autorisés pour chaque type d'état</t>
  </si>
  <si>
    <t>Liste formalisée des destinataires autorisés</t>
  </si>
  <si>
    <t>Quelle est la liste formalisée des destinataires autorisés pour chaque type d'état ?</t>
  </si>
  <si>
    <t>Liste des destinataires non formalisée.</t>
  </si>
  <si>
    <t>Processus de remédiation pas établit.</t>
  </si>
  <si>
    <t>Définir des protocoles de résolution d’incidents</t>
  </si>
  <si>
    <t>Politique d'autorisation d'accès à l'information</t>
  </si>
  <si>
    <t>Créer un système de suivi des actions correctives</t>
  </si>
  <si>
    <t>Mécanisme de distribution sécurisé et traçable (email, portail, etc?)</t>
  </si>
  <si>
    <t>Procédure de distribution sécurisée</t>
  </si>
  <si>
    <t>Quel est le mécanisme de distribution sécurisé et traçable (email, portail, etc?) ?</t>
  </si>
  <si>
    <t>Mécanisme de distribution non sécurisé.</t>
  </si>
  <si>
    <t>Aucun responsable désignés.</t>
  </si>
  <si>
    <t>Établir une matrice de responsabilités claire</t>
  </si>
  <si>
    <t>Politique de sécurité de l'information</t>
  </si>
  <si>
    <t>Définir des rôles et périmètres d’action précis</t>
  </si>
  <si>
    <t>Horodatage et preuve de remise des états</t>
  </si>
  <si>
    <t>Horodatage des états</t>
  </si>
  <si>
    <t>Comment fonctionne l’horodatage et la preuve de remise des états ?</t>
  </si>
  <si>
    <t>Horodatage et preuve de remise inexistants.</t>
  </si>
  <si>
    <t>Absence de procédure avec sécurité.</t>
  </si>
  <si>
    <t>Développer un manuel de procédures de sécurité</t>
  </si>
  <si>
    <t>Preuves de remise des états (accusés de réception, logs)</t>
  </si>
  <si>
    <t>Mettre en place des formations sur les protocoles</t>
  </si>
  <si>
    <t>Respect des fréquences et délais de distribution définis</t>
  </si>
  <si>
    <t>Définition des fréquences de distribution</t>
  </si>
  <si>
    <t>Quel est le respect des fréquences et délais de distribution définis ?</t>
  </si>
  <si>
    <t>Fréquences et délais non respectés.</t>
  </si>
  <si>
    <t>Mauvaise qualité des informations.</t>
  </si>
  <si>
    <t>Créer des processus de contrôle qualité</t>
  </si>
  <si>
    <t>Planning de distribution</t>
  </si>
  <si>
    <t>Développer des outils de nettoyage et de validation</t>
  </si>
  <si>
    <t>Procédure de gestion des erreurs de distribution</t>
  </si>
  <si>
    <t>Quelle est la procédure de gestion des erreurs de distribution ?</t>
  </si>
  <si>
    <t>Procédure de gestion des erreurs inexistante.</t>
  </si>
  <si>
    <t>Manque d'expertise de l'environnement.</t>
  </si>
  <si>
    <t>Mettre en place des programmes de formation</t>
  </si>
  <si>
    <t>Registre des erreurs de distribution</t>
  </si>
  <si>
    <t>Développer des ressources de transfert de compétences</t>
  </si>
  <si>
    <t>Vérifier que les contrôles utilisateurs des états de sortie sont 
 effectifs</t>
  </si>
  <si>
    <t>Existence de procédures de contrôle documentées</t>
  </si>
  <si>
    <t>Existe-t-il des procédures de contrôle documentées ?</t>
  </si>
  <si>
    <t>Procédures de contrôle non documentées.</t>
  </si>
  <si>
    <t>Contenu dans le cycle de vie du projet est non maîtrisées</t>
  </si>
  <si>
    <t>Développer des outils de gestion de projet</t>
  </si>
  <si>
    <t>Manuel des procédures de contrôle</t>
  </si>
  <si>
    <t>Créer des méthodes de suivi et de traçabilité</t>
  </si>
  <si>
    <t>Désignation des responsables de validation des états</t>
  </si>
  <si>
    <t>Désignation des responsables de validation</t>
  </si>
  <si>
    <t>Qui sont les responsables de validation des états ?</t>
  </si>
  <si>
    <t>Responsables de validation non définis.</t>
  </si>
  <si>
    <t>Absence d'évaluation des besoins</t>
  </si>
  <si>
    <t>Mettre en place des processus d’analyse des besoins</t>
  </si>
  <si>
    <t>Matrice des responsabilités (validation)</t>
  </si>
  <si>
    <t>Développer des outils de cartographie des exigences</t>
  </si>
  <si>
    <t>Journalisation des vérifications effectuées</t>
  </si>
  <si>
    <t>Comment est réalisée la journalisation des vérifications effectuées ?</t>
  </si>
  <si>
    <t>Journalisation des vérifications non réalisée.</t>
  </si>
  <si>
    <t>Compréhension inexistante sur les systèmes</t>
  </si>
  <si>
    <t>Créer de la documentation technique</t>
  </si>
  <si>
    <t>Rapports de vérification</t>
  </si>
  <si>
    <t>Développer des supports de formation</t>
  </si>
  <si>
    <t>Mécanismes de correction des anomalies détectées</t>
  </si>
  <si>
    <t>Description des mécanismes de correction</t>
  </si>
  <si>
    <t>Quels sont les mécanismes de correction des anomalies détectées ?</t>
  </si>
  <si>
    <t>Mécanismes de correction inexistants.</t>
  </si>
  <si>
    <t>Actions inappropriées</t>
  </si>
  <si>
    <t>Définir des procédures d’action standardisées</t>
  </si>
  <si>
    <t>Procédure de correction des anomalies</t>
  </si>
  <si>
    <t>Mettre en place des mécanismes de contrôle</t>
  </si>
  <si>
    <t>Audits périodiques de l'efficacité des contrôles</t>
  </si>
  <si>
    <t>Plan d'audits périodiques</t>
  </si>
  <si>
    <t>À quelle fréquence sont réalisés les audits de l'efficacité des contrôles ?</t>
  </si>
  <si>
    <t>Audits non réalisés.</t>
  </si>
  <si>
    <t>Informations de validation indisponible.</t>
  </si>
  <si>
    <t>Rapports d'audit</t>
  </si>
  <si>
    <t>Créer des référentiels de données validées</t>
  </si>
  <si>
    <t>S’assurer que les procédures de validation des résultats 
 existent</t>
  </si>
  <si>
    <t>Suivi des corrections apportées aux résultats non valides</t>
  </si>
  <si>
    <t>Procédure de suivi des corrections</t>
  </si>
  <si>
    <t>Comment est assuré le suivi des corrections apportées aux résultats non valides ?</t>
  </si>
  <si>
    <t>Suivi des connexions non assuré.</t>
  </si>
  <si>
    <t>Tentative d'intrusion non suivi</t>
  </si>
  <si>
    <t>Mettre en place des systèmes de détection d’intrusion</t>
  </si>
  <si>
    <t>Registre des corrections apportées</t>
  </si>
  <si>
    <t>Développer des protocoles de réponse aux incidents</t>
  </si>
  <si>
    <t>Documentation des règles de gestion utilisées dans l'application</t>
  </si>
  <si>
    <t>Documentation des règles de gestion</t>
  </si>
  <si>
    <t>Quelle est la documentation des codifications utilisées dans l'application ?</t>
  </si>
  <si>
    <t>Documentation des codifications insuffisante.</t>
  </si>
  <si>
    <t>Contrainte de devoir corriger les rapports.</t>
  </si>
  <si>
    <t>Automatiser les processus de correction</t>
  </si>
  <si>
    <t>Spécifications fonctionnelles de l'application</t>
  </si>
  <si>
    <t>Développer des outils de vérification automatique</t>
  </si>
  <si>
    <t>Processus de mise à jour des codifications et des règles de gestion</t>
  </si>
  <si>
    <t>Processus de mise à jour des codifications</t>
  </si>
  <si>
    <t>Quels sont les règles de gestion documentées dans l'application ?</t>
  </si>
  <si>
    <t>Règles de gestion non documentées.</t>
  </si>
  <si>
    <t>Processus confus.</t>
  </si>
  <si>
    <t>Clarifier et simplifier les processus</t>
  </si>
  <si>
    <t>Historique des modifications des codifications</t>
  </si>
  <si>
    <t>Créer des guides et des modes opératoires</t>
  </si>
  <si>
    <t>Documentation des codifications utilisées dans l'application</t>
  </si>
  <si>
    <t>Documentation des codifications utilisées</t>
  </si>
  <si>
    <t>Comment est vérifiée la cohérence des codifications et des règles de gestion entre les modules ?</t>
  </si>
  <si>
    <t>Cohérence non vérifiée.</t>
  </si>
  <si>
    <t>Mesures à jour inexistantes.</t>
  </si>
  <si>
    <t>Développer un système de veille réglementaire</t>
  </si>
  <si>
    <t>Référentiels de codification</t>
  </si>
  <si>
    <t>Mettre en place des processus de mise à jour périodique</t>
  </si>
  <si>
    <t>Vérification de la cohérence des codifications et des règles de gestion entre les différents modules</t>
  </si>
  <si>
    <t>Procédure de vérification de la cohérence</t>
  </si>
  <si>
    <t>Quel est le processus de mise à jour des codifications et des règles de gestion ?</t>
  </si>
  <si>
    <t>Processus de mise à jour inexistant.</t>
  </si>
  <si>
    <t>Connaissance des procédures inexistante.</t>
  </si>
  <si>
    <t>Créer des supports de formation</t>
  </si>
  <si>
    <t>Rapports de vérification de la cohérence</t>
  </si>
  <si>
    <t>Développer un système de documentation accessible</t>
  </si>
  <si>
    <t>Vérifier que l'homogénéisation des codifications et des règles 
 de gestion est effective</t>
  </si>
  <si>
    <t>Formation des utilisateurs aux codifications et aux règles de gestion</t>
  </si>
  <si>
    <t>Plan de formation des utilisateurs</t>
  </si>
  <si>
    <t>Comment est assurée la formation des utilisateurs aux codifications et aux règles de gestion ?</t>
  </si>
  <si>
    <t>Formation inexistante pour les utilisateurs.</t>
  </si>
  <si>
    <t>Absence d'évaluation et de l'automatisation</t>
  </si>
  <si>
    <t>Mettre en place des outils d’évaluation automatisés</t>
  </si>
  <si>
    <t>Supports de formation (manuels, tutoriels)</t>
  </si>
  <si>
    <t>Développer des processus d’automatisation des contrôles</t>
  </si>
  <si>
    <t>Mécanismes de contrôle de l'exhaustivité des données lors des transmissions</t>
  </si>
  <si>
    <t>Description des mécanismes de contrôle d'exhaustivité</t>
  </si>
  <si>
    <t>Quels mécanismes sont en place pour garantir que toutes les données nécessaires sont transmises entre les modules ?</t>
  </si>
  <si>
    <t>Mécanismes non mis en place.</t>
  </si>
  <si>
    <t>Manque de visibilité sur la transmissions des donnés.</t>
  </si>
  <si>
    <t>Créer des tableaux de bord de suivi des flux</t>
  </si>
  <si>
    <t>Rapports des contrôles d'exhaustivité</t>
  </si>
  <si>
    <t>Développer des outils de traçabilité des données</t>
  </si>
  <si>
    <t>Journalisation des transmissions de données entre les modules</t>
  </si>
  <si>
    <t>Politique de journalisation des transmissions</t>
  </si>
  <si>
    <t>Les transmissions de données entre les modules sont-elles journalisées ? Quels détails sont inclus dans ces journaux ?</t>
  </si>
  <si>
    <t>Transmissions de données non journalisées.</t>
  </si>
  <si>
    <t>Problème d'intégralité et de sécurité des donnés.</t>
  </si>
  <si>
    <t>Mettre en place des mécanismes de chiffrement</t>
  </si>
  <si>
    <t>Logs de transmission des données</t>
  </si>
  <si>
    <t>Développer des protocoles de vérification d’intégrité</t>
  </si>
  <si>
    <t>Mécanismes de contrôle de l'intégrité des données lors des transmissions</t>
  </si>
  <si>
    <t>Description des mécanismes de contrôle d'intégrité</t>
  </si>
  <si>
    <t>Comment l'intégrité des données est-elle assurée lors des transmissions entre les modules (par exemple, checksums, validation des données) ?</t>
  </si>
  <si>
    <t>Intégrité des données non assurée.</t>
  </si>
  <si>
    <t>Les rapports et les alertes sont absentes</t>
  </si>
  <si>
    <t>Créer un système de reporting automatique</t>
  </si>
  <si>
    <t>Rapports des contrôles d'intégrité</t>
  </si>
  <si>
    <t>Développer des mécanismes d’alerte proactifs</t>
  </si>
  <si>
    <t>Procédures de gestion des erreurs de transmission</t>
  </si>
  <si>
    <t>Existe-t-il des procédures définies pour gérer les erreurs qui peuvent survenir lors des transmissions de données ?</t>
  </si>
  <si>
    <t>Procédures non définies.</t>
  </si>
  <si>
    <t>Développer des procédures standardisées pour clarifier les processus</t>
  </si>
  <si>
    <t>Registre des erreurs de transmission</t>
  </si>
  <si>
    <t>Mettre en place des revues régulières pour évaluer l’efficacité des procédures</t>
  </si>
  <si>
    <t>S’assurer que l'intégrité et l'exhaustivité des données 
 transmises entre les différents modules est garantie</t>
  </si>
  <si>
    <t>Test de l'intégrité et de l'exhaustivité des données transmises</t>
  </si>
  <si>
    <t>Plan de tests d'intégrité et d'exhaustivité</t>
  </si>
  <si>
    <t>Des tests sont-ils effectués pour vérifier l'intégrité et l'exhaustivité des données transmises ?</t>
  </si>
  <si>
    <t>Tests non réalisés.</t>
  </si>
  <si>
    <t>Mettre en place des audits pour évaluer les dysfonctionnements</t>
  </si>
  <si>
    <t>Rapports des tests d'intégrité et d'exhaustivité</t>
  </si>
  <si>
    <t>Développer des plans pour effectuer des tests réguliers</t>
  </si>
  <si>
    <t>Documentation des tâches de développement et d'exploitation</t>
  </si>
  <si>
    <t>Documentation des tâches de développement</t>
  </si>
  <si>
    <t>Les tâches de développement et d'exploitation sont-elles documentées de manière adéquate ?</t>
  </si>
  <si>
    <t>Tâches non documentées.</t>
  </si>
  <si>
    <t>Mettre en place des audits pour évaluer les tâches non documentées</t>
  </si>
  <si>
    <t>Documentation des tâches d'exploitation</t>
  </si>
  <si>
    <t>Développer des guides pour documenter les tâches critiques</t>
  </si>
  <si>
    <t>Gestion des incidents et des problèmes rencontrés lors du développement et de l'exploitation</t>
  </si>
  <si>
    <t>Procédure de gestion des incidents</t>
  </si>
  <si>
    <t>Existe-t-il un processus pour gérer les incidents et les problèmes rencontrés lors du développement et de l'exploitation ?</t>
  </si>
  <si>
    <t>Processus de gestion inexistant.</t>
  </si>
  <si>
    <t>Absence d'organisation et de gouvernance.</t>
  </si>
  <si>
    <t>Mettre en place une structure de gouvernance claire avec des rôles définis</t>
  </si>
  <si>
    <t>Développer un plan d’organisation pour coordonner les activités</t>
  </si>
  <si>
    <t>Planification des tâches de développement et d'exploitation</t>
  </si>
  <si>
    <t>Procédure de gestion des problèmes</t>
  </si>
  <si>
    <t>Les tâches de développement et d'exploitation sont-elles planifiées de manière structurée ?</t>
  </si>
  <si>
    <t>Tâches non planifiées.</t>
  </si>
  <si>
    <t>Difficultés de suivre.</t>
  </si>
  <si>
    <t>Instaurer un système de suivi des tâches avec des indicateurs de performance</t>
  </si>
  <si>
    <t>Registre des problèmes</t>
  </si>
  <si>
    <t>Créer des tableaux de bord pour visualiser les progrès en temps réel</t>
  </si>
  <si>
    <t>Suivi de l'avancement des tâches</t>
  </si>
  <si>
    <t>Planification des tâches de développement</t>
  </si>
  <si>
    <t>Comment l'avancement des tâches de développement et d'exploitation est-il suivi ?</t>
  </si>
  <si>
    <t>Suivi de l'avancement inefficace.</t>
  </si>
  <si>
    <t>Défaut de la performance.</t>
  </si>
  <si>
    <t>Mettre en place des KPI pour évaluer la performance régulièrement</t>
  </si>
  <si>
    <t>Calendrier des tâches de développement</t>
  </si>
  <si>
    <t>Développer des plans d’amélioration continue basés sur les résultats</t>
  </si>
  <si>
    <t>Fonction Informatique</t>
  </si>
  <si>
    <t>S’assurer que les tâches relatives au développement et à 
 l'exploitation de l'application sont bien suivies et documentées</t>
  </si>
  <si>
    <t>Planification des tâches d'exploitation</t>
  </si>
  <si>
    <t>Existe-t-il une politique formelle définissant les règles d'accès aux bibliothèques de production ?</t>
  </si>
  <si>
    <t>Politique d'accès inexistante.</t>
  </si>
  <si>
    <t>Défaut du suivie des accès autorisés.</t>
  </si>
  <si>
    <t>Implémenter un registre des accès autorisés avec des audits périodiques</t>
  </si>
  <si>
    <t>Calendrier des tâches d'exploitation</t>
  </si>
  <si>
    <t>Outils de suivi de l'avancement des tâches</t>
  </si>
  <si>
    <t>Existe-t-il une Documentation des tâches de développement et d'exploitation?</t>
  </si>
  <si>
    <t>Documentation inexistante.</t>
  </si>
  <si>
    <t>Compréhension de la technique non documentée.</t>
  </si>
  <si>
    <t>Créer une documentation technique détaillée pour chaque processus</t>
  </si>
  <si>
    <t>Rapports d'avancement des tâches</t>
  </si>
  <si>
    <t>Organiser des sessions de formation sur les aspects techniques</t>
  </si>
  <si>
    <t>Gestion des incidents et des problèmes rencontrés lors du développement et de l'exploitation est elle effectuee ?</t>
  </si>
  <si>
    <t>Gestion des incidents inefficace.</t>
  </si>
  <si>
    <t>Les incidents ne sont pas traités correctement</t>
  </si>
  <si>
    <t>Définir des protocoles de gestion des incidents avec des délais clairs</t>
  </si>
  <si>
    <t>Mettre en place un système de suivi des incidents pour assurer leur résolution</t>
  </si>
  <si>
    <t>la Planification des tâches de développement et d'exploitation est elle en place ?</t>
  </si>
  <si>
    <t>Planification inexistante.</t>
  </si>
  <si>
    <t>Imprévisibles</t>
  </si>
  <si>
    <t>Élaborer un plan de gestion des imprévus avec des scénarios préétablis</t>
  </si>
  <si>
    <t>Former les équipes à réagir rapidement face aux imprévus</t>
  </si>
  <si>
    <t>le Suivi de l'avancement des tâches es il effectif ?</t>
  </si>
  <si>
    <t>Suivi inefficace.</t>
  </si>
  <si>
    <t>Mesures pas mit en place.</t>
  </si>
  <si>
    <t>Développer un cadre de mise en œuvre des mesures avec des échéances</t>
  </si>
  <si>
    <t>Créer un comité de suivi pour s’assurer de l’application des mesures</t>
  </si>
  <si>
    <t>S’assurer que l'accès aux bibliothèques de production est 
 réglementé</t>
  </si>
  <si>
    <t>Politique d'accès aux bibliothèques de production</t>
  </si>
  <si>
    <t>la Politique d'accès aux bibliothèques de production est elle efficace ?</t>
  </si>
  <si>
    <t>Politique d'accès inefficace.</t>
  </si>
  <si>
    <t>Application pas sécurisé.</t>
  </si>
  <si>
    <t>Mettre en place des tests de sécurité réguliers pour identifier les failles</t>
  </si>
  <si>
    <t>Implémenter des protocoles de sécurité comme le chiffrement des données</t>
  </si>
  <si>
    <t>Procédures d'accès aux bibliothèques de production</t>
  </si>
  <si>
    <t>la Procédures d'accès aux bibliothèques de production est elle correcte ?</t>
  </si>
  <si>
    <t>Procédures d'accès incorrectes.</t>
  </si>
  <si>
    <t>Procédure non mises à jours.</t>
  </si>
  <si>
    <t>Réaliser un audit de conformité pour identifier les écarts</t>
  </si>
  <si>
    <t>Mettre en place des formations sur les exigences de conformité</t>
  </si>
  <si>
    <t>Revue régulière des autorisations d'accès aux bibliothèques de production</t>
  </si>
  <si>
    <t>Revue régulière des autorisations d'accès aux bibliothèques de production est elle effectue ?</t>
  </si>
  <si>
    <t>Revue non effectuée.</t>
  </si>
  <si>
    <t>Problème de conformités.</t>
  </si>
  <si>
    <t>Développer des contrôles d’accès stricts avec authentification multi-facteurs</t>
  </si>
  <si>
    <t>Mettre en place des audits réguliers des accès non autorisés</t>
  </si>
  <si>
    <t>Liste des personnes autorisées à accéder aux bibliothèques de production</t>
  </si>
  <si>
    <t>Liste des personnes autorisées à accéder aux bibliothèques de production est elle definie ?</t>
  </si>
  <si>
    <t>Liste inexistante.</t>
  </si>
  <si>
    <t>Accès non contrôlé aux accès restreintes.</t>
  </si>
  <si>
    <t>Créer une cartographie des environnements pour clarifier leur fonctionnement</t>
  </si>
  <si>
    <t>Organiser des ateliers pour améliorer la compréhension des équipes</t>
  </si>
  <si>
    <t>Journalisation des accès aux bibliothèques de production</t>
  </si>
  <si>
    <t>la Journalisation des accès aux bibliothèques de production est elle correcte ?</t>
  </si>
  <si>
    <t>Journalisation incorrecte.</t>
  </si>
  <si>
    <t>Non-compréhension des environnements</t>
  </si>
  <si>
    <t>Documenter toutes les techniques utilisées dans un manuel accessible</t>
  </si>
  <si>
    <t>Liste des bibliothèques de production</t>
  </si>
  <si>
    <t>Mettre en place des sessions de formation sur les techniques documentées</t>
  </si>
  <si>
    <t>Vérifier que la maintenance de la séparation des tâches est 
 effective</t>
  </si>
  <si>
    <t>Documentation des rôles et responsabilités</t>
  </si>
  <si>
    <t>Documentation des rôles et responsabilités possible ?</t>
  </si>
  <si>
    <t>Documentation incomplète.</t>
  </si>
  <si>
    <t>Technique non documentés</t>
  </si>
  <si>
    <t>Réaliser une évaluation des risques de sécurité périodique</t>
  </si>
  <si>
    <t>Formulaires de demande d'accès</t>
  </si>
  <si>
    <t>Mettre en place des mesures correctives basées sur les résultats</t>
  </si>
  <si>
    <t>Evaluation des compétences de l'équipe de maintenance</t>
  </si>
  <si>
    <t>Plan de revue des autorisations d'accès</t>
  </si>
  <si>
    <t>Evaluation des compétences de l'équipe de maintenance est elle correcte ?</t>
  </si>
  <si>
    <t>Evaluation incorrecte.</t>
  </si>
  <si>
    <t>Évaluation de le sécurité.</t>
  </si>
  <si>
    <t>Définir un référentiel de compétences pour chaque rôle</t>
  </si>
  <si>
    <t>Rapports de revue des autorisations</t>
  </si>
  <si>
    <t>Mettre en place des programmes de formation pour combler les lacunes</t>
  </si>
  <si>
    <t>Documentation des procédures de maintenance</t>
  </si>
  <si>
    <t>Liste des personnes autorisées</t>
  </si>
  <si>
    <t>Documentation des procédures de maintenance est elle disponible?</t>
  </si>
  <si>
    <t>Procédures inexistantes.</t>
  </si>
  <si>
    <t>Compétences non définies.</t>
  </si>
  <si>
    <t>Organiser des formations spécifiques sur l’utilisation de l’outil</t>
  </si>
  <si>
    <t>Politique d'habilitation</t>
  </si>
  <si>
    <t>Créer des guides d’utilisation détaillés pour l’outil</t>
  </si>
  <si>
    <t>Définition des compétences nécessaires pour la maintenance de l'application</t>
  </si>
  <si>
    <t>Politique de journalisation des accès</t>
  </si>
  <si>
    <t>Définition des compétences nécessaires pour la maintenance de l'application est elle effective ?</t>
  </si>
  <si>
    <t>Définition des compétences inefficace.</t>
  </si>
  <si>
    <t>Manque des connaissances nécessaire sur l'outil.</t>
  </si>
  <si>
    <t>Mettre en place des canaux de communication clairs et réguliers</t>
  </si>
  <si>
    <t>Logs d'accès aux bibliothèques</t>
  </si>
  <si>
    <t>Développer un plan de communication pour toutes les parties prenantes</t>
  </si>
  <si>
    <t>Plan de formation pour l'équipe de maintenance</t>
  </si>
  <si>
    <t>Plan de formation pour l'équipe de maintenance es til disponible ?</t>
  </si>
  <si>
    <t>Plan de formation inexistant.</t>
  </si>
  <si>
    <t>Communication inefficace.</t>
  </si>
  <si>
    <t>Élaborer des procédures standardisées pour chaque processus clé</t>
  </si>
  <si>
    <t>Supports de formation (manuels, procédures)</t>
  </si>
  <si>
    <t>Former les équipes à l’application des nouvelles procédures</t>
  </si>
  <si>
    <t>S’assurer que l'équipe actuelle en charge de la maintenance est 
 autonome et compétente</t>
  </si>
  <si>
    <t>Communication entre l'équipe de maintenance et les autres équipes</t>
  </si>
  <si>
    <t>Procédure de communication entre équipes</t>
  </si>
  <si>
    <t>Communication entre l'équipe de maintenance et les autres équipes est elle effective ?</t>
  </si>
  <si>
    <t>Mettre en place un calendrier de mise à jour des versions</t>
  </si>
  <si>
    <t>Registre des communications</t>
  </si>
  <si>
    <t>Développer un processus de test avant chaque mise à jour</t>
  </si>
  <si>
    <t>La procédure couvre les différents types de maintenance (corrective, évolutive, préventive)?</t>
  </si>
  <si>
    <t>Procédure de maintenance (intégrale)</t>
  </si>
  <si>
    <t>La procédure couvre les différents types de maintenance (corrective, évolutive, préventive)??</t>
  </si>
  <si>
    <t>Procédure incomplète.</t>
  </si>
  <si>
    <t>Version pas mis à jours.</t>
  </si>
  <si>
    <t>Créer un plan d’intégration des données avec des étapes claires</t>
  </si>
  <si>
    <t>Typologie des maintenances (corrective, évolutive, préventive)</t>
  </si>
  <si>
    <t>Mettre en place des tests d’intégration pour valider les données</t>
  </si>
  <si>
    <t>La procédure décrit les étapes à suivre pour la réalisation d'une maintenance?</t>
  </si>
  <si>
    <t>Description détaillée des étapes de maintenance</t>
  </si>
  <si>
    <t>Procédure non standardisée.</t>
  </si>
  <si>
    <t>Intégration des données échouée.</t>
  </si>
  <si>
    <t>Instaurer un système de suivi des activités avec des rapports réguliers</t>
  </si>
  <si>
    <t>Checklists ou formulaires de réalisation de maintenance</t>
  </si>
  <si>
    <t>Développer des outils de suivi automatisé pour les tâches critiques</t>
  </si>
  <si>
    <t>Procédure de maintenance formalisée et standardisée documentée?</t>
  </si>
  <si>
    <t>Procédure de maintenance formalisée et standardisée</t>
  </si>
  <si>
    <t>Procédure de maintenance formalisée et standardisée documentée??</t>
  </si>
  <si>
    <t>Suivis inexistantes.</t>
  </si>
  <si>
    <t>Revoir la conception avec les parties prenantes pour l’adapter aux besoins</t>
  </si>
  <si>
    <t>Manuel de maintenance</t>
  </si>
  <si>
    <t>Mettre en place des revues de conception avant validation</t>
  </si>
  <si>
    <t>La procédure définit les rôles et responsabilités des intervenants?</t>
  </si>
  <si>
    <t>Procédure de maintenance (avec RACI)</t>
  </si>
  <si>
    <t>Procédure non revue.</t>
  </si>
  <si>
    <t>Conception inadéquat.</t>
  </si>
  <si>
    <t>Mettre en place un registre des propriétés intellectuelles avec suivi</t>
  </si>
  <si>
    <t>Matrice des rôles et responsabilités (RACI) pour la maintenance</t>
  </si>
  <si>
    <t>Former les équipes sur la gestion des droits de propriété intellectuelle</t>
  </si>
  <si>
    <t>S’assurer de l’existence de procédure formalisée et standard de 
 maintenance de l’application</t>
  </si>
  <si>
    <t>La procédure est revue et mise à jour régulièrement</t>
  </si>
  <si>
    <t>Planning de revue de la procédure</t>
  </si>
  <si>
    <t>La procédure est revue et mise à jour régulièrement?</t>
  </si>
  <si>
    <t>Suivi des versions incomplet.</t>
  </si>
  <si>
    <t>Information de propriété intellectuel non suivi.</t>
  </si>
  <si>
    <t>Développer un processus de vérification systématique des livrables</t>
  </si>
  <si>
    <t>Historique des mises à jour de la procédure</t>
  </si>
  <si>
    <t>Mettre en place des checklists pour garantir la vérification</t>
  </si>
  <si>
    <t>Le suivi des versions inclut l'identification des changements apportés</t>
  </si>
  <si>
    <t>Procédure de gestion des versions</t>
  </si>
  <si>
    <t>Nouvelles versions non testées.</t>
  </si>
  <si>
    <t>Vérification inexistant.</t>
  </si>
  <si>
    <t>Réaliser une analyse des risques complète pour chaque projet</t>
  </si>
  <si>
    <t>Journal des versions (avec identification des changements)</t>
  </si>
  <si>
    <t>Mettre en place un processus de revue périodique des risques</t>
  </si>
  <si>
    <t>Les nouvelles versions sont testées avant leur mise en production</t>
  </si>
  <si>
    <t>Plan de tests des nouvelles versions</t>
  </si>
  <si>
    <t>Les nouvelles versions sont testées avant leur mise en production?</t>
  </si>
  <si>
    <t>Définition des compétences inexistante.</t>
  </si>
  <si>
    <t>Absence d'analyse des risques.</t>
  </si>
  <si>
    <t>Implémenter des contrôles d’intégrité pour le code source</t>
  </si>
  <si>
    <t>Rapports de tests des nouvelles versions</t>
  </si>
  <si>
    <t>Mettre en place un système de gestion des versions sécurisé</t>
  </si>
  <si>
    <t>Procédure de gestion des nouvelles versions</t>
  </si>
  <si>
    <t>Absence de définition des compétences.</t>
  </si>
  <si>
    <t>Code source altéré.</t>
  </si>
  <si>
    <t>Créer un inventaire des exécutables avec un suivi strict</t>
  </si>
  <si>
    <t>Journal des mises en production</t>
  </si>
  <si>
    <t>Mettre en place des contrôles pour limiter les exécutables non autorisés</t>
  </si>
  <si>
    <t>L'impact des nouvelles versions est évalué</t>
  </si>
  <si>
    <t>Procédure d'évaluation de l'impact des nouvelles versions</t>
  </si>
  <si>
    <t>L'impact des nouvelles versions est évalué?</t>
  </si>
  <si>
    <t>Impact non évalué.</t>
  </si>
  <si>
    <t>Exécutables non gérées.</t>
  </si>
  <si>
    <t>Mettre en place des sessions de sensibilisation sur le contenu</t>
  </si>
  <si>
    <t>Rapport d'évaluation de l'impact</t>
  </si>
  <si>
    <t>Adapter le contenu aux besoins spécifiques des utilisateurs</t>
  </si>
  <si>
    <t>Vérifier que les nouvelles versions (développement interne, 
 progiciel) sont suivies</t>
  </si>
  <si>
    <t>Les nouvelles versions sont déployées selon une procédure définie</t>
  </si>
  <si>
    <t>Procédure de déploiement des nouvelles versions</t>
  </si>
  <si>
    <t>Les nouvelles versions sont déployées selon une procédure définie?</t>
  </si>
  <si>
    <t>Déploiement incontrôlé.</t>
  </si>
  <si>
    <t>Utilisateurs non affectés par le contenu.</t>
  </si>
  <si>
    <t>Mettre en place un gestionnaire de mots de passe sécurisé</t>
  </si>
  <si>
    <t>Plan de déploiement</t>
  </si>
  <si>
    <t>Former les utilisateurs à la gestion sécurisée des mots de passe</t>
  </si>
  <si>
    <t>La procédure définit les étapes à suivre pour le transfert des programmes</t>
  </si>
  <si>
    <t>Procédure de transfert des programmes</t>
  </si>
  <si>
    <t>La procédure définit les étapes à suivre pour le transfert des programmes?</t>
  </si>
  <si>
    <t>Procédure de transfert inexistante.</t>
  </si>
  <si>
    <t>Mots de passe de connexion inconnue</t>
  </si>
  <si>
    <t>Développer un plan d’intégration avec des tests à chaque étape</t>
  </si>
  <si>
    <t>Description des étapes de transfert</t>
  </si>
  <si>
    <t>Mettre en place un suivi des intégrations pour identifier les échecs</t>
  </si>
  <si>
    <t>Les transferts de programmes sont journalisés</t>
  </si>
  <si>
    <t>Journal des transferts de programmes</t>
  </si>
  <si>
    <t>Les transferts de programmes sont journalisés?</t>
  </si>
  <si>
    <t>Transferts non journalisés.</t>
  </si>
  <si>
    <t>Intégration échouée.</t>
  </si>
  <si>
    <t>Créer un référentiel centralisé pour stocker les données critiques</t>
  </si>
  <si>
    <t>Logs de transfert</t>
  </si>
  <si>
    <t>Mettre en place des sauvegardes régulières pour éviter les pertes</t>
  </si>
  <si>
    <t>Procédure de transfert des programmes entre les environnements documentée</t>
  </si>
  <si>
    <t>Procédure de transfert des programmes entre environnements</t>
  </si>
  <si>
    <t>Procédure de transfert des programmes entre les environnements documentée?</t>
  </si>
  <si>
    <t>Procédure de transfert non documentée.</t>
  </si>
  <si>
    <t>Absence de données.</t>
  </si>
  <si>
    <t>Implémenter des contrôles d’accès stricts avec authentification renforcée</t>
  </si>
  <si>
    <t>Politique de gestion des environnements</t>
  </si>
  <si>
    <t>La procédure inclut des contrôles pour garantir l'intégrité des programmes transférés</t>
  </si>
  <si>
    <t>Procédure de contrôle d'intégrité des programmes</t>
  </si>
  <si>
    <t>La procédure inclut des contrôles pour garantir l'intégrité des programmes transférés?</t>
  </si>
  <si>
    <t>Contrôles d'intégrité inexistants.</t>
  </si>
  <si>
    <t>Accès non contrôlée.</t>
  </si>
  <si>
    <t>Développer des politiques d’accès basées sur le principe du moindre privilège</t>
  </si>
  <si>
    <t>Mettre en place des alertes pour détecter les accès non autorisés</t>
  </si>
  <si>
    <t>Vérifier l’existence de procédure formalisée de transfert des 
 programmes entre les environnements</t>
  </si>
  <si>
    <t>Les accès aux environnements sont réglementés</t>
  </si>
  <si>
    <t>Politique de gestion des accès aux environnements</t>
  </si>
  <si>
    <t>Les accès aux environnements sont réglementés?</t>
  </si>
  <si>
    <t>Accès non réglementés.</t>
  </si>
  <si>
    <t>Accès non autorisés aux donnés sensibles.</t>
  </si>
  <si>
    <t>Créer une documentation simplifiée des systèmes complexes</t>
  </si>
  <si>
    <t>Matrice des accès</t>
  </si>
  <si>
    <t>Organiser des formations pour améliorer la compréhension des systèmes</t>
  </si>
  <si>
    <t>La documentation inclut la description de l'architecture de l'application</t>
  </si>
  <si>
    <t>Documentation de l'architecture de l'application</t>
  </si>
  <si>
    <t>La documentation inclut la description de l'architecture de l'application?</t>
  </si>
  <si>
    <t>Description de l'architecture manquante.</t>
  </si>
  <si>
    <t>Connaissance des systèmes compliqués.</t>
  </si>
  <si>
    <t>Mettre en place des sessions de clarification pour les utilisateurs</t>
  </si>
  <si>
    <t>Schéma d'architecture</t>
  </si>
  <si>
    <t>Développer des supports visuels pour faciliter la compréhension</t>
  </si>
  <si>
    <t>La documentation inclut les guides utilisateurs</t>
  </si>
  <si>
    <t>Guides utilisateurs</t>
  </si>
  <si>
    <t>La documentation inclut les guides utilisateurs?</t>
  </si>
  <si>
    <t>Guides utilisateurs absents.</t>
  </si>
  <si>
    <t>Information non comprises.</t>
  </si>
  <si>
    <t>Planifier des interruptions courtes avec des notifications préalables</t>
  </si>
  <si>
    <t>Manuels utilisateurs</t>
  </si>
  <si>
    <t>Mettre en place des processus de reprise rapide après interruption</t>
  </si>
  <si>
    <t>Procédure de gestion des corrections d'urgence documentée</t>
  </si>
  <si>
    <t>Procédure de gestion des corrections d'urgence</t>
  </si>
  <si>
    <t>Procédure de gestion des corrections d'urgence documentée?</t>
  </si>
  <si>
    <t>Longues interruption des processus.</t>
  </si>
  <si>
    <t>Réaliser une analyse d’impact avant chaque changement</t>
  </si>
  <si>
    <t>Formulaire de demande de correction d'urgence</t>
  </si>
  <si>
    <t>Mettre en place des simulations pour évaluer les impacts</t>
  </si>
  <si>
    <t>L'impact des corrections d'urgence est évalué</t>
  </si>
  <si>
    <t>Procédure d'évaluation de l'impact des corrections d'urgence</t>
  </si>
  <si>
    <t>L'impact des corrections d'urgence est évalué?</t>
  </si>
  <si>
    <t>Longs à comprendre le impact des changements.</t>
  </si>
  <si>
    <t>Implémenter des mécanismes de chiffrement pour protéger les informations</t>
  </si>
  <si>
    <t>Mettre en place des politiques de sécurité pour la gestion des données</t>
  </si>
  <si>
    <t>S’assurer que la documentation de l'application est effective</t>
  </si>
  <si>
    <t>Les corrections d'urgence sont documentées et intégrées dans la version standard</t>
  </si>
  <si>
    <t>Procédure de documentation des corrections d'urgence</t>
  </si>
  <si>
    <t>Les corrections d'urgence sont documentées et intégrées dans la version standard?</t>
  </si>
  <si>
    <t>Corrections non intégrées.</t>
  </si>
  <si>
    <t>Information non protégé.</t>
  </si>
  <si>
    <t>Mettre en place un contrôle de version strict pour le code source</t>
  </si>
  <si>
    <t>Journal des corrections d'urgence intégrées</t>
  </si>
  <si>
    <t>Implémenter des audits réguliers pour détecter les modifications non autorisées</t>
  </si>
  <si>
    <t>Les programmes sources sont stockés dans un dépôt centralisé et sécurisé</t>
  </si>
  <si>
    <t>Politique de gestion du dépôt de code source</t>
  </si>
  <si>
    <t>Les programmes sources sont stockés dans un dépôt centralisé et sécurisé?</t>
  </si>
  <si>
    <t>Code source non sécurisé.</t>
  </si>
  <si>
    <t>Code source altéré ou modifié.</t>
  </si>
  <si>
    <t>Réaliser des tests de sécurité réguliers sur le logiciel</t>
  </si>
  <si>
    <t>Description de l'architecture du dépôt</t>
  </si>
  <si>
    <t>Mettre en place des correctifs pour les failles identifiées</t>
  </si>
  <si>
    <t>Les programmes exécutables sont générés à partir des programmes sources gérés</t>
  </si>
  <si>
    <t>Procédure de build des exécutables</t>
  </si>
  <si>
    <t>Les programmes exécutables sont générés à partir des programmes sources gérés?</t>
  </si>
  <si>
    <t>Exécutables non gérés.</t>
  </si>
  <si>
    <t>Logiciel potentiellement non sécuriser.</t>
  </si>
  <si>
    <t>Planifier une architecture modulaire pour faciliter les évolutions</t>
  </si>
  <si>
    <t>Scripts de build</t>
  </si>
  <si>
    <t>Mettre en place des tests pour valider les évolutions des applications</t>
  </si>
  <si>
    <t>La documentation de l'application est complète et à jour</t>
  </si>
  <si>
    <t>Plan de maintenance de la documentation</t>
  </si>
  <si>
    <t>La documentation de l'application est complète et à jour?</t>
  </si>
  <si>
    <t>Difficulté de faire évoluer les applications.</t>
  </si>
  <si>
    <t>Créer des guides d’utilisation détaillés pour chaque fonctionnalité</t>
  </si>
  <si>
    <t>Historique des mises à jour de la documentation</t>
  </si>
  <si>
    <t>Organiser des formations sur les fonctionnalités clés</t>
  </si>
  <si>
    <t>La documentation inclut la description des fonctionnalités de l'application</t>
  </si>
  <si>
    <t>Documentation des fonctionnalités de l'application</t>
  </si>
  <si>
    <t>La documentation inclut la description des fonctionnalités de l'application?</t>
  </si>
  <si>
    <t>Description des fonctionnalités manquante.</t>
  </si>
  <si>
    <t>Incompréhension des fonctionnalités.</t>
  </si>
  <si>
    <t>Mettre en place un programme de transfert de connaissances</t>
  </si>
  <si>
    <t>Manuels fonctionnels</t>
  </si>
  <si>
    <t>Créer une base de connaissances accessible à tous</t>
  </si>
  <si>
    <t>Vérifier que les corrections effectuées en urgence sur les 
 programmes sont suivies</t>
  </si>
  <si>
    <t>La documentation est accessible aux personnes concernées</t>
  </si>
  <si>
    <t>Politique d'accès à la documentation</t>
  </si>
  <si>
    <t>La documentation est accessible aux personnes concernées?</t>
  </si>
  <si>
    <t>Documentation inaccessible.</t>
  </si>
  <si>
    <t>Connaissances non transmises.</t>
  </si>
  <si>
    <t>Développer un processus de gestion des incidents avec des priorités claires</t>
  </si>
  <si>
    <t>Portail d'accès à la documentation</t>
  </si>
  <si>
    <t>Mettre en place un suivi des incidents pour éviter les récurrences</t>
  </si>
  <si>
    <t>Les corrections d'urgence sont autorisées et tracées</t>
  </si>
  <si>
    <t>Procédure d'autorisation des corrections d'urgence</t>
  </si>
  <si>
    <t>Les corrections d'urgence sont autorisées et tracées?</t>
  </si>
  <si>
    <t>Corrections non autorisées.</t>
  </si>
  <si>
    <t>Mauvaise gestion des incidents.</t>
  </si>
  <si>
    <t>Réaliser des tests réguliers pour identifier les dysfonctionnements</t>
  </si>
  <si>
    <t>Registre des autorisations de corrections d'urgence</t>
  </si>
  <si>
    <t>Mettre en place des correctifs rapides pour les fonctionnalités affectées</t>
  </si>
  <si>
    <t>Les corrections d'urgence sont testées avant leur mise en production</t>
  </si>
  <si>
    <t>Plan de tests des corrections d'urgence</t>
  </si>
  <si>
    <t>Les corrections d'urgence sont testées avant leur mise en production?</t>
  </si>
  <si>
    <t>Corrections non testées.</t>
  </si>
  <si>
    <t>Dysfonctionnement de certaines fonctionalités.</t>
  </si>
  <si>
    <t>Vérifier la compatibilité des fichiers avant leur utilisation</t>
  </si>
  <si>
    <t>Rapports de tests des corrections d'urgence</t>
  </si>
  <si>
    <t>Mettre en place des standards pour les formats de fichiers</t>
  </si>
  <si>
    <t>Utilisation d'un logiciel de gestion de versions</t>
  </si>
  <si>
    <t>Politique d'utilisation du logiciel de gestion de versions</t>
  </si>
  <si>
    <t>Utilisation d'un logiciel de gestion de versions?</t>
  </si>
  <si>
    <t>Absence de contrôle de version.</t>
  </si>
  <si>
    <t>Problème de compatibilité des fichiers.</t>
  </si>
  <si>
    <t>Guide d'utilisation du logiciel de gestion de versions</t>
  </si>
  <si>
    <t>Suivi et traçabilité des corrections d’urgence</t>
  </si>
  <si>
    <t>Procédure de gestion des corrections d’urgence</t>
  </si>
  <si>
    <t>Comment s’assurer que toutes les corrections effectuées en urgence ?</t>
  </si>
  <si>
    <t>absence de corrections d'urgence</t>
  </si>
  <si>
    <t>difficulte d'effectuer des corrections efficaces</t>
  </si>
  <si>
    <t>Instaurer un suivi régulier des incidents et anomalies potentielles afin d’anticiper les besoins en corrections d’urgence</t>
  </si>
  <si>
    <t>iche de suivi des corrections d’urgence</t>
  </si>
  <si>
    <t>Renforcer les tests et validations des mises à jour avant leur mise en production pour éviter des besoins de corrections urgentes</t>
  </si>
  <si>
    <t>S’assurer de l’existence d'un logiciel de contrôle de programmes 
 sources et de programmes exécutables</t>
  </si>
  <si>
    <t>Utilisation d’un outil de gestion de versions</t>
  </si>
  <si>
    <t>Politique d'utilisation de l'outil de gestion de versions</t>
  </si>
  <si>
    <t>Utilisation d’un outil de gestion de versions?</t>
  </si>
  <si>
    <t>Utilisation d'un outil non adapté.</t>
  </si>
  <si>
    <t>Difficulté à atteindre les objectifs de sécurité et à gérer les risques.</t>
  </si>
  <si>
    <t>Mettre en place des politiques de sécurité strictes pour atteindre les objectifs</t>
  </si>
  <si>
    <t>Guide d'utilisation de l'outil de gestion de versions</t>
  </si>
  <si>
    <t>Développer un plan de gestion des risques pour minimiser les impacts</t>
  </si>
  <si>
    <t>Traçabilité des modifications (historique des changements)</t>
  </si>
  <si>
    <t>Politique de traçabilité des modifications</t>
  </si>
  <si>
    <t>Traçabilité des modifications (historique des changements)?</t>
  </si>
  <si>
    <t>Traçabilité des modifications insuffisante.</t>
  </si>
  <si>
    <t>Difficulté à identifier l'origine des problèmes et à effectuer des corrections efficaces.</t>
  </si>
  <si>
    <t>Créer un processus d’identification des origines des problèmes</t>
  </si>
  <si>
    <t>Historique des commits/versions</t>
  </si>
  <si>
    <t>Mettre en place des mécanismes de correction rapide et efficace</t>
  </si>
  <si>
    <t>Séparation des environnements (dev/test/prod)</t>
  </si>
  <si>
    <t>Politique de séparation des environnements</t>
  </si>
  <si>
    <t>Séparation des environnements (dev/test/prod)?</t>
  </si>
  <si>
    <t>Environnements non séparés.</t>
  </si>
  <si>
    <t>Risque de propagation des erreurs et des incidents de sécurité entre les environnements.</t>
  </si>
  <si>
    <t>Implémenter des audits réguliers pour détecter les accès non autorisés</t>
  </si>
  <si>
    <t>Schéma des environnements</t>
  </si>
  <si>
    <t>Développer des contrôles d’accès pour protéger les données sensibles</t>
  </si>
  <si>
    <t>Contrôle d’accès basé sur les rôles</t>
  </si>
  <si>
    <t>Politique de contrôle d'accès basé sur les rôles</t>
  </si>
  <si>
    <t>Contrôle d’accès basé sur les rôles?</t>
  </si>
  <si>
    <t>Contrôles d'accès inadéquats.</t>
  </si>
  <si>
    <t>Accès non autorisés aux données sensibles et aux fonctionnalités critiques.</t>
  </si>
  <si>
    <t>Mettre en place un système de journalisation des incidents majeurs</t>
  </si>
  <si>
    <t>Créer un plan de réponse aux incidents pour limiter les pertes de données</t>
  </si>
  <si>
    <t>Capacité de sauvegarde et de restauration</t>
  </si>
  <si>
    <t>Capacité de sauvegarde et de restauration?</t>
  </si>
  <si>
    <t>Capacité de sauvegarde insuffisante.</t>
  </si>
  <si>
    <t>Perte de données en cas d'incident majeur.</t>
  </si>
  <si>
    <t>Développer un système de traçabilité des événements critiques</t>
  </si>
  <si>
    <t>Plan de sauvegarde et de restauration</t>
  </si>
  <si>
    <t>Mettre en place des outils de détection des anomalies en temps réel</t>
  </si>
  <si>
    <t>S’assurer que les travaux batch de l'application, qu'ils soient 
 périodiques ou à la demande, sont bien suivis</t>
  </si>
  <si>
    <t>Journalisation détaillée des exécutions</t>
  </si>
  <si>
    <t>Politique de journalisation détaillée</t>
  </si>
  <si>
    <t>Journalisation détaillée des exécutions?</t>
  </si>
  <si>
    <t>Journalisation détaillée insuffisante.</t>
  </si>
  <si>
    <t>Difficulté à retracer les événements et à identifier les causes des problèmes.</t>
  </si>
  <si>
    <t>Implémenter des sauvegardes régulières pour éviter la suppression de données</t>
  </si>
  <si>
    <t>Configuration des logs d'exécution</t>
  </si>
  <si>
    <t>Développer des processus de validation pour garantir la cohérence des données</t>
  </si>
  <si>
    <t>Monitoring et alertes en temps réel</t>
  </si>
  <si>
    <t>Politique de monitoring et d'alertes</t>
  </si>
  <si>
    <t>Monitoring et alertes en temps réel?</t>
  </si>
  <si>
    <t>Monitoring insuffisant.</t>
  </si>
  <si>
    <t>Incapacité à détecter les anomalies et les incidents en temps réel.</t>
  </si>
  <si>
    <t>Mettre en place des tests réguliers pour évaluer le fonctionnement des systèmes</t>
  </si>
  <si>
    <t>Configuration du système de monitoring</t>
  </si>
  <si>
    <t>Former les équipes à la maintenance proactive pour réduire les pannes</t>
  </si>
  <si>
    <t>Planification automatisée des batchs</t>
  </si>
  <si>
    <t>Planification automatisée des batches</t>
  </si>
  <si>
    <t>Planification automatisée des batchs?</t>
  </si>
  <si>
    <t>Purification automatisée non planifiée.</t>
  </si>
  <si>
    <t>Suppression involontaire de données importantes.</t>
  </si>
  <si>
    <t>Instaurer un système de contrôle des processus pour assurer leur conformité</t>
  </si>
  <si>
    <t>Calendrier des batches</t>
  </si>
  <si>
    <t>Développer des outils de normalisation pour standardiser les opérations</t>
  </si>
  <si>
    <t>Procédure de gestion des erreurs</t>
  </si>
  <si>
    <t>Procédure de gestion des erreurs batch</t>
  </si>
  <si>
    <t>Procédure de gestion des erreurs?</t>
  </si>
  <si>
    <t>Procédure inexistante.</t>
  </si>
  <si>
    <t>Processus non reproductibles et incohérents.</t>
  </si>
  <si>
    <t>Créer un registre des données historiques pour assurer leur traçabilité</t>
  </si>
  <si>
    <t>Registre des erreurs batch</t>
  </si>
  <si>
    <t>Mettre en place des audits de conformité pour détecter les écarts réglementaires</t>
  </si>
  <si>
    <t>Documentation complète des processus batch</t>
  </si>
  <si>
    <t>Documentation des processus batch</t>
  </si>
  <si>
    <t>Documentation complète des processus batch?</t>
  </si>
  <si>
    <t>Difficulté à comprendre le fonctionnement des systèmes et à effectuer la maintenance.</t>
  </si>
  <si>
    <t>Développer un système de détection des données altérées</t>
  </si>
  <si>
    <t>Diagrammes de flux des processus batch</t>
  </si>
  <si>
    <t>Mettre en place des contrôles pour éviter la suppression non autorisée</t>
  </si>
  <si>
    <t>S’assurer que l’existence d’une procédure de contrôle des 
 traitements batch et d'archivage des comptes-rendus d'exécution est 
 garantie</t>
  </si>
  <si>
    <t>Existence d’une procédure formalisée de contrôle des batchs</t>
  </si>
  <si>
    <t>Procédure de contrôle des batches</t>
  </si>
  <si>
    <t>Existence d’une procédure formalisée de contrôle des batchs?</t>
  </si>
  <si>
    <t>Procédures formelles inexistantes.</t>
  </si>
  <si>
    <t>Manque de contrôle et de normalisation des processus.</t>
  </si>
  <si>
    <t>Implémenter un système de contrôle des habilitations des utilisateurs</t>
  </si>
  <si>
    <t>Checklist de contrôle des batches</t>
  </si>
  <si>
    <t>Développer des outils de suivi pour assurer la conformité des applications</t>
  </si>
  <si>
    <t>Archivage systématique des comptes-rendus d’exécution</t>
  </si>
  <si>
    <t>Politique d'archivage des comptes-rendus</t>
  </si>
  <si>
    <t>Archivage systématique des comptes-rendus d’exécution?</t>
  </si>
  <si>
    <t>Archivage systématique inexistant.</t>
  </si>
  <si>
    <t>Perte de données historiques et non-conformité aux réglementations.</t>
  </si>
  <si>
    <t>Mettre en place des tests réguliers pour valider les mises à jour</t>
  </si>
  <si>
    <t>Plan d'archivage des comptes-rendus</t>
  </si>
  <si>
    <t>Créer un calendrier de maintenance pour éviter les interruptions</t>
  </si>
  <si>
    <t>Vérification de l’intégrité des logs et rapports</t>
  </si>
  <si>
    <t>Procédure de vérification de l'intégrité des logs</t>
  </si>
  <si>
    <t>Vérification de l’intégrité des logs et rapports?</t>
  </si>
  <si>
    <t>Vérification de l'intégrité inexistante.</t>
  </si>
  <si>
    <t>Altération des données non détectée.</t>
  </si>
  <si>
    <t>Organiser des formations pour combler les lacunes de connaissances</t>
  </si>
  <si>
    <t>Outils de vérification d'intégrité</t>
  </si>
  <si>
    <t>Développer des bases de connaissances pour faciliter l’accès à l’information</t>
  </si>
  <si>
    <t>Durée de conservation conforme aux exigences légales/métier</t>
  </si>
  <si>
    <t>Politique de conservation des données (incluant les durées)</t>
  </si>
  <si>
    <t>Durée de conservation conforme aux exigences légales/métier?</t>
  </si>
  <si>
    <t>Durée de conservation non conforme.</t>
  </si>
  <si>
    <t>Données supprimé pour des raisons de conformités.</t>
  </si>
  <si>
    <t>Mettre en place un système de suivi des systèmes critiques</t>
  </si>
  <si>
    <t>Tableau des durées de conservation</t>
  </si>
  <si>
    <t>Développer des processus de validation pour garantir la pérennité des systèmes</t>
  </si>
  <si>
    <t>Accessibilité et traçabilité des documents archivés</t>
  </si>
  <si>
    <t>Politique d'accessibilité des archives</t>
  </si>
  <si>
    <t>Accessibilité et traçabilité des documents archivés?</t>
  </si>
  <si>
    <t>Inaccessibilité des documents.</t>
  </si>
  <si>
    <t>Règlementation sur ces documents.</t>
  </si>
  <si>
    <t>Créer des solutions adaptées pour répondre aux besoins spécifiques</t>
  </si>
  <si>
    <t>Procédure de consultation des archives</t>
  </si>
  <si>
    <t>Mettre en place des revues régulières pour évaluer l’efficacité des solutions</t>
  </si>
  <si>
    <t>Vérifier que la gestion des incidents en général et les procédures 
 d'urgence en particulier est bien documentée</t>
  </si>
  <si>
    <t>Procédures d’incident claires et accessibles</t>
  </si>
  <si>
    <t>Procédures d'incident claires et accessibles</t>
  </si>
  <si>
    <t>Procédures d’incident claires et accessibles?</t>
  </si>
  <si>
    <t>Détournement du contrôle.</t>
  </si>
  <si>
    <t>Développer un plan de suivi clair pour les actions correctives</t>
  </si>
  <si>
    <t>Portail des procédures d'incident</t>
  </si>
  <si>
    <t>Mettre en place des indicateurs pour mesurer l’efficacité des suivis</t>
  </si>
  <si>
    <t>Définition des rôles et responsabilités en cas d’urgence</t>
  </si>
  <si>
    <t>Définition des rôles et responsabilités en cas d'urgence</t>
  </si>
  <si>
    <t>Définition des rôles et responsabilités en cas d’urgence?</t>
  </si>
  <si>
    <t>Définition des rôles et responsabilités manquantes.</t>
  </si>
  <si>
    <t>Manque d'application de suivies d'habilitation.</t>
  </si>
  <si>
    <t>Implémenter des sauvegardes régulières pour protéger les données critiques</t>
  </si>
  <si>
    <t>Organigramme d'urgence</t>
  </si>
  <si>
    <t>Développer des plans de secours pour assurer la continuité des opérations</t>
  </si>
  <si>
    <t>Existence d’un registre des incidents (historique et résolution)</t>
  </si>
  <si>
    <t>Existence d'un registre des incidents</t>
  </si>
  <si>
    <t>Existence d’un registre des incidents (historique et résolution)?</t>
  </si>
  <si>
    <t>Registre inexistant.</t>
  </si>
  <si>
    <t>Les tests et mise à jours inexistantes.</t>
  </si>
  <si>
    <t>Mettre en place des audits réguliers pour vérifier les mesures de sauvegarde</t>
  </si>
  <si>
    <t>Historique et statut de résolution des incidents</t>
  </si>
  <si>
    <t>Développer des contrôles pour garantir la sécurité des bases de données</t>
  </si>
  <si>
    <t>Mise à jour régulière des procédures d’urgence</t>
  </si>
  <si>
    <t>Mise à jour régulière des procédures d'urgence</t>
  </si>
  <si>
    <t>Mise à jour régulière des procédures d’urgence?</t>
  </si>
  <si>
    <t>Mise à jour irrégulière.</t>
  </si>
  <si>
    <t>Connaissances manquantes.</t>
  </si>
  <si>
    <t>Créer un plan de formation pour développer l’expertise des équipes</t>
  </si>
  <si>
    <t>Historique des mises à jour des procédures</t>
  </si>
  <si>
    <t>Mettre en place des revues régulières pour évaluer les niveaux de compétence</t>
  </si>
  <si>
    <t>Tests périodiques des plans de secours</t>
  </si>
  <si>
    <t>Tests périodiques des plans de secours?</t>
  </si>
  <si>
    <t>Plans de carrière inexistants.</t>
  </si>
  <si>
    <t>Connaissances manquante.</t>
  </si>
  <si>
    <t>Développer un plan de continuité pour assurer la disponibilité des systèmes</t>
  </si>
  <si>
    <t>Rapports des tests de secours</t>
  </si>
  <si>
    <t>Mettre en place des audits pour identifier les failles de sécurité</t>
  </si>
  <si>
    <t>S’assurer de l’existence de la documentation d'exploitation</t>
  </si>
  <si>
    <t>Documentation technique complète (guides, manuels, schémas)</t>
  </si>
  <si>
    <t>Documentation technique complète (guides, manuels, schémas)?</t>
  </si>
  <si>
    <t>Documentation technique incomplète.</t>
  </si>
  <si>
    <t>Pérennité des systèmes.</t>
  </si>
  <si>
    <t>Créer un plan de découverte des systèmes complexes pour les équipes</t>
  </si>
  <si>
    <t>Plan de la documentation technique</t>
  </si>
  <si>
    <t>Développer des formations pour améliorer la compréhension des systèmes</t>
  </si>
  <si>
    <t>Versionnage et mise à jour régulière</t>
  </si>
  <si>
    <t>Versionnage et mise à jour régulière de la documentation</t>
  </si>
  <si>
    <t>Versionnage et mise à jour régulière?</t>
  </si>
  <si>
    <t>Versionnage irrégulier.</t>
  </si>
  <si>
    <t>Anomalies non vérifiées.</t>
  </si>
  <si>
    <t>Mettre en place des revues régulières pour évaluer les performances</t>
  </si>
  <si>
    <t>Historique des versions de la documentation</t>
  </si>
  <si>
    <t>Créer un plan de mise à jour pour maintenir les applications à jour</t>
  </si>
  <si>
    <t>Accessibilité pour les équipes concernées</t>
  </si>
  <si>
    <t>Accessibilité pour les équipes concernées de la documentation</t>
  </si>
  <si>
    <t>Accessibilité pour les équipes concernées?</t>
  </si>
  <si>
    <t>Remédiation aux incidents incomplète.</t>
  </si>
  <si>
    <t>Non correction d'anomalies détectées.</t>
  </si>
  <si>
    <t>Développer des sauvegardes régulières pour protéger les données critiques</t>
  </si>
  <si>
    <t>Mettre en place des contrôles pour garantir la disponibilité des données</t>
  </si>
  <si>
    <t>Couverture des processus critiques</t>
  </si>
  <si>
    <t>Couverture des processus critiques par la documentation</t>
  </si>
  <si>
    <t>Couverture des processus critiques?</t>
  </si>
  <si>
    <t>Couverture incomplète.</t>
  </si>
  <si>
    <t>Contraintes sur les opérations.</t>
  </si>
  <si>
    <t>Créer un référentiel des éléments critiques à sécuriser</t>
  </si>
  <si>
    <t>Liste des processus critiques documentés</t>
  </si>
  <si>
    <t>Développer des politiques de sécurité pour protéger les éléments sensibles</t>
  </si>
  <si>
    <t>Intégration des retours d’expérience (amélioration continue)</t>
  </si>
  <si>
    <t>Intégration des retours d'expérience</t>
  </si>
  <si>
    <t>Intégration des retours d’expérience (amélioration continue)?</t>
  </si>
  <si>
    <t>Intégration des causes incomplètes.</t>
  </si>
  <si>
    <t>Solutions pas adéquats</t>
  </si>
  <si>
    <t>Former les équipes pour constituer des équipes compétentes</t>
  </si>
  <si>
    <t>Registre des actions d'amélioration continue</t>
  </si>
  <si>
    <t>Mettre en place des programmes de certification pour valider les compétences</t>
  </si>
  <si>
    <t>S’assurer de l’existence et l’application d’un Contrat de Service</t>
  </si>
  <si>
    <t>Existence d’un SLA formalisé et signé</t>
  </si>
  <si>
    <t>Document du SLA</t>
  </si>
  <si>
    <t>Existence d’un SLA formalisé et signé?</t>
  </si>
  <si>
    <t>Évaluation inexistante.</t>
  </si>
  <si>
    <t>Mauvaise définition des suivies.</t>
  </si>
  <si>
    <t>Créer un plan de sécurisation des environnements critiques</t>
  </si>
  <si>
    <t>Contrat de service</t>
  </si>
  <si>
    <t>Développer des audits pour identifier les failles dans les environnements</t>
  </si>
  <si>
    <t>Définition claire des engagements (disponibilité, temps de réponse, etc?)</t>
  </si>
  <si>
    <t>Tableau des engagements de service</t>
  </si>
  <si>
    <t>Définition claire des engagements (disponibilité, temps de réponse, etc?)?</t>
  </si>
  <si>
    <t>Définition des engagements manquante.</t>
  </si>
  <si>
    <t>Sécurité des systèmes</t>
  </si>
  <si>
    <t>Mettre en place des processus de vérification des licences utilisées</t>
  </si>
  <si>
    <t>Tableau de bord des KPI/SLA</t>
  </si>
  <si>
    <t>Créer un registre des licences pour assurer leur conformité</t>
  </si>
  <si>
    <t>Suivi régulier des indicateurs de performance (KPI/SLA)</t>
  </si>
  <si>
    <t>Calendrier des revues contractuelles</t>
  </si>
  <si>
    <t>Suivi régulier des indicateurs de performance (KPI/SLA)?</t>
  </si>
  <si>
    <t>Suivi des indicateurs insuffisant.</t>
  </si>
  <si>
    <t>Plan incomplets et inexistant.</t>
  </si>
  <si>
    <t>Développer des procédures standardisées pour remplacer les processus obsolètes</t>
  </si>
  <si>
    <t>Grille des pénalités/mesures correctives</t>
  </si>
  <si>
    <t>Mécanismes de reporting et de revue contractuelle</t>
  </si>
  <si>
    <t>Catalogue des SLAs et OLAs</t>
  </si>
  <si>
    <t>Mécanismes de reporting et de revue contractuelle?</t>
  </si>
  <si>
    <t>Mécanismes de reporting inadéquats.</t>
  </si>
  <si>
    <t>Connaissance incomplète de l'environnement de sauvegarde</t>
  </si>
  <si>
    <t>Former les équipes pour gérer les événements critiques</t>
  </si>
  <si>
    <t>Configuration des outils de monitoring</t>
  </si>
  <si>
    <t>Développer des plans de réponse pour minimiser les impacts des événements</t>
  </si>
  <si>
    <t>Pénalités ou mesures correctives en cas de non-respect</t>
  </si>
  <si>
    <t>Compte-rendus des revues de performance</t>
  </si>
  <si>
    <t>Pénalités ou mesures correctives en cas de non-respect?</t>
  </si>
  <si>
    <t>Mesures correctives non prises.</t>
  </si>
  <si>
    <t>Les vulnérabilités ne sont pas corrigées.</t>
  </si>
  <si>
    <t>Mettre en place des correctifs pour réduire les vulnérabilités critiques</t>
  </si>
  <si>
    <t>Registre des plans d'action</t>
  </si>
  <si>
    <t>Développer des audits réguliers pour identifier les risques non corrigés</t>
  </si>
  <si>
    <t>S’assurer que les engagements de service et la mesure 
 rigoureuse du niveau de service sont respectés ;</t>
  </si>
  <si>
    <t>Définition précise des indicateurs de niveau de service (SLAs, OLAs)</t>
  </si>
  <si>
    <t>Plan d'amélioration continue</t>
  </si>
  <si>
    <t>Définition précise des indicateurs de niveau de service (SLAs, OLAs)?</t>
  </si>
  <si>
    <t>Risques périodiques non maîtrisés.</t>
  </si>
  <si>
    <t>Manque de plan de secours</t>
  </si>
  <si>
    <t>Mettre en place des plans de secours pour assurer la continuité des opérations</t>
  </si>
  <si>
    <t>Exemples de tableaux de bord</t>
  </si>
  <si>
    <t>Développer des audits réguliers pour vérifier les mesures de sauvegarde</t>
  </si>
  <si>
    <t>Outils de monitoring et reporting en temps réel</t>
  </si>
  <si>
    <t>Matrice d'alignement KPI-SLA</t>
  </si>
  <si>
    <t>Outils de monitoring et reporting en temps réel?</t>
  </si>
  <si>
    <t>Plan d'action inexistant.</t>
  </si>
  <si>
    <t>Impact sur la crédibilité des rapports.</t>
  </si>
  <si>
    <t>Mettre en place des contrôles pour garantir la sécurité des bases de données</t>
  </si>
  <si>
    <t>Rapports d'analyse des tendances</t>
  </si>
  <si>
    <t>Revues périodiques des performances avec les parties prenantes</t>
  </si>
  <si>
    <t>Configuration des seuils d'alerte</t>
  </si>
  <si>
    <t>Revues périodiques des performances avec les parties prenantes?</t>
  </si>
  <si>
    <t>Amélioration continue inexistante.</t>
  </si>
  <si>
    <t>Mesures de sauvegarde non vérifiées.</t>
  </si>
  <si>
    <t>Compte-rendus des revues</t>
  </si>
  <si>
    <t>Plan d’action en cas d’écart par rapport aux engagements</t>
  </si>
  <si>
    <t>Portail des procédures de sauvegarde et restauration</t>
  </si>
  <si>
    <t>Plan d’action en cas d’écart par rapport aux engagements?</t>
  </si>
  <si>
    <t>Tableaux de bord inexistants.</t>
  </si>
  <si>
    <t>Mesures de sécurité de la base de données insuffisantes</t>
  </si>
  <si>
    <t>Planning des sauvegardes</t>
  </si>
  <si>
    <t>Amélioration continue basée sur les mesures</t>
  </si>
  <si>
    <t>Rapports des tests de restauration</t>
  </si>
  <si>
    <t>Amélioration continue basée sur les mesures?</t>
  </si>
  <si>
    <t>Indicateurs non alignés.</t>
  </si>
  <si>
    <t>Niveaux de données pas suivies</t>
  </si>
  <si>
    <t>Politique de sécurité des sauvegardes</t>
  </si>
  <si>
    <t>S’assurer que le niveau de service est effectué par l’analyse des 
 tableaux de bord ;</t>
  </si>
  <si>
    <t>Existence de tableaux de bord opérationnels et à jour</t>
  </si>
  <si>
    <t>Résultats des tests de RTO</t>
  </si>
  <si>
    <t>Existence de tableaux de bord opérationnels et à jour?</t>
  </si>
  <si>
    <t>Analyses incomplètes.</t>
  </si>
  <si>
    <t>Manque d'expertise.</t>
  </si>
  <si>
    <t>Logs de planification des sauvegardes</t>
  </si>
  <si>
    <t>Indicateurs clés (KPI) alignés sur les engagements de service (SLA)</t>
  </si>
  <si>
    <t>Logs de sauvegarde</t>
  </si>
  <si>
    <t>Indicateurs clés (KPI) alignés sur les engagements de service (SLA)?</t>
  </si>
  <si>
    <t>Alertes non automatisées.</t>
  </si>
  <si>
    <t>Sécurité du plan non défini.</t>
  </si>
  <si>
    <t>Analyse régulière des tendances et anomalies</t>
  </si>
  <si>
    <t>Description de l'architecture de stockage</t>
  </si>
  <si>
    <t>Analyse régulière des tendances et anomalies?</t>
  </si>
  <si>
    <t>Réunions irrégulières.</t>
  </si>
  <si>
    <t>Découvertes complexes.</t>
  </si>
  <si>
    <t>Mesures des temps de restauration</t>
  </si>
  <si>
    <t>Alertes automatiques en cas de dépassement des seuils critiques</t>
  </si>
  <si>
    <t>Alertes automatiques en cas de dépassement des seuils critiques?</t>
  </si>
  <si>
    <t>Procédures non documentées.</t>
  </si>
  <si>
    <t>Gestion non revue.</t>
  </si>
  <si>
    <t>Journal des alertes</t>
  </si>
  <si>
    <t>Revues périodiques avec les parties prenantes</t>
  </si>
  <si>
    <t>Revues périodiques avec les parties prenantes?</t>
  </si>
  <si>
    <t>Périmètre des sauvegardes non définies.</t>
  </si>
  <si>
    <t>Application incomplètement.</t>
  </si>
  <si>
    <t>Liste des participants aux revues</t>
  </si>
  <si>
    <t>Vérifier que les procédures de sauvegarde et de reprise de 
 l’application sont effectives</t>
  </si>
  <si>
    <t>Procédures documentées et accessibles</t>
  </si>
  <si>
    <t>Procédures documentées et accessibles?</t>
  </si>
  <si>
    <t>Tests irréguliers.</t>
  </si>
  <si>
    <t>Risques de corruption inconnue.</t>
  </si>
  <si>
    <t>Arborescence documentaire des procédures</t>
  </si>
  <si>
    <t>Périodicité des sauvegardes conforme aux exigences métier</t>
  </si>
  <si>
    <t>Périodicité des sauvegardes conforme aux exigences métier?</t>
  </si>
  <si>
    <t>Evaluation du matériel insuffisant.</t>
  </si>
  <si>
    <t>Justification des fréquences de sauvegarde</t>
  </si>
  <si>
    <t>Tests réguliers de restauration des sauvegardes</t>
  </si>
  <si>
    <t>Tests réguliers de restauration des sauvegardes?</t>
  </si>
  <si>
    <t>Offre de reprise après sinistre incomplète.</t>
  </si>
  <si>
    <t>Incapacité de l'automatisation.</t>
  </si>
  <si>
    <t>Plan de tests de restauration</t>
  </si>
  <si>
    <t>Sécurisation des supports de sauvegarde (chiffrement, accès restreint)</t>
  </si>
  <si>
    <t>Sécurisation des supports de sauvegarde (chiffrement, accès restreint)?</t>
  </si>
  <si>
    <t>Planification automatisée inexistante.</t>
  </si>
  <si>
    <t>Le plan peut ne pas fonctionner.</t>
  </si>
  <si>
    <t>Architecture de sécurisation des sauvegardes</t>
  </si>
  <si>
    <t>Délai de reprise après sinistre (RTO) respecté</t>
  </si>
  <si>
    <t>Délai de reprise après sinistre (RTO) respecté?</t>
  </si>
  <si>
    <t>Anomalisation des opérations inexistante.</t>
  </si>
  <si>
    <t>Mauvais rendement.</t>
  </si>
  <si>
    <t>Développer un plan de compétences pour gérer les incidents efficacement</t>
  </si>
  <si>
    <t>Plan de tests de reprise après sinistre</t>
  </si>
  <si>
    <t>Mettre en place des formations pour appliquer les bonnes pratiques</t>
  </si>
  <si>
    <t>Vérifier que les sauvegardes sont effectives</t>
  </si>
  <si>
    <t>Planification automatisée et vérifiée des sauvegardes</t>
  </si>
  <si>
    <t>Planification automatisée et vérifiée des sauvegardes?</t>
  </si>
  <si>
    <t>Données de systèmes qui ne sont plus disponibles.</t>
  </si>
  <si>
    <t>Mettre en place une gouvernance en cybersécurité avec des rôles clairs</t>
  </si>
  <si>
    <t>Rapport de configuration de la planification</t>
  </si>
  <si>
    <t>Développer des politiques de sécurité pour réduire les pratiques incohérentes</t>
  </si>
  <si>
    <t>Journalisation des opérations de sauvegarde</t>
  </si>
  <si>
    <t>Journalisation des opérations de sauvegarde?</t>
  </si>
  <si>
    <t>Stockage adéquat inexistant.</t>
  </si>
  <si>
    <t>Informations à sécuriser absentes.</t>
  </si>
  <si>
    <t>Former les équipes à la détection des erreurs humaines en sécurité</t>
  </si>
  <si>
    <t>Analyse des logs de sauvegarde</t>
  </si>
  <si>
    <t>Mettre en place des audits pour identifier les failles exploitables</t>
  </si>
  <si>
    <t>Contrôle d’intégrité des sauvegardes</t>
  </si>
  <si>
    <t>Contrôle d’intégrité des sauvegardes?</t>
  </si>
  <si>
    <t>Capacité matérielle insuffisante.</t>
  </si>
  <si>
    <t>Absence d'éléments important à sécuriser.</t>
  </si>
  <si>
    <t>Mettre en place des outils de détection et de prévention des incidents</t>
  </si>
  <si>
    <t>Développer des plans de réponse pour minimiser les impacts des incidents</t>
  </si>
  <si>
    <t>Stockage sécurisé (local et hors site)</t>
  </si>
  <si>
    <t>Stockage sécurisé (local et hors site)?</t>
  </si>
  <si>
    <t>Plan de secours non documenté.</t>
  </si>
  <si>
    <t>Difficile à mettre les équipes compétente.</t>
  </si>
  <si>
    <t>Implémenter des contrôles d’accès stricts pour limiter les abus</t>
  </si>
  <si>
    <t>Plan de capacité de stockage</t>
  </si>
  <si>
    <t>Mettre en place des audits réguliers pour détecter les accès non autorisés</t>
  </si>
  <si>
    <t>Capacité à restaurer dans un délai acceptable</t>
  </si>
  <si>
    <t>Capacité à restaurer dans un délai acceptable?</t>
  </si>
  <si>
    <t>Identification des éléments critiques incomplète.</t>
  </si>
  <si>
    <t>Environnements critiques pas sécurisées.</t>
  </si>
  <si>
    <t>Mettre en place des outils de détection des accès non autorisés</t>
  </si>
  <si>
    <t>Rapport d'évaluation des temps de restauration</t>
  </si>
  <si>
    <t>Développer des politiques pour enquêter sur les accès non autorisés</t>
  </si>
  <si>
    <t>S’assurer de l’existence d'un plan de secours en adéquation 
 avec les besoins et les enjeux</t>
  </si>
  <si>
    <t>Plan de secours documenté et validé</t>
  </si>
  <si>
    <t>Plan de secours documenté et validé?</t>
  </si>
  <si>
    <t>Ressources matérielles / logicielles non disponibles pour la reprise.</t>
  </si>
  <si>
    <t>Information des licences sont pas vérifier.</t>
  </si>
  <si>
    <t>Mettre en place des contrôles pour détecter les modifications non autorisées</t>
  </si>
  <si>
    <t>Historique des validations du plan de secours</t>
  </si>
  <si>
    <t>Développer des audits pour identifier les failles de sécurité potentielles</t>
  </si>
  <si>
    <t>Identification des scénarios critiques couverts</t>
  </si>
  <si>
    <t>Liste des scénarios critiques couverts</t>
  </si>
  <si>
    <t>Identification des scénarios critiques couverts?</t>
  </si>
  <si>
    <t>Offres de secours insuffisantes.</t>
  </si>
  <si>
    <t>Procédure obsolète.</t>
  </si>
  <si>
    <t>Implémenter des contrôles d’accès stricts pour protéger les données sensibles</t>
  </si>
  <si>
    <t>Matrice de couverture des scénarios</t>
  </si>
  <si>
    <t>Mettre en place des audits pour détecter les abus et les intrusions</t>
  </si>
  <si>
    <t>Ressources matérielles/logicielles prévues pour la reprise</t>
  </si>
  <si>
    <t>Inventaire des ressources de reprise</t>
  </si>
  <si>
    <t>Ressources matérielles/logicielles prévues pour la reprise?</t>
  </si>
  <si>
    <t>Communication incomplète.</t>
  </si>
  <si>
    <t>Événement à réviser pas en place.</t>
  </si>
  <si>
    <t>Mettre en place des outils de détection des modifications non autorisées</t>
  </si>
  <si>
    <t>Plan de gestion des ressources de reprise</t>
  </si>
  <si>
    <t>Développer des politiques pour identifier les changements non autorisés</t>
  </si>
  <si>
    <t>Délais de bascule (RPO/RTO) définis et réalistes</t>
  </si>
  <si>
    <t>Définition des RPO/RTO</t>
  </si>
  <si>
    <t>Délais de bascule (RPO/RTO) définis et réalistes?</t>
  </si>
  <si>
    <t>Tests inexistants.</t>
  </si>
  <si>
    <t>Équipes non qualifier</t>
  </si>
  <si>
    <t>Développer une matrice de responsabilités pour clarifier les rôles</t>
  </si>
  <si>
    <t>Résultats des mesures de RPO/RTO</t>
  </si>
  <si>
    <t>Mettre en place des revues régulières pour évaluer les responsabilités</t>
  </si>
  <si>
    <t>Communication claire des rôles en cas d’activation</t>
  </si>
  <si>
    <t>Procédure de communication d'urgence</t>
  </si>
  <si>
    <t>Communication claire des rôles en cas d’activation?</t>
  </si>
  <si>
    <t>Retour d'expérience inexistant.</t>
  </si>
  <si>
    <t>Aucune amélioration continue des processus, répétition des mêmes erreurs.</t>
  </si>
  <si>
    <t>Mettre en place des formations pour améliorer la compréhension des procédures</t>
  </si>
  <si>
    <t>Liste des contacts d'urgence</t>
  </si>
  <si>
    <t>Développer des guides pour standardiser les outils et les processus</t>
  </si>
  <si>
    <t>S’assurer que des tests et mises à jour du plan sont effectifs</t>
  </si>
  <si>
    <t>Tests périodiques du plan de secours (au moins annuels)</t>
  </si>
  <si>
    <t>Plan de tests du plan de secours</t>
  </si>
  <si>
    <t>Tests périodiques du plan de secours (au moins annuels)?</t>
  </si>
  <si>
    <t>Correction des écarts non identifiée.</t>
  </si>
  <si>
    <t>Risque accru de vulnérabilités non corrigées pouvant être exploitées.</t>
  </si>
  <si>
    <t>Rapports des tests du plan de secours</t>
  </si>
  <si>
    <t>Retours d’expérience intégrés dans les mises à jour</t>
  </si>
  <si>
    <t>Registre des retours d'expérience</t>
  </si>
  <si>
    <t>Retours d’expérience intégrés dans les mises à jour?</t>
  </si>
  <si>
    <t>Formation des équipes inexistante.</t>
  </si>
  <si>
    <t>Manque de compétences pour gérer les incidents et appliquer les bonnes pratiques.</t>
  </si>
  <si>
    <t>Mettre en place des processus de prise de décision informés</t>
  </si>
  <si>
    <t>Plan d'actions correctives post-tests</t>
  </si>
  <si>
    <t>Développer des revues régulières pour évaluer les décisions prises</t>
  </si>
  <si>
    <t>Correction des écarts identifiés lors des tests</t>
  </si>
  <si>
    <t>Procédure de correction des écarts</t>
  </si>
  <si>
    <t>Correction des écarts identifiés lors des tests?</t>
  </si>
  <si>
    <t>Absence d'avis et de désapprobation des modifications.</t>
  </si>
  <si>
    <t>Déploiement de modifications non sécurisées pouvant entraîner des failles.</t>
  </si>
  <si>
    <t>Développer des formations pour aligner les équipes sur les objectifs</t>
  </si>
  <si>
    <t>Registre des écarts et des corrections</t>
  </si>
  <si>
    <t>Mettre en place des revues pour évaluer l’alignement des équipes</t>
  </si>
  <si>
    <t>Formation des équipes sur les procédures</t>
  </si>
  <si>
    <t>Plan de formation des équipes aux procédures</t>
  </si>
  <si>
    <t>Formation des équipes sur les procédures?</t>
  </si>
  <si>
    <t>Désignation d'un RSSI inexistante.</t>
  </si>
  <si>
    <t>Absence de gouvernance et de stratégie en cybersécurité.</t>
  </si>
  <si>
    <t>Mettre en place des revues régulières pour évaluer les retours des équipes</t>
  </si>
  <si>
    <t>Supports de formation (manuels, guides)</t>
  </si>
  <si>
    <t>Développer des indicateurs pour mesurer la qualité des projets</t>
  </si>
  <si>
    <t>Versionnage du plan et historique des modifications</t>
  </si>
  <si>
    <t>Politique de gestion des versions du plan de secours</t>
  </si>
  <si>
    <t>Versionnage du plan et historique des modifications?</t>
  </si>
  <si>
    <t>Politique inexistante.</t>
  </si>
  <si>
    <t>Manque de cadre et de règles claires, entraînant des pratiques incohérentes.</t>
  </si>
  <si>
    <t>Mettre en place des canaux de communication clairs pour les équipes</t>
  </si>
  <si>
    <t>Historique des modifications du plan de secours</t>
  </si>
  <si>
    <t>Développer des outils pour faciliter la collaboration entre les équipes</t>
  </si>
  <si>
    <t>Vérifier la présence de responsable sécurité et d’une politique 
 formalisée en matière de sécurité informatique</t>
  </si>
  <si>
    <t>Désignation d’un RSSI (Responsable Sécurité des Systèmes d’Information)</t>
  </si>
  <si>
    <t>Lettre de désignation du RSSI</t>
  </si>
  <si>
    <t>Désignation d’un RSSI (Responsable Sécurité des Systèmes d’Information)?</t>
  </si>
  <si>
    <t>Sensibilisation du personnel non effectuée.</t>
  </si>
  <si>
    <t>Augmentation des erreurs humaines et des incidents de sécurité.</t>
  </si>
  <si>
    <t>Mettre en place des contrôles pour évaluer les processus critiques</t>
  </si>
  <si>
    <t>Description de poste du RSSI</t>
  </si>
  <si>
    <t>Développer des indicateurs pour mesurer la performance des processus</t>
  </si>
  <si>
    <t>Politique de sécurité documentée et approuvée</t>
  </si>
  <si>
    <t>Politique de sécurité documentée et approuvée?</t>
  </si>
  <si>
    <t>Mise à jour non adaptée.</t>
  </si>
  <si>
    <t>Persistance de failles de sécurité exploitables par des attaquants.</t>
  </si>
  <si>
    <t>Mettre en place des revues régulières pour évaluer les exigences du projet</t>
  </si>
  <si>
    <t>Charte de sécurité informatique</t>
  </si>
  <si>
    <t>Développer des outils pour valider les solutions et les outils choisis</t>
  </si>
  <si>
    <t>Sensibilisation régulière du personnel</t>
  </si>
  <si>
    <t>Plan de sensibilisation à la sécurité</t>
  </si>
  <si>
    <t>Sensibilisation régulière du personnel?</t>
  </si>
  <si>
    <t>Activité de contrôle de sécurité inexistante.</t>
  </si>
  <si>
    <t>Incapacité à détecter et prévenir les incidents de sécurité.</t>
  </si>
  <si>
    <t>Mettre en place des processus de validation pour détecter les erreurs</t>
  </si>
  <si>
    <t>Supports de sensibilisation (affiches, e-learnings)</t>
  </si>
  <si>
    <t>Développer des revues régulières pour évaluer les processus en place</t>
  </si>
  <si>
    <t>Mise à jour adaptée aux nouvelles menaces</t>
  </si>
  <si>
    <t>Veille technologique et sécurité (rapports)</t>
  </si>
  <si>
    <t>Mise à jour adaptée aux nouvelles menaces?</t>
  </si>
  <si>
    <t>Procédures d'entrées formelles (demande/approbation) inexistantes.</t>
  </si>
  <si>
    <t>Accès non contrôlé pouvant entraîner des abus et des intrusions.</t>
  </si>
  <si>
    <t>Mettre en place des outils de traçabilité pour suivre les actions effectuées</t>
  </si>
  <si>
    <t>Plan de mise à jour des mesures de sécurité</t>
  </si>
  <si>
    <t>Développer des audits pour évaluer la documentation des projets</t>
  </si>
  <si>
    <t>Contrôle de conformité (audits internes/externes)</t>
  </si>
  <si>
    <t>Plan d'audit interne de la sécurité</t>
  </si>
  <si>
    <t>Contrôle de conformité (audits internes/externes)?</t>
  </si>
  <si>
    <t>Risque d’accès non autorisé à des données sensibles.</t>
  </si>
  <si>
    <t>Mettre en place des revues régulières pour évaluer les méthodes utilisées</t>
  </si>
  <si>
    <t>Rapports d'audits externes</t>
  </si>
  <si>
    <t>Développer des formations pour adapter les équipes aux nouvelles méthodes</t>
  </si>
  <si>
    <t>Vérifier que les accès aux commandes système, aux 
 bibliothèques et bases de données de production sont réglementés</t>
  </si>
  <si>
    <t>Procédures d’accès formalisées (demande/approbation)</t>
  </si>
  <si>
    <t>Procédures de gestion des accès (demande, approbation)</t>
  </si>
  <si>
    <t>Procédures d’accès formalisées (demande/approbation)?</t>
  </si>
  <si>
    <t>Journalisation inexistante des accès sensibles.</t>
  </si>
  <si>
    <t>Impossibilité de détecter ou d’enquêter sur des accès non autorisés.</t>
  </si>
  <si>
    <t>Principe du moindre privilège appliqué</t>
  </si>
  <si>
    <t>Politique du moindre privilège</t>
  </si>
  <si>
    <t>Principe du moindre privilège appliqué?</t>
  </si>
  <si>
    <t>Alertes périodiques des modifications inexistantes.</t>
  </si>
  <si>
    <t>Modifications non détectées pouvant causer des failles de sécurité.</t>
  </si>
  <si>
    <t>Matrice d'accès par rôle</t>
  </si>
  <si>
    <t>Journalisation des accès sensibles</t>
  </si>
  <si>
    <t>Politique de journalisation des accès sensibles</t>
  </si>
  <si>
    <t>Journalisation des accès sensibles?</t>
  </si>
  <si>
    <t>Authentification forte non réalisée pour les accès critiques.</t>
  </si>
  <si>
    <t>Risque accru d’usurpation d’identité et de compromission des comptes sensibles.</t>
  </si>
  <si>
    <t>Logs d'accès sensibles</t>
  </si>
  <si>
    <t>Revues périodiques des habilitations</t>
  </si>
  <si>
    <t>Planning des revues d'habilitations</t>
  </si>
  <si>
    <t>Revues périodiques des habilitations?</t>
  </si>
  <si>
    <t>Liste des utilisateurs sensibles non définie.</t>
  </si>
  <si>
    <t>Gestion inadéquate des accès critiques, augmentant les risques de fuite d’informations.</t>
  </si>
  <si>
    <t>Compte-rendus des revues d'habilitations</t>
  </si>
  <si>
    <t>Authentification forte pour les accès critiques</t>
  </si>
  <si>
    <t>Politique d'authentification forte</t>
  </si>
  <si>
    <t>Authentification forte pour les accès critiques?</t>
  </si>
  <si>
    <t>Restriction d'accès par rôle inexistante.</t>
  </si>
  <si>
    <t>Mettre en place des contrôles d’accès stricts pour limiter les abus</t>
  </si>
  <si>
    <t>Architecture d'authentification forte</t>
  </si>
  <si>
    <t>Développer des audits réguliers pour détecter les accès non autorisés</t>
  </si>
  <si>
    <t>S’assurer que les accès aux logiciels de base et utilitaires 
 sensibles sont réglementés</t>
  </si>
  <si>
    <t>Liste des utilitaires sensibles identifiés</t>
  </si>
  <si>
    <t>Liste des utilisateurs sensibles</t>
  </si>
  <si>
    <t>Liste des utilitaires sensibles identifiés?</t>
  </si>
  <si>
    <t>Traçabilité des modifications non assurée.</t>
  </si>
  <si>
    <t>Impossibilité d’identifier les modifications apportées aux systèmes.</t>
  </si>
  <si>
    <t>Mettre en place des politiques pour protéger les données critiques</t>
  </si>
  <si>
    <t>Politique de gestion des comptes sensibles</t>
  </si>
  <si>
    <t>Développer des sauvegardes régulières pour éviter la fuite d’informations</t>
  </si>
  <si>
    <t>Restriction d’accès par rôle (ex : équipe infra uniquement)</t>
  </si>
  <si>
    <t>Politique de restriction d'accès par rôle</t>
  </si>
  <si>
    <t>Restriction d’accès par rôle (ex : équipe infra uniquement)?</t>
  </si>
  <si>
    <t>Mécanismes de détection inexistants.</t>
  </si>
  <si>
    <t>Détection tardive ou inexistante des incidents de sécurité.</t>
  </si>
  <si>
    <t>Mettre en place une matrice de responsabilités pour clarifier les rôles</t>
  </si>
  <si>
    <t>Matrice d'accès par équipe/rôle</t>
  </si>
  <si>
    <t>Développer des revues régulières pour évaluer les responsabilités</t>
  </si>
  <si>
    <t>Traçabilité des modifications via logs</t>
  </si>
  <si>
    <t>Politique de journalisation des modifications</t>
  </si>
  <si>
    <t>Traçabilité des modifications via logs?</t>
  </si>
  <si>
    <t>Audits inexistants des permissions.</t>
  </si>
  <si>
    <t>Risque d’attribution inexacte des droits d’accès.</t>
  </si>
  <si>
    <t>Mécanismes de détection d’usage non autorisé</t>
  </si>
  <si>
    <t>Système de détection d'intrusion (IDS/IPS) - Règles et configuration</t>
  </si>
  <si>
    <t>Mécanismes de détection d’usage non autorisé?</t>
  </si>
  <si>
    <t>Revues inexistantes/irrégulières des habilitations.</t>
  </si>
  <si>
    <t>Maintien des accès inappropriés, augmentant le risque de compromission.</t>
  </si>
  <si>
    <t>Alertes du système de détection d'intrusion</t>
  </si>
  <si>
    <t>Audits ponctuels des permissions</t>
  </si>
  <si>
    <t>Politique d'audit ponctuel des permissions</t>
  </si>
  <si>
    <t>Audits ponctuels des permissions?</t>
  </si>
  <si>
    <t>Désactivation automatique des comptes inexistante.</t>
  </si>
  <si>
    <t>Conservation des accès pour les anciens employés, augmentant les risques d’intrusion.</t>
  </si>
  <si>
    <t>Rapports d'audits ponctuels des permissions</t>
  </si>
  <si>
    <t>Vérifier l’existence des procédures de contrôle périodique des 
 accès aux ressources de l'application</t>
  </si>
  <si>
    <t>Revues trimestrielles/annuelles des habilitations</t>
  </si>
  <si>
    <t>Planning des revues trimestrielles/annuelles des habilitations</t>
  </si>
  <si>
    <t>Revues trimestrielles/annuelles des habilitations?</t>
  </si>
  <si>
    <t>Processus de distribution des rôles au sein du changement de poste inexistante.</t>
  </si>
  <si>
    <t>Confusion et mauvaise attribution des responsabilités lors des changements de poste.</t>
  </si>
  <si>
    <t>Désactivation automatique des comptes inactifs</t>
  </si>
  <si>
    <t>Procédure de désactivation des comptes inactifs</t>
  </si>
  <si>
    <t>Désactivation automatique des comptes inactifs?</t>
  </si>
  <si>
    <t>Outils de gestion des identités et accès (IAM) inexistants.</t>
  </si>
  <si>
    <t>Difficulté à gérer les accès et les identités, facilitant les attaques.</t>
  </si>
  <si>
    <t>Registre des comptes désactivés</t>
  </si>
  <si>
    <t>Processus de réattribution des droits en cas de changement de poste</t>
  </si>
  <si>
    <t>Processus de réattribution des droits en cas de changement de poste?</t>
  </si>
  <si>
    <t>Rapports d'activité partagés avec la direction inexistants.</t>
  </si>
  <si>
    <t>Absence de visibilité pour la direction, retard dans la prise de décision.</t>
  </si>
  <si>
    <t>Formulaire de changement de poste et de réattribution des droits</t>
  </si>
  <si>
    <t>Outils de gestion des identités et accès (IAM)</t>
  </si>
  <si>
    <t>Outil de gestion des identités et des accès (IAM) - Manuel utilisateur</t>
  </si>
  <si>
    <t>Outils de gestion des identités et accès (IAM)?</t>
  </si>
  <si>
    <t>Document de formation de synthèse inexistant.</t>
  </si>
  <si>
    <t>Manque de formation, mauvaise compréhension des procédures et des outils.</t>
  </si>
  <si>
    <t>Politique d'utilisation de l'outil IAM</t>
  </si>
  <si>
    <t>Rapports d’audit partagés avec la direction</t>
  </si>
  <si>
    <t>Rapports d'audit partagés avec la direction</t>
  </si>
  <si>
    <t>Rapports d’audit partagés avec la direction?</t>
  </si>
  <si>
    <t>Risque accru de vulnérabilités non corrigées.</t>
  </si>
  <si>
    <t>Procès-verbaux des réunions de partage des audits</t>
  </si>
  <si>
    <t>Adéquation de l'application aux besoins</t>
  </si>
  <si>
    <t>Vérifier qu’un Schéma-directeur du système d’information 
 existe et est à jour</t>
  </si>
  <si>
    <t>Existence d’un document formalisé de schéma-directeur</t>
  </si>
  <si>
    <t>Schéma directeur des systèmes d'information</t>
  </si>
  <si>
    <t>Existence d’un document formalisé de schéma-directeur?</t>
  </si>
  <si>
    <t>Réalisation par la direction en parties prenantes, risques inexistants.</t>
  </si>
  <si>
    <t>Décisions mal informées pouvant conduire à des failles de sécurité.</t>
  </si>
  <si>
    <t>Plan stratégique des systèmes d'information</t>
  </si>
  <si>
    <t>Mise à jour régulière (au moins annuelle) en fonction des évolutions stratégiques</t>
  </si>
  <si>
    <t>Mise à jour régulière du schéma directeur - Planning</t>
  </si>
  <si>
    <t>Mise à jour régulière (au moins annuelle) en fonction des évolutions stratégiques?</t>
  </si>
  <si>
    <t>Cohérence avec la feuille de route technologique inexistante.</t>
  </si>
  <si>
    <t>Mauvaise adéquation entre les besoins technologiques et les objectifs de l’entreprise.</t>
  </si>
  <si>
    <t>Historique des mises à jour du schéma directeur</t>
  </si>
  <si>
    <t>Validation par la direction et les parties prenantes clés</t>
  </si>
  <si>
    <t>Validation du schéma directeur par la direction</t>
  </si>
  <si>
    <t>Validation par la direction et les parties prenantes clés?</t>
  </si>
  <si>
    <t>Accessibilité et diffusion auprès des équipes concernées inexistantes.</t>
  </si>
  <si>
    <t>Manque d’alignement des équipes, entraînant des erreurs de mise en œuvre.</t>
  </si>
  <si>
    <t>Compte-rendus des réunions de validation</t>
  </si>
  <si>
    <t>Cohérence avec la feuille de route technologique de l’entreprise</t>
  </si>
  <si>
    <t>Feuille de route technologique de l'entreprise</t>
  </si>
  <si>
    <t>Cohérence avec la feuille de route technologique de l’entreprise?</t>
  </si>
  <si>
    <t>Consultation des remarques des équipes changeantes inexistantes.</t>
  </si>
  <si>
    <t>Non-prise en compte des retours des équipes, impactant la qualité du projet.</t>
  </si>
  <si>
    <t>Cartographie applicative de l'entreprise</t>
  </si>
  <si>
    <t>Accessibilité et diffusion auprès des équipes concernées</t>
  </si>
  <si>
    <t>Analyse de cohérence schéma directeur / feuille de route</t>
  </si>
  <si>
    <t>Accessibilité et diffusion auprès des équipes concernées?</t>
  </si>
  <si>
    <t>Accessibilité et diffusion limitées.</t>
  </si>
  <si>
    <t>Information difficilement accessible, freinant la collaboration.</t>
  </si>
  <si>
    <t>Mettre en place des formations pour améliorer les compétences des utilisateurs</t>
  </si>
  <si>
    <t>Rapport d'analyse de cohérence</t>
  </si>
  <si>
    <t>Développer des supports pour faciliter la résolution des problèmes</t>
  </si>
  <si>
    <t>S’assurer qu’une évaluation de l’alignement stratégique de 
 l’application avec les orientation de l’entreprise a été réalisée</t>
  </si>
  <si>
    <t>Documentation de l’analyse d’alignement stratégique</t>
  </si>
  <si>
    <t>Politique d'accès à la documentation du schéma directeur</t>
  </si>
  <si>
    <t>Documentation de l’analyse d’alignement stratégique?</t>
  </si>
  <si>
    <t>Documentation d'alignement inexistante.</t>
  </si>
  <si>
    <t>Manque de directives claires, entraînant des erreurs dans la mise en œuvre.</t>
  </si>
  <si>
    <t>Mettre en place des revues régulières pour identifier les ressources nécessaires</t>
  </si>
  <si>
    <t>Plan de diffusion du schéma directeur</t>
  </si>
  <si>
    <t>Développer des plans pour optimiser l’utilisation des ressources</t>
  </si>
  <si>
    <t>Lien clair entre les fonctionnalités de l’application et les objectifs métier</t>
  </si>
  <si>
    <t>Documentation de l'analyse d'alignement stratégique</t>
  </si>
  <si>
    <t>Lien clair entre les fonctionnalités de l’application et les objectifs métier?</t>
  </si>
  <si>
    <t>Objectifs non liés aux fonctionnalités.</t>
  </si>
  <si>
    <t>Fonctionnalités développées sans répondre aux besoins réels.</t>
  </si>
  <si>
    <t>Développer des guides pour standardiser l’exécution des tâches</t>
  </si>
  <si>
    <t>Matrice d'alignement stratégique (SI - Métier)</t>
  </si>
  <si>
    <t>Mettre en place des revues pour évaluer l’efficacité des procédures</t>
  </si>
  <si>
    <t>Revue par les responsables métier et DSI</t>
  </si>
  <si>
    <t>Cartographie des fonctionnalités de l'application</t>
  </si>
  <si>
    <t>Revue par les responsables métier et DSI?</t>
  </si>
  <si>
    <t>Revue inexistante.</t>
  </si>
  <si>
    <t>Absence de contrôle et d’évaluation des processus.</t>
  </si>
  <si>
    <t>Mettre en place des processus de prise de décision justifiés</t>
  </si>
  <si>
    <t>Tableau de bord des objectifs métier</t>
  </si>
  <si>
    <t>Développer des audits pour identifier les erreurs critiques</t>
  </si>
  <si>
    <t>Mise à jour en cas de changement stratégique</t>
  </si>
  <si>
    <t>Procès-verbaux des revues métier et DSI</t>
  </si>
  <si>
    <t>Mise à jour en cas de changement stratégique?</t>
  </si>
  <si>
    <t>Non-prise en compte des indicateurs, rendant la performance difficile à évaluer.</t>
  </si>
  <si>
    <t>Mettre en place des correctifs pour réduire les risques d’échec</t>
  </si>
  <si>
    <t>Plan d'actions suite aux revues</t>
  </si>
  <si>
    <t>Développer des audits réguliers pour identifier les dysfonctionnements</t>
  </si>
  <si>
    <t>Indicateurs de performance (KPIs) mesurant cet alignement</t>
  </si>
  <si>
    <t>Procédure de gestion des changements stratégiques</t>
  </si>
  <si>
    <t>Indicateurs de performance (KPIs) mesurant cet alignement?</t>
  </si>
  <si>
    <t>Indicateurs de performance non définis.</t>
  </si>
  <si>
    <t>Risque de mauvaise définition des exigences du projet.</t>
  </si>
  <si>
    <t>Mettre en place une méthodologie claire pour standardiser les décisions</t>
  </si>
  <si>
    <t>Historique des changements stratégiques</t>
  </si>
  <si>
    <t>Développer des revues régulières pour évaluer la cohérence des décisions</t>
  </si>
  <si>
    <t>S’assurer que la définition des spécifications ou les critères de 
 choix de la solution a été clairement établie</t>
  </si>
  <si>
    <t>Cahier des charges ou document de spécifications fonctionnelles et techniques</t>
  </si>
  <si>
    <t>Indicateurs de performance (KPIs) d'alignement stratégique</t>
  </si>
  <si>
    <t>Cahier des charges ou document de spécifications fonctionnelles et techniques?</t>
  </si>
  <si>
    <t>Absence de cahier des charges.</t>
  </si>
  <si>
    <t>Sélection inappropriée des solutions et outils.</t>
  </si>
  <si>
    <t>Mettre en place des correctifs pour réduire les erreurs non corrigées</t>
  </si>
  <si>
    <t>Tableau de bord des KPIs d'alignement</t>
  </si>
  <si>
    <t>Développer des indicateurs pour mesurer la qualité des services</t>
  </si>
  <si>
    <t>Critères de sélection objectifs et priorisés (coût, fonctionnalités, évolutivité, etc?)</t>
  </si>
  <si>
    <t>Cahier des charges fonctionnel de l'application</t>
  </si>
  <si>
    <t>Critères de sélection absents.</t>
  </si>
  <si>
    <t>Erreurs non détectées et absence de validation des processus.</t>
  </si>
  <si>
    <t>Mettre en place des revues régulières pour évaluer les besoins des utilisateurs</t>
  </si>
  <si>
    <t>Spécifications techniques de l'application</t>
  </si>
  <si>
    <t>Développer des formations pour améliorer la compréhension des besoins</t>
  </si>
  <si>
    <t>Validation par les parties prenantes (métier, technique, financier)</t>
  </si>
  <si>
    <t>Grille de critères de sélection des évolutions</t>
  </si>
  <si>
    <t>Validation par les parties prenantes (métier, technique, financier)?</t>
  </si>
  <si>
    <t>Validation inexistante.</t>
  </si>
  <si>
    <t>Difficulté à comparer différentes solutions et à faire les meilleurs choix.</t>
  </si>
  <si>
    <t>Mettre en place des revues régulières pour évaluer les solutions proposées</t>
  </si>
  <si>
    <t>Procédure de priorisation des évolutions</t>
  </si>
  <si>
    <t>Développer des outils pour comparer les solutions disponibles</t>
  </si>
  <si>
    <t>Comparaison des solutions potentielles avec grille d’évaluation</t>
  </si>
  <si>
    <t>Validation des évolutions par les parties prenantes</t>
  </si>
  <si>
    <t>Comparaison des solutions potentielles avec grille d’évaluation?</t>
  </si>
  <si>
    <t>Comparaison inexistante.</t>
  </si>
  <si>
    <t>Perte de traçabilité sur les actions effectuées.</t>
  </si>
  <si>
    <t>Mettre en place des revues régulières pour évaluer les performances des services</t>
  </si>
  <si>
    <t>Compte-rendus des réunions de validation des évolutions</t>
  </si>
  <si>
    <t>Traçabilité des décisions et justifications des choix retenus</t>
  </si>
  <si>
    <t>Grille d'évaluation des solutions potentielles</t>
  </si>
  <si>
    <t>Traçabilité des décisions et justifications des choix retenus?</t>
  </si>
  <si>
    <t>Traçabilité inexistante.</t>
  </si>
  <si>
    <t>Informations mal documentées, compliquant la gestion des projets.</t>
  </si>
  <si>
    <t>Analyse comparative des solutions potentielles</t>
  </si>
  <si>
    <t>Vérifier que les tâches des utilisateurs dans l’application sont 
 clairement définies</t>
  </si>
  <si>
    <t>Documentation des rôles et permissions par profil utilisateur</t>
  </si>
  <si>
    <t>Procédure de traçabilité des décisions</t>
  </si>
  <si>
    <t>Documentation des rôles et permissions par profil utilisateur?</t>
  </si>
  <si>
    <t>Absence de directives claires, entraînant une mauvaise exécution.</t>
  </si>
  <si>
    <t>Journal des décisions et justifications</t>
  </si>
  <si>
    <t>Procédures opérationnelles détaillées (modes d’emploi, workflows)</t>
  </si>
  <si>
    <t>Procédures opérationnelles détaillées (modes d’emploi, workflows)?</t>
  </si>
  <si>
    <t>Procédures non détaillées.</t>
  </si>
  <si>
    <t>Manque de compétences et d’adaptation aux nouvelles méthodes.</t>
  </si>
  <si>
    <t>Matrice des rôles et accès de l'application</t>
  </si>
  <si>
    <t>Formation adaptée aux différents profils d’utilisateurs</t>
  </si>
  <si>
    <t>Procédures opérationnelles détaillées (modes d'emploi, workflows)</t>
  </si>
  <si>
    <t>Formation adaptée aux différents profils d’utilisateurs?</t>
  </si>
  <si>
    <t>Formation inadaptée.</t>
  </si>
  <si>
    <t>Données obsolètes, impactant la prise de décision.</t>
  </si>
  <si>
    <t>Diagrammes de flux des processus applicatifs</t>
  </si>
  <si>
    <t>Mécanismes de mise à jour en cas d’évolution de l’application</t>
  </si>
  <si>
    <t>Plan de formation des utilisateurs à l'application</t>
  </si>
  <si>
    <t>Mécanismes de mise à jour en cas d’évolution de l’application?</t>
  </si>
  <si>
    <t>Situations non mises à jour.</t>
  </si>
  <si>
    <t>Utilisateurs sans support, ralentissant la résolution des problèmes.</t>
  </si>
  <si>
    <t>Supports de formation adaptés aux profils</t>
  </si>
  <si>
    <t>Support utilisateur accessible (FAQ, helpdesk, tutoriels)</t>
  </si>
  <si>
    <t>Procédure de mise à jour de la documentation applicative</t>
  </si>
  <si>
    <t>Support utilisateur accessible (FAQ, helpdesk, tutoriels)?</t>
  </si>
  <si>
    <t>Support utilisateur inaccessible.</t>
  </si>
  <si>
    <t>Ressources non identifiées, compliquant leur gestion.</t>
  </si>
  <si>
    <t>Vérifier que des systèmes parallèles sont maintenus en activité</t>
  </si>
  <si>
    <t>Inventaire des systèmes parallèles en activité</t>
  </si>
  <si>
    <t>Inventaire des systèmes parallèles en activité?</t>
  </si>
  <si>
    <t>Inventaire inexistant.</t>
  </si>
  <si>
    <t>Manque de clarté dans l’exécution des tâches et procédures.</t>
  </si>
  <si>
    <t>Base de connaissances du support utilisateur</t>
  </si>
  <si>
    <t>Documentation des systèmes parallèles (architecture, configuration)</t>
  </si>
  <si>
    <t>Procédures de maintenance des systèmes parallèles ?</t>
  </si>
  <si>
    <t>Décisions non justifiées, pouvant entraîner des erreurs critiques.</t>
  </si>
  <si>
    <t>Diagramme d'architecture des systèmes parallèles</t>
  </si>
  <si>
    <t>Procédures de maintenance des systèmes parallèles</t>
  </si>
  <si>
    <t>Documentation des systèmes parallèles (configuration???)</t>
  </si>
  <si>
    <t>Justification de la nécessité de maintenir ces systèmes ?</t>
  </si>
  <si>
    <t>Justification inexistante.</t>
  </si>
  <si>
    <t>Risque d’échecs non détectés et de dysfonctionnements.</t>
  </si>
  <si>
    <t>Manuels techniques des systèmes parallèles</t>
  </si>
  <si>
    <t>Justification de la nécessité de maintenir ces systèmes</t>
  </si>
  <si>
    <t>Tests réguliers du bon fonctionnement des systèmes parallèles ?</t>
  </si>
  <si>
    <t>Absence de cadre méthodologique, rendant les décisions incohérentes.</t>
  </si>
  <si>
    <t>Planning de maintenance des systèmes parallèles</t>
  </si>
  <si>
    <t>Tests réguliers du bon fonctionnement des systèmes parallèles</t>
  </si>
  <si>
    <t>Justification du maintien des systèmes parallèles</t>
  </si>
  <si>
    <t>Présence d'un document formalisant l'évaluation ?</t>
  </si>
  <si>
    <t>Document inexistant.</t>
  </si>
  <si>
    <t>Erreurs non corrigées, impactant la qualité des services.</t>
  </si>
  <si>
    <t>Analyse coûts-bénéfices du maintien</t>
  </si>
  <si>
    <t>S’assurer qu’une évaluation de l’évaluation de l’adéquation aux 
 besoins des utilisateurs a été réalisée</t>
  </si>
  <si>
    <t>Présence d'un document formalisant l'évaluation</t>
  </si>
  <si>
    <t>Plan de tests réguliers des systèmes parallèles</t>
  </si>
  <si>
    <t>Méthode d'évaluation définie (sondages, tests utilisateurs) ?</t>
  </si>
  <si>
    <t>Méthode d'évaluation non définie.</t>
  </si>
  <si>
    <t>Résultats inexploités, ralentissant l’amélioration continue.</t>
  </si>
  <si>
    <t>Mettre en place des revues régulières pour évaluer les résultats obtenus</t>
  </si>
  <si>
    <t>Rapports des tests des systèmes parallèles</t>
  </si>
  <si>
    <t>Développer des plans d’amélioration continue pour optimiser les performances</t>
  </si>
  <si>
    <t>Méthode d'évaluation définie (sondages, tests utilisateurs)</t>
  </si>
  <si>
    <t>Document formalisant l'évaluation (post-déploiement, etc?)</t>
  </si>
  <si>
    <t>Actions correctives envisagées en fonction des résultats ?</t>
  </si>
  <si>
    <t>Actions correctives non envisagées.</t>
  </si>
  <si>
    <t>Mauvaise anticipation des coûts et rentabilité non évaluée.</t>
  </si>
  <si>
    <t>Mettre en place des audits pour évaluer les coûts et la rentabilité</t>
  </si>
  <si>
    <t>Grille d'évaluation et critères</t>
  </si>
  <si>
    <t>Développer des indicateurs pour mesurer l’efficacité des projets</t>
  </si>
  <si>
    <t>Actions correctives envisagées en fonction des résultats</t>
  </si>
  <si>
    <t>Méthode d'évaluation définie (sondages, tests utilisateurs???)</t>
  </si>
  <si>
    <t>Identification claire des besoins des utilisateurs ?</t>
  </si>
  <si>
    <t>Identification inexistante.</t>
  </si>
  <si>
    <t>Manque de rigueur dans l’analyse des projets.</t>
  </si>
  <si>
    <t>Mettre en place des revues régulières pour évaluer les projets en cours</t>
  </si>
  <si>
    <t>Questionnaires de sondage utilisateur</t>
  </si>
  <si>
    <t>Développer des outils pour mesurer les risques dans les projets</t>
  </si>
  <si>
    <t>Identification claire des besoins des utilisateurs</t>
  </si>
  <si>
    <t>Plan d'actions correctives suite à l'évaluation</t>
  </si>
  <si>
    <t>Résultats de l'évaluation analysés et documentés ?</t>
  </si>
  <si>
    <t>Résultats non analysés.</t>
  </si>
  <si>
    <t>Absence de retour sur investissement mesuré.</t>
  </si>
  <si>
    <t>Mettre en place des audits pour évaluer les retours sur investissement</t>
  </si>
  <si>
    <t>Développer des plans pour optimiser les investissements mesurés</t>
  </si>
  <si>
    <t>Résultats de l'évaluation analysés et documentés</t>
  </si>
  <si>
    <t>Rapport d'analyse des résultats d'évaluation</t>
  </si>
  <si>
    <t>Document d'évaluation de la rentabilité réalisé ?</t>
  </si>
  <si>
    <t>Document de rentabilité inexistant.</t>
  </si>
  <si>
    <t>Risques mal évalués et mauvaise prise de décision.</t>
  </si>
  <si>
    <t>Mettre en place des revues régulières pour évaluer les décisions prises</t>
  </si>
  <si>
    <t>Synthèse des résultats d'évaluation</t>
  </si>
  <si>
    <t>Développer des indicateurs pour mesurer l’impact des décisions</t>
  </si>
  <si>
    <t>Performance et de la rentabilité</t>
  </si>
  <si>
    <t>Vérifier qu’une évaluation de la rentabilité existe</t>
  </si>
  <si>
    <t>Document d'évaluation de la rentabilité réalisé?</t>
  </si>
  <si>
    <t>Document d'évaluation de la rentabilité</t>
  </si>
  <si>
    <t>Méthodologie d'évaluation de la rentabilité définie (VAN, TRI )?</t>
  </si>
  <si>
    <t>Méthodologie inexistante.</t>
  </si>
  <si>
    <t>Estimations financières inexactes, augmentant les dépassements budgétaires.</t>
  </si>
  <si>
    <t>Mettre en place des audits pour évaluer les estimations financières</t>
  </si>
  <si>
    <t>Modèle d'évaluation de la rentabilité</t>
  </si>
  <si>
    <t>Développer des outils pour comparer les options disponibles</t>
  </si>
  <si>
    <t>Méthodologie d'évaluation de la rentabilité définie (VAN, TRI)</t>
  </si>
  <si>
    <t>Méthodologie d'évaluation de la rentabilité</t>
  </si>
  <si>
    <t>Les résultats de l'évaluation sont présentés aux parties prenantes ?</t>
  </si>
  <si>
    <t>Résultats non présentés.</t>
  </si>
  <si>
    <t>Comparaisons insuffisantes pour identifier les meilleures options.</t>
  </si>
  <si>
    <t>Mettre en place des revues régulières pour justifier les décisions prises</t>
  </si>
  <si>
    <t>Guide d'application de la méthodologie</t>
  </si>
  <si>
    <t>Développer des critères objectifs pour guider la prise de décision</t>
  </si>
  <si>
    <t>Les résultats de l'évaluation sont présentés aux parties prenantes</t>
  </si>
  <si>
    <t>Présentation des résultats de l'évaluation</t>
  </si>
  <si>
    <t>L'évaluation prend en compte les coûts et les bénéfices attendus ?</t>
  </si>
  <si>
    <t>Évaluation incomplète.</t>
  </si>
  <si>
    <t>Justification insuffisante des décisions prises.</t>
  </si>
  <si>
    <t>Mettre en place des revues régulières pour identifier les opportunités</t>
  </si>
  <si>
    <t>Procès-verbal de la présentation</t>
  </si>
  <si>
    <t>Développer des outils pour évaluer les menaces potentielles</t>
  </si>
  <si>
    <t>L'évaluation prend en compte les coûts et les bénéfices attendus</t>
  </si>
  <si>
    <t>Tableau des coûts et bénéfices attendus</t>
  </si>
  <si>
    <t>Les hypothèses de l'évaluation sont documentées ?</t>
  </si>
  <si>
    <t>Hypothèses non documentées.</t>
  </si>
  <si>
    <t>Absence de critères objectifs, rendant la sélection aléatoire.</t>
  </si>
  <si>
    <t>Mettre en place des revues régulières pour anticiper les risques</t>
  </si>
  <si>
    <t>Rapport d'analyse coûts-bénéfices</t>
  </si>
  <si>
    <t>Développer des plans de contingence pour gérer les retards et surcoûts</t>
  </si>
  <si>
    <t>Les hypothèses de l'évaluation sont documentées</t>
  </si>
  <si>
    <t>Document listant les hypothèses d'évaluation</t>
  </si>
  <si>
    <t>Document listant les coûts de déploiement (matériel, logiciel, personnel) ?</t>
  </si>
  <si>
    <t>Identification incomplète des opportunités et menaces.</t>
  </si>
  <si>
    <t>Mettre en place des revues régulières pour identifier les problèmes</t>
  </si>
  <si>
    <t>Justification des hypothèses</t>
  </si>
  <si>
    <t>Développer des outils pour accélérer la correction des erreurs</t>
  </si>
  <si>
    <t>S’assurer qu’une intégration des coûts de déploiement a été 
 réalisée</t>
  </si>
  <si>
    <t>Document listant les coûts de déploiement (matériel, logiciel, personnel???)</t>
  </si>
  <si>
    <t>Document listant les coûts de déploiement</t>
  </si>
  <si>
    <t>Les coûts de déploiement sont comparés aux coûts prévus ?</t>
  </si>
  <si>
    <t>Coûts non comparés.</t>
  </si>
  <si>
    <t>Risques mal anticipés, entraînant des retards et des surcoûts.</t>
  </si>
  <si>
    <t>Mettre en place des revues régulières pour évaluer les délais</t>
  </si>
  <si>
    <t>Répartition budgétaire des coûts de déploiement</t>
  </si>
  <si>
    <t>Développer des plans pour réduire les retards dans les projets</t>
  </si>
  <si>
    <t>Les coûts de déploiement sont comparés aux coûts prévus</t>
  </si>
  <si>
    <t>Comparaison des coûts de déploiement réels et prévus</t>
  </si>
  <si>
    <t>Analyse de l'impact des coûts de déploiement sur la rentabilité ?</t>
  </si>
  <si>
    <t>Analyse d'impact inexistante.</t>
  </si>
  <si>
    <t>Suivi insuffisant, rendant difficile l’identification des problèmes.</t>
  </si>
  <si>
    <t>Mettre en place des revues régulières pour évaluer les imprévus</t>
  </si>
  <si>
    <t>État de rapprochement des coûts réels</t>
  </si>
  <si>
    <t>Développer des plans de contingence pour gérer les imprévus</t>
  </si>
  <si>
    <t>Analyse de l'impact des coûts de déploiement sur la rentabilité</t>
  </si>
  <si>
    <t>Les coûts de déploiement sont budgétés et suivis ?</t>
  </si>
  <si>
    <t>Coûts non budgétés.</t>
  </si>
  <si>
    <t>Manque de réactivité dans la correction des erreurs.</t>
  </si>
  <si>
    <t>Mettre en place des plans structurés pour réduire les risques d’échec</t>
  </si>
  <si>
    <t>Rapport d'analyse d'impact financier</t>
  </si>
  <si>
    <t>Développer des revues régulières pour évaluer les pertes de contrôle</t>
  </si>
  <si>
    <t>Les coûts de déploiement sont budgétés et suivis</t>
  </si>
  <si>
    <t>Budget des coûts de déploiement</t>
  </si>
  <si>
    <t>Justification des écarts entre les coûts réels et les coûts prévus ?</t>
  </si>
  <si>
    <t>Délais imprécis, conduisant à des retards.</t>
  </si>
  <si>
    <t>Mettre en place des revues régulières pour évaluer les besoins métiers</t>
  </si>
  <si>
    <t>Suivi budgétaire mensuel</t>
  </si>
  <si>
    <t>Développer des outils pour aligner les décisions sur les besoins</t>
  </si>
  <si>
    <t>Justification des écarts entre les coûts réels et les coûts prévus</t>
  </si>
  <si>
    <t>Justification des écarts de coûts</t>
  </si>
  <si>
    <t>Document listant les offres du marché étudiées ?</t>
  </si>
  <si>
    <t>Gestion inefficace des retards et des imprévus.</t>
  </si>
  <si>
    <t>Analyse des raisons de chaque écart</t>
  </si>
  <si>
    <t>Développer des revues régulières pour évaluer les décisions du comité</t>
  </si>
  <si>
    <t>S’assurer qu’une étude sérieuse des offres du marché a été 
 réalisée</t>
  </si>
  <si>
    <t>Document listant les offres du marché étudiées</t>
  </si>
  <si>
    <t>Une analyse comparative des offres est réalisée ?</t>
  </si>
  <si>
    <t>Analyse comparative inexistante.</t>
  </si>
  <si>
    <t>Absence d’un plan structuré, augmentant les risques d’échec.</t>
  </si>
  <si>
    <t>Grille d'évaluation des offres</t>
  </si>
  <si>
    <t>Développer des formations pour améliorer l’adoption des systèmes</t>
  </si>
  <si>
    <t>Une analyse comparative des offres est réalisée</t>
  </si>
  <si>
    <t>Analyse comparative des offres</t>
  </si>
  <si>
    <t>La solution retenue est justifiée par rapport aux autres offres ?</t>
  </si>
  <si>
    <t>Solution non justifiée.</t>
  </si>
  <si>
    <t>Suivi déficient, entraînant des dérives et des pertes de contrôle.</t>
  </si>
  <si>
    <t>Mettre en place des revues régulières pour évaluer les objectifs métiers</t>
  </si>
  <si>
    <t>Synthèse comparative des offres</t>
  </si>
  <si>
    <t>Développer des plans pour réduire les pertes de temps sur les sujets clés</t>
  </si>
  <si>
    <t>La solution retenue est justifiée par rapport aux autres offres</t>
  </si>
  <si>
    <t>Justification du choix de la solution retenue</t>
  </si>
  <si>
    <t>Les critères de comparaison des offres sont définis ?</t>
  </si>
  <si>
    <t>Critères non définis.</t>
  </si>
  <si>
    <t>Mettre en place des audits pour évaluer les coûts des fonctions</t>
  </si>
  <si>
    <t>Rapport de justification du choix</t>
  </si>
  <si>
    <t>Développer des plans pour réduire la duplication des fonctions</t>
  </si>
  <si>
    <t>Les critères de comparaison des offres sont définis</t>
  </si>
  <si>
    <t>Définition des critères de comparaison des offres</t>
  </si>
  <si>
    <t>Les forces et faiblesses de chaque offre sont identifiées ?</t>
  </si>
  <si>
    <t>Forces et faiblesses non identifiées.</t>
  </si>
  <si>
    <t>Mettre en place des audits pour évaluer les risques de sécurité</t>
  </si>
  <si>
    <t>Notation pour chaque critère</t>
  </si>
  <si>
    <t>Développer des formations pour réduire les erreurs d’utilisation</t>
  </si>
  <si>
    <t>Les forces et faiblesses de chaque offre sont identifiées</t>
  </si>
  <si>
    <t>Identification des forces et faiblesses de chaque offre</t>
  </si>
  <si>
    <t>Planification des tâches de mise en œuvre de l'application ?</t>
  </si>
  <si>
    <t>Mettre en place des audits pour évaluer la conformité des applications</t>
  </si>
  <si>
    <t>Tableau SWOT des offres</t>
  </si>
  <si>
    <t>Développer des plans pour résoudre les problèmes de conformité</t>
  </si>
  <si>
    <t>Vérifier que les délais de mise en œuvre de l’application ont été 
 pris en compte</t>
  </si>
  <si>
    <t>Planification des tâches de mise en œuvre de l'application</t>
  </si>
  <si>
    <t>Planification des tâches de mise en œuvre</t>
  </si>
  <si>
    <t>Suivi de l'avancement des tâches par rapport au planning ?</t>
  </si>
  <si>
    <t>Suivi insuffisant.</t>
  </si>
  <si>
    <t>Mettre en place des audits pour évaluer les pratiques en place</t>
  </si>
  <si>
    <t>Diagramme de Gantt de la mise en œuvre</t>
  </si>
  <si>
    <t>Développer des plans pour résoudre les problèmes persistants</t>
  </si>
  <si>
    <t>Suivi de l'avancement des tâches par rapport au planning</t>
  </si>
  <si>
    <t>Mise en place d'actions correctives pour respecter les délais ?</t>
  </si>
  <si>
    <t>Actions correctives non mises en place.</t>
  </si>
  <si>
    <t>Mettre en place des revues régulières pour évaluer les phases du cycle de vie</t>
  </si>
  <si>
    <t>Tableau de bord de suivi</t>
  </si>
  <si>
    <t>Développer des audits pour identifier les erreurs dans les phases</t>
  </si>
  <si>
    <t>Mise en place d'actions correctives pour respecter les délais</t>
  </si>
  <si>
    <t>Estimation des délais pour chaque tâche ?</t>
  </si>
  <si>
    <t>Estimation des délais absente.</t>
  </si>
  <si>
    <t>Mettre en place des revues régulières pour évaluer la qualité des données</t>
  </si>
  <si>
    <t>Développer des outils pour réduire les pertes d’informations</t>
  </si>
  <si>
    <t>Estimation des délais pour chaque tâche</t>
  </si>
  <si>
    <t>Identification des retards et des causes des retards ?</t>
  </si>
  <si>
    <t>Identification des retards inexistante.</t>
  </si>
  <si>
    <t>Mettre en place des revues régulières pour évaluer les erreurs fréquentes</t>
  </si>
  <si>
    <t>Plan d'affectation des ressources</t>
  </si>
  <si>
    <t>Développer des formations pour clarifier les responsabilités</t>
  </si>
  <si>
    <t>Identification des retards et des causes des retards</t>
  </si>
  <si>
    <t>Mettre en place des audits pour évaluer les mesures de sécurité</t>
  </si>
  <si>
    <t>Registre des retards et des causes</t>
  </si>
  <si>
    <t>Développer des plans pour adapter les mesures aux besoins actuels</t>
  </si>
  <si>
    <t>S’assurer qu’un bilan post-projet a été réalisé</t>
  </si>
  <si>
    <t>Planification révisée des tâches de mise en œuvre</t>
  </si>
  <si>
    <t>Mettre en place des revues régulières pour évaluer les systèmes obsolètes</t>
  </si>
  <si>
    <t>Schéma des étapes</t>
  </si>
  <si>
    <t>Développer des plans de migration pour moderniser les systèmes</t>
  </si>
  <si>
    <t>Suivi de l'avancement des tâches par rapport au planning révisé</t>
  </si>
  <si>
    <t>Mettre en place des audits pour évaluer les difficultés de maintenance</t>
  </si>
  <si>
    <t>Fiche de suivi de l'avancement des étapes</t>
  </si>
  <si>
    <t>Développer des formations pour améliorer la satisfaction des utilisateurs</t>
  </si>
  <si>
    <t>Actions correctives supplémentaires pour respecter les délais</t>
  </si>
  <si>
    <t>Mettre en place des audits pour évaluer les accès non autorisés</t>
  </si>
  <si>
    <t>Plan d'actions correctives additionnel</t>
  </si>
  <si>
    <t>Développer des politiques pour protéger les données sensibles</t>
  </si>
  <si>
    <t>Nouvelle estimation des délais pour chaque tâche</t>
  </si>
  <si>
    <t>Mettre en place des audits pour évaluer les comptes non sécurisés</t>
  </si>
  <si>
    <t>Nouvelle répartition des ressources</t>
  </si>
  <si>
    <t>Développer des politiques pour sécuriser les comptes rendus</t>
  </si>
  <si>
    <t>Document listant les charges à réduire ?</t>
  </si>
  <si>
    <t>Document absent.</t>
  </si>
  <si>
    <t>Mettre en place des audits pour évaluer le contrôle de la sécurité</t>
  </si>
  <si>
    <t>Développer des plans pour améliorer la détection des activités malveillantes</t>
  </si>
  <si>
    <t>Vérifier qu’une analyse de la réduction des charges a été 
 effectuée</t>
  </si>
  <si>
    <t>Document listant les charges à réduire</t>
  </si>
  <si>
    <t>Identification des actions possibles pour réduire les charges ?</t>
  </si>
  <si>
    <t>Identification des actions manquante.</t>
  </si>
  <si>
    <t>Mettre en place des audits pour évaluer les violations de données</t>
  </si>
  <si>
    <t>Rapport d'analyse des charges</t>
  </si>
  <si>
    <t>Développer des politiques pour protéger les informations sensibles</t>
  </si>
  <si>
    <t>Identification des actions possibles pour réduire les charges</t>
  </si>
  <si>
    <t>Suivi de la mise en œuvre des actions de réduction des charges ?</t>
  </si>
  <si>
    <t>Plan d'actions pour la réduction des charges</t>
  </si>
  <si>
    <t>Suivi de la mise en œuvre des actions de réduction des charges</t>
  </si>
  <si>
    <t>Analyse des causes des charges ?</t>
  </si>
  <si>
    <t>Analyse inexistante.</t>
  </si>
  <si>
    <t>Tableau de bord de suivi de la réduction des charges</t>
  </si>
  <si>
    <t>Analyse des causes des charges</t>
  </si>
  <si>
    <t>Estimation des économies potentielles ?</t>
  </si>
  <si>
    <t>Estimation manquante.</t>
  </si>
  <si>
    <t>Accès non autorisés.</t>
  </si>
  <si>
    <t>Diagramme de Pareto des causes des charges</t>
  </si>
  <si>
    <t>Estimation des économies potentielles</t>
  </si>
  <si>
    <t>Identification des améliorations non quantifiables (satisfaction utilisateur, image de marque) ?</t>
  </si>
  <si>
    <t>En raison de cette difficulté, difficulté à répondre rapidement</t>
  </si>
  <si>
    <t>Business case des économies</t>
  </si>
  <si>
    <t>Vérifier que des améliorations non quantifiables ont été pris en 
 compte</t>
  </si>
  <si>
    <t>Identification des améliorations non quantifiables (satisfaction utilisateur, image de marque)</t>
  </si>
  <si>
    <t>Identification des améliorations non quantifiables (satisfaction utilisateur, image de marque???)</t>
  </si>
  <si>
    <t>Suivi des améliorations non quantifiables ?</t>
  </si>
  <si>
    <t>Suivi absent.</t>
  </si>
  <si>
    <t>Comptes rendue non sécurisés</t>
  </si>
  <si>
    <t>Grille d'évaluation des améliorations non quantifiables</t>
  </si>
  <si>
    <t>Suivi des améliorations non quantifiables</t>
  </si>
  <si>
    <t>Présentation des améliorations non quantifiables aux parties prenantes ?</t>
  </si>
  <si>
    <t>Présentation absente.</t>
  </si>
  <si>
    <t>Tableau de bord du suivi des améliorations non quantifiables</t>
  </si>
  <si>
    <t>Présentation des améliorations non quantifiables aux parties prenantes</t>
  </si>
  <si>
    <t>Méthode d'évaluation des améliorations non quantifiables ?</t>
  </si>
  <si>
    <t>Méthode non définie.</t>
  </si>
  <si>
    <t>Mettre en place des audits pour évaluer l’ensemble de la sécurité</t>
  </si>
  <si>
    <t>Compte-rendu de la présentation aux parties prenantes</t>
  </si>
  <si>
    <t>Développer des plans pour renforcer les mesures de protection</t>
  </si>
  <si>
    <t>Méthode d'évaluation des améliorations non quantifiables</t>
  </si>
  <si>
    <t>Analyse de l'impact des améliorations non quantifiables sur l'entreprise ?</t>
  </si>
  <si>
    <t>Violation de données non détectées.</t>
  </si>
  <si>
    <t>Mettre en place des audits pour évaluer la sécurité des informations</t>
  </si>
  <si>
    <t>Guide d'application de la méthode d'évaluation</t>
  </si>
  <si>
    <t>Développer des politiques pour limiter les accès non autorisés</t>
  </si>
  <si>
    <t>Analyse de l'impact des améliorations non quantifiables sur l'entreprise</t>
  </si>
  <si>
    <t>Schéma des processus existants ?</t>
  </si>
  <si>
    <t>Schéma inexistant.</t>
  </si>
  <si>
    <t>Protection limitée des informations.</t>
  </si>
  <si>
    <t>Mettre en place des audits pour évaluer la sécurité des mots de passe</t>
  </si>
  <si>
    <t>Rapport d'analyse d'impact</t>
  </si>
  <si>
    <t>Développer des politiques pour renforcer la gestion des mots de passe</t>
  </si>
  <si>
    <t>S’assurer qu’une réingénierie des processus est disponible</t>
  </si>
  <si>
    <t>Schéma des processus existants</t>
  </si>
  <si>
    <t>Schéma des processus réingénierés ?</t>
  </si>
  <si>
    <t>Compromettre l'ensemble de la sécurité.</t>
  </si>
  <si>
    <t>Mettre en place des audits pour évaluer les intrusions potentielles</t>
  </si>
  <si>
    <t>Cartographie des processus existants</t>
  </si>
  <si>
    <t>Développer des plans pour améliorer la détection des intrusions</t>
  </si>
  <si>
    <t>Schéma des processus réingénierés</t>
  </si>
  <si>
    <t>Documentation des processus réingénierés ?</t>
  </si>
  <si>
    <t>Mettre en place des audits pour évaluer les problèmes de sécurité</t>
  </si>
  <si>
    <t>Cartographie des processus réingénierés</t>
  </si>
  <si>
    <t>Développer des formations pour améliorer la compréhension des risques</t>
  </si>
  <si>
    <t>Documentation des processus réingénierés</t>
  </si>
  <si>
    <t>Analyse des processus existants ?</t>
  </si>
  <si>
    <t>Mettre en place des audits pour évaluer les attaques non traçables</t>
  </si>
  <si>
    <t>Diagrammes de flux des processus réingénierés</t>
  </si>
  <si>
    <t>Développer des outils pour améliorer la traçabilité des attaques</t>
  </si>
  <si>
    <t>Analyse des processus existants</t>
  </si>
  <si>
    <t>Justification des modifications apportées aux processus ?</t>
  </si>
  <si>
    <t>Modifications injustifiées.</t>
  </si>
  <si>
    <t>Les intrusions peuvent ne pas être découvertes.</t>
  </si>
  <si>
    <t>Mettre en place des audits pour évaluer les alertes inutiles</t>
  </si>
  <si>
    <t>Diagrammes de flux des processus existants</t>
  </si>
  <si>
    <t>Développer des politiques pour optimiser les systèmes d’alerte</t>
  </si>
  <si>
    <t>Justification des modifications apportées aux processus</t>
  </si>
  <si>
    <t>Identification des processus métiers impactés par l'application ?</t>
  </si>
  <si>
    <t>Processus métiers non impactés.</t>
  </si>
  <si>
    <t>Difficulté à comprendre et problèmes de sécurité.</t>
  </si>
  <si>
    <t>Mettre en place des audits pour évaluer les procédures de réponse</t>
  </si>
  <si>
    <t>Tableau comparatif des modifications</t>
  </si>
  <si>
    <t>Développer des plans pour accélérer les réponses aux incidents</t>
  </si>
  <si>
    <t>Vérifier que les processus métiers ont été pris en compte</t>
  </si>
  <si>
    <t>Identification des processus métiers impactés par l'application</t>
  </si>
  <si>
    <t>Adaptation de l'application aux processus métiers ?</t>
  </si>
  <si>
    <t>Application non adaptée.</t>
  </si>
  <si>
    <t>Mettre en place des audits pour évaluer les délais de réponse</t>
  </si>
  <si>
    <t>Liste des processus métiers impactés</t>
  </si>
  <si>
    <t>Développer des outils pour réduire les délais de réponse</t>
  </si>
  <si>
    <t>Adaptation de l'application aux processus métiers</t>
  </si>
  <si>
    <t>Suivi de l'impact de l'application sur les processus métiers ?</t>
  </si>
  <si>
    <t>Suivi d'impact inexistant.</t>
  </si>
  <si>
    <t>Traces non analysées.</t>
  </si>
  <si>
    <t>Mettre en place des audits pour évaluer les accès non autorisés aux informations</t>
  </si>
  <si>
    <t>Spécifications techniques de l'adaptation</t>
  </si>
  <si>
    <t>Suivi de l'impact de l'application sur les processus métiers</t>
  </si>
  <si>
    <t>Analyse des besoins des processus métiers ?</t>
  </si>
  <si>
    <t>Besoins non analysés.</t>
  </si>
  <si>
    <t>Alertes inutilisées.</t>
  </si>
  <si>
    <t>Mettre en place une gouvernance claire avec des rôles définis</t>
  </si>
  <si>
    <t>Tableau de bord de suivi de l'impact</t>
  </si>
  <si>
    <t>Développer des audits pour évaluer l’efficacité de la gouvernance</t>
  </si>
  <si>
    <t>Analyse des besoins des processus métiers</t>
  </si>
  <si>
    <t>Formation des utilisateurs aux processus métiers ?</t>
  </si>
  <si>
    <t>Formation inexistante.</t>
  </si>
  <si>
    <t>Mettre en place des audits pour évaluer les processus non gérés</t>
  </si>
  <si>
    <t>Cahier des charges des besoins métiers</t>
  </si>
  <si>
    <t>Développer des plans pour standardiser les processus critiques</t>
  </si>
  <si>
    <t>Formation des utilisateurs aux processus métiers</t>
  </si>
  <si>
    <t>Identification des traitements à réaliser par l'application ?</t>
  </si>
  <si>
    <t>Traitements non identifiés.</t>
  </si>
  <si>
    <t>Procédure avec de long délais.</t>
  </si>
  <si>
    <t>Mettre en place des audits pour évaluer les techniques non documentées</t>
  </si>
  <si>
    <t>Supports de formation pour les utilisateurs</t>
  </si>
  <si>
    <t>Développer des guides pour documenter les techniques utilisées</t>
  </si>
  <si>
    <t>S’assurer que les traitements ont été pris en compte</t>
  </si>
  <si>
    <t>Identification des traitements à réaliser par l'application</t>
  </si>
  <si>
    <t>Validation des traitements ?</t>
  </si>
  <si>
    <t>Validation manquante.</t>
  </si>
  <si>
    <t>Accès non autorisés des informations sensibles.</t>
  </si>
  <si>
    <t>Mettre en place des audits pour évaluer les compétences du personnel</t>
  </si>
  <si>
    <t>Spécifications fonctionnelles des traitements</t>
  </si>
  <si>
    <t>Développer des formations pour améliorer les compétences des équipes</t>
  </si>
  <si>
    <t>Validation des traitements</t>
  </si>
  <si>
    <t>Gestion des erreurs de traitement ?</t>
  </si>
  <si>
    <t>Gestion des erreurs inexistante.</t>
  </si>
  <si>
    <t>Mauvaise gouvernance.</t>
  </si>
  <si>
    <t>Mettre en place des audits pour évaluer les suivis des incidents</t>
  </si>
  <si>
    <t>Plan de tests des traitements</t>
  </si>
  <si>
    <t>Développer des plans pour améliorer la définition des suivis</t>
  </si>
  <si>
    <t>Gestion des erreurs de traitement</t>
  </si>
  <si>
    <t>Spécifications des traitements ?</t>
  </si>
  <si>
    <t>Spécifications incomplètes.</t>
  </si>
  <si>
    <t>Processus non géré.</t>
  </si>
  <si>
    <t>Spécifications des traitements</t>
  </si>
  <si>
    <t>Suivi de l'exécution des traitements ?</t>
  </si>
  <si>
    <t>Suivi de l'exécution inexistant.</t>
  </si>
  <si>
    <t>Techniques non documentées.</t>
  </si>
  <si>
    <t>Schémas de données des traitements</t>
  </si>
  <si>
    <t>Suivi de l'exécution des traitements</t>
  </si>
  <si>
    <t>Description de l'architecture technique de l'application ?</t>
  </si>
  <si>
    <t>Logs d'exécution des traitements</t>
  </si>
  <si>
    <t>Vérifier que l’architecture technique est prise en compte</t>
  </si>
  <si>
    <t>Description de l'architecture technique de l'application</t>
  </si>
  <si>
    <t>Documentation de l'architecture technique ?</t>
  </si>
  <si>
    <t>Diagramme d'architecture technique</t>
  </si>
  <si>
    <t>Documentation de l'architecture technique</t>
  </si>
  <si>
    <t>Gestion des problèmes techniques ?</t>
  </si>
  <si>
    <t>Gestion des problèmes inexistante.</t>
  </si>
  <si>
    <t>Sécurité des données à risques.</t>
  </si>
  <si>
    <t>Mettre en place des audits pour évaluer les risques de sécurité des données</t>
  </si>
  <si>
    <t>Référentiel d'architecture technique</t>
  </si>
  <si>
    <t>Gestion des problèmes techniques</t>
  </si>
  <si>
    <t>Justification des choix techniques ?</t>
  </si>
  <si>
    <t>Justification des choix absente.</t>
  </si>
  <si>
    <t>Mettre en place des audits pour évaluer la sécurité des applications</t>
  </si>
  <si>
    <t>Registre des problèmes techniques</t>
  </si>
  <si>
    <t>Développer des plans pour renforcer les mesures de sécurité</t>
  </si>
  <si>
    <t>Justification des choix techniques</t>
  </si>
  <si>
    <t>Suivi de l'évolution de l'architecture technique ?</t>
  </si>
  <si>
    <t>Suivi de l'évolution inexistant.</t>
  </si>
  <si>
    <t>Mettre en place des audits pour évaluer les processus confus</t>
  </si>
  <si>
    <t>Rapport de choix techniques</t>
  </si>
  <si>
    <t>Développer des guides pour clarifier les processus critiques</t>
  </si>
  <si>
    <t>Suivi de l'évolution de l'architecture technique</t>
  </si>
  <si>
    <t>Définition des indicateurs de performance (KPI) ?</t>
  </si>
  <si>
    <t>KPI non définis.</t>
  </si>
  <si>
    <t>Mesures pas implémentés.</t>
  </si>
  <si>
    <t>Mettre en place des audits pour évaluer les qualifications du personnel</t>
  </si>
  <si>
    <t>Planning des évolutions de l'architecture</t>
  </si>
  <si>
    <t>S’assurer que les indicateurs de performance et un contrat de 
 service sont disponibles</t>
  </si>
  <si>
    <t>Définition des indicateurs de performance (KPI)</t>
  </si>
  <si>
    <t>Calcul des KPI ?</t>
  </si>
  <si>
    <t>Calcul des KPI inexistant.</t>
  </si>
  <si>
    <t>Personnel sans qualifications.</t>
  </si>
  <si>
    <t>Tableau des définitions des KPI</t>
  </si>
  <si>
    <t>Développer des indicateurs pour mesurer les performances des projets</t>
  </si>
  <si>
    <t>Calcul des KPI</t>
  </si>
  <si>
    <t>Suivi des objectifs de performance définis dans le contrat de service ?</t>
  </si>
  <si>
    <t>Suivi non défini dans le contrat de service.</t>
  </si>
  <si>
    <t>Impossibilité d'évaluer correctement les résultats ou les performances, entraînant des décisions mal informées.</t>
  </si>
  <si>
    <t>Mettre en place des audits pour évaluer les faiblesses non corrigées</t>
  </si>
  <si>
    <t>Scripts de calcul des KPI</t>
  </si>
  <si>
    <t>Développer des plans pour corriger les faiblesses identifiées</t>
  </si>
  <si>
    <t>Suivi des objectifs de performance définis dans le contrat de service</t>
  </si>
  <si>
    <t>Collecte des données pour les KPI ?</t>
  </si>
  <si>
    <t>Collecte des données inexistante.</t>
  </si>
  <si>
    <t>Mauvaise allocation des ressources, avec des faiblesses non corrigées et des forces sous-exploitées.</t>
  </si>
  <si>
    <t>Mettre en place des revues régulières pour évaluer les retards des projets</t>
  </si>
  <si>
    <t>Rapports de suivi des objectifs</t>
  </si>
  <si>
    <t>Développer des plans pour réduire les risques d’échec des projets</t>
  </si>
  <si>
    <t>Collecte des données pour les KPI</t>
  </si>
  <si>
    <t>Présentation des KPI sur des tableaux de bord ?</t>
  </si>
  <si>
    <t>Présentation inexistante.</t>
  </si>
  <si>
    <t>Retards, désorganisation et échec potentiel du projet ou de la tâche.</t>
  </si>
  <si>
    <t>Mettre en place des revues régulières pour évaluer les problèmes tardifs</t>
  </si>
  <si>
    <t>Procédure de collecte des données</t>
  </si>
  <si>
    <t>Développer des outils pour accélérer la détection des problèmes</t>
  </si>
  <si>
    <t>Présentation des KPI sur des tableaux de bord</t>
  </si>
  <si>
    <t>Outils de mesure de la performance mis en place et fonctionnels ?</t>
  </si>
  <si>
    <t>Outil de mesure inexistant.</t>
  </si>
  <si>
    <t>Détection tardive des problèmes, entraînant des dérives ou des échecs.</t>
  </si>
  <si>
    <t>Développer des indicateurs pour mesurer l’efficacité des décisions</t>
  </si>
  <si>
    <t>S’assurer que les outils de mesure de la performance et les 
 tableaux de bord sont disponibles</t>
  </si>
  <si>
    <t>Outils de mesure de la performance mis en place et fonctionnels</t>
  </si>
  <si>
    <t>Les tableaux de bord présentent les indicateurs de performance ?</t>
  </si>
  <si>
    <t>Tableaux de bord ne présentant pas les indicateurs de performance.</t>
  </si>
  <si>
    <t>Manque de visibilité sur les performances, entraînant une mauvaise prise de décision.</t>
  </si>
  <si>
    <t>Mettre en place des revues régulières pour évaluer les pertes de temps</t>
  </si>
  <si>
    <t>Guide d'utilisation des outils de mesure</t>
  </si>
  <si>
    <t>Développer des outils pour optimiser l’utilisation des ressources</t>
  </si>
  <si>
    <t>Les tableaux de bord présentent les indicateurs de performance</t>
  </si>
  <si>
    <t>Les tableaux de bord sont utilisés pour prendre des décisions ?</t>
  </si>
  <si>
    <t>Tableaux de bord non utilisés.</t>
  </si>
  <si>
    <t>Outil inefficace, entraînant une perte de temps et de ressources.</t>
  </si>
  <si>
    <t>Mettre en place des revues régulières pour évaluer les informations clés</t>
  </si>
  <si>
    <t>Documentation des tableaux de bord</t>
  </si>
  <si>
    <t>Développer des canaux pour améliorer l’accès aux informations</t>
  </si>
  <si>
    <t>Les tableaux de bord sont utilisés pour prendre des décisions</t>
  </si>
  <si>
    <t>Tableaux de bord disponibles et à jour ?</t>
  </si>
  <si>
    <t>Tableaux de bord indisponibles.</t>
  </si>
  <si>
    <t>Absence d’accès aux informations clés, entraînant des décisions mal informées.</t>
  </si>
  <si>
    <t>Mettre en place des revues régulières pour évaluer les objectifs des projets</t>
  </si>
  <si>
    <t>Procès-verbaux des réunions de prise de décision</t>
  </si>
  <si>
    <t>Développer des indicateurs pour mesurer l’alignement des actions</t>
  </si>
  <si>
    <t>Tableaux de bord disponibles et à jour</t>
  </si>
  <si>
    <t>Les tableaux de bord permettent d'identifier les problèmes et les tendances ?</t>
  </si>
  <si>
    <t>Objectifs de l'entité non compris.</t>
  </si>
  <si>
    <t>Actions mal alignées avec les objectifs, entraînant des résultats inefficaces.</t>
  </si>
  <si>
    <t>Mettre en place des revues régulières pour évaluer les opérations</t>
  </si>
  <si>
    <t>Politique de mise à jour des tableaux de bord</t>
  </si>
  <si>
    <t>Développer des plans pour réduire les échecs opérationnels</t>
  </si>
  <si>
    <t>Les tableaux de bord permettent d'identifier les problèmes et les tendances</t>
  </si>
  <si>
    <t>Les objectifs de l'entité sont clairement définis et documentés ?</t>
  </si>
  <si>
    <t>Technologies ne supportent pas les besoins métiers de l'entité.</t>
  </si>
  <si>
    <t>Solutions inadaptées, entraînant des échecs opérationnels.</t>
  </si>
  <si>
    <t>Mettre en place des revues régulières pour évaluer les besoins futurs</t>
  </si>
  <si>
    <t>Rapports d'analyse des tendances basés sur les tableaux de bord</t>
  </si>
  <si>
    <t>Développer des plans pour anticiper les solutions nécessaires</t>
  </si>
  <si>
    <t>Evolutivité/pérennité de l'application</t>
  </si>
  <si>
    <t>Vérifier que les technologies utilisées sont conformes aux 
 aspirations de l’entité</t>
  </si>
  <si>
    <t>Les objectifs de l'entité sont clairement définis et documentés</t>
  </si>
  <si>
    <t>Charte stratégique de l'entité</t>
  </si>
  <si>
    <t>Les technologies utilisées supportent les besoins métiers de l'entité ?</t>
  </si>
  <si>
    <t>Plan d'évolution inexistant.</t>
  </si>
  <si>
    <t>Incapacité à anticiper les besoins futurs, entraînant des solutions obsolètes.</t>
  </si>
  <si>
    <t>Mettre en place des revues régulières pour évaluer les besoins des projets</t>
  </si>
  <si>
    <t>Rapport de alignement stratégique</t>
  </si>
  <si>
    <t>Développer des plans pour adapter les solutions aux besoins</t>
  </si>
  <si>
    <t>Les technologies utilisées supportent les besoins métiers de l'entité</t>
  </si>
  <si>
    <t>Un plan d'évolution des technologies est en place ?</t>
  </si>
  <si>
    <t>Analyse d'adéquation inexistante.</t>
  </si>
  <si>
    <t>Solutions mal adaptées aux besoins, entraînant des inefficacités.</t>
  </si>
  <si>
    <t>Mettre en place des revues régulières pour évaluer les intégrations</t>
  </si>
  <si>
    <t>Dossier de validation technique</t>
  </si>
  <si>
    <t>Développer des outils pour réduire les interruptions des systèmes</t>
  </si>
  <si>
    <t>Un plan d'évolution des technologies est en place</t>
  </si>
  <si>
    <t>Feuille de route technologique</t>
  </si>
  <si>
    <t>Une analyse a été menée pour évaluer l'adéquation des technologies aux objectifs ?</t>
  </si>
  <si>
    <t>Technologies incompatibles.</t>
  </si>
  <si>
    <t>Dysfonctionnements ou échecs d’intégration, entraînant des interruptions.</t>
  </si>
  <si>
    <t>Mettre en place des revues régulières pour évaluer les performances des systèmes</t>
  </si>
  <si>
    <t>Analyse prospective des technologies émergentes</t>
  </si>
  <si>
    <t>Développer des plans pour améliorer l’efficacité des systèmes</t>
  </si>
  <si>
    <t>Une analyse a été menée pour évaluer l'adéquation des technologies aux objectifs</t>
  </si>
  <si>
    <t>Matrice d'évaluation technologique</t>
  </si>
  <si>
    <t>Les technologies sont compatibles avec l'infrastructure existante ?</t>
  </si>
  <si>
    <t>Architecture non alignée.</t>
  </si>
  <si>
    <t>Système inefficace ou inadapté, entraînant des performances médiocres.</t>
  </si>
  <si>
    <t>Rapport d'impact stratégique des technologies</t>
  </si>
  <si>
    <t>Développer des plans pour réduire les pertes de productivité</t>
  </si>
  <si>
    <t>Les technologies sont compatibles avec l'infrastructure existante</t>
  </si>
  <si>
    <t>Diagnostic d'intégration technique</t>
  </si>
  <si>
    <t>L'architecture du logiciel est alignée avec les objectifs de l'entité ?</t>
  </si>
  <si>
    <t>Logiciel non performant.</t>
  </si>
  <si>
    <t>Ralentissements ou échecs opérationnels, entraînant des pertes de productivité.</t>
  </si>
  <si>
    <t>Mettre en place des revues régulières pour évaluer les changements</t>
  </si>
  <si>
    <t>Rapport de compatibilité et d'interopérabilité</t>
  </si>
  <si>
    <t>Développer des plans pour adapter les solutions aux changements</t>
  </si>
  <si>
    <t>S’assurer que technologie du logiciel sont conformes aux 
 aspirations de l’entité</t>
  </si>
  <si>
    <t>L'architecture du logiciel est alignée avec les objectifs de l'entité</t>
  </si>
  <si>
    <t>Modèle d'architecture d'entreprise</t>
  </si>
  <si>
    <t>Le logiciel est performant et fiable ?</t>
  </si>
  <si>
    <t>Logiciel non évolutif.</t>
  </si>
  <si>
    <t>Incapacité à s’adapter à la croissance ou aux changements, entraînant des solutions obsolètes.</t>
  </si>
  <si>
    <t>Mettre en place des revues régulières pour évaluer les processus clés</t>
  </si>
  <si>
    <t>Document de conception architecturale</t>
  </si>
  <si>
    <t>Développer des guides pour clarifier les fonctionnalités critiques</t>
  </si>
  <si>
    <t>Le logiciel est performant et fiable</t>
  </si>
  <si>
    <t>Rapport de benchmarking des performances</t>
  </si>
  <si>
    <t>Le logiciel est évolutif ?</t>
  </si>
  <si>
    <t>Fonctionnalités du logiciel non supportées.</t>
  </si>
  <si>
    <t>Manque de fonctionnalités clés, entraînant des processus incomplets.</t>
  </si>
  <si>
    <t>Dossier de qualification et de fiabilité</t>
  </si>
  <si>
    <t>Le logiciel est évolutif</t>
  </si>
  <si>
    <t>Plan de scalabilité</t>
  </si>
  <si>
    <t>Les fonctionnalités du logiciel supportent les besoins métiers ?</t>
  </si>
  <si>
    <t>Logiciel difficile à utiliser.</t>
  </si>
  <si>
    <t>Adoption faible ou erreurs fréquentes, entraînant une inefficacité.</t>
  </si>
  <si>
    <t>Mettre en place des audits pour évaluer les erreurs fréquentes</t>
  </si>
  <si>
    <t>Stratégie de développement évolutif</t>
  </si>
  <si>
    <t>Développer des formations pour réduire les inefficacités</t>
  </si>
  <si>
    <t>Les fonctionnalités du logiciel supportent les besoins métiers</t>
  </si>
  <si>
    <t>Cahier des charges fonctionnel</t>
  </si>
  <si>
    <t>Le logiciel est facile à utiliser et à maintenir ?</t>
  </si>
  <si>
    <t>Technologies n'ayant pas fait leurs preuves.</t>
  </si>
  <si>
    <t>Risque d’échec ou de dysfonctionnement, entraînant des pertes de temps et d’argent.</t>
  </si>
  <si>
    <t>Matrice de couverture des besoins</t>
  </si>
  <si>
    <t>Développer des plans pour réduire les dysfonctionnements</t>
  </si>
  <si>
    <t>Le logiciel est facile à utiliser et à maintenir</t>
  </si>
  <si>
    <t>Guide d'ergonomie et d'utilisabilité</t>
  </si>
  <si>
    <t>Les technologies ont fait leurs preuves dans des environnements similaires ?</t>
  </si>
  <si>
    <t>Technologies non documentées.</t>
  </si>
  <si>
    <t>Difficulté à utiliser ou à maintenir, entraînant des erreurs ou des interruptions.</t>
  </si>
  <si>
    <t>Mettre en place des audits pour évaluer les erreurs d’utilisation</t>
  </si>
  <si>
    <t>Manuel de maintenance et de support</t>
  </si>
  <si>
    <t>Développer des formations pour améliorer la maintenance des applications</t>
  </si>
  <si>
    <t>Vérifier que les technologies utilisées sont matures</t>
  </si>
  <si>
    <t>Les technologies ont fait leurs preuves dans des environnements similaires</t>
  </si>
  <si>
    <t>Étude de cas et retours d'expérience</t>
  </si>
  <si>
    <t>Les technologies sont documentées ?</t>
  </si>
  <si>
    <t>Technologies non conformes.</t>
  </si>
  <si>
    <t>Non-respect des normes ou réglementations, entraînant des sanctions ou des échecs.</t>
  </si>
  <si>
    <t>Mettre en place des audits pour évaluer la conformité aux normes</t>
  </si>
  <si>
    <t>Rapport de benchmark sectoriel</t>
  </si>
  <si>
    <t>Développer des plans pour réduire les risques de sanctions</t>
  </si>
  <si>
    <t>Les technologies sont documentées</t>
  </si>
  <si>
    <t>Référentiel technique</t>
  </si>
  <si>
    <t>Les technologies sont conformes aux normes et standards en vigueur ?</t>
  </si>
  <si>
    <t>Technologies non supportées.</t>
  </si>
  <si>
    <t>Absence de support technique, entraînant des problèmes non résolus.</t>
  </si>
  <si>
    <t>Mettre en place des audits pour évaluer le support technique</t>
  </si>
  <si>
    <t>Manuel de documentation technologique</t>
  </si>
  <si>
    <t>Développer des plans pour résoudre les problèmes non résolus</t>
  </si>
  <si>
    <t>Les technologies sont conformes aux normes et standards en vigueur</t>
  </si>
  <si>
    <t>Dossier de conformité réglementaire</t>
  </si>
  <si>
    <t>Les technologies sont supportées par des communautés actives ?</t>
  </si>
  <si>
    <t>Technologies non disponibles auprès de plusieurs fournisseurs.</t>
  </si>
  <si>
    <t>Dépendance à un fournisseur unique, entraînant des risques d’approvisionnement.</t>
  </si>
  <si>
    <t>Mettre en place des audits pour évaluer les dépendances aux fournisseurs</t>
  </si>
  <si>
    <t>Rapport de conformité aux standards</t>
  </si>
  <si>
    <t>Développer des plans pour diversifier les sources d’approvisionnement</t>
  </si>
  <si>
    <t>Les technologies sont supportées par des communautés actives</t>
  </si>
  <si>
    <t>Analyse des communautés technologiques</t>
  </si>
  <si>
    <t>Les technologies sont disponibles auprès de plusieurs fournisseurs ?</t>
  </si>
  <si>
    <t>Technologies non scalables.</t>
  </si>
  <si>
    <t>Incapacité à gérer une augmentation de la charge, entraînant des échecs opérationnels.</t>
  </si>
  <si>
    <t>Mettre en place des audits pour évaluer la charge des systèmes</t>
  </si>
  <si>
    <t>Rapport de support et d'engagement communautaire</t>
  </si>
  <si>
    <t>Les technologies sont disponibles auprès de plusieurs fournisseurs</t>
  </si>
  <si>
    <t>Étude comparative des fournisseurs</t>
  </si>
  <si>
    <t>Les technologies sont scalables ?</t>
  </si>
  <si>
    <t>Technologies non flexibles.</t>
  </si>
  <si>
    <t>Système surchargé, entraînant des ralentissements ou des pannes.</t>
  </si>
  <si>
    <t>Mettre en place des audits pour évaluer les coûts de remplacement</t>
  </si>
  <si>
    <t>Matrice d'évaluation des fournisseurs</t>
  </si>
  <si>
    <t>Développer des plans pour optimiser les coûts de remplacement</t>
  </si>
  <si>
    <t>S’assurer que les technologies utilisées peuvent s’adapter à la 
 croissance</t>
  </si>
  <si>
    <t>Les technologies sont scalables</t>
  </si>
  <si>
    <t>Plan de scalabilité technique</t>
  </si>
  <si>
    <t>Les technologies sont flexibles et peuvent être adaptées aux nouveaux besoins ?</t>
  </si>
  <si>
    <t>Plan de gestion de la croissance inexistant.</t>
  </si>
  <si>
    <t>Obsolescence rapide, entraînant des coûts de remplacement élevés.</t>
  </si>
  <si>
    <t>Stratégie de gestion de la croissance</t>
  </si>
  <si>
    <t>Les technologies sont flexibles et peuvent être adaptées aux nouveaux besoins</t>
  </si>
  <si>
    <t>Analyse de capacité de montée en charge</t>
  </si>
  <si>
    <t>Un plan de gestion de la croissance est en place ?</t>
  </si>
  <si>
    <t>Technologies ne supportant pas l'augmentation des utilisateurs et des données.</t>
  </si>
  <si>
    <t>Rapport de performance évolutive</t>
  </si>
  <si>
    <t>Un plan de gestion de la croissance est en place</t>
  </si>
  <si>
    <t>Étude de compatibilité technologique</t>
  </si>
  <si>
    <t>Les technologies peuvent supporter un nombre croissant d'utilisateurs et de données ?</t>
  </si>
  <si>
    <t>Technologies incompatibles avec les nouvelles technologies.</t>
  </si>
  <si>
    <t>Mettre en place des audits pour évaluer les volumes de données</t>
  </si>
  <si>
    <t>Rapport d'interopérabilité future</t>
  </si>
  <si>
    <t>Développer des plans pour gérer la croissance des données</t>
  </si>
  <si>
    <t>Les technologies peuvent supporter un nombre croissant d'utilisateurs et de données</t>
  </si>
  <si>
    <t>Plan de gestion de la croissance</t>
  </si>
  <si>
    <t>Les technologies sont compatibles avec les nouvelles technologies ?</t>
  </si>
  <si>
    <t>Application non compatible.</t>
  </si>
  <si>
    <t>Incapacité à gérer des volumes de données croissants, entraînant des échecs opérationnels.</t>
  </si>
  <si>
    <t>Mettre en place des audits pour évaluer les difficultés d’utilisation</t>
  </si>
  <si>
    <t>Stratégie d'adaptation aux nouveaux besoins</t>
  </si>
  <si>
    <t>Développer des guides pour documenter les processus d’utilisation</t>
  </si>
  <si>
    <t>Les technologies sont compatibles avec les nouvelles technologies</t>
  </si>
  <si>
    <t>Dossier de veille technologique</t>
  </si>
  <si>
    <t>L'application est compatible avec les autres applications du système ?</t>
  </si>
  <si>
    <t>Application ne respectant pas les normes et standards.</t>
  </si>
  <si>
    <t>Absence de documentation, entraînant des difficultés de maintenance ou d’utilisation.</t>
  </si>
  <si>
    <t>Mettre en place des audits pour évaluer les inefficacités des applications</t>
  </si>
  <si>
    <t>Rapport de prospective et d'innovation</t>
  </si>
  <si>
    <t>Développer des plans pour personnaliser les applications</t>
  </si>
  <si>
    <t>S’assurer que l'application peut s’intégrer dans le système de 
 l’entité</t>
  </si>
  <si>
    <t>L'application est compatible avec les autres applications du système</t>
  </si>
  <si>
    <t>Matrice de compatibilité inter-applicative</t>
  </si>
  <si>
    <t>L'application respecte les normes et standards de l'entité ?</t>
  </si>
  <si>
    <t>Intégration non testée.</t>
  </si>
  <si>
    <t>Incapacité à personnaliser l’application, entraînant une inefficacité.</t>
  </si>
  <si>
    <t>Mettre en place des audits pour évaluer les dépendances aux solutions uniques</t>
  </si>
  <si>
    <t>Rapport d'interopérabilité systémique</t>
  </si>
  <si>
    <t>Développer des plans pour diversifier les solutions en cas de panne</t>
  </si>
  <si>
    <t>L'application respecte les normes et standards de l'entité</t>
  </si>
  <si>
    <t>Référentiel des normes et standards de l'entité</t>
  </si>
  <si>
    <t>L'intégration de l'application est testée ?</t>
  </si>
  <si>
    <t>Application ne pouvant pas échanger des données.</t>
  </si>
  <si>
    <t>Dépendance à une solution unique, entraînant des risques en cas de panne.</t>
  </si>
  <si>
    <t>Mettre en place des audits pour évaluer les adaptations aux changements</t>
  </si>
  <si>
    <t>Dossier de conformité technique</t>
  </si>
  <si>
    <t>Développer des plans pour anticiper les solutions obsolètes</t>
  </si>
  <si>
    <t>L'intégration de l'application est testée</t>
  </si>
  <si>
    <t>Plan de test d'intégration</t>
  </si>
  <si>
    <t>L'application peut échanger des données avec les autres applications ?</t>
  </si>
  <si>
    <t>Intégration non documentée.</t>
  </si>
  <si>
    <t>Incapacité à s’adapter aux changements, entraînant des solutions obsolètes.</t>
  </si>
  <si>
    <t>Rapport de validation d'intégration</t>
  </si>
  <si>
    <t>L'application peut échanger des données avec les autres applications</t>
  </si>
  <si>
    <t>Protocole d'échange de données</t>
  </si>
  <si>
    <t>L'intégration de l'application est documentée ?</t>
  </si>
  <si>
    <t>Application non décomposée en modules indépendants.</t>
  </si>
  <si>
    <t>Absence de tests, entraînant des dysfonctionnements ou des échecs.</t>
  </si>
  <si>
    <t>Mettre en place des audits pour évaluer les modifications des applications</t>
  </si>
  <si>
    <t>Spécification des interfaces d'échange</t>
  </si>
  <si>
    <t>Développer des plans pour moderniser les applications obsolètes</t>
  </si>
  <si>
    <t>L'intégration de l'application est documentée</t>
  </si>
  <si>
    <t>Documentation technique d'intégration</t>
  </si>
  <si>
    <t>L'application est composée de modules indépendants ?</t>
  </si>
  <si>
    <t>Application non indépendante des modules.</t>
  </si>
  <si>
    <t>Incapacité à ajuster ou modifier l’application, entraînant une obsolescence rapide.</t>
  </si>
  <si>
    <t>Cartographie des interfaces</t>
  </si>
  <si>
    <t>Développer des guides pour documenter les processus de maintenance</t>
  </si>
  <si>
    <t>S’assurer que l’application est modulaire et adaptable</t>
  </si>
  <si>
    <t>L'application est composée de modules indépendants</t>
  </si>
  <si>
    <t>Modèle de conception modulaire</t>
  </si>
  <si>
    <t>L'application peut être adaptée aux besoins spécifiques de l'entité ?</t>
  </si>
  <si>
    <t>Application non adaptable.</t>
  </si>
  <si>
    <t>Absence de documentation, entraînant des difficultés d’utilisation ou de maintenance.</t>
  </si>
  <si>
    <t>Mettre en place des audits pour évaluer les versions des applications</t>
  </si>
  <si>
    <t>Rapport d'architecture modulaire</t>
  </si>
  <si>
    <t>Développer des plans pour réduire les erreurs d’incohérence</t>
  </si>
  <si>
    <t>L'application peut être adaptée aux besoins spécifiques de l'entité</t>
  </si>
  <si>
    <t>Cahier des charges d'adaptabilité</t>
  </si>
  <si>
    <t>L'adaptation de l'application est testée ?</t>
  </si>
  <si>
    <t>Adaptation non testée.</t>
  </si>
  <si>
    <t>Absence de contrôle des versions, entraînant des erreurs ou des incohérences.</t>
  </si>
  <si>
    <t>Dossier de spécifications d'adaptation</t>
  </si>
  <si>
    <t>Développer des outils pour suivre les erreurs de modification</t>
  </si>
  <si>
    <t>L'adaptation de l'application est testée</t>
  </si>
  <si>
    <t>Rapport de tests d'adaptabilité</t>
  </si>
  <si>
    <t>Les modules peuvent être ajoutés, supprimés ou modifiés sans impacter le reste de l'application ?</t>
  </si>
  <si>
    <t>Les modules ne peuvent pas être ajoutés, supprimés ou modifiés sans impacter le reste de l'application.</t>
  </si>
  <si>
    <t>Perte de traçabilité des modifications, entraînant des erreurs ou des malentendus.</t>
  </si>
  <si>
    <t>Mettre en place des audits pour évaluer les changements historiques</t>
  </si>
  <si>
    <t>Procès-verbal de validation d'adaptation</t>
  </si>
  <si>
    <t>Développer des plans pour retracer les modifications effectuées</t>
  </si>
  <si>
    <t>Les modules peuvent être ajoutés, supprimés ou modifiés sans impacter le reste de l'application</t>
  </si>
  <si>
    <t>Procédure de modification modulaire</t>
  </si>
  <si>
    <t>L'adaptation de l'application est documentée ?</t>
  </si>
  <si>
    <t>Adaptation non documentée.</t>
  </si>
  <si>
    <t>Perte d’historique, entraînant des difficultés à retracer les changements.</t>
  </si>
  <si>
    <t>Mettre en place des audits pour évaluer les malentendus des applications</t>
  </si>
  <si>
    <t>Guide de maintenance modulaire</t>
  </si>
  <si>
    <t>Développer des formations pour clarifier les processus d’utilisation</t>
  </si>
  <si>
    <t>L'adaptation de l'application est documentée</t>
  </si>
  <si>
    <t>Politique de gestion des versions</t>
  </si>
  <si>
    <t>Un système de gestion des versions est en place ?</t>
  </si>
  <si>
    <t>Absence de gestion des versions.</t>
  </si>
  <si>
    <t>Documentation partielle, entraînant des malentendus ou des erreurs.</t>
  </si>
  <si>
    <t>Registre des versions</t>
  </si>
  <si>
    <t>Développer des plans pour réduire les dysfonctionnements des versions</t>
  </si>
  <si>
    <t>S’assurer que l'application significativement version par 
 version</t>
  </si>
  <si>
    <t>Un système de gestion des versions est en place</t>
  </si>
  <si>
    <t>Manuel de suivi des changements</t>
  </si>
  <si>
    <t>Les changements apportés à chaque version sont documentés ?</t>
  </si>
  <si>
    <t>Changements non documentés.</t>
  </si>
  <si>
    <t>Absence de validation des versions, entraînant des dysfonctionnements.</t>
  </si>
  <si>
    <t>Archives des versions historiques</t>
  </si>
  <si>
    <t>Les changements apportés à chaque version sont documentés</t>
  </si>
  <si>
    <t>Procédure d'identification des versions</t>
  </si>
  <si>
    <t>Les anciennes versions sont archivées ?</t>
  </si>
  <si>
    <t>Anciennes versions non archivées.</t>
  </si>
  <si>
    <t>Absence de suivi, entraînant des retards ou des échecs de maintenance.</t>
  </si>
  <si>
    <t>Mettre en place des audits pour évaluer les retards de maintenance</t>
  </si>
  <si>
    <t>Rapport de tests pré-production</t>
  </si>
  <si>
    <t>Développer des plans pour accélérer la résolution des problèmes</t>
  </si>
  <si>
    <t>Les anciennes versions sont archivées</t>
  </si>
  <si>
    <t>Tableau de bord des demandes de maintenance</t>
  </si>
  <si>
    <t>Chaque version de l'application est identifiée et documentée ?</t>
  </si>
  <si>
    <t>Identification et documentation incomplètes.</t>
  </si>
  <si>
    <t>Mauvaise planification des priorités, entraînant des retards ou des inefficacités.</t>
  </si>
  <si>
    <t>Mettre en place des revues régulières pour évaluer les priorités</t>
  </si>
  <si>
    <t>Matrice de priorisation des demandes</t>
  </si>
  <si>
    <t>Développer des outils pour optimiser la gestion des priorités</t>
  </si>
  <si>
    <t>Chaque version de l'application est identifiée et documentée</t>
  </si>
  <si>
    <t>Tableau de suivi des coûts de maintenance</t>
  </si>
  <si>
    <t>Les versions sont testées avant leur mise en production ?</t>
  </si>
  <si>
    <t>Versions non testées.</t>
  </si>
  <si>
    <t>Absence de suivi des coûts, entraînant des dépassements budgétaires.</t>
  </si>
  <si>
    <t>Mettre en place des audits pour évaluer les coûts des projets</t>
  </si>
  <si>
    <t>Analyse statistique des demandes</t>
  </si>
  <si>
    <t>Développer des plans pour optimiser les dépenses budgétaires</t>
  </si>
  <si>
    <t>Les versions sont testées avant leur mise en production</t>
  </si>
  <si>
    <t>Rapport d'analyse des tendances de maintenance</t>
  </si>
  <si>
    <t>Le nombre de demandes de maintenance est suivi ?</t>
  </si>
  <si>
    <t>Suivi des demandes de maintenance inexistant.</t>
  </si>
  <si>
    <t>Décisions mal informées, entraînant des erreurs stratégiques.</t>
  </si>
  <si>
    <t>Tableau de bord des délais de résolution</t>
  </si>
  <si>
    <t>Développer des outils pour améliorer la prise de décision stratégique</t>
  </si>
  <si>
    <t>Vérifier que le volume des demandes de maintenance évolutive 
 est acceptable et cohérent avec l’utilisation de l’application</t>
  </si>
  <si>
    <t>Le nombre de demandes de maintenance est suivi</t>
  </si>
  <si>
    <t>Référentiel des compétences de maintenance</t>
  </si>
  <si>
    <t>Les demandes de maintenance sont priorisées ?</t>
  </si>
  <si>
    <t>Priorisation inexistante.</t>
  </si>
  <si>
    <t>Résolution tardive des problèmes, entraînant des interruptions prolongées.</t>
  </si>
  <si>
    <t>Mettre en place des audits pour évaluer les interruptions prolongées</t>
  </si>
  <si>
    <t>Développer des plans pour réduire les impacts des interruptions</t>
  </si>
  <si>
    <t>Les demandes de maintenance sont priorisées</t>
  </si>
  <si>
    <t>Charte d'autonomie de l'équipe</t>
  </si>
  <si>
    <t>Le coût de la maintenance est suivi ?</t>
  </si>
  <si>
    <t>Suivi des coûts inexistant.</t>
  </si>
  <si>
    <t>Manque de compétences, entraînant des erreurs ou des inefficacités.</t>
  </si>
  <si>
    <t>Mettre en place des audits pour évaluer les compétences des équipes</t>
  </si>
  <si>
    <t>Matrice des habilitations</t>
  </si>
  <si>
    <t>Développer des formations pour améliorer les compétences critiques</t>
  </si>
  <si>
    <t>Le coût de la maintenance est suivi</t>
  </si>
  <si>
    <t>Guide des processus décisionnels</t>
  </si>
  <si>
    <t>Les demandes de maintenance sont analysées pour identifier les tendances ?</t>
  </si>
  <si>
    <t>Absence d’autonomie, entraînant une dépendance excessive à des tiers.</t>
  </si>
  <si>
    <t>Mettre en place des audits pour évaluer les dépendances aux tiers</t>
  </si>
  <si>
    <t>Baromètre de motivation de l'équipe</t>
  </si>
  <si>
    <t>Développer des plans pour réduire les dépendances excessives</t>
  </si>
  <si>
    <t>Les demandes de maintenance sont analysées pour identifier les tendances</t>
  </si>
  <si>
    <t>Plan d'engagement et de reconnaissance</t>
  </si>
  <si>
    <t>Les demandes de maintenance sont résolues dans un délai raisonnable ?</t>
  </si>
  <si>
    <t>Résolution tardive.</t>
  </si>
  <si>
    <t>Manque d’implication, entraînant des retards ou des échecs.</t>
  </si>
  <si>
    <t>Mettre en place des audits pour évaluer les retards des projets</t>
  </si>
  <si>
    <t>Inventaire des outils de maintenance</t>
  </si>
  <si>
    <t>Les demandes de maintenance sont résolues dans un délai raisonnable</t>
  </si>
  <si>
    <t>Matrice des ressources disponibles</t>
  </si>
  <si>
    <t>L'équipe de maintenance dispose des compétences nécessaires ?</t>
  </si>
  <si>
    <t>Compétences inadéquates.</t>
  </si>
  <si>
    <t>Manque de ressources, entraînant des retards ou des échecs opérationnels.</t>
  </si>
  <si>
    <t>Mettre en place des audits pour évaluer les ressources disponibles</t>
  </si>
  <si>
    <t>Plan de formation technologique</t>
  </si>
  <si>
    <t>Vérifier que structure en charge de la maintenance est 
 autonome et compétente</t>
  </si>
  <si>
    <t>L'équipe de maintenance dispose des compétences nécessaires</t>
  </si>
  <si>
    <t>Programme de veille technologique</t>
  </si>
  <si>
    <t>L'équipe de maintenance est autonome et peut prendre des décisions ?</t>
  </si>
  <si>
    <t>Autonomie inexistante.</t>
  </si>
  <si>
    <t>Manque de formation, entraînant des erreurs ou une adoption inefficace.</t>
  </si>
  <si>
    <t>Mettre en place des audits pour évaluer les erreurs d’adoption</t>
  </si>
  <si>
    <t>Référentiel des compétences émergentes</t>
  </si>
  <si>
    <t>Développer des formations pour améliorer l’adoption des outils</t>
  </si>
  <si>
    <t>L'équipe de maintenance est autonome et peut prendre des décisions</t>
  </si>
  <si>
    <t>Dossier de qualification technique</t>
  </si>
  <si>
    <t>L'équipe de maintenance est motivée et engagée ?</t>
  </si>
  <si>
    <t>Motivation et engagement absents.</t>
  </si>
  <si>
    <t>Absence d’évaluation, entraînant des risques non anticipés.</t>
  </si>
  <si>
    <t>Mettre en place des audits pour évaluer les risques non anticipés</t>
  </si>
  <si>
    <t>Rapport d'évaluation des compétences</t>
  </si>
  <si>
    <t>Développer des plans pour anticiper les risques potentiels</t>
  </si>
  <si>
    <t>L'équipe de maintenance est motivée et engagée</t>
  </si>
  <si>
    <t>Stratégie de montée en compétences</t>
  </si>
  <si>
    <t>L'équipe de maintenance a accès aux outils et ressources nécessaires ?</t>
  </si>
  <si>
    <t>Outils et ressources manquants.</t>
  </si>
  <si>
    <t>Manque de compétences internes, entraînant des dépendances externes coûteuses.</t>
  </si>
  <si>
    <t>Mettre en place des audits pour évaluer les dépendances externes</t>
  </si>
  <si>
    <t>Plan de gestion des connaissances</t>
  </si>
  <si>
    <t>Développer des plans pour réduire les coûts externes</t>
  </si>
  <si>
    <t>L'équipe de maintenance a accès aux outils et ressources nécessaires</t>
  </si>
  <si>
    <t>Matrice des risques de maintenance</t>
  </si>
  <si>
    <t>L'équipe de maintenance est formée aux nouvelles technologies ?</t>
  </si>
  <si>
    <t>Formation aux nouvelles technologies absente.</t>
  </si>
  <si>
    <t>Absence de support à long terme, entraînant des interruptions ou des échecs.</t>
  </si>
  <si>
    <t>Mettre en place des audits pour évaluer le support à long terme</t>
  </si>
  <si>
    <t>Tableau de bord des indicateurs de performance</t>
  </si>
  <si>
    <t>Développer des plans pour assurer un support durable</t>
  </si>
  <si>
    <t>L'équipe de maintenance est formée aux nouvelles technologies</t>
  </si>
  <si>
    <t>Rapport d'amélioration continue</t>
  </si>
  <si>
    <t>Avez-vous réalisé une évaluation documentée et exhaustive des risques potentiels liés à votre dépendance technologique ?</t>
  </si>
  <si>
    <t>Évaluation des risques inexistante.</t>
  </si>
  <si>
    <t>Absence de plan de transfert, entraînant des interruptions lors des transitions.</t>
  </si>
  <si>
    <t>Mettre en place des audits pour évaluer les transitions des projets</t>
  </si>
  <si>
    <t>Dossier de prospective et d'innovation</t>
  </si>
  <si>
    <t>Développer des plans pour gérer les interruptions des transitions</t>
  </si>
  <si>
    <t>S’assurer que le niveau de dépendance vis-à-vis de la structure 
 de développement de l’application est acceptable</t>
  </si>
  <si>
    <t>Évaluation documentée des risques liés à la dépendance</t>
  </si>
  <si>
    <t>Matrice d'analyse des risques de dépendance</t>
  </si>
  <si>
    <t>Votre organisation dispose-t-elle de compétences internes suffisantes pour assurer la maintenance corrective et évolutive de votre solution ?</t>
  </si>
  <si>
    <t>Compétences internes insuffisantes.</t>
  </si>
  <si>
    <t>Absence de solutions alternatives, entraînant une dépendance risquée.</t>
  </si>
  <si>
    <t>Mettre en place des audits pour évaluer les solutions alternatives</t>
  </si>
  <si>
    <t>Rapport d'évaluation des vulnérabilités</t>
  </si>
  <si>
    <t>Développer des plans pour diversifier les solutions disponibles</t>
  </si>
  <si>
    <t>Existence de compétences internes pour la maintenance corrective et évolutive</t>
  </si>
  <si>
    <t>Référentiel des compétences internes de maintenance</t>
  </si>
  <si>
    <t>Les clauses contractuelles actuelles garantissent-elles un support technique et fonctionnel à long terme ?</t>
  </si>
  <si>
    <t>Support technique et fonctionnel non garanti à long terme.</t>
  </si>
  <si>
    <t>Mauvaise réputation, entraînant une perte de confiance ou de clients.</t>
  </si>
  <si>
    <t>Mettre en place des audits pour évaluer la confiance des clients</t>
  </si>
  <si>
    <t>Plan de développement des compétences correctives</t>
  </si>
  <si>
    <t>Développer des plans pour améliorer la satisfaction des clients</t>
  </si>
  <si>
    <t>Clauses contractuelles garantissant un support à long terme</t>
  </si>
  <si>
    <t>Cartographie des compétences évolutives</t>
  </si>
  <si>
    <t>Existe-t-il un plan formel et détaillé de transfert de connaissances entre le fournisseur et votre équipe ?</t>
  </si>
  <si>
    <t>Plan de transfert inexistant.</t>
  </si>
  <si>
    <t>Instabilité financière, entraînant des difficultés à maintenir les opérations.</t>
  </si>
  <si>
    <t>Mettre en place des audits pour évaluer les difficultés financières</t>
  </si>
  <si>
    <t>Modèle de clause de support à long terme</t>
  </si>
  <si>
    <t>Développer des plans pour stabiliser les opérations financières</t>
  </si>
  <si>
    <t>Plan de transfert de connaissances formalisé</t>
  </si>
  <si>
    <t>Contrat de garantie de maintenance</t>
  </si>
  <si>
    <t>Avez-vous identifié et qualifié des prestataires alternatifs capables de prendre le relais en cas de défaillance de votre fournisseur principal ?</t>
  </si>
  <si>
    <t>Prestataires alternatifs non identifiés.</t>
  </si>
  <si>
    <t>Engagements non tenus, entraînant des litiges ou une perte de crédibilité.</t>
  </si>
  <si>
    <t>Mettre en place des audits pour évaluer les litiges potentiels</t>
  </si>
  <si>
    <t>Plan de transfert de connaissances</t>
  </si>
  <si>
    <t>Développer des plans pour réduire les risques de litiges</t>
  </si>
  <si>
    <t>Possibilité de recours à des prestataires alternatifs en cas de défaillance</t>
  </si>
  <si>
    <t>Procédure de transmission des savoirs</t>
  </si>
  <si>
    <t>L'éditeur a une bonne réputation sur le marché ?</t>
  </si>
  <si>
    <t>L'éditeur n'a pas une bonne réputation sur le marché.</t>
  </si>
  <si>
    <t>Insatisfaction des clients, entraînant une perte de fidélité ou de revenus.</t>
  </si>
  <si>
    <t>Mettre en place des audits pour évaluer la fidélité des clients</t>
  </si>
  <si>
    <t>Étude de marché des prestataires alternatifs</t>
  </si>
  <si>
    <t>S’assurer que l’éditeur de l’application a des références 
 indiscutables</t>
  </si>
  <si>
    <t>L'éditeur a une bonne réputation sur le marché</t>
  </si>
  <si>
    <t>Matrice d'évaluation des fournisseurs potentiels</t>
  </si>
  <si>
    <t>L'éditeur a une situation financière stable ?</t>
  </si>
  <si>
    <t>L'éditeur n'a pas de situation financière stable.</t>
  </si>
  <si>
    <t>Incertitude sur l’avenir de l’application, entraînant des hésitations ou des abandons.</t>
  </si>
  <si>
    <t>Mettre en place des audits pour évaluer les hésitations des applications</t>
  </si>
  <si>
    <t>Dossier de continuité de service</t>
  </si>
  <si>
    <t>Développer des plans pour stabiliser les performances des applications</t>
  </si>
  <si>
    <t>L'éditeur a une situation financière stable</t>
  </si>
  <si>
    <t>Analyse de réputation de l'éditeur</t>
  </si>
  <si>
    <t>L'éditeur est engagé dans le développement de l'application ?</t>
  </si>
  <si>
    <t>Éditeur non engagé.</t>
  </si>
  <si>
    <t>Absence de processus, entraînant des retards ou des erreurs.</t>
  </si>
  <si>
    <t>Mettre en place des audits pour évaluer les retards des processus</t>
  </si>
  <si>
    <t>Rapport de benchmark éditeur</t>
  </si>
  <si>
    <t>L'éditeur est engagé dans le développement de l'application</t>
  </si>
  <si>
    <t>Étude financière de l'éditeur</t>
  </si>
  <si>
    <t>L'éditeur a des clients satisfaits ?</t>
  </si>
  <si>
    <t>Clients insatisfaits.</t>
  </si>
  <si>
    <t>Absence de tests, entraînant des erreurs ou des dysfonctionnements.</t>
  </si>
  <si>
    <t>Analyse de stabilité financière</t>
  </si>
  <si>
    <t>L'éditeur a des clients satisfaits</t>
  </si>
  <si>
    <t>Dossier de stratégie de développement</t>
  </si>
  <si>
    <t>L'éditeur a une vision claire de l'avenir de l'application ?</t>
  </si>
  <si>
    <t>Vision d'avenir de l'application incertaine.</t>
  </si>
  <si>
    <t>Manque d’information, entraînant des malentendus ou des erreurs.</t>
  </si>
  <si>
    <t>Feuille de route de l'éditeur</t>
  </si>
  <si>
    <t>L'éditeur a une vision claire de l'avenir de l'application</t>
  </si>
  <si>
    <t>Rapport de satisfaction clients</t>
  </si>
  <si>
    <t>Un processus de mise à jour du progiciel est en place ?</t>
  </si>
  <si>
    <t>Mises à jour irrégulières, entraînant des dysfonctionnements ou des retards.</t>
  </si>
  <si>
    <t>Mettre en place des audits pour évaluer les mises à jour irrégulières</t>
  </si>
  <si>
    <t>Étude de référencement client</t>
  </si>
  <si>
    <t>Développer des plans pour réduire les dysfonctionnements des mises à jour</t>
  </si>
  <si>
    <t>S’assurer que la version du progiciel installée dans 
 l’organisation est la plus récente</t>
  </si>
  <si>
    <t>Un processus de mise à jour du progiciel est en place</t>
  </si>
  <si>
    <t>Document de vision prospective</t>
  </si>
  <si>
    <t>Les mises à jour sont testées avant leur mise en production ?</t>
  </si>
  <si>
    <t>Mises à jour non testées.</t>
  </si>
  <si>
    <t>Absence de documentation, entraînant des difficultés de suivi ou de maintenance.</t>
  </si>
  <si>
    <t>Stratégie de développement long terme</t>
  </si>
  <si>
    <t>Les mises à jour sont testées avant leur mise en production</t>
  </si>
  <si>
    <t>Politique de mise à jour</t>
  </si>
  <si>
    <t>Les utilisateurs sont informés des mises à jour ?</t>
  </si>
  <si>
    <t>Utilisateurs non informés.</t>
  </si>
  <si>
    <t>Procédure de test des mises à jour</t>
  </si>
  <si>
    <t>Les utilisateurs sont informés des mises à jour</t>
  </si>
  <si>
    <t>Plan de communication des mises à jour</t>
  </si>
  <si>
    <t>Les mises à jour sont installées régulièrement ?</t>
  </si>
  <si>
    <t>Mises à jour irrégulières.</t>
  </si>
  <si>
    <t>Calendrier des mises à jour</t>
  </si>
  <si>
    <t>Les mises à jour sont installées régulièrement</t>
  </si>
  <si>
    <t>Les mises à jour sont documentées ?</t>
  </si>
  <si>
    <t>Mises à jour non documentées.</t>
  </si>
  <si>
    <t>Guide de documentation des mises à jour</t>
  </si>
  <si>
    <t>Les mises à jour sont documentées</t>
  </si>
  <si>
    <t>Référentiel des développements spécifiques</t>
  </si>
  <si>
    <t>Les développements spécifiques sont documentés ?</t>
  </si>
  <si>
    <t>Développements spécifiques non documentés.</t>
  </si>
  <si>
    <t>Mettre en place des audits pour évaluer les fonctionnalités manquantes</t>
  </si>
  <si>
    <t>Cahier des charges des développements</t>
  </si>
  <si>
    <t>Développer des plans pour intégrer les fonctionnalités nécessaires</t>
  </si>
  <si>
    <t>S’assurer que les développements spécifiques sont bien suivis</t>
  </si>
  <si>
    <t>Les développements spécifiques sont documentés</t>
  </si>
  <si>
    <t>Matrice de compatibilité des développements</t>
  </si>
  <si>
    <t>Les développements spécifiques sont intégrés dans la version standard de l'application ?</t>
  </si>
  <si>
    <t>Développements spécifiques non intégrés.</t>
  </si>
  <si>
    <t>Absence de développements spécifiques, entraînant des fonctionnalités manquantes ou inadaptées.</t>
  </si>
  <si>
    <t>Plan d'intégration des développements</t>
  </si>
  <si>
    <t>Développer des outils pour réduire les dysfonctionnements des systèmes</t>
  </si>
  <si>
    <t>Les développements spécifiques sont intégrés dans la version standard de l'application</t>
  </si>
  <si>
    <t>Rapport de test des développements</t>
  </si>
  <si>
    <t>Les développements spécifiques sont compatibles avec les mises à jour du progiciel ?</t>
  </si>
  <si>
    <t>Développements spécifiques incompatibles.</t>
  </si>
  <si>
    <t>Incompatibilité des développements, entraînant des dysfonctionnements ou des échecs d’intégration.</t>
  </si>
  <si>
    <t>Procédure de maintenance des développements</t>
  </si>
  <si>
    <t>Les développements spécifiques sont compatibles avec les mises à jour du progiciel</t>
  </si>
  <si>
    <t>Dossier d'adhésion au club utilisateurs</t>
  </si>
  <si>
    <t>Les développements spécifiques sont testés ?</t>
  </si>
  <si>
    <t>Développements spécifiques non testés.</t>
  </si>
  <si>
    <t>Mettre en place des audits pour évaluer les pannes des applications</t>
  </si>
  <si>
    <t>Compte-rendu des contributions</t>
  </si>
  <si>
    <t>Les développements spécifiques sont testés</t>
  </si>
  <si>
    <t>Rapport d'influence sur le progiciel</t>
  </si>
  <si>
    <t>Les développements spécifiques sont maintenus ?</t>
  </si>
  <si>
    <t>Développements spécifiques non maintenus.</t>
  </si>
  <si>
    <t>Absence de maintenance, entraînant une obsolescence rapide ou des pannes.</t>
  </si>
  <si>
    <t>Mettre en place des audits pour évaluer la coordination des équipes</t>
  </si>
  <si>
    <t>Planning des réunions du club</t>
  </si>
  <si>
    <t>Développer des plans pour améliorer la communication entre les équipes</t>
  </si>
  <si>
    <t>Les développements spécifiques sont maintenus</t>
  </si>
  <si>
    <t>Registre des échanges et informations</t>
  </si>
  <si>
    <t>L'entité est membre d'un club utilisateurs actif ?</t>
  </si>
  <si>
    <t>Entité non membre.</t>
  </si>
  <si>
    <t>Entité non intégrée, entraînant une mauvaise coordination ou des malentendus.</t>
  </si>
  <si>
    <t>Mettre en place des audits pour évaluer la valeur ajoutée des projets</t>
  </si>
  <si>
    <t>Analyse des retours du club utilisateurs</t>
  </si>
  <si>
    <t>Développer des indicateurs pour mesurer l’impact des projets</t>
  </si>
  <si>
    <t>Vérifier que l’entité est membre d’un club utilisateurs</t>
  </si>
  <si>
    <t>L'entité est membre d'un club utilisateurs actif</t>
  </si>
  <si>
    <t>Stratégie de participation active</t>
  </si>
  <si>
    <t>L'entité contribue aux discussions du club utilisateurs ?</t>
  </si>
  <si>
    <t>Entité ne contribuant pas.</t>
  </si>
  <si>
    <t>Absence de contribution, entraînant un manque de valeur ajoutée ou d’impact.</t>
  </si>
  <si>
    <t>Mettre en place des audits pour évaluer la prise en compte des projets</t>
  </si>
  <si>
    <t>Tableau de bord des interactions</t>
  </si>
  <si>
    <t>Développer des plans pour améliorer l’engagement des équipes</t>
  </si>
  <si>
    <t>L'entité contribue aux discussions du club utilisateurs</t>
  </si>
  <si>
    <t>L'entité influence l'évolution du progiciel ?</t>
  </si>
  <si>
    <t>Entité n'influençant pas.</t>
  </si>
  <si>
    <t>Manque d’influence, entraînant une marginalisation ou un manque de prise en compte.</t>
  </si>
  <si>
    <t>Développer des plans pour optimiser les bénéfices des projets</t>
  </si>
  <si>
    <t>L'entité influence l'évolution du progiciel</t>
  </si>
  <si>
    <t>Matrice des opportunités d'évolution</t>
  </si>
  <si>
    <t>L'entité participe aux réunions du club utilisateurs ?</t>
  </si>
  <si>
    <t>Entité ne participant pas.</t>
  </si>
  <si>
    <t>Non-participation, entraînant un manque d’engagement ou de collaboration.</t>
  </si>
  <si>
    <t>Plan de positionnement stratégique</t>
  </si>
  <si>
    <t>L'entité participe aux réunions du club utilisateurs</t>
  </si>
  <si>
    <t>Étude comparative des versions</t>
  </si>
  <si>
    <t>L'entité bénéficie des informations et des échanges du club utilisateurs ?</t>
  </si>
  <si>
    <t>Entité ne bénéficiant pas.</t>
  </si>
  <si>
    <t>Absence de bénéfices, entraînant un retour sur investissement nul ou négatif.</t>
  </si>
  <si>
    <t>Mettre en place des audits pour évaluer les attentes non satisfaites</t>
  </si>
  <si>
    <t>Analyse des tendances du marché</t>
  </si>
  <si>
    <t>Développer des plans pour aligner les prestations sur les attentes</t>
  </si>
  <si>
    <t>L'entité bénéficie des informations et des échanges du club utilisateurs</t>
  </si>
  <si>
    <t>Rapport de prospective technologique</t>
  </si>
  <si>
    <t>Un contrat de maintenance est en place ?</t>
  </si>
  <si>
    <t>Contrat inexistant.</t>
  </si>
  <si>
    <t>Absence de contrat, entraînant des ambiguïtés ou des litiges.</t>
  </si>
  <si>
    <t>Mettre en place des audits pour évaluer les prestations inadéquates</t>
  </si>
  <si>
    <t>Dossier de stratégie d'innovation</t>
  </si>
  <si>
    <t>Développer des plans pour améliorer la qualité des prestations</t>
  </si>
  <si>
    <t>S’assurer que l’entité a un contrat de maintenance avec 
 l’éditeur</t>
  </si>
  <si>
    <t>Un contrat de maintenance est en place</t>
  </si>
  <si>
    <t>Contrat de maintenance cadre</t>
  </si>
  <si>
    <t>Le contrat de maintenance définit les niveaux de service ?</t>
  </si>
  <si>
    <t>Niveaux de service non définis.</t>
  </si>
  <si>
    <t>Niveau de service mal défini, entraînant des attentes non satisfaites ou des échecs de prestation.</t>
  </si>
  <si>
    <t>Mettre en place des audits pour évaluer les conflits potentiels</t>
  </si>
  <si>
    <t>Annexe des niveaux de service</t>
  </si>
  <si>
    <t>Développer des plans pour clarifier les responsabilités des équipes</t>
  </si>
  <si>
    <t>Le contrat de maintenance définit les niveaux de service</t>
  </si>
  <si>
    <t>Rapport périodique de revue contractuelle</t>
  </si>
  <si>
    <t>Le contrat de maintenance est régulièrement revu ?</t>
  </si>
  <si>
    <t>Contrat non revu.</t>
  </si>
  <si>
    <t>Absence de contrat, entraînant des incertitudes juridiques ou des litiges.</t>
  </si>
  <si>
    <t>Catalogue des services couverts</t>
  </si>
  <si>
    <t>Développer des plans pour réduire les désalignements des équipes</t>
  </si>
  <si>
    <t>Le contrat de maintenance est régulièrement revu</t>
  </si>
  <si>
    <t>Matrice des responsabilités contractuelles</t>
  </si>
  <si>
    <t>Le contrat de maintenance définit les services couverts ?</t>
  </si>
  <si>
    <t>Services non définis.</t>
  </si>
  <si>
    <t>Services mal définis, entraînant des prestations inadéquates ou des malentendus.</t>
  </si>
  <si>
    <t>Mettre en place des audits pour évaluer les retards de gestion</t>
  </si>
  <si>
    <t>Calendrier contractuel des échéances</t>
  </si>
  <si>
    <t>Développer des plans pour standardiser les processus de suivi</t>
  </si>
  <si>
    <t>Le contrat de maintenance définit les services couverts</t>
  </si>
  <si>
    <t>Procédure de suivi des paiements</t>
  </si>
  <si>
    <t>Le contrat de maintenance définit les responsabilités des parties ?</t>
  </si>
  <si>
    <t>Responsabilités non définies.</t>
  </si>
  <si>
    <t>Responsabilités floues, entraînant des conflits ou des retards.</t>
  </si>
  <si>
    <t>Mettre en place des audits pour évaluer les décisions contestées</t>
  </si>
  <si>
    <t>Processus de relance contractuelle</t>
  </si>
  <si>
    <t>Développer des plans pour justifier les décisions prises</t>
  </si>
  <si>
    <t>Le contrat de maintenance définit les responsabilités des parties</t>
  </si>
  <si>
    <t>Registre des justificatifs de paiement</t>
  </si>
  <si>
    <t>Avez-vous un calendrier contractuel précis et exhaustif détaillant l'ensemble des échéances de paiement ?</t>
  </si>
  <si>
    <t>Calendrier contractuel inexistant.</t>
  </si>
  <si>
    <t>Absence de calendrier contractuel, entraînant des retards ou des désalignements.</t>
  </si>
  <si>
    <t>Mettre en place des audits pour évaluer les problèmes tardifs</t>
  </si>
  <si>
    <t>Tableau de bord des alertes financières</t>
  </si>
  <si>
    <t>Développer des plans pour améliorer la détection des problèmes</t>
  </si>
  <si>
    <t>S’assurer que les redevances de maintenance sont payées dans 
 les délais</t>
  </si>
  <si>
    <t>Existence d’un calendrier contractuel des échéances de paiement</t>
  </si>
  <si>
    <t>Rapport de revue financière trimestriel</t>
  </si>
  <si>
    <t>Votre processus de suivi et de relance des paiements est-il formalisé et efficace ?</t>
  </si>
  <si>
    <t>Processus de suivi inexistant.</t>
  </si>
  <si>
    <t>Absence de processus de suivi, entraînant des dérives ou des échecs de gestion.</t>
  </si>
  <si>
    <t>Mettre en place des audits pour évaluer le contrôle des projets</t>
  </si>
  <si>
    <t>Historique des paiements de maintenance</t>
  </si>
  <si>
    <t>Développer des plans pour améliorer les revues des projets</t>
  </si>
  <si>
    <t>Mise en place d’un processus de suivi et de relance des paiements</t>
  </si>
  <si>
    <t>Matrice de résolution des problèmes de paiement</t>
  </si>
  <si>
    <t>Comment archivez-vous et rendez-vous accessibles les justificatifs de paiement ?</t>
  </si>
  <si>
    <t>Justificatifs inaccessibles.</t>
  </si>
  <si>
    <t>Justifications insuffisantes, entraînant des décisions contestées ou mal comprises.</t>
  </si>
  <si>
    <t>Mettre en place des audits pour évaluer les ambiguïtés des projets</t>
  </si>
  <si>
    <t>Tableau de suivi du respect des clauses</t>
  </si>
  <si>
    <t>Développer des plans pour clarifier les termes des projets</t>
  </si>
  <si>
    <t>Justificatifs de paiement archivés et accessibles</t>
  </si>
  <si>
    <t>Rapport de conformité contractuelle</t>
  </si>
  <si>
    <t>Disposez-vous d'un système d'alerte fiable en cas de retard ou défaut de paiement ?</t>
  </si>
  <si>
    <t>Système d'alerte non fiable.</t>
  </si>
  <si>
    <t>Système d’alerte défaillant, entraînant une détection tardive des problèmes.</t>
  </si>
  <si>
    <t>Tableau de bord des paiements</t>
  </si>
  <si>
    <t>Alertes en cas de retard ou de défaut de paiement</t>
  </si>
  <si>
    <t>Calendrier de renouvellement des contrats</t>
  </si>
  <si>
    <t>Réalisez-vous des revues périodiques approfondies des engagements financiers avec le fournisseur ?</t>
  </si>
  <si>
    <t>Revues non réalisées.</t>
  </si>
  <si>
    <t>Absence de revues, entraînant un manque de contrôle ou d’amélioration continue.</t>
  </si>
  <si>
    <t>Procédure de renouvellement contractuel</t>
  </si>
  <si>
    <t>Revue périodique des engagements financiers avec le fournisseur</t>
  </si>
  <si>
    <t>Politique de montée de version</t>
  </si>
  <si>
    <t>Une clause d'Escrow Agreement est présente dans le contrat ?</t>
  </si>
  <si>
    <t>Clause non présente.</t>
  </si>
  <si>
    <t>Clause absente, entraînant des ambiguïtés ou des litiges.</t>
  </si>
  <si>
    <t>Procédure de gestion des montées de version</t>
  </si>
  <si>
    <t>S’assurer qu’une clause dite d’ « Escrow Agreement » est 
 présente dans le contrat</t>
  </si>
  <si>
    <t>Les redevances de maintenance sont payées dans les délais</t>
  </si>
  <si>
    <t>Rapport de documentation des montées</t>
  </si>
  <si>
    <t>La clause protège les intérêts de l'entité en cas de défaillance de l'éditeur ?</t>
  </si>
  <si>
    <t>Clause ne protégeant pas.</t>
  </si>
  <si>
    <t>Clause non protectrice, entraînant des risques juridiques ou financiers.</t>
  </si>
  <si>
    <t>Mettre en place des audits pour évaluer les risques juridiques</t>
  </si>
  <si>
    <t>Dossier de tests de montée de version</t>
  </si>
  <si>
    <t>Développer des politiques pour protéger les aspects financiers</t>
  </si>
  <si>
    <t>Les problèmes de paiement sont résolus rapidement</t>
  </si>
  <si>
    <t>Plan de communication des montées</t>
  </si>
  <si>
    <t>Les conditions de la clause sont respectées ?</t>
  </si>
  <si>
    <t>Conditions non respectées.</t>
  </si>
  <si>
    <t>Conditions non respectées, entraînant des litiges ou des pénalités.</t>
  </si>
  <si>
    <t>Rapport de validation pré-production</t>
  </si>
  <si>
    <t>Développer des plans pour réduire les risques de pénalités</t>
  </si>
  <si>
    <t>Les conditions de la clause sont respectées</t>
  </si>
  <si>
    <t>Matrice d'impact des montées de version</t>
  </si>
  <si>
    <t>La clause définit les conditions de libération du code source ?</t>
  </si>
  <si>
    <t>Conditions non définies.</t>
  </si>
  <si>
    <t>Conditions mal définies, entraînant des malentendus ou des échecs d’exécution.</t>
  </si>
  <si>
    <t>Mettre en place des audits pour évaluer les malentendus d’exécution</t>
  </si>
  <si>
    <t>Procès-verbal de mise en production</t>
  </si>
  <si>
    <t>Développer des plans pour clarifier les attentes d’exécution</t>
  </si>
  <si>
    <t>Un suivi des paiements est réalisé</t>
  </si>
  <si>
    <t>Dossier de communication utilisateurs</t>
  </si>
  <si>
    <t>La clause est régulièrement revue ?</t>
  </si>
  <si>
    <t>Clause non revue.</t>
  </si>
  <si>
    <t>Clause non revue, entraînant des risques juridiques ou des engagements non tenus.</t>
  </si>
  <si>
    <t>Mettre en place des audits pour évaluer les engagements non tenus</t>
  </si>
  <si>
    <t>Document de pérennité du progiciel</t>
  </si>
  <si>
    <t>Développer des plans pour réviser les clauses des engagements</t>
  </si>
  <si>
    <t>Les contrats de maintenance sont renouvelés à temps</t>
  </si>
  <si>
    <t>Analyse de la trajectoire stratégique</t>
  </si>
  <si>
    <t>Un processus de montée de version est en place ?</t>
  </si>
  <si>
    <t>Processus inexistant.</t>
  </si>
  <si>
    <t>Rapport d'évaluation de la soutenabilité</t>
  </si>
  <si>
    <t>Vérifier que les montées de versions sont suivies</t>
  </si>
  <si>
    <t>Un processus de montée de version est en place</t>
  </si>
  <si>
    <t>Matrice d'influence sur le progiciel</t>
  </si>
  <si>
    <t>Les montées de version sont documentées ?</t>
  </si>
  <si>
    <t>Montées de version non documentées.</t>
  </si>
  <si>
    <t>Dossier de stratégie long terme de l'éditeur</t>
  </si>
  <si>
    <t>Les montées de version sont documentées</t>
  </si>
  <si>
    <t>Compte-rendu des comités stratégiques</t>
  </si>
  <si>
    <t>Les montées de version se déroulent sans problème majeur ?</t>
  </si>
  <si>
    <t>Montées de version problématiques.</t>
  </si>
  <si>
    <t>Montées de version problématiques, entraînant des dysfonctionnements ou des interruptions.</t>
  </si>
  <si>
    <t>Rapport de participation communautaire</t>
  </si>
  <si>
    <t>Les montées de version se déroulent sans problème majeur</t>
  </si>
  <si>
    <t>Registre des contributions communautaires</t>
  </si>
  <si>
    <t>Les montées de version sont testées avant leur mise en production ?</t>
  </si>
  <si>
    <t>Montées de version non testées.</t>
  </si>
  <si>
    <t>Les montées de version sont testées avant leur mise en production</t>
  </si>
  <si>
    <t>Analyse comparative des éditeurs</t>
  </si>
  <si>
    <t>Les utilisateurs sont informés des montées de version ?</t>
  </si>
  <si>
    <t>Mettre en place des audits pour évaluer les abandons des logiciels</t>
  </si>
  <si>
    <t>Rapport de positionnement sectoriel</t>
  </si>
  <si>
    <t>Développer des plans pour moderniser les logiciels obsolètes</t>
  </si>
  <si>
    <t>Les utilisateurs sont informés des montées de version</t>
  </si>
  <si>
    <t>Étude prospective du progiciel</t>
  </si>
  <si>
    <t>L'éditeur s'engage sur la pérennité du progiciel ?</t>
  </si>
  <si>
    <t>L'éditeur ne s'engage pas sur la pérennité du progiciel.</t>
  </si>
  <si>
    <t>Manque d’engagement, entraînant une obsolescence rapide ou un abandon du logiciel.</t>
  </si>
  <si>
    <t>Mettre en place des audits pour évaluer les informations disponibles</t>
  </si>
  <si>
    <t>Matrice des risques technologiques</t>
  </si>
  <si>
    <t>Développer des plans pour améliorer l’accès aux informations</t>
  </si>
  <si>
    <t>S’assurer qu’il existe des engagements et ou une visibilité 
 suffisante pour la pérennité du progiciel</t>
  </si>
  <si>
    <t>L'éditeur s'engage sur la pérennité du progiciel</t>
  </si>
  <si>
    <t>Plan de continuité technologique</t>
  </si>
  <si>
    <t>L'entité dispose d'informations suffisantes pour évaluer la pérennité du progiciel ?</t>
  </si>
  <si>
    <t>Informations insuffisantes pour évaluer la pérennité.</t>
  </si>
  <si>
    <t>Informations insuffisantes, entraînant une évaluation erronée ou incomplète.</t>
  </si>
  <si>
    <t>Dossier de gouvernance communautaire</t>
  </si>
  <si>
    <t>L'entité dispose d'informations suffisantes pour évaluer la pérennité du progiciel</t>
  </si>
  <si>
    <t>L'entité a une influence sur l'évolution du progiciel ?</t>
  </si>
  <si>
    <t>Absence d'influence sur l'évolution du progiciel.</t>
  </si>
  <si>
    <t>Manque d’influence, entraînant une marginalisation ou un manque d’impact.</t>
  </si>
  <si>
    <t>Mettre en place des audits pour évaluer l’alignement stratégique</t>
  </si>
  <si>
    <t>Rapport d'influence stratégique</t>
  </si>
  <si>
    <t>Développer des plans pour améliorer la communication stratégique</t>
  </si>
  <si>
    <t>L'entité a une influence sur l'évolution du progiciel</t>
  </si>
  <si>
    <t>Analyse des retours de la communauté</t>
  </si>
  <si>
    <t>L'éditeur communique sur sa stratégie à long terme ?</t>
  </si>
  <si>
    <t>L'éditeur ne communique pas sur sa stratégie à long terme.</t>
  </si>
  <si>
    <t>Absence de communication, entraînant un manque d’alignement stratégique.</t>
  </si>
  <si>
    <t>Mettre en place des audits pour évaluer la cohésion des équipes</t>
  </si>
  <si>
    <t>Document de vision partagée</t>
  </si>
  <si>
    <t>Développer des plans pour améliorer l’impact communautaire</t>
  </si>
  <si>
    <t>L'éditeur communique sur sa stratégie à long terme</t>
  </si>
  <si>
    <t>L'entité est impliquée dans la communauté du progiciel ?</t>
  </si>
  <si>
    <t>L'entité n'est pas impliquée dans la communauté du progiciel.</t>
  </si>
  <si>
    <t>Manque d’implication, entraînant un manque de cohésion ou d’impact communautaire.</t>
  </si>
  <si>
    <t>Organiser ou participer à des initiatives collaboratives au sein de la communauté</t>
  </si>
  <si>
    <t>Rapport de benchmark communautaire</t>
  </si>
  <si>
    <t>Mettre en place une stratégie de communication active pour valoriser son rôle dans la communauté</t>
  </si>
  <si>
    <t>L'entité est impliquée dans la communauté du progiciel</t>
  </si>
  <si>
    <t>Dossier de positionnement stratégique</t>
  </si>
  <si>
    <t>L'entité s'engage activement au sein de la communauté du progiciel?</t>
  </si>
  <si>
    <t>L'entité ne s'engage activement au sein de la communauté du progiciel</t>
  </si>
  <si>
    <t>isolation de l’entité vis-à-vis des évolutions et des bonnes pratiques</t>
  </si>
  <si>
    <t>Participer aux forums, événements et groupes d’utilisateurs du progiciel</t>
  </si>
  <si>
    <t>Synthèse prospective du progiciel</t>
  </si>
  <si>
    <t>Établir un partenariat ou une collaboration avec d’autres utilisateurs du progiciel</t>
  </si>
  <si>
    <t>Objectifs de Contrôle </t>
  </si>
  <si>
    <t>Critères d’Évaluation </t>
  </si>
  <si>
    <t xml:space="preserve">Rôle et positionnement de l'informatique dans l'organisation </t>
  </si>
  <si>
    <t xml:space="preserve"> Vérifier qu’ont été créés des Comités « informatique »
(stratégique, pilotage,..) regroupant les différentes directions de
l’Organisation en charge de recenser les besoins et les opportunités,
gérer les priorités et suivre les projets</t>
  </si>
  <si>
    <t>Existence de comités informatiques formalisés avec une composition validée</t>
  </si>
  <si>
    <t>Est-ce que des comités informatiques formalisés existent avec une composition validée ?</t>
  </si>
  <si>
    <t>PV de constitution de comité</t>
  </si>
  <si>
    <t>Absence de gouvernance claire</t>
  </si>
  <si>
    <t>Mauvaise coordination des projets SI</t>
  </si>
  <si>
    <t>Valider et diffuser la composition des comités</t>
  </si>
  <si>
    <t xml:space="preserve"> liste des membres validée</t>
  </si>
  <si>
    <t>Formaliser la création des comités par note officielle</t>
  </si>
  <si>
    <t>Définition claire des rôles et responsabilités de chaque comité</t>
  </si>
  <si>
    <t>Les rôles et responsabilités de chaque comité sont-ils clairement définis ?</t>
  </si>
  <si>
    <t>Fiches de rôle</t>
  </si>
  <si>
    <t>Confusion des missions entre les parties prenantes</t>
  </si>
  <si>
    <t>Décisions non prises ou mal exécutées</t>
  </si>
  <si>
    <t>Former les membres sur leurs responsabilités</t>
  </si>
  <si>
    <t xml:space="preserve"> charte de fonctionnement des comités</t>
  </si>
  <si>
    <t>Documenter précisément les rôles de chaque comité</t>
  </si>
  <si>
    <t>Mise en place d’un processus de recensement et de priorisation des besoins</t>
  </si>
  <si>
    <t>Un processus de recensement et de priorisation des besoins est-il en place ?</t>
  </si>
  <si>
    <t>Procédure de recensement</t>
  </si>
  <si>
    <t>Ressources mal allouées aux projets</t>
  </si>
  <si>
    <t>Projets non alignés avec les priorités stratégiques</t>
  </si>
  <si>
    <t>Définir un processus structuré de recueil des besoins</t>
  </si>
  <si>
    <t xml:space="preserve"> grille de priorisation</t>
  </si>
  <si>
    <t>Mettre en place un comité de validation des priorités</t>
  </si>
  <si>
    <t>Suivi régulier des projets avec des comptes rendus documentés</t>
  </si>
  <si>
    <t>Les projets sont-ils suivis régulièrement avec des comptes rendus documentés ?</t>
  </si>
  <si>
    <t>Comptes rendus de suivi</t>
  </si>
  <si>
    <t>Absence de pilotage continu</t>
  </si>
  <si>
    <t>Dérives budgétaires ou calendaires</t>
  </si>
  <si>
    <t>Centraliser les comptes rendus dans un référentiel</t>
  </si>
  <si>
    <t xml:space="preserve"> tableau d’avancement</t>
  </si>
  <si>
    <t>Planifier des réunions de suivi régulières</t>
  </si>
  <si>
    <t>Implication active des différentes directions dans les comités</t>
  </si>
  <si>
    <t>Les différentes directions sont-elles activement impliquées dans les comités ?</t>
  </si>
  <si>
    <t>Feuilles de présence</t>
  </si>
  <si>
    <t>Manque d’adhésion des métiers</t>
  </si>
  <si>
    <t>Difficulté à déployer les projets efficacement</t>
  </si>
  <si>
    <t>Impliquer systématiquement les directions métiers</t>
  </si>
  <si>
    <t xml:space="preserve"> relevés de décisions</t>
  </si>
  <si>
    <t>Rendre la participation obligatoire aux réunions clés</t>
  </si>
  <si>
    <t>Vérifier l’existence d’une charte informatique ou de tout autre
document définissant le rôle et le périmètre de responsabilité de la
DSI</t>
  </si>
  <si>
    <t>Disponibilité d’une charte informatique validée et diffusée</t>
  </si>
  <si>
    <t>La charte informatique est-elle validée et diffusée ?</t>
  </si>
  <si>
    <t xml:space="preserve"> preuves de diffusion</t>
  </si>
  <si>
    <t>Absence de cadre de référence partagé</t>
  </si>
  <si>
    <t>Comportements non conformes aux règles SI</t>
  </si>
  <si>
    <t>Faire valider la charte par la direction</t>
  </si>
  <si>
    <t>Version signée de la charte</t>
  </si>
  <si>
    <t>Diffuser la charte via les canaux internes</t>
  </si>
  <si>
    <t>Définition claire des rôles et responsabilités de la DSI</t>
  </si>
  <si>
    <t>Les rôles et responsabilités de la DSI sont-ils clairement définis ?</t>
  </si>
  <si>
    <t>Organigramme DSI</t>
  </si>
  <si>
    <t>Ambiguïté dans la gestion des projets</t>
  </si>
  <si>
    <t>Manque d’efficacité dans la prise de décision</t>
  </si>
  <si>
    <t>Mettre à jour les fiches de poste régulièrement</t>
  </si>
  <si>
    <t xml:space="preserve"> fiches de poste</t>
  </si>
  <si>
    <t>Définir clairement les périmètres de la DSI</t>
  </si>
  <si>
    <t>Prise en compte des exigences de conformité et de sécurité dans la charte</t>
  </si>
  <si>
    <t>Les exigences de conformité et de sécurité sont-elles prises en compte dans la charte ?</t>
  </si>
  <si>
    <t xml:space="preserve"> annexes RGPD ou sécurité</t>
  </si>
  <si>
    <t>Sanctions légales ou atteinte à la réputation</t>
  </si>
  <si>
    <t>Valider la charte avec les référents sécurité et juridique</t>
  </si>
  <si>
    <t>Charte informatique</t>
  </si>
  <si>
    <t>Intégrer les exigences légales dans la charte</t>
  </si>
  <si>
    <t>Mise à jour périodique de la charte pour refléter les évolutions technologiques</t>
  </si>
  <si>
    <t>La charte est-elle mise à jour périodiquement pour refléter les évolutions technologiques ?</t>
  </si>
  <si>
    <t>Historique des versions</t>
  </si>
  <si>
    <t>Obsolescence des règles de gestion SI</t>
  </si>
  <si>
    <t>Risques de non-pertinence ou de désuétude</t>
  </si>
  <si>
    <t>Associer la DSI et la direction juridique aux mises à jour</t>
  </si>
  <si>
    <t xml:space="preserve"> PV de mise à jour</t>
  </si>
  <si>
    <t>Mettre en place un calendrier de révision</t>
  </si>
  <si>
    <t>Communication de la charte à l’ensemble des collaborateurs concernés</t>
  </si>
  <si>
    <t>La charte est-elle communiquée à l’ensemble des collaborateurs concernés ?</t>
  </si>
  <si>
    <t>Registre des diffusions</t>
  </si>
  <si>
    <t>Méconnaissance des règles d’usage des SI</t>
  </si>
  <si>
    <t>Usage inapproprié ou non sécurisé des systèmes</t>
  </si>
  <si>
    <t>Envoyer la charte à chaque nouveau collaborateur</t>
  </si>
  <si>
    <t xml:space="preserve"> intranet d’entreprise</t>
  </si>
  <si>
    <t>Intégrer sa présentation dans les formations d’accueil</t>
  </si>
  <si>
    <t>Évaluer le degré d’implication et de maîtrise des organes de
gestion dans les systèmes d’information de l’Organisation</t>
  </si>
  <si>
    <t>Implication des organes de gestion dans les décisions stratégiques SI</t>
  </si>
  <si>
    <t>Les organes de gestion sont-ils impliqués dans les décisions stratégiques du SI ?</t>
  </si>
  <si>
    <t>PV des comités de direction</t>
  </si>
  <si>
    <t>Décalage entre stratégie SI et stratégie métier</t>
  </si>
  <si>
    <t>Faible valeur ajoutée des investissements SI</t>
  </si>
  <si>
    <t>Créer un comité de pilotage SI en lien avec la direction</t>
  </si>
  <si>
    <t xml:space="preserve"> grille de décision</t>
  </si>
  <si>
    <t>Intégrer le SI à l’agenda stratégique</t>
  </si>
  <si>
    <t>Suivi de la formation des dirigeants sur les enjeux des systèmes d’information</t>
  </si>
  <si>
    <t>Les dirigeants ont-ils reçu une formation régulière sur les enjeux des systèmes d’information ?</t>
  </si>
  <si>
    <t xml:space="preserve"> programmes de sensibilisation</t>
  </si>
  <si>
    <t>Mauvaise compréhension des risques numériques</t>
  </si>
  <si>
    <t>Décisions mal alignées avec les réalités techniques</t>
  </si>
  <si>
    <t>Organiser des sessions annuelles de sensibilisation</t>
  </si>
  <si>
    <t>Attestations de formation</t>
  </si>
  <si>
    <t>Intégrer les enjeux SI dans les séminaires de direction</t>
  </si>
  <si>
    <t>Participation active des organes de gestion dans les comités SI</t>
  </si>
  <si>
    <t>Les organes de gestion participent-ils activement aux comités SI ?</t>
  </si>
  <si>
    <t>Registres de participation</t>
  </si>
  <si>
    <t>Manque de pilotage stratégique du SI</t>
  </si>
  <si>
    <t>Décalage entre les projets et les besoins métiers</t>
  </si>
  <si>
    <t>Rendre la présence obligatoire pour les arbitrages</t>
  </si>
  <si>
    <t xml:space="preserve"> comptes rendus signés</t>
  </si>
  <si>
    <t>Partager régulièrement les résultats et indicateurs clés</t>
  </si>
  <si>
    <t>Validation des grandes orientations SI par la direction générale</t>
  </si>
  <si>
    <t>La direction générale valide-t-elle les grandes orientations du SI ?</t>
  </si>
  <si>
    <t>Plans stratégiques validés</t>
  </si>
  <si>
    <t>Projets non alignés avec les objectifs globaux</t>
  </si>
  <si>
    <t>Perte d’efficacité des investissements IT</t>
  </si>
  <si>
    <t>Soumettre les plans SI à validation annuelle</t>
  </si>
  <si>
    <t xml:space="preserve"> courriers de validation</t>
  </si>
  <si>
    <t>Impliquer la direction dans la définition des axes SI</t>
  </si>
  <si>
    <t>Mise en place d’un reporting SI pour la prise de décision des organes de gestion</t>
  </si>
  <si>
    <t>Un reporting SI est-il mis en place pour la prise de décision des organes de gestion ?</t>
  </si>
  <si>
    <t>Tableaux de bord</t>
  </si>
  <si>
    <t>Décisions prises sur des données incomplètes</t>
  </si>
  <si>
    <t>Mauvais pilotage des performances SI</t>
  </si>
  <si>
    <t>Mettre en place des indicateurs pertinents</t>
  </si>
  <si>
    <t xml:space="preserve"> rapports trimestriels</t>
  </si>
  <si>
    <t>Automatiser la production des reportings réguliers</t>
  </si>
  <si>
    <t>Vérifier en pratique que le leadership des grands projets est
assuré par les organes de gestion</t>
  </si>
  <si>
    <t>Existence d’un responsable identifié pour le pilotage des grands projets</t>
  </si>
  <si>
    <t>Un responsable est-il clairement identifié pour le pilotage des grands projets ?</t>
  </si>
  <si>
    <t>Projets sans leadership clair</t>
  </si>
  <si>
    <t>Risque d’échec ou de retard</t>
  </si>
  <si>
    <t>Documenter les responsabilités dans chaque projet</t>
  </si>
  <si>
    <t xml:space="preserve"> organigrammes projet</t>
  </si>
  <si>
    <t>Désigner un chef de projet par mission</t>
  </si>
  <si>
    <t>Suivi des projets sous l’autorité des organes de gestion avec des indicateurs définis</t>
  </si>
  <si>
    <t>Les projets sont-ils suivis sous l’autorité des organes de gestion avec des indicateurs définis ?</t>
  </si>
  <si>
    <t>Référentiel d’indicateurs</t>
  </si>
  <si>
    <t>Absence de contrôle de l’avancement</t>
  </si>
  <si>
    <t>Mauvais arbitrage ou priorisation erronée</t>
  </si>
  <si>
    <t>Définir des indicateurs communs validés</t>
  </si>
  <si>
    <t xml:space="preserve"> PV de revue de projet</t>
  </si>
  <si>
    <t>Organiser des revues de projet mensuelles</t>
  </si>
  <si>
    <t>Validation des étapes clés des projets par les instances de gouvernance</t>
  </si>
  <si>
    <t>Les étapes clés des projets sont-elles validées par les instances de gouvernance ?</t>
  </si>
  <si>
    <t>Planning validé</t>
  </si>
  <si>
    <t>Validation tardive ou inexistante</t>
  </si>
  <si>
    <t>Blocages au moment du déploiement</t>
  </si>
  <si>
    <t>Mettre en place des points de validation formels</t>
  </si>
  <si>
    <t xml:space="preserve"> jalons signés</t>
  </si>
  <si>
    <t>Impliquer les instances dans chaque jalon critique</t>
  </si>
  <si>
    <t>Coordination entre la DSI et les organes de gestion pour assurer l’alignement stratégique</t>
  </si>
  <si>
    <t>La coordination entre la DSI et les organes de gestion assure-t-elle l’alignement stratégique ?</t>
  </si>
  <si>
    <t>PV de réunion conjointe</t>
  </si>
  <si>
    <t>SI non aligné avec les orientations métiers</t>
  </si>
  <si>
    <t>Déperdition d’investissement et de performance</t>
  </si>
  <si>
    <t>Renforcer les liens entre DSI et directions métiers</t>
  </si>
  <si>
    <t xml:space="preserve"> documentation partagée</t>
  </si>
  <si>
    <t>Utiliser des outils collaboratifs de pilotage stratégique</t>
  </si>
  <si>
    <t>Mise en place d’un processus de retour d’expérience sur les projets passés</t>
  </si>
  <si>
    <t>Un processus de retour d’expérience sur les projets passés est-il mis en place ?</t>
  </si>
  <si>
    <t>Grilles de retour d’expérience</t>
  </si>
  <si>
    <t>Répétition des erreurs précédentes</t>
  </si>
  <si>
    <t>Perte d’apprentissage collectif</t>
  </si>
  <si>
    <t>Instituer des bilans obligatoires post-projet</t>
  </si>
  <si>
    <t xml:space="preserve"> rapports post-projet</t>
  </si>
  <si>
    <t>Capitaliser les bonnes pratiques dans une base dédiée</t>
  </si>
  <si>
    <t>Vérifier que les métiers assurent leur rôle de MOA</t>
  </si>
  <si>
    <t>Identification claire des rôles et responsabilités de la MOA dans les projets</t>
  </si>
  <si>
    <t>Les rôles et responsabilités de la MOA sont-ils clairement identifiés dans les projets ?</t>
  </si>
  <si>
    <t>Fiches de rôle MOA</t>
  </si>
  <si>
    <t>Flou dans la répartition des tâches projet</t>
  </si>
  <si>
    <t>Retards ou conflits dans la conduite des projets</t>
  </si>
  <si>
    <t>Clarifier les attendus dès le lancement</t>
  </si>
  <si>
    <t xml:space="preserve"> référentiel projet</t>
  </si>
  <si>
    <t>Former les équipes projets à la répartition MOA/MOE</t>
  </si>
  <si>
    <t>Participation active des métiers dans la rédaction des cahiers des charges</t>
  </si>
  <si>
    <t>Les métiers participent-ils activement à la rédaction des cahiers des charges ?</t>
  </si>
  <si>
    <t>Cahiers des charges signés</t>
  </si>
  <si>
    <t>Solutions non adaptées aux besoins utilisateurs</t>
  </si>
  <si>
    <t>Rejets ou insatisfactions à la mise en service</t>
  </si>
  <si>
    <t>Impliquer les utilisateurs clés dès la phase de conception</t>
  </si>
  <si>
    <t xml:space="preserve"> traces de validation métier</t>
  </si>
  <si>
    <t>Organiser des ateliers de recueil des besoins</t>
  </si>
  <si>
    <t>Validation des spécifications fonctionnelles par les utilisateurs métiers</t>
  </si>
  <si>
    <t>Les spécifications fonctionnelles sont-elles validées par les utilisateurs métiers ?</t>
  </si>
  <si>
    <t>Spécifications signées</t>
  </si>
  <si>
    <t>Mauvais fonctionnement des solutions livrées</t>
  </si>
  <si>
    <t>Reprise de projet ou correctifs lourds</t>
  </si>
  <si>
    <t>Valider systématiquement les spécifications métier</t>
  </si>
  <si>
    <t xml:space="preserve"> PV de validation</t>
  </si>
  <si>
    <t>Prévoir des revues intermédiaires en phase de rédaction</t>
  </si>
  <si>
    <t>Suivi des tests utilisateurs et validation des résultats avant mise en production</t>
  </si>
  <si>
    <t>Les tests utilisateurs sont-ils suivis et les résultats validés avant la mise en production ?</t>
  </si>
  <si>
    <t>Plans de tests</t>
  </si>
  <si>
    <t>Mises en production instables ou non conformes</t>
  </si>
  <si>
    <t>Réclamations post-déploiement ou incidents critiques</t>
  </si>
  <si>
    <t>Conditionner la mise en production à la validation des tests</t>
  </si>
  <si>
    <t xml:space="preserve"> comptes rendus de validation</t>
  </si>
  <si>
    <t>Structurer des campagnes de test utilisateur</t>
  </si>
  <si>
    <t>Mise en place d’un dispositif de formation et d’accompagnement des utilisateurs</t>
  </si>
  <si>
    <t>Un dispositif de formation et d’accompagnement des utilisateurs est-il mis en place ?</t>
  </si>
  <si>
    <t>Programmes de formation</t>
  </si>
  <si>
    <t>Non-appropriation des outils</t>
  </si>
  <si>
    <t>Mauvaise utilisation ou rejet des nouvelles solutions</t>
  </si>
  <si>
    <t>Prévoir une phase de formation systématique</t>
  </si>
  <si>
    <t xml:space="preserve"> feuilles d’émargement</t>
  </si>
  <si>
    <t>Adapter les supports aux profils des utilisateurs</t>
  </si>
  <si>
    <t>Planification stratégique</t>
  </si>
  <si>
    <t>Vérifier la couverture du périmètre fonctionnel</t>
  </si>
  <si>
    <t>Définition claire des processus et fonctionnalités couverts par le SI</t>
  </si>
  <si>
    <t>Les processus et fonctionnalités couverts par le SI sont-ils clairement définis ?</t>
  </si>
  <si>
    <t>Cartographie des processus</t>
  </si>
  <si>
    <t>Perte de visibilité sur les capacités du SI</t>
  </si>
  <si>
    <t>Inadéquation du SI aux besoins métiers</t>
  </si>
  <si>
    <t>Réaliser une cartographie complète et à jour des processus couverts</t>
  </si>
  <si>
    <t xml:space="preserve"> documentation fonctionnelle</t>
  </si>
  <si>
    <t>Mettre en place un processus d’actualisation périodique</t>
  </si>
  <si>
    <t>Vérification de l’adéquation entre les besoins métiers et la couverture fonctionnelle</t>
  </si>
  <si>
    <t>L’adéquation entre les besoins métiers et la couverture fonctionnelle est-elle vérifiée ?</t>
  </si>
  <si>
    <t xml:space="preserve"> rapports d’analyse fonctionnelle</t>
  </si>
  <si>
    <t>Décalage entre l’offre SI et les attentes métiers</t>
  </si>
  <si>
    <t>Baisse d’efficacité des utilisateurs</t>
  </si>
  <si>
    <t>Réaliser des ateliers de validation avec les métiers</t>
  </si>
  <si>
    <t>Études de besoins</t>
  </si>
  <si>
    <t>Instaurer une revue régulière de la couverture fonctionnelle</t>
  </si>
  <si>
    <t>Analyse des écarts entre les fonctionnalités existantes et les attentes des utilisateurs</t>
  </si>
  <si>
    <t>Les écarts entre les fonctionnalités existantes et les attentes des utilisateurs sont-ils analysés ?</t>
  </si>
  <si>
    <t>Registre des écarts fonctionnels</t>
  </si>
  <si>
    <t>Maintien de dysfonctionnements non traités</t>
  </si>
  <si>
    <t>Détérioration de la qualité de service</t>
  </si>
  <si>
    <t>Documenter systématiquement les écarts</t>
  </si>
  <si>
    <t xml:space="preserve"> compte rendus des réunions utilisateurs</t>
  </si>
  <si>
    <t>Prioriser les écarts à corriger selon leur impact</t>
  </si>
  <si>
    <t>Mise à jour régulière du périmètre fonctionnel en fonction des évolutions métiers</t>
  </si>
  <si>
    <t>Le périmètre fonctionnel est-il mis à jour régulièrement en fonction des évolutions métiers ?</t>
  </si>
  <si>
    <t xml:space="preserve"> décisions de comité de pilotage</t>
  </si>
  <si>
    <t>Obsolescence fonctionnelle du SI</t>
  </si>
  <si>
    <t>Perte d’agilité organisationnelle</t>
  </si>
  <si>
    <t>Suivre les évolutions métiers via une veille continue</t>
  </si>
  <si>
    <t>Plan d’évolution fonctionnelle</t>
  </si>
  <si>
    <t>Intégrer une mise à jour régulière du périmètre dans la gouvernance SI</t>
  </si>
  <si>
    <t>Existence d’un plan d’évolution du SI pour couvrir les nouveaux besoins</t>
  </si>
  <si>
    <t>Un plan d’évolution du SI est-il existant pour couvrir les nouveaux besoins ?</t>
  </si>
  <si>
    <t>Plan directeur SI</t>
  </si>
  <si>
    <t>Absence de vision stratégique</t>
  </si>
  <si>
    <t>Incohérence dans le développement du SI</t>
  </si>
  <si>
    <t>Communiquer et partager ce plan avec les parties prenantes</t>
  </si>
  <si>
    <t xml:space="preserve"> feuille de route technologique</t>
  </si>
  <si>
    <t>Élaborer un plan d’évolution aligné sur les objectifs métiers</t>
  </si>
  <si>
    <t>Vérifier l’existence d’une analyse à jour des procédures de
pilotage et de mise à jour du plan informatique</t>
  </si>
  <si>
    <t>Disponibilité d’un plan informatique mis à jour et validé</t>
  </si>
  <si>
    <t>Un plan informatique mis à jour et validé est-il disponible ?</t>
  </si>
  <si>
    <t>Plan informatique annuel</t>
  </si>
  <si>
    <t>Mauvais alignement entre les projets et la stratégie</t>
  </si>
  <si>
    <t>Retards ou échecs des projets SI</t>
  </si>
  <si>
    <t>Associer la direction générale à la validation du plan</t>
  </si>
  <si>
    <t>Mettre en place un processus de validation formelle</t>
  </si>
  <si>
    <t>Définition et suivi des procédures de pilotage du plan informatique</t>
  </si>
  <si>
    <t>Les procédures de pilotage du plan informatique sont-elles définies et suivies ?</t>
  </si>
  <si>
    <t>Procédures de pilotage</t>
  </si>
  <si>
    <t>Pilotage inefficace des projets</t>
  </si>
  <si>
    <t>Dérives budgétaires ou temporelles</t>
  </si>
  <si>
    <t>Assurer leur appropriation par les chefs de projets</t>
  </si>
  <si>
    <t xml:space="preserve"> indicateurs de performance</t>
  </si>
  <si>
    <t>Formaliser et diffuser les procédures de pilotage</t>
  </si>
  <si>
    <t>Mise en place d’indicateurs de suivi pour mesurer l’efficacité du plan informatique</t>
  </si>
  <si>
    <t>Des indicateurs de suivi sont-ils mis en place pour mesurer l’efficacité du plan informatique ?</t>
  </si>
  <si>
    <t>Tableau de bord SI</t>
  </si>
  <si>
    <t>Absence de mesure d’efficacité</t>
  </si>
  <si>
    <t>Impossibilité d’ajustement en temps réel</t>
  </si>
  <si>
    <t>Intégrer un suivi régulier dans les comités SI</t>
  </si>
  <si>
    <t>Définir des KPIs pertinents dès la planification</t>
  </si>
  <si>
    <t>Existence de comptes rendus de mise à jour et de revue du plan informatique</t>
  </si>
  <si>
    <t>Des comptes rendus de mise à jour et de revue du plan informatique existent-ils ?</t>
  </si>
  <si>
    <t>Comptes rendus de comités SI</t>
  </si>
  <si>
    <t>Manque de traçabilité des décisions</t>
  </si>
  <si>
    <t>Reproductions d’erreurs passées</t>
  </si>
  <si>
    <t>Imposer un calendrier de revue du plan</t>
  </si>
  <si>
    <t xml:space="preserve"> historique des révisions</t>
  </si>
  <si>
    <t>Centraliser tous les comptes rendus dans un référentiel</t>
  </si>
  <si>
    <t>Implication des parties prenantes dans la mise à jour du plan informatique</t>
  </si>
  <si>
    <t>Les parties prenantes sont-elles impliquées dans la mise à jour du plan informatique ?</t>
  </si>
  <si>
    <t>Décalage entre les besoins métiers et les orientations SI</t>
  </si>
  <si>
    <t>Rejet du plan par les métiers</t>
  </si>
  <si>
    <t>Mettre en place des ateliers de co-construction</t>
  </si>
  <si>
    <t xml:space="preserve"> PV de réunion</t>
  </si>
  <si>
    <t>Intégrer systématiquement les représentants métiers</t>
  </si>
  <si>
    <t>Vérifier l’existence des documents à jour d’urbanisme de
l’Organisation</t>
  </si>
  <si>
    <t>Existence de documents d’urbanisme SI validés et accessibles</t>
  </si>
  <si>
    <t>Des documents d’urbanisme SI validés et accessibles existent-ils ?</t>
  </si>
  <si>
    <t>Schéma directeur d’urbanisation</t>
  </si>
  <si>
    <t>Incohérences entre les briques du SI</t>
  </si>
  <si>
    <t>Complexification de la maintenance</t>
  </si>
  <si>
    <t>Valider les documents auprès des instances de gouvernance</t>
  </si>
  <si>
    <t xml:space="preserve"> cartographie applicative</t>
  </si>
  <si>
    <t>Mettre en ligne les documents dans un portail SI</t>
  </si>
  <si>
    <t>Mise à jour régulière des documents pour refléter les évolutions du SI</t>
  </si>
  <si>
    <t>Les documents sont-ils mis à jour régulièrement pour refléter les évolutions du SI ?</t>
  </si>
  <si>
    <t>Obsolescence documentaire</t>
  </si>
  <si>
    <t>Créer un référent pour l’urbanisme SI</t>
  </si>
  <si>
    <t xml:space="preserve"> dates de mise à jour</t>
  </si>
  <si>
    <t>Intégrer les mises à jour dans le cycle de projet</t>
  </si>
  <si>
    <t>Définition d’une architecture cible et d’un cadre de gouvernance SI</t>
  </si>
  <si>
    <t>Une architecture cible et un cadre de gouvernance SI sont-ils définis ?</t>
  </si>
  <si>
    <t>Modèle d’architecture cible</t>
  </si>
  <si>
    <t>Décisions non alignées</t>
  </si>
  <si>
    <t>Multiplication de solutions redondantes</t>
  </si>
  <si>
    <t>Définir formellement l’architecture cible</t>
  </si>
  <si>
    <t xml:space="preserve"> charte de gouvernance SI</t>
  </si>
  <si>
    <t>Communiquer la gouvernance SI à tous les niveaux</t>
  </si>
  <si>
    <t>Cohérence entre les documents d’urbanisme et la stratégie SI de l’organisation</t>
  </si>
  <si>
    <t>La cohérence entre les documents d’urbanisme et la stratégie SI de l’organisation est-elle assurée ?</t>
  </si>
  <si>
    <t>Cartographie SI</t>
  </si>
  <si>
    <t>Décalage entre la stratégie et les implémentations</t>
  </si>
  <si>
    <t>Perte d’efficience des projets</t>
  </si>
  <si>
    <t>Revoir la cohérence à chaque évolution majeure</t>
  </si>
  <si>
    <t xml:space="preserve"> stratégie SI validée</t>
  </si>
  <si>
    <t>Faire valider les documents d’urbanisme par le comité stratégique</t>
  </si>
  <si>
    <t>Intégration des évolutions technologiques et métiers dans l’urbanisme du SI</t>
  </si>
  <si>
    <t>Les évolutions technologiques et métiers sont-elles intégrées dans l’urbanisme du SI ?</t>
  </si>
  <si>
    <t>Feuille de route innovation</t>
  </si>
  <si>
    <t>Décrochage technologique</t>
  </si>
  <si>
    <t>Risque d’incompatibilité future</t>
  </si>
  <si>
    <t>Organiser une veille technologique structurée</t>
  </si>
  <si>
    <t xml:space="preserve"> veille technologique</t>
  </si>
  <si>
    <t>Mettre en place un processus de mise à jour continue</t>
  </si>
  <si>
    <t xml:space="preserve">Vérifier l’existence d’une analyse à jour des procédures de
pilotage et de mise à jour du plan d’occupation des sols (POS) </t>
  </si>
  <si>
    <t>Existence d’un plan d’occupation des sols (POS) mis à jour et validé</t>
  </si>
  <si>
    <t>Un plan d’occupation des sols (POS) mis à jour et validé existe-t-il ?</t>
  </si>
  <si>
    <t>POS SI</t>
  </si>
  <si>
    <t>Incohérence dans la répartition des ressources applicatives</t>
  </si>
  <si>
    <t>Problèmes de redondance ou de charge</t>
  </si>
  <si>
    <t>Établir un POS clair dès le cadrage du SI</t>
  </si>
  <si>
    <t>Le valider en comité d’urbanisme régulièrement</t>
  </si>
  <si>
    <t>Définition et application des procédures de mise à jour du POS</t>
  </si>
  <si>
    <t>Les procédures de mise à jour du POS sont-elles définies et appliquées ?</t>
  </si>
  <si>
    <t>Procédures POS</t>
  </si>
  <si>
    <t>Perte de cohérence dans le SI</t>
  </si>
  <si>
    <t>Erreurs dans l’allocation des ressources</t>
  </si>
  <si>
    <t>Documenter les procédures de mise à jour</t>
  </si>
  <si>
    <t xml:space="preserve"> journal des mises à jour</t>
  </si>
  <si>
    <t>Vérifier leur application à intervalles réguliers</t>
  </si>
  <si>
    <t>Suivi des évolutions et impact des modifications sur l’organisation</t>
  </si>
  <si>
    <t>Les évolutions et l’impact des modifications sur l’organisation sont-ils suivis ?</t>
  </si>
  <si>
    <t>Analyses d’impacts</t>
  </si>
  <si>
    <t>Mauvaise anticipation des changements</t>
  </si>
  <si>
    <t>Résistance au changement, échecs projet</t>
  </si>
  <si>
    <t>Suivre les indicateurs post-changement</t>
  </si>
  <si>
    <t xml:space="preserve"> PV des revues de changement</t>
  </si>
  <si>
    <t>Mettre en place des analyses d’impact systématiques</t>
  </si>
  <si>
    <t>Disponibilité d’indicateurs de performance et de suivi du POS</t>
  </si>
  <si>
    <t>Des indicateurs de performance et de suivi du POS sont-ils disponibles ?</t>
  </si>
  <si>
    <t>Tableaux de bord POS</t>
  </si>
  <si>
    <t>Absence de pilotage du POS</t>
  </si>
  <si>
    <t>Dysfonctionnements structurels</t>
  </si>
  <si>
    <t>Définir les indicateurs clés liés au POS</t>
  </si>
  <si>
    <t xml:space="preserve"> rapports de suivi</t>
  </si>
  <si>
    <t>Suivre leur évolution dans un comité dédié</t>
  </si>
  <si>
    <t>Validation et diffusion du POS auprès des parties prenantes concernées</t>
  </si>
  <si>
    <t>Le POS est-il validé et diffusé auprès des parties prenantes concernées ?</t>
  </si>
  <si>
    <t xml:space="preserve"> liste de diffusion</t>
  </si>
  <si>
    <t>Non-appropriation du POS</t>
  </si>
  <si>
    <t>Problèmes de gouvernance</t>
  </si>
  <si>
    <t>Assurer la diffusion via les canaux internes adaptés</t>
  </si>
  <si>
    <t>PV de validation</t>
  </si>
  <si>
    <t>Valider le POS avec les directions métiers</t>
  </si>
  <si>
    <t>Vérifier la cohérence et l’homogénéité des technologies</t>
  </si>
  <si>
    <t>Définition d’une architecture technologique homogène et cohérente</t>
  </si>
  <si>
    <t>Une architecture technologique homogène et cohérente est-elle définie ?</t>
  </si>
  <si>
    <t>Schéma d’architecture technique</t>
  </si>
  <si>
    <t>Hétérogénéité technique</t>
  </si>
  <si>
    <t>Coûts de maintenance accrus</t>
  </si>
  <si>
    <t>Définir un cadre d’architecture technique homogène</t>
  </si>
  <si>
    <t xml:space="preserve"> catalogue des technologies</t>
  </si>
  <si>
    <t>Imposer l’usage de technologies validées</t>
  </si>
  <si>
    <t>Vérification de l’interopérabilité entre les différentes technologies utilisées</t>
  </si>
  <si>
    <t>L’interopérabilité entre les différentes technologies utilisées est-elle vérifiée ?</t>
  </si>
  <si>
    <t>Rapports de tests d’interopérabilité</t>
  </si>
  <si>
    <t>Incompatibilités techniques</t>
  </si>
  <si>
    <t>Défaillances dans le fonctionnement du SI</t>
  </si>
  <si>
    <t>Intégrer l’interopérabilité dans les critères de choix</t>
  </si>
  <si>
    <t xml:space="preserve"> spécifications techniques</t>
  </si>
  <si>
    <t>Réaliser des tests d’interopérabilité avant tout déploiement</t>
  </si>
  <si>
    <t>Mise en place d’une politique de standardisation des outils et technologies</t>
  </si>
  <si>
    <t>Une politique de standardisation des outils et technologies est-elle mise en place ?</t>
  </si>
  <si>
    <t>Politique de standardisation</t>
  </si>
  <si>
    <t>Multiplication des solutions</t>
  </si>
  <si>
    <t>Risques de sécurité,  surcoûts de support</t>
  </si>
  <si>
    <t>Élaborer une politique claire et validée</t>
  </si>
  <si>
    <t xml:space="preserve"> catalogue des outils validés</t>
  </si>
  <si>
    <t>Imposer sa diffusion auprès des équipes techniques</t>
  </si>
  <si>
    <t>Évaluation régulière des technologies pour assurer leur compatibilité et leur performance</t>
  </si>
  <si>
    <t>Les technologies sont-elles évaluées régulièrement pour assurer leur compatibilité et leur performance ?</t>
  </si>
  <si>
    <t>Rapports de benchmark technologique</t>
  </si>
  <si>
    <t>Dégradation des performances SI</t>
  </si>
  <si>
    <t>Obsolescence non détectée</t>
  </si>
  <si>
    <t>Mettre à jour les outils selon les résultats des évaluations</t>
  </si>
  <si>
    <t xml:space="preserve"> audits techniques</t>
  </si>
  <si>
    <t>Intégrer des revues périodiques de performance</t>
  </si>
  <si>
    <t>Suivi des évolutions technologiques et anticipation des mises à niveau</t>
  </si>
  <si>
    <t>Les évolutions technologiques sont-elles suivies et des mises à niveau anticipées ?</t>
  </si>
  <si>
    <t>Roadmaps technologiques</t>
  </si>
  <si>
    <t>Retard dans l’innovation</t>
  </si>
  <si>
    <t>Perte de compétitivité</t>
  </si>
  <si>
    <t>Instaurer une cellule d’innovation technologique</t>
  </si>
  <si>
    <t xml:space="preserve"> budget prévisionnel</t>
  </si>
  <si>
    <t>Allouer un budget dédié aux mises à niveau</t>
  </si>
  <si>
    <t>Vérifier l’existence et l’unicité des référentiels (clients,
fournisseurs, articles…) et des saisies</t>
  </si>
  <si>
    <t>Identification et unification des référentiels de données dans le SI</t>
  </si>
  <si>
    <t>Comment les référentiels de données sont-ils identifiés et unifiés dans le SI ?</t>
  </si>
  <si>
    <t>Dictionnaire de données</t>
  </si>
  <si>
    <t>Données incohérentes ou redondantes</t>
  </si>
  <si>
    <t>Décisions erronées ou ralentissement du SI</t>
  </si>
  <si>
    <t>Élaborer un référentiel de données commun</t>
  </si>
  <si>
    <t xml:space="preserve"> schéma de gouvernance des données</t>
  </si>
  <si>
    <t>Nommer un Data Steward pour centraliser la gestion</t>
  </si>
  <si>
    <t>Mise en place d’un processus de gouvernance des référentiels (clients, fournisseurs, articles…)</t>
  </si>
  <si>
    <t>Existe-t-il un processus de gouvernance des référentiels (clients, fournisseurs, articles…) ?</t>
  </si>
  <si>
    <t>Charte de gouvernance des données</t>
  </si>
  <si>
    <t>Données incohérentes ou non fiabilisées</t>
  </si>
  <si>
    <t>Décisions stratégiques faussées et baisse de productivité</t>
  </si>
  <si>
    <t>Mettre en place un comité de gouvernance des référentiels</t>
  </si>
  <si>
    <t xml:space="preserve"> Procédures de gestion des référentiels</t>
  </si>
  <si>
    <t>Définir des règles claires de gestion et de validation des données</t>
  </si>
  <si>
    <t>Vérification de l’unicité et de la fiabilité des données référentielles</t>
  </si>
  <si>
    <t>Comment l’unicité et la fiabilité des données référentielles sont-elles vérifiées ?</t>
  </si>
  <si>
    <t>Rapports de qualité de données</t>
  </si>
  <si>
    <t>Présence de doublons ou erreurs dans les référentiels</t>
  </si>
  <si>
    <t>Perte de confiance dans les données et erreurs dans les traitements métiers</t>
  </si>
  <si>
    <t>Effectuer des audits réguliers sur les référentiels</t>
  </si>
  <si>
    <t xml:space="preserve"> Registre des doublons traités</t>
  </si>
  <si>
    <t>Mettre en œuvre des contrôles automatiques de qualité des données</t>
  </si>
  <si>
    <t>Mise en place de contrôles pour éviter la redondance et les erreurs de saisie</t>
  </si>
  <si>
    <t>Des contrôles sont-ils en place pour éviter la redondance et les erreurs de saisie des données ?</t>
  </si>
  <si>
    <t>Règles de validation dans les outils SI</t>
  </si>
  <si>
    <t>Multiplication d’entrées erronées ou redondantes</t>
  </si>
  <si>
    <t>Inefficacité dans les traitements et coûts supplémentaires de correction</t>
  </si>
  <si>
    <t>Implémenter des contrôles à la saisie et des workflows de validation</t>
  </si>
  <si>
    <t xml:space="preserve"> Logs de saisie</t>
  </si>
  <si>
    <t>Former les utilisateurs aux bonnes pratiques de saisie</t>
  </si>
  <si>
    <t>Suivi et mise à jour régulière des référentiels pour assurer leur pertinence</t>
  </si>
  <si>
    <t>Comment le suivi et la mise à jour régulière des référentiels sont-ils assurés ?</t>
  </si>
  <si>
    <t>Planning de mise à jour des référentiels</t>
  </si>
  <si>
    <t>Données obsolètes utilisées dans les traitements</t>
  </si>
  <si>
    <t>Décisions erronées et non-conformité avec les réglementations</t>
  </si>
  <si>
    <t>Nommer des responsables de chaque référentiel</t>
  </si>
  <si>
    <t xml:space="preserve"> Journal des modifications</t>
  </si>
  <si>
    <t>Planifier des cycles de mise à jour systématiques</t>
  </si>
  <si>
    <t>Budgets et coûts informatiques</t>
  </si>
  <si>
    <t>Évaluer l’organisation et les processus existants</t>
  </si>
  <si>
    <t>Vérifier l’existence d’une structure organisationnelle claire pour la gestion des budgets informatiques</t>
  </si>
  <si>
    <t>Existe-t-il une structure organisationnelle claire pour la gestion des budgets informatiques ?</t>
  </si>
  <si>
    <t>Organigramme de la DSI</t>
  </si>
  <si>
    <t>Absence de responsabilité claire</t>
  </si>
  <si>
    <t>Mauvaise allocation des ressources financières</t>
  </si>
  <si>
    <t>Définir un schéma de gouvernance budgétaire dans la DSI</t>
  </si>
  <si>
    <t xml:space="preserve"> Fiche de fonction du responsable budgétaire</t>
  </si>
  <si>
    <t>Clarifier les responsabilités au sein du service finance-SI</t>
  </si>
  <si>
    <t>S’assurer que les processus de gestion des coûts sont bien définis et documentés</t>
  </si>
  <si>
    <t>Les processus de gestion des coûts sont-ils bien définis et documentés ?</t>
  </si>
  <si>
    <t>Procédure de gestion budgétaire</t>
  </si>
  <si>
    <t>Coûts mal maîtrisés ou non justifiables</t>
  </si>
  <si>
    <t>Dépassements budgétaires non détectés</t>
  </si>
  <si>
    <t>Documenter tous les processus liés aux dépenses SI</t>
  </si>
  <si>
    <t xml:space="preserve"> Manuel de contrôle de gestion</t>
  </si>
  <si>
    <t>Intégrer des outils de suivi budgétaire automatisé</t>
  </si>
  <si>
    <t>Évaluer la clarté et la transparence des responsabilités dans la gestion du budget informatique</t>
  </si>
  <si>
    <t>Quelle est la clarté et la transparence des responsabilités dans la gestion du budget informatique ?</t>
  </si>
  <si>
    <t>RACI budgétaire</t>
  </si>
  <si>
    <t>Flou organisationnel sur la répartition budgétaire</t>
  </si>
  <si>
    <t>Conflits entre services,  absence de pilotage précis</t>
  </si>
  <si>
    <t>Mettre en place une matrice RACI validée par la DSI</t>
  </si>
  <si>
    <t xml:space="preserve"> Tableaux de répartition des responsabilités</t>
  </si>
  <si>
    <t>Organiser des réunions régulières avec les parties prenantes concernées</t>
  </si>
  <si>
    <t>Vérifier si des contrôles internes sont en place pour surveiller la conformité des dépenses informatiques avec les budgets alloués</t>
  </si>
  <si>
    <t>Des contrôles internes sont-ils en place pour surveiller la conformité des dépenses informatiques avec les budgets alloués?</t>
  </si>
  <si>
    <t>Rapports de contrôle interne</t>
  </si>
  <si>
    <t>Non-respect des budgets prévisionnels</t>
  </si>
  <si>
    <t>Pertes financières et justification difficile devant la direction</t>
  </si>
  <si>
    <t>Réaliser des contrôles budgétaires mensuels</t>
  </si>
  <si>
    <t xml:space="preserve"> Audits budgétaires</t>
  </si>
  <si>
    <t>Définir des seuils d’alerte pour les dépassements</t>
  </si>
  <si>
    <t>S’assurer que les processus sont régulièrement réévalués et améliorés pour garantir leur efficacité</t>
  </si>
  <si>
    <t>Les processus sont-ils régulièrement réévalués et améliorés pour garantir leur efficacité ?</t>
  </si>
  <si>
    <t>Revues de processus</t>
  </si>
  <si>
    <t>Obsolescence ou inefficacité des processus</t>
  </si>
  <si>
    <t>Coûts excessifs ou non pertinents pour l’activité</t>
  </si>
  <si>
    <t>Mettre en place un processus d’amélioration continue</t>
  </si>
  <si>
    <t xml:space="preserve"> Comptes rendus de réunions d’amélioration continue</t>
  </si>
  <si>
    <t>Associer des indicateurs de performance aux processus budgétaires</t>
  </si>
  <si>
    <t>Vérifier l’existence des ratios et des éléments de benchmark
(interne et/ou externe, ratio coûts/CA, …)</t>
  </si>
  <si>
    <t>Vérifier que des ratios de coûts/CA sont utilisés pour analyser la rentabilité des investissements informatiques</t>
  </si>
  <si>
    <t>Les ratios de coûts/CA sont-ils utilisés pour analyser la rentabilité des investissements informatiques ?</t>
  </si>
  <si>
    <t>Tableaux de bord financiers</t>
  </si>
  <si>
    <t>Investissements non alignés avec les résultats</t>
  </si>
  <si>
    <t>Perte de valeur perçue des investissements SI</t>
  </si>
  <si>
    <t>Comparer les résultats aux standards du secteur</t>
  </si>
  <si>
    <t xml:space="preserve"> Rapports de rentabilité SI</t>
  </si>
  <si>
    <t>Calculer et analyser régulièrement les ratios pertinents</t>
  </si>
  <si>
    <t>S’assurer que des benchmarks internes sont définis pour comparer les coûts informatiques entre différents départements</t>
  </si>
  <si>
    <t>Des benchmarks internes sont-ils définis pour comparer les coûts informatiques entre différents départements ?</t>
  </si>
  <si>
    <t>Tableaux comparatifs des dépenses</t>
  </si>
  <si>
    <t>Incohérences budgétaires entre services</t>
  </si>
  <si>
    <t>Difficultés à identifier les leviers d’optimisation</t>
  </si>
  <si>
    <t>Établir des indicateurs de coût par département</t>
  </si>
  <si>
    <t xml:space="preserve"> Rapports de benchmark interne</t>
  </si>
  <si>
    <t>Harmoniser les pratiques de gestion des coûts</t>
  </si>
  <si>
    <t>Vérifier l’existence de benchmarks externes permettant de comparer les coûts informatiques avec ceux du secteur</t>
  </si>
  <si>
    <t>Existe-t-il des benchmarks externes permettant de comparer les coûts informatiques avec ceux du secteur ?</t>
  </si>
  <si>
    <t>Études de marché IT</t>
  </si>
  <si>
    <t>Dépenses excessives par rapport au marché</t>
  </si>
  <si>
    <t>Image dégradée de la gestion SI,  perte de compétitivité</t>
  </si>
  <si>
    <t>Utiliser les résultats pour ajuster les stratégies de coût</t>
  </si>
  <si>
    <t xml:space="preserve"> Rapports d’audit externe</t>
  </si>
  <si>
    <t>Participer à des études de benchmark sectoriel</t>
  </si>
  <si>
    <t>Vérifier l’utilisation des données de benchmarks pour ajuster les prévisions budgétaires et optimiser les coûts</t>
  </si>
  <si>
    <t>Les données de benchmarks sont-elles utilisées pour ajuster les prévisions budgétaires et optimiser les coûts ?</t>
  </si>
  <si>
    <t>Plan budgétaire annuel</t>
  </si>
  <si>
    <t>Mauvaise adaptation budgétaire aux réalités du marché</t>
  </si>
  <si>
    <t>Budget mal calibré et gaspillage de ressources</t>
  </si>
  <si>
    <t>Intégrer les données de benchmark dans les cycles budgétaires</t>
  </si>
  <si>
    <t xml:space="preserve"> Présentations stratégiques</t>
  </si>
  <si>
    <t>Impliquer la direction financière dans l’analyse des écarts</t>
  </si>
  <si>
    <t>S’assurer que ces ratios et benchmarks sont régulièrement mis à jour pour refléter les évolutions du marché</t>
  </si>
  <si>
    <t>Ces ratios et benchmarks sont-ils régulièrement mis à jour pour refléter les évolutions du marché ?</t>
  </si>
  <si>
    <t>Fréquence de mise à jour des benchmarks</t>
  </si>
  <si>
    <t>Prise de décision basée sur des données obsolètes</t>
  </si>
  <si>
    <t>Mauvaise réactivité stratégique</t>
  </si>
  <si>
    <t>Associer les mises à jour à la révision budgétaire</t>
  </si>
  <si>
    <t xml:space="preserve"> Documents d’actualisation</t>
  </si>
  <si>
    <t>Prévoir un calendrier de mise à jour annuelle</t>
  </si>
  <si>
    <t>Vérifier l’existence et la mise à jour d’un processus de suivi des coûts informatiques sur la base du budget prévisionnel</t>
  </si>
  <si>
    <t>S’assurer qu’un suivi mensuel ou trimestriel des coûts informatiques est effectué</t>
  </si>
  <si>
    <t>Un suivi mensuel ou trimestriel des coûts informatiques est-il effectué ?</t>
  </si>
  <si>
    <t>Rapports financiers périodiques</t>
  </si>
  <si>
    <t>Absence de visibilité sur les coûts réels</t>
  </si>
  <si>
    <t>Réactions tardives aux dérives budgétaires</t>
  </si>
  <si>
    <t>Organiser un reporting financier périodique</t>
  </si>
  <si>
    <t xml:space="preserve"> Tableaux de suivi des dépenses</t>
  </si>
  <si>
    <t>Intégrer ce reporting dans les comités de pilotage</t>
  </si>
  <si>
    <t>Vérifier que les dépenses réelles sont comparées aux prévisions budgétaires et les écarts analysés</t>
  </si>
  <si>
    <t>Les dépenses réelles sont-elles comparées aux prévisions budgétaires et les écarts analysés ?</t>
  </si>
  <si>
    <t>Analyse des écarts budgétaires</t>
  </si>
  <si>
    <t>Absence de mesures correctives</t>
  </si>
  <si>
    <t>Poursuite de tendances budgétaires inefficaces</t>
  </si>
  <si>
    <t>Prendre des mesures dès le premier dépassement</t>
  </si>
  <si>
    <t xml:space="preserve"> Historique des dépenses</t>
  </si>
  <si>
    <t>Mettre en place des analyses d’écarts systématiques</t>
  </si>
  <si>
    <t>S’assurer que des rapports financiers sont générés régulièrement pour suivre l’évolution des coûts informatiques</t>
  </si>
  <si>
    <t>Des rapports financiers sont-ils générés régulièrement pour suivre l’évolution des coûts informatiques ?</t>
  </si>
  <si>
    <t>Rapports mensuels</t>
  </si>
  <si>
    <t>Manque de transparence financière</t>
  </si>
  <si>
    <t>Perte de contrôle des budgets SI</t>
  </si>
  <si>
    <t>Générer automatiquement les rapports via un outil de BI</t>
  </si>
  <si>
    <t xml:space="preserve"> Tableaux de suivi</t>
  </si>
  <si>
    <t>Partager les résultats avec les équipes projet et finance</t>
  </si>
  <si>
    <t>Vérifier que des actions correctives sont prises en cas de dépassement budgétaire</t>
  </si>
  <si>
    <t>Des actions correctives sont-elles prises en cas de dépassement budgétaire ?</t>
  </si>
  <si>
    <t xml:space="preserve"> Plans d’action correctifs</t>
  </si>
  <si>
    <t>Accumulation de dépenses non contrôlées</t>
  </si>
  <si>
    <t>Crise budgétaire et remise en question des projets</t>
  </si>
  <si>
    <t>Définir des scénarios de redressement financier</t>
  </si>
  <si>
    <t>Comptes rendus de comités budgétaires</t>
  </si>
  <si>
    <t>Mettre en place une cellule de crise budgétaire en cas de dépassement significatif</t>
  </si>
  <si>
    <t>Vérifier que les responsables de la gestion des coûts ont accès à des informations financières claires et actualisées</t>
  </si>
  <si>
    <t>Les responsables de la gestion des coûts ont-ils accès à des informations financières claires et actualisées ?</t>
  </si>
  <si>
    <t>Accès aux outils financiers</t>
  </si>
  <si>
    <t>Mauvaise réactivité face aux anomalies budgétaires</t>
  </si>
  <si>
    <t>Prises de décision retardées ou inefficaces</t>
  </si>
  <si>
    <t>Garantir l’accès sécurisé et permanent aux données financières</t>
  </si>
  <si>
    <t xml:space="preserve"> Formation utilisateurs</t>
  </si>
  <si>
    <t>Former les responsables aux outils de reporting</t>
  </si>
  <si>
    <t>S’assurer que les coûts informatiques sont correctement alloués et répartis entre les différents services et projets</t>
  </si>
  <si>
    <t>Vérifier que les coûts sont attribués de manière transparente et équitable entre les différents services de l’entreprise</t>
  </si>
  <si>
    <t>Les coûts sont-ils attribués de manière transparente et équitable entre les différents services de l’entreprise ?</t>
  </si>
  <si>
    <t>Clé de répartition des coûts</t>
  </si>
  <si>
    <t>Perception d’injustice entre les départements</t>
  </si>
  <si>
    <t>Résistance à la politique budgétaire</t>
  </si>
  <si>
    <t>Définir une méthodologie d’allocation validée en comité</t>
  </si>
  <si>
    <t xml:space="preserve"> Notes de ventilation budgétaire</t>
  </si>
  <si>
    <t>Communiquer régulièrement sur les règles d’attribution</t>
  </si>
  <si>
    <t>S’assurer que des mécanismes sont en place pour justifier la répartition des coûts entre les différents projets</t>
  </si>
  <si>
    <t>Des mécanismes sont-ils en place pour justifier la répartition des coûts entre les différents projets ?</t>
  </si>
  <si>
    <t>Tableaux de ventilation par projet</t>
  </si>
  <si>
    <t>Manque de justification des dépenses par projet</t>
  </si>
  <si>
    <t>Difficulté de pilotage des coûts projets</t>
  </si>
  <si>
    <t>Documenter et valider la clé de répartition par projet</t>
  </si>
  <si>
    <t xml:space="preserve"> Procédure d’imputation</t>
  </si>
  <si>
    <t>Effectuer des revues budgétaires par projet</t>
  </si>
  <si>
    <t>Vérifier que les projets sont budgétisés séparément et que les coûts sont suivis au niveau de chaque projet</t>
  </si>
  <si>
    <t>Les projets sont-ils budgétisés séparément et les coûts suivis au niveau de chaque projet ?</t>
  </si>
  <si>
    <t>Budgets projet</t>
  </si>
  <si>
    <t>Mélange de coûts rendant le suivi complexe</t>
  </si>
  <si>
    <t>Surcoûts mal identifiés,  difficulté d’arbitrage</t>
  </si>
  <si>
    <t>Créer une fiche budgétaire par projet</t>
  </si>
  <si>
    <t xml:space="preserve"> Tableaux de bord projet</t>
  </si>
  <si>
    <t>Utiliser des outils de suivi financier par projet</t>
  </si>
  <si>
    <t>S’assurer que des rapports sur l’allocation des coûts sont partagés avec les parties prenantes concernées</t>
  </si>
  <si>
    <t>Des rapports sur l’allocation des coûts sont-ils partagés avec les parties prenantes concernées ?</t>
  </si>
  <si>
    <t>Rapports de gestion</t>
  </si>
  <si>
    <t>Non-implication des parties prenantes</t>
  </si>
  <si>
    <t>Méfiance envers la gestion financière de la DSI</t>
  </si>
  <si>
    <t>Intégrer les rapports de coût dans les comités projets</t>
  </si>
  <si>
    <t xml:space="preserve"> Procès-verbaux de réunion</t>
  </si>
  <si>
    <t>Rendre les rapports disponibles sur un espace partagé</t>
  </si>
  <si>
    <t>Vérifier l’existence d’une méthode de calcul permettant d’affecter les coûts indirects de manière équitable entre les différents services</t>
  </si>
  <si>
    <t>Existe-t-il une méthode de calcul permettant d’affecter les coûts indirects de manière équitable entre les différents services ?</t>
  </si>
  <si>
    <t xml:space="preserve"> Notes explicatives de calcul</t>
  </si>
  <si>
    <t>Affectation arbitraire des charges</t>
  </si>
  <si>
    <t>Injustice perçue,conflits internes</t>
  </si>
  <si>
    <t>Définir une méthode validée avec les parties prenantes</t>
  </si>
  <si>
    <t>Méthodologie d’allocation des coûts indirects</t>
  </si>
  <si>
    <t>Réévaluer la méthode chaque année selon l’évolution de l’organisation</t>
  </si>
  <si>
    <t>Évaluer la rentabilité des investissements informatiques par rapport aux résultats obtenus (ROI - Retour sur Investissement).</t>
  </si>
  <si>
    <t>Vérifier l’existence d’un processus d’évaluation de la rentabilité des investissements informatiques</t>
  </si>
  <si>
    <t>Existe-t-il un processus d’évaluation de la rentabilité des investissements informatiques ?</t>
  </si>
  <si>
    <t>Procédure d’évaluation ROI</t>
  </si>
  <si>
    <t>Mauvais arbitrage des investissements</t>
  </si>
  <si>
    <t>Perte de valeur pour l’organisation</t>
  </si>
  <si>
    <t>Impliquer les parties prenantes dans l’analyse financière</t>
  </si>
  <si>
    <t xml:space="preserve"> dossier de cadrage projet</t>
  </si>
  <si>
    <t>Mettre en place un processus formalisé d’évaluation ROI</t>
  </si>
  <si>
    <t>S’assurer que des analyses de ROI sont réalisées avant chaque projet majeur</t>
  </si>
  <si>
    <t>Les analyses de ROI sont-elles réalisées avant chaque projet majeur ?</t>
  </si>
  <si>
    <t>Études de faisabilité</t>
  </si>
  <si>
    <t>Lancements de projets non rentables</t>
  </si>
  <si>
    <t>Gaspillage des ressources</t>
  </si>
  <si>
    <t>Archiver systématiquement les résultats d’analyse</t>
  </si>
  <si>
    <t xml:space="preserve"> rapports d’analyse de rentabilité</t>
  </si>
  <si>
    <t>Rendre obligatoire l’analyse ROI avant validation</t>
  </si>
  <si>
    <t>Vérifier que les critères de rentabilité sont clairement définis et mesurables</t>
  </si>
  <si>
    <t>Les critères de rentabilité sont-ils clairement définis et mesurables ?</t>
  </si>
  <si>
    <t>Grille d’indicateurs ROI</t>
  </si>
  <si>
    <t>Ambiguïté dans la sélection des projets</t>
  </si>
  <si>
    <t>Résultats non alignés avec les objectifs</t>
  </si>
  <si>
    <t>Normaliser les critères d’analyse ROI</t>
  </si>
  <si>
    <t xml:space="preserve"> documentation de sélection de projets</t>
  </si>
  <si>
    <t>Utiliser des indicateurs SMART pour l’évaluation</t>
  </si>
  <si>
    <t>Vérifier que des suivis de la rentabilité sont effectués après la mise en œuvre des projets</t>
  </si>
  <si>
    <t>Un suivi de la rentabilité est-il effectué après la mise en œuvre des projets ?</t>
  </si>
  <si>
    <t>Rapport post-implémentation</t>
  </si>
  <si>
    <t>Absence de retour d’expérience économique</t>
  </si>
  <si>
    <t>Difficulté à améliorer les pratiques futures</t>
  </si>
  <si>
    <t>Intégrer le suivi ROI dans la clôture de projet</t>
  </si>
  <si>
    <t xml:space="preserve"> bilan de projet</t>
  </si>
  <si>
    <t>Mettre à jour les modèles de prévision à partir des résultats</t>
  </si>
  <si>
    <t>S’assurer que les résultats des analyses de ROI sont partagés avec les parties prenantes pour améliorer la prise de décision future</t>
  </si>
  <si>
    <t>Les résultats des analyses de ROI sont-ils partagés avec les parties prenantes pour améliorer la prise de décision future ?</t>
  </si>
  <si>
    <t>Comptes rendus de comités</t>
  </si>
  <si>
    <t>Répétition d’erreurs dans les décisions</t>
  </si>
  <si>
    <t>Faible apprentissage organisationnel</t>
  </si>
  <si>
    <t>Intégrer la restitution ROI dans les comités SI</t>
  </si>
  <si>
    <t xml:space="preserve"> présentations ROI</t>
  </si>
  <si>
    <t>Mettre en place une base documentaire partagée</t>
  </si>
  <si>
    <t>Mesure et suivi de la performance informatique</t>
  </si>
  <si>
    <t>Vérifier que des objectifs de court, moyen et long termes
existent et sont assignés à la DSI (approche BSC ?) et que ces
objectifs sont déclinés au sein de l’entité</t>
  </si>
  <si>
    <t>Existence d’une définition claire des objectifs stratégiques, tactiques et opérationnels de la DSI</t>
  </si>
  <si>
    <t>L’existence d’une définition claire des objectifs stratégiques, tactiques et opérationnels de la DSI est-elle vérifiée ?</t>
  </si>
  <si>
    <t>Plan stratégique DSI</t>
  </si>
  <si>
    <t>Perte d’alignement avec la stratégie globale</t>
  </si>
  <si>
    <t>Efforts incohérents entre les équipes</t>
  </si>
  <si>
    <t>Réviser régulièrement les objectifs en fonction de l’environnement</t>
  </si>
  <si>
    <t xml:space="preserve"> documentation des objectifs</t>
  </si>
  <si>
    <t>Documenter et diffuser la déclinaison des objectifs</t>
  </si>
  <si>
    <t>Alignement des objectifs de la DSI avec la stratégie globale de l’organisation</t>
  </si>
  <si>
    <t>Les objectifs de la DSI sont-ils alignés avec la stratégie globale de l’organisation ?</t>
  </si>
  <si>
    <t xml:space="preserve"> feuille de route DSI</t>
  </si>
  <si>
    <t>Décalage entre initiatives SI et enjeux métiers</t>
  </si>
  <si>
    <t>Faible contribution du SI à la performance globale</t>
  </si>
  <si>
    <t>Évaluer régulièrement l’alignement stratégique</t>
  </si>
  <si>
    <t>Stratégie d’entreprise</t>
  </si>
  <si>
    <t>Réaliser des ateliers de co-construction DSI/métiers</t>
  </si>
  <si>
    <t>Déclinaison des objectifs en plans d’action concrets et mesurables au sein des équipes</t>
  </si>
  <si>
    <t>Les objectifs sont-ils déclinés en plans d’action concrets et mesurables au sein des équipes ?</t>
  </si>
  <si>
    <t>Plan d’action DSI</t>
  </si>
  <si>
    <t>Difficulté de mise en œuvre</t>
  </si>
  <si>
    <t>Suivi inefficace des résultats</t>
  </si>
  <si>
    <t>Suivre l’avancement via des outils de pilotage</t>
  </si>
  <si>
    <t xml:space="preserve"> fiches de mission</t>
  </si>
  <si>
    <t>Définir des KPI associés aux objectifs</t>
  </si>
  <si>
    <t>Utilisation du Balanced Scorecard (BSC) ou d’un autre cadre pour structurer les objectifs</t>
  </si>
  <si>
    <t>Utilisez-vous le Balanced Scorecard (BSC) ou un autre cadre pour structurer les objectifs ?</t>
  </si>
  <si>
    <t>Modèle BSC</t>
  </si>
  <si>
    <t>Manque de structuration des objectifs</t>
  </si>
  <si>
    <t>Faible visibilité sur la performance</t>
  </si>
  <si>
    <t>Adopter un cadre structurant (ex : BSC,  OKR)</t>
  </si>
  <si>
    <t xml:space="preserve"> tableaux de bord DSI</t>
  </si>
  <si>
    <t>Former les équipes à l’usage de ces cadres</t>
  </si>
  <si>
    <t>Suivi régulier et ajustement des objectifs en fonction des évolutions internes et externes</t>
  </si>
  <si>
    <t>Les objectifs sont-ils régulièrement suivis et ajustés en fonction des évolutions internes et externes ?</t>
  </si>
  <si>
    <t>Revue des objectifs</t>
  </si>
  <si>
    <t>Obsolescence des priorités</t>
  </si>
  <si>
    <t>Décalage avec les besoins réels</t>
  </si>
  <si>
    <t>Associer les métiers aux ajustements</t>
  </si>
  <si>
    <t xml:space="preserve"> compte rendu de réunion stratégique</t>
  </si>
  <si>
    <t>Organiser des revues périodiques d’objectifs</t>
  </si>
  <si>
    <t>Vérifier l’existence d’un comité informatique regroupant les
différentes directions de l’organisation</t>
  </si>
  <si>
    <t>Existence d’un comité informatique formellement constitué avec un mandat clair</t>
  </si>
  <si>
    <t>Un comité informatique formellement constitué avec un mandat clair existe-t-il ?</t>
  </si>
  <si>
    <t>Charte du comité</t>
  </si>
  <si>
    <t>Pilotage SI non structuré</t>
  </si>
  <si>
    <t>Prises de décision inefficaces</t>
  </si>
  <si>
    <t>Rédiger une charte claire des comités</t>
  </si>
  <si>
    <t xml:space="preserve"> procès-verbaux de constitution</t>
  </si>
  <si>
    <t>Formaliser leur composition et leur rôle</t>
  </si>
  <si>
    <t>Participation active des différentes directions et parties prenantes clés</t>
  </si>
  <si>
    <t>Les différentes directions et parties prenantes clés participent-elles activement ?</t>
  </si>
  <si>
    <t>Liste de membres</t>
  </si>
  <si>
    <t>Représentation partielle des besoins</t>
  </si>
  <si>
    <t>Projets mal orientés ou rejetés</t>
  </si>
  <si>
    <t>Assurer l’implication de toutes les directions clés</t>
  </si>
  <si>
    <t xml:space="preserve"> procès-verbaux de réunion</t>
  </si>
  <si>
    <t>Suivre la participation effective des membres</t>
  </si>
  <si>
    <t>Définition et suivi des missions et responsabilités du comité</t>
  </si>
  <si>
    <t>Les missions et responsabilités du comité sont-elles définies et suivies ?</t>
  </si>
  <si>
    <t>Termes de référence</t>
  </si>
  <si>
    <t>Confusion sur les attributions</t>
  </si>
  <si>
    <t>Perte de temps et conflits de gouvernance</t>
  </si>
  <si>
    <t>Clarifier les responsabilités dans une charte</t>
  </si>
  <si>
    <t xml:space="preserve"> plan d’action du comité</t>
  </si>
  <si>
    <t>Communiquer le périmètre d’action aux équipes</t>
  </si>
  <si>
    <t>Tenue régulière des réunions et archivage des comptes rendus</t>
  </si>
  <si>
    <t>Les réunions du comité sont-elles tenues régulièrement et les comptes rendus archivés ?</t>
  </si>
  <si>
    <t>Calendrier de réunion</t>
  </si>
  <si>
    <t>Manque de continuité dans le pilotage</t>
  </si>
  <si>
    <t>Décisions non suivies ni documentées</t>
  </si>
  <si>
    <t>Planifier un calendrier annuel</t>
  </si>
  <si>
    <t xml:space="preserve"> comptes rendus archivés</t>
  </si>
  <si>
    <t>Assurer une traçabilité numérique des décisions</t>
  </si>
  <si>
    <t>Prise en compte des décisions du comité dans la gestion du SI</t>
  </si>
  <si>
    <t>Les décisions du comité sont-elles prises en compte dans la gestion du SI ?</t>
  </si>
  <si>
    <t>Feuille de route SI</t>
  </si>
  <si>
    <t>Rupture entre gouvernance et exécution</t>
  </si>
  <si>
    <t>Désengagement des parties prenantes</t>
  </si>
  <si>
    <t>Intégrer les décisions dans les plans opérationnels</t>
  </si>
  <si>
    <t xml:space="preserve"> suivi des décisions</t>
  </si>
  <si>
    <t>Mettre en place un suivi d’exécution des décisions</t>
  </si>
  <si>
    <t>Évaluer la pertinence des indicateurs de qualité et de
performance ainsi que les moyens et outils de mesure</t>
  </si>
  <si>
    <t>Définition et documentation des indicateurs de performance et de qualité</t>
  </si>
  <si>
    <t>Les indicateurs de performance et de qualité sont-ils définis et documentés ?</t>
  </si>
  <si>
    <t>Catalogue des KPI</t>
  </si>
  <si>
    <t>Difficulté à mesurer l’efficience SI</t>
  </si>
  <si>
    <t>Absence de pilotage par la performance</t>
  </si>
  <si>
    <t>Élaborer un référentiel de KPI structuré</t>
  </si>
  <si>
    <t xml:space="preserve"> charte qualité</t>
  </si>
  <si>
    <t>Associer les indicateurs à chaque objectif DSI</t>
  </si>
  <si>
    <t>Alignement des indicateurs avec les objectifs stratégiques et opérationnels</t>
  </si>
  <si>
    <t>Les indicateurs sont-ils alignés avec les objectifs stratégiques et opérationnels ?</t>
  </si>
  <si>
    <t>Données peu pertinentes pour le pilotage</t>
  </si>
  <si>
    <t>Mauvaise prise de décision</t>
  </si>
  <si>
    <t>Réaliser une cartographie des indicateurs</t>
  </si>
  <si>
    <t xml:space="preserve"> fiches d’objectifs</t>
  </si>
  <si>
    <t>Revoir régulièrement leur pertinence</t>
  </si>
  <si>
    <t>Utilisation de méthodes et outils fiables pour la mesure des performances</t>
  </si>
  <si>
    <t>Des méthodes et outils fiables sont-ils utilisés pour la mesure des performances ?</t>
  </si>
  <si>
    <t>Outils de BI</t>
  </si>
  <si>
    <t>Données erronées ou non consolidées</t>
  </si>
  <si>
    <t>Rapports faussés,  actions inefficaces</t>
  </si>
  <si>
    <t>Former les équipes aux outils de mesure</t>
  </si>
  <si>
    <t xml:space="preserve"> outils de monitoring</t>
  </si>
  <si>
    <t>Utiliser des solutions éprouvées et certifiées</t>
  </si>
  <si>
    <t>Mise en place d’un processus de revue et d’amélioration continue des indicateurs</t>
  </si>
  <si>
    <t>Un processus de revue et d’amélioration continue des indicateurs est-il mis en place ?</t>
  </si>
  <si>
    <t>Procédure d’audit KPI</t>
  </si>
  <si>
    <t>KPI obsolètes ou inadéquats</t>
  </si>
  <si>
    <t>Perte de pertinence du pilotage</t>
  </si>
  <si>
    <t>Intégrer l’évaluation des indicateurs dans les comités</t>
  </si>
  <si>
    <t xml:space="preserve"> calendrier des revues</t>
  </si>
  <si>
    <t>Mettre à jour les KPI selon les retours d’expérience</t>
  </si>
  <si>
    <t>Suivi et analyse des résultats pour ajuster les stratégies SI</t>
  </si>
  <si>
    <t>Les résultats sont-ils suivis et analysés pour ajuster les stratégies SI ?</t>
  </si>
  <si>
    <t>Rapports d’analyse</t>
  </si>
  <si>
    <t>Décalage entre actions et résultats</t>
  </si>
  <si>
    <t>Inefficacité prolongée</t>
  </si>
  <si>
    <t>Mettre en place des boucles de feedback régulières</t>
  </si>
  <si>
    <t xml:space="preserve"> procès-verbaux des comités</t>
  </si>
  <si>
    <t>Adapter la stratégie en fonction des résultats observés</t>
  </si>
  <si>
    <t>Vérifier que la DSI tient un tableau de bord (idéalement de type
BSC) permettant un suivi consolidé de la performance (opérationnelle
et financière) et de la qualité des prestations informatiques</t>
  </si>
  <si>
    <t>Existence et mise à jour régulière d’un tableau de bord de la DSI</t>
  </si>
  <si>
    <t>Un tableau de bord de la DSI existe-t-il et est-il mis à jour régulièrement ?</t>
  </si>
  <si>
    <t>Perte de visibilité sur les performances</t>
  </si>
  <si>
    <t>Retard dans les ajustements stratégiques</t>
  </si>
  <si>
    <t>Contrôler leur diffusion aux décideurs</t>
  </si>
  <si>
    <t xml:space="preserve"> historique de mises à jour</t>
  </si>
  <si>
    <t>Automatiser la mise à jour des tableaux</t>
  </si>
  <si>
    <t>Prise en compte des dimensions opérationnelle, financière et qualité des services SI</t>
  </si>
  <si>
    <t>Les dimensions opérationnelle, financière et qualité des services SI sont-elles prises en compte ?</t>
  </si>
  <si>
    <t>Tableaux multidimensionnels</t>
  </si>
  <si>
    <t>Vision incomplète du SI</t>
  </si>
  <si>
    <t>Erreurs de pilotage et d’allocation des ressources</t>
  </si>
  <si>
    <t>Intégrer toutes les dimensions dans le reporting</t>
  </si>
  <si>
    <t xml:space="preserve"> analyse de la valeur</t>
  </si>
  <si>
    <t>Mettre en place des indicateurs équilibrés</t>
  </si>
  <si>
    <t>Utilisation d’un cadre structuré comme le Balanced Scorecard (BSC) pour le reporting</t>
  </si>
  <si>
    <t>Un cadre structuré comme le Balanced Scorecard (BSC) est-il utilisé pour le reporting ?</t>
  </si>
  <si>
    <t xml:space="preserve"> plan de communication</t>
  </si>
  <si>
    <t>Reporting non stratégique</t>
  </si>
  <si>
    <t>Décalage entre communication et exécution</t>
  </si>
  <si>
    <t>Former les managers à son utilisation</t>
  </si>
  <si>
    <t>Adopter un cadre structuré reconnu</t>
  </si>
  <si>
    <t>Disponibilité des tableaux de bord pour la direction et les parties prenantes clés</t>
  </si>
  <si>
    <t>Les tableaux de bord sont-ils disponibles pour la direction et les parties prenantes clés ?</t>
  </si>
  <si>
    <t>Plateforme de diffusion</t>
  </si>
  <si>
    <t>Manque de transparence</t>
  </si>
  <si>
    <t>Perte d’engagement des parties prenantes</t>
  </si>
  <si>
    <t>Envoyer périodiquement les rapports clés</t>
  </si>
  <si>
    <t xml:space="preserve"> permissions d’accès</t>
  </si>
  <si>
    <t>Déployer une plateforme collaborative d’accès</t>
  </si>
  <si>
    <t>Exploitation des données du tableau de bord pour piloter la performance de la DSI</t>
  </si>
  <si>
    <t>Les données du tableau de bord sont-elles exploitées pour piloter la performance de la DSI ?</t>
  </si>
  <si>
    <t>Compte rendu d’analyse</t>
  </si>
  <si>
    <t>Décisions non basées sur les faits</t>
  </si>
  <si>
    <t>Utiliser les indicateurs pour définir des actions correctrices</t>
  </si>
  <si>
    <t xml:space="preserve"> plans d’action</t>
  </si>
  <si>
    <t>Organiser des revues de performance trimestrielles</t>
  </si>
  <si>
    <t>S’assurer que les processus d’attraction, de formation et de
fidélisation des talents sont alignés avec les objectifs stratégiques de
l’organisation, en garantissant qu'ils contribuent à la performance
globale</t>
  </si>
  <si>
    <t>Existence d’un processus structuré pour l’attraction et la fidélisation des talents IT</t>
  </si>
  <si>
    <t>Existe-t-il un processus structuré pour l’attraction et la fidélisation des talents IT ?</t>
  </si>
  <si>
    <t>Politique RH IT</t>
  </si>
  <si>
    <t>Pénurie de compétences</t>
  </si>
  <si>
    <t>Difficulté à mener les projets SI</t>
  </si>
  <si>
    <t>Offrir des parcours de carrière attractifs</t>
  </si>
  <si>
    <t xml:space="preserve"> stratégie de recrutement</t>
  </si>
  <si>
    <t>Formaliser un plan de gestion des talents IT</t>
  </si>
  <si>
    <t>Alignement des stratégies RH IT avec les objectifs de la DSI et de l’organisation</t>
  </si>
  <si>
    <t>Les stratégies RH IT sont-elles alignées avec les objectifs de la DSI et de l’organisation ?</t>
  </si>
  <si>
    <t>Plan stratégique RH</t>
  </si>
  <si>
    <t>Désalignement entre ressources et besoins</t>
  </si>
  <si>
    <t>Inefficacité des projets et désengagement</t>
  </si>
  <si>
    <t>Évaluer les besoins de compétences régulièrement</t>
  </si>
  <si>
    <t xml:space="preserve"> grille de compétences</t>
  </si>
  <si>
    <t>Co-construire la stratégie RH avec la DSI</t>
  </si>
  <si>
    <t>Mise en place de programmes de formation continue pour maintenir les compétences</t>
  </si>
  <si>
    <t>Des programmes de formation continue sont-ils mis en place pour maintenir les compétences des talents IT ?</t>
  </si>
  <si>
    <t>Plan de formation annuel</t>
  </si>
  <si>
    <t>Obsolescence des compétences des équipes IT</t>
  </si>
  <si>
    <t>Baisse de performance et incapacité à répondre aux évolutions technologiques</t>
  </si>
  <si>
    <t>Mettre en place un programme de formation continue structuré</t>
  </si>
  <si>
    <t xml:space="preserve"> fiches de participation aux formations</t>
  </si>
  <si>
    <t>Intégrer la formation dans les objectifs annuels de chaque collaborateur</t>
  </si>
  <si>
    <t>Évaluation régulière de l’impact des talents IT sur la performance organisationnelle</t>
  </si>
  <si>
    <t>L’impact des talents IT sur la performance organisationnelle est-il évalué régulièrement ?</t>
  </si>
  <si>
    <t>Rapports d’évaluation des performances</t>
  </si>
  <si>
    <t>Méconnaissance de la valeur ajoutée des talents IT</t>
  </si>
  <si>
    <t>Mauvaises décisions RH ou désengagement des collaborateurs</t>
  </si>
  <si>
    <t>Réaliser des bilans de performance périodiques pour les équipes IT</t>
  </si>
  <si>
    <t xml:space="preserve"> indicateurs RH</t>
  </si>
  <si>
    <t>Définir des indicateurs d’impact clairs et mesurables</t>
  </si>
  <si>
    <t>Suivi des indicateurs de satisfaction et de rétention des talents IT</t>
  </si>
  <si>
    <t>Les indicateurs de satisfaction et de rétention des talents IT sont-ils suivis ?</t>
  </si>
  <si>
    <t>Enquêtes internes</t>
  </si>
  <si>
    <t>Difficulté à détecter les causes de départ ou d’insatisfaction</t>
  </si>
  <si>
    <t>Taux de turnover élevé et perte de compétences critiques</t>
  </si>
  <si>
    <t>Suivre les indicateurs de rétention et prendre des mesures correctives</t>
  </si>
  <si>
    <t xml:space="preserve"> tableaux de bord RH</t>
  </si>
  <si>
    <t>Mettre en place des enquêtes de satisfaction régulières</t>
  </si>
  <si>
    <t>Vérifier qu’il est systématiquement effectué un bilan après
chaque projet et notamment un bilan économique (bilan rapproché
des prévisions de l’étude préalable)</t>
  </si>
  <si>
    <t>Formalisation d’un processus de bilan post-projet avec des critères d’évaluation précis</t>
  </si>
  <si>
    <t>Le processus de bilan post-projet est-il formalisé avec des critères d’évaluation précis ?</t>
  </si>
  <si>
    <t>Modèle de bilan projet</t>
  </si>
  <si>
    <t>Retour d’expérience incomplet ou inexploitable</t>
  </si>
  <si>
    <t>Répétition d’erreurs dans les projets futurs</t>
  </si>
  <si>
    <t>Impliquer toutes les parties prenantes dans l’évaluation post-projet</t>
  </si>
  <si>
    <t xml:space="preserve"> grille d’évaluation</t>
  </si>
  <si>
    <t>Formaliser un processus de clôture projet incluant un bilan structuré</t>
  </si>
  <si>
    <t>Réalisation systématique d’une évaluation économique des projets finalisés</t>
  </si>
  <si>
    <t>Les projets finalisés font-ils l’objet d’une évaluation économique systématique ?</t>
  </si>
  <si>
    <t>Fiches projet</t>
  </si>
  <si>
    <t>Difficulté à mesurer la rentabilité réelle des projets</t>
  </si>
  <si>
    <t>Mauvaise allocation future des ressources</t>
  </si>
  <si>
    <t>Comparer les résultats avec les hypothèses budgétaires initiales</t>
  </si>
  <si>
    <t xml:space="preserve"> analyse de ROI</t>
  </si>
  <si>
    <t>Intégrer systématiquement une évaluation économique en fin de projet</t>
  </si>
  <si>
    <t>Comparaison des résultats avec les prévisions initiales pour identifier les écarts</t>
  </si>
  <si>
    <t>Les résultats des projets sont-ils comparés avec les prévisions initiales pour identifier les écarts ?</t>
  </si>
  <si>
    <t>Plan projet initial</t>
  </si>
  <si>
    <t>Absence de retour critique sur l’exécution du projet</t>
  </si>
  <si>
    <t>Répétition de prévisions erronées</t>
  </si>
  <si>
    <t>Organiser un comité de retour d’expérience pour chaque projet</t>
  </si>
  <si>
    <t xml:space="preserve"> rapport final</t>
  </si>
  <si>
    <t>Documenter les écarts entre prévision et réalisation</t>
  </si>
  <si>
    <t>Documentation des enseignements tirés pour améliorer les futurs projets SI</t>
  </si>
  <si>
    <t>Les enseignements tirés des bilans sont-ils documentés pour améliorer les futurs projets SI ?</t>
  </si>
  <si>
    <t>Rapports de bilan</t>
  </si>
  <si>
    <t>Perte de connaissances et d’expérience acquise</t>
  </si>
  <si>
    <t>Reproductibilité des erreurs dans de nouveaux projets</t>
  </si>
  <si>
    <t>Intégrer les leçons apprises dans les guides méthodologiques projet</t>
  </si>
  <si>
    <t xml:space="preserve"> base de connaissances projets</t>
  </si>
  <si>
    <t>Centraliser les retours d’expérience dans une base consultable</t>
  </si>
  <si>
    <t>Utilisation des bilans pour optimiser la gestion des ressources et la prise de décision</t>
  </si>
  <si>
    <t>Les bilans sont-ils utilisés pour optimiser la gestion des ressources et la prise de décision ?</t>
  </si>
  <si>
    <t>Plans de charge</t>
  </si>
  <si>
    <t>Sous-optimisation des ressources humaines et financières</t>
  </si>
  <si>
    <t>Coûts excessifs ou délais non maîtrisés</t>
  </si>
  <si>
    <t>Intégrer les données des bilans dans la planification stratégique SI</t>
  </si>
  <si>
    <t xml:space="preserve"> bilans projets</t>
  </si>
  <si>
    <t>Utiliser les résultats des bilans pour réajuster la gestion des ressources</t>
  </si>
  <si>
    <t xml:space="preserve"> Organisation et structure de la DSI</t>
  </si>
  <si>
    <t>Vérifier l’existence d’un organigramme à jour de la DSI</t>
  </si>
  <si>
    <t>Existence d’un organigramme officiel et mis à jour régulièrement</t>
  </si>
  <si>
    <t>Existe-t-il un organigramme officiel mis à jour régulièrement ?</t>
  </si>
  <si>
    <t>Confusion sur la structure de la DSI</t>
  </si>
  <si>
    <t>Problèmes de communication et de coordination</t>
  </si>
  <si>
    <t>Mettre à jour l’organigramme à chaque changement organisationnel</t>
  </si>
  <si>
    <t xml:space="preserve"> procès-verbaux de réunions RH</t>
  </si>
  <si>
    <t>Diffuser systématiquement l’organigramme à l’ensemble des collaborateurs</t>
  </si>
  <si>
    <t>Cohérence entre l’organigramme et la structure réelle de la DSI</t>
  </si>
  <si>
    <t>L’organigramme est-il cohérent avec la structure réelle de la DSI ?</t>
  </si>
  <si>
    <t>Organigramme officiel</t>
  </si>
  <si>
    <t>Décalage entre théorie et réalité opérationnelle</t>
  </si>
  <si>
    <t>Inefficacité organisationnelle et conflits de rôle</t>
  </si>
  <si>
    <t>Ajuster l’organigramme en fonction des missions réelles</t>
  </si>
  <si>
    <t>Réaliser des audits réguliers de cohérence structurelle</t>
  </si>
  <si>
    <t>Identification claire des responsabilités et des interactions entre services</t>
  </si>
  <si>
    <t>Les responsabilités et les interactions entre services sont-elles clairement identifiées dans l’organigramme ?</t>
  </si>
  <si>
    <t>Organigramme détaillé</t>
  </si>
  <si>
    <t>Manque de clarté sur les rôles</t>
  </si>
  <si>
    <t>Duplication des tâches ou lacunes dans les missions</t>
  </si>
  <si>
    <t>Former les équipes à la compréhension de la structure SI</t>
  </si>
  <si>
    <t xml:space="preserve"> matrices RACI</t>
  </si>
  <si>
    <t>Utiliser des matrices de responsabilités (RACI)</t>
  </si>
  <si>
    <t>Communication de l’organigramme à l’ensemble des parties prenantes concernées</t>
  </si>
  <si>
    <t>L’organigramme est-il communiqué à l’ensemble des parties prenantes concernées ?</t>
  </si>
  <si>
    <t>Plan de communication interne</t>
  </si>
  <si>
    <t>Méconnaissance des circuits de décision</t>
  </si>
  <si>
    <t>Allongement des délais de traitement et désorganisation</t>
  </si>
  <si>
    <t>Intégrer sa présentation lors des réunions d’équipe</t>
  </si>
  <si>
    <t xml:space="preserve"> intranet DSI</t>
  </si>
  <si>
    <t>Diffuser l’organigramme via les canaux de communication officiels</t>
  </si>
  <si>
    <t>Mise à jour de l’organigramme en cas de réorganisation ou d’évolution des effectifs</t>
  </si>
  <si>
    <t>L’organigramme est-il mis à jour en cas de réorganisation ou d’évolution des effectifs ?</t>
  </si>
  <si>
    <t>Historique des réorganisations</t>
  </si>
  <si>
    <t>Décalage entre structure formelle et actuelle</t>
  </si>
  <si>
    <t>Difficulté à s’orienter dans la structure DSI</t>
  </si>
  <si>
    <t>Mettre en place un processus de révision automatique de l’organigramme</t>
  </si>
  <si>
    <t xml:space="preserve"> communications internes</t>
  </si>
  <si>
    <t>Impliquer les RH dans chaque réorganisation de la DSI</t>
  </si>
  <si>
    <t>Vérifier l’existence d’une définition de fonction et d’un partage
clair des rôles et des responsabilités pour chaque poste figurant sur
l’organigramme</t>
  </si>
  <si>
    <t>Existence de fiches de poste formalisées pour chaque fonction de la DSI</t>
  </si>
  <si>
    <t>Des fiches de poste formalisées existent-elles pour chaque fonction de la DSI ?</t>
  </si>
  <si>
    <t>Fiches de poste</t>
  </si>
  <si>
    <t>Ambiguïté dans les missions des collaborateurs</t>
  </si>
  <si>
    <t>Mauvaise affectation des ressources et conflits de rôle</t>
  </si>
  <si>
    <t>Archiver et diffuser les fiches auprès des équipes concernées</t>
  </si>
  <si>
    <t xml:space="preserve"> référentiel RH</t>
  </si>
  <si>
    <t>Créer des fiches de poste normalisées pour chaque fonction</t>
  </si>
  <si>
    <t>Clarté dans la répartition des rôles et responsabilités pour éviter les redondances</t>
  </si>
  <si>
    <t>La répartition des rôles et responsabilités est-elle claire pour éviter les redondances ?</t>
  </si>
  <si>
    <t>Matrices RACI</t>
  </si>
  <si>
    <t>Chevauchement ou vide fonctionnel</t>
  </si>
  <si>
    <t>Projets mal pilotés ou tâches non réalisées</t>
  </si>
  <si>
    <t>Clarifier la répartition dans une matrice des responsabilités</t>
  </si>
  <si>
    <t>Faire valider les rôles lors des comités de pilotage</t>
  </si>
  <si>
    <t>Alignement des responsabilités avec les compétences et les objectifs stratégiques</t>
  </si>
  <si>
    <t>Les responsabilités sont-elles alignées avec les compétences et les objectifs stratégiques de la DSI ?</t>
  </si>
  <si>
    <t>Évaluations de compétences</t>
  </si>
  <si>
    <t>Inadéquation entre missions et capacités des ressources</t>
  </si>
  <si>
    <t>Objectifs non atteints ou qualité de service dégradée</t>
  </si>
  <si>
    <t>Aligner les affectations sur les priorités stratégiques SI</t>
  </si>
  <si>
    <t xml:space="preserve"> stratégie DSI</t>
  </si>
  <si>
    <t>Réaliser des bilans de compétences réguliers</t>
  </si>
  <si>
    <t>Communication et accessibilité des descriptions de poste aux collaborateurs concernés</t>
  </si>
  <si>
    <t>Les descriptions de poste sont-elles communiquées et accessibles aux collaborateurs concernés ?</t>
  </si>
  <si>
    <t>Répertoire RH</t>
  </si>
  <si>
    <t>Méconnaissance de ses missions par les collaborateurs</t>
  </si>
  <si>
    <t>Baisse de motivation et erreurs dans l’exécution</t>
  </si>
  <si>
    <t>Mettre à disposition les fiches via l’intranet ou les outils RH</t>
  </si>
  <si>
    <t>Présenter les fiches lors des entretiens individuels</t>
  </si>
  <si>
    <t>Révision périodique des fiches de poste en fonction de l’évolution des missions et des besoins</t>
  </si>
  <si>
    <t>Les fiches de poste sont-elles révisées périodiquement en fonction de l’évolution des missions et des besoins ?</t>
  </si>
  <si>
    <t>Planning RH</t>
  </si>
  <si>
    <t>Obsolescence des fonctions décrites</t>
  </si>
  <si>
    <t>Décalage entre poste réel et fiche officielle</t>
  </si>
  <si>
    <t>Prévoir un calendrier annuel de révision des fiches</t>
  </si>
  <si>
    <t xml:space="preserve"> rapports d’activités</t>
  </si>
  <si>
    <t>Impliquer les managers dans la mise à jour des fiches de poste</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</si>
  <si>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</si>
  <si>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Prise en compte de toutes les composantes essentielles d’une fonction informatique</t>
  </si>
  <si>
    <t>Toutes les composantes essentielles d’une fonction informatique sont-elles prises en compte ?</t>
  </si>
  <si>
    <t>Référentiel métiers IT</t>
  </si>
  <si>
    <t>Lacunes dans la couverture fonctionnelle</t>
  </si>
  <si>
    <t>Risques de défaillance ou surcharge sur certaines fonctions</t>
  </si>
  <si>
    <t>Réaliser un benchmark avec d’autres DSI pour évaluer les fonctions clés</t>
  </si>
  <si>
    <t>Ajouter les fonctions manquantes dans l’organigramme et les fiches</t>
  </si>
  <si>
    <t>Existence de responsables dédiés pour la sécurité, la veille technologique et la qualité</t>
  </si>
  <si>
    <t>Existe-t-il des responsables dédiés pour la sécurité, la veille technologique et la qualité ?</t>
  </si>
  <si>
    <t>Nominations officielles</t>
  </si>
  <si>
    <t>Absence de leadership sur des fonctions critiques</t>
  </si>
  <si>
    <t>Non-conformité,  vulnérabilités ou retard technologique</t>
  </si>
  <si>
    <t>Suivre leurs actions à travers des objectifs annuels</t>
  </si>
  <si>
    <t>Désigner des responsables pour chaque domaine clé</t>
  </si>
  <si>
    <t>Définition des processus et des rôles pour assurer une couverture complète des fonctions SI</t>
  </si>
  <si>
    <t>Les processus et rôles nécessaires pour assurer une couverture complète des fonctions SI sont-ils définis ?</t>
  </si>
  <si>
    <t>Processus incomplets ou non attribués</t>
  </si>
  <si>
    <t>Désorganisation ou interruption de service</t>
  </si>
  <si>
    <t>Élaborer une cartographie exhaustive des fonctions SI</t>
  </si>
  <si>
    <t xml:space="preserve"> RACI</t>
  </si>
  <si>
    <t>Attribuer formellement les responsabilités via un document validé</t>
  </si>
  <si>
    <t>Mise en place de dispositifs permettant d’assurer une collaboration efficace entre équipes</t>
  </si>
  <si>
    <t>Des dispositifs permettant d’assurer une collaboration efficace entre équipes sont-ils mis en place ?</t>
  </si>
  <si>
    <t>Charte de collaboration</t>
  </si>
  <si>
    <t>Silo entre les équipes, mauvaise coordination</t>
  </si>
  <si>
    <t>Délais allongés,  qualité dégradée des livrables</t>
  </si>
  <si>
    <t>Organiser régulièrement des réunions inter-équipes</t>
  </si>
  <si>
    <t xml:space="preserve"> outils collaboratifs</t>
  </si>
  <si>
    <t>Mettre en œuvre des outils collaboratifs adaptés</t>
  </si>
  <si>
    <t>Évaluation régulière des besoins pour ajuster la répartition des responsabilités</t>
  </si>
  <si>
    <t>Les besoins sont-ils régulièrement évalués pour ajuster la répartition des responsabilités?</t>
  </si>
  <si>
    <t>Rapports de charge</t>
  </si>
  <si>
    <t>Déséquilibre dans les charges de travail</t>
  </si>
  <si>
    <t>Risque de burn-out ou de démotivation</t>
  </si>
  <si>
    <t>Réaliser des évaluations de charge par équipe</t>
  </si>
  <si>
    <t xml:space="preserve"> bilans d’activité</t>
  </si>
  <si>
    <t>Ajuster les missions en fonction des capacités disponibles</t>
  </si>
  <si>
    <t xml:space="preserve">Évaluer l’adéquation des effectifs aux besoins et aux enjeux </t>
  </si>
  <si>
    <t>Analyse des besoins en effectifs en fonction des charges de travail et des projets</t>
  </si>
  <si>
    <t>Les besoins en effectifs sont-ils analysés en fonction des charges de travail et des projets ?</t>
  </si>
  <si>
    <t>Planning prévisionnel</t>
  </si>
  <si>
    <t>Sous-dimensionnement ou sureffectif</t>
  </si>
  <si>
    <t>Retards dans les projets ou gaspillage de ressources</t>
  </si>
  <si>
    <t>Utiliser un outil de planification pour projeter les besoins</t>
  </si>
  <si>
    <t>Adapter les recrutements et la sous-traitance selon la charge</t>
  </si>
  <si>
    <t>Évaluation de la charge de travail par rapport aux capacités des équipes en place</t>
  </si>
  <si>
    <t>La charge de travail est-elle évaluée par rapport aux capacités des équipes en place ?</t>
  </si>
  <si>
    <t>Tableau de répartition des tâches</t>
  </si>
  <si>
    <t>Surcharge ou sous-utilisation des ressources</t>
  </si>
  <si>
    <t>Perte d’efficacité ou baisse de qualité</t>
  </si>
  <si>
    <t>Mettre en place des indicateurs de suivi de la charge</t>
  </si>
  <si>
    <t>Répartir les tâches en fonction des priorités et compétences</t>
  </si>
  <si>
    <t>Identification des écarts entre les effectifs disponibles et les besoins futurs</t>
  </si>
  <si>
    <t>Les écarts entre les effectifs disponibles et les besoins futurs sont-ils identifiés ?</t>
  </si>
  <si>
    <t>Plan de développement RH</t>
  </si>
  <si>
    <t>Absence d’anticipation sur les besoins RH</t>
  </si>
  <si>
    <t>Incapacité à tenir les délais ou à réaliser les projets</t>
  </si>
  <si>
    <t>Mettre à jour les prévisions selon les projets à venir</t>
  </si>
  <si>
    <t xml:space="preserve"> roadmap projets</t>
  </si>
  <si>
    <t>Élaborer un plan de recrutement et de formation prévisionnel</t>
  </si>
  <si>
    <t>Mise en place de plans de recrutement ou de formation pour combler les écarts</t>
  </si>
  <si>
    <t>Des plans de recrutement ou de formation sont-ils mis en place pour combler ces écarts ?</t>
  </si>
  <si>
    <t>Plan de recrutement</t>
  </si>
  <si>
    <t>Inadéquation entre les compétences disponibles et les besoins du SI</t>
  </si>
  <si>
    <t xml:space="preserve">Retard dans la mise en œuvre des projets, baisse de qualité des livrables </t>
  </si>
  <si>
    <t>Élaborer un plan de recrutement aligné avec la feuille de route technologique</t>
  </si>
  <si>
    <t xml:space="preserve"> Plan de formation annuel</t>
  </si>
  <si>
    <t>Mettre en place un plan de formation continue fondé sur une cartographie des compétences</t>
  </si>
  <si>
    <t>Suivi et ajustement des effectifs en fonction de l’évolution des priorités et des projets</t>
  </si>
  <si>
    <t>Les effectifs sont-ils suivis et ajustés en fonction de l’évolution des priorités et des projets ?</t>
  </si>
  <si>
    <t>Rapport de suivi des effectifs</t>
  </si>
  <si>
    <t>Déséquilibre entre ressources humaines et besoins opérationnels</t>
  </si>
  <si>
    <t>Surcharge de travail,  démotivation des équipes</t>
  </si>
  <si>
    <t>Intégrer l’évolution des projets dans la gestion prévisionnelle des emplois</t>
  </si>
  <si>
    <t xml:space="preserve"> Planning des projets</t>
  </si>
  <si>
    <t>Mettre à jour périodiquement la prévision des charges et des effectifs</t>
  </si>
  <si>
    <t>Évaluer l’adéquation des qualifications du personnel avec les
fonctions qu’ils occupent</t>
  </si>
  <si>
    <t>Évaluation des compétences des collaborateurs par rapport aux exigences de leur poste</t>
  </si>
  <si>
    <t>Les compétences des collaborateurs sont-elles évaluées par rapport aux exigences de leur poste ?</t>
  </si>
  <si>
    <t>Manque de visibilité sur les écarts de compétences</t>
  </si>
  <si>
    <t>Réaliser des évaluations régulières basées sur les exigences métiers</t>
  </si>
  <si>
    <t xml:space="preserve"> Évaluations annuelles des compétences</t>
  </si>
  <si>
    <t>Adapter les plans de développement individuel en fonction des résultats des évaluations</t>
  </si>
  <si>
    <t>Existence de plans de formation pour combler les écarts de qualification</t>
  </si>
  <si>
    <t>Des plans de formation existent-ils pour combler les écarts de qualification ?</t>
  </si>
  <si>
    <t>Catalogue de formation</t>
  </si>
  <si>
    <t>Maintien des écarts de compétence critiques</t>
  </si>
  <si>
    <t>Baisse de performance opérationnelle et erreurs techniques</t>
  </si>
  <si>
    <t>Prioriser les formations stratégiques et critiques pour le SI</t>
  </si>
  <si>
    <t xml:space="preserve"> Plan de développement des compétences</t>
  </si>
  <si>
    <t>Identifier les besoins en formation à partir des écarts constatés</t>
  </si>
  <si>
    <t>Mise en place d’un processus d’évaluation et de développement des compétences</t>
  </si>
  <si>
    <t>Un processus d’évaluation et de développement des compétences est-il mis en place ?</t>
  </si>
  <si>
    <t>Politique RH formation</t>
  </si>
  <si>
    <t>Absence de suivi structuré de la progression des collaborateurs</t>
  </si>
  <si>
    <t>Faible montée en compétence et perte de potentiel</t>
  </si>
  <si>
    <t>Formaliser un processus de développement des compétences aligné avec les objectifs SI</t>
  </si>
  <si>
    <t xml:space="preserve"> Grille de compétences</t>
  </si>
  <si>
    <t>Mettre en œuvre des entretiens de suivi semestriels</t>
  </si>
  <si>
    <t>Adaptation des profils de recrutement aux évolutions technologiques et métiers</t>
  </si>
  <si>
    <t>Les profils de recrutement sont-ils adaptés aux évolutions technologiques et métiers ?</t>
  </si>
  <si>
    <t>Profils de poste</t>
  </si>
  <si>
    <t>Inadéquation des profils recrutés aux réalités du SI</t>
  </si>
  <si>
    <t>Turnover élevé, inefficacité sur les projets SI</t>
  </si>
  <si>
    <t>Impliquer les experts métiers dans la définition des profils</t>
  </si>
  <si>
    <t xml:space="preserve"> Études de tendance technologique</t>
  </si>
  <si>
    <t>Mettre à jour les fiches de poste selon les évolutions techniques</t>
  </si>
  <si>
    <t>Veille sur les nouvelles certifications et compétences clés pour anticiper les besoins</t>
  </si>
  <si>
    <t>Une veille est-elle effectuée sur les nouvelles certifications et compétences clés pour anticiper les besoins ?</t>
  </si>
  <si>
    <t>Revue de veille RH</t>
  </si>
  <si>
    <t>Manque d’anticipation sur les compétences stratégiques</t>
  </si>
  <si>
    <t>Retard dans l’adoption de technologies innovantes</t>
  </si>
  <si>
    <t>Intégrer les résultats de la veille dans les plans de formation</t>
  </si>
  <si>
    <t xml:space="preserve"> Liste des certifications clés</t>
  </si>
  <si>
    <t>Déployer une cellule de veille sur les compétences émergentes</t>
  </si>
  <si>
    <t xml:space="preserve">Vérifier que l’expression des besoins, les spécifications
fonctionnelles et la recette des applications sont effectuées par les
utilisateurs </t>
  </si>
  <si>
    <t>Existence d’un processus formalisé pour l’expression des besoins par les utilisateurs</t>
  </si>
  <si>
    <t>Un processus formalisé existe-t-il pour l’expression des besoins par les utilisateurs ?</t>
  </si>
  <si>
    <t>Cahiers des charges</t>
  </si>
  <si>
    <t>Mauvaise compréhension des besoins utilisateurs</t>
  </si>
  <si>
    <t>Réalisation de solutions inadaptées ou incomplètes</t>
  </si>
  <si>
    <t>Former les utilisateurs à la formulation de leurs attentes fonctionnelles</t>
  </si>
  <si>
    <t xml:space="preserve"> Procédure de recueil des besoins</t>
  </si>
  <si>
    <t>Mettre en place une procédure standardisée d’expression des besoins</t>
  </si>
  <si>
    <t>Participation active des utilisateurs dans les phases de spécification et de validation</t>
  </si>
  <si>
    <t>Les utilisateurs participent-ils activement aux phases de spécification et de validation ?</t>
  </si>
  <si>
    <t>Comptes rendus d’ateliers</t>
  </si>
  <si>
    <t>Spécifications erronées ou incomplètes</t>
  </si>
  <si>
    <t>Insatisfaction des utilisateurs,  rework</t>
  </si>
  <si>
    <t>Organiser des ateliers participatifs dès la phase de conception</t>
  </si>
  <si>
    <t xml:space="preserve"> Planning de validation fonctionnelle</t>
  </si>
  <si>
    <t>Documenter et faire valider systématiquement les spécifications</t>
  </si>
  <si>
    <t>Clarté et traçabilité des exigences fonctionnelles dans les projets SI</t>
  </si>
  <si>
    <t>Les exigences fonctionnelles sont-elles clairement définies et tracées dans les projets SI ?</t>
  </si>
  <si>
    <t>Matrice de traçabilité</t>
  </si>
  <si>
    <t>Perte d’exigences importantes en cours de projet</t>
  </si>
  <si>
    <t>Non-conformité des livrables, défauts en production</t>
  </si>
  <si>
    <t>Utiliser des outils de gestion des exigences avec versioning</t>
  </si>
  <si>
    <t xml:space="preserve"> Spécifications fonctionnelles validées</t>
  </si>
  <si>
    <t>Effectuer des revues régulières de complétude et de cohérence des exigences</t>
  </si>
  <si>
    <t>Mise en place de méthodologies garantissant une recette rigoureuse des applications</t>
  </si>
  <si>
    <t>Une méthodologie garantissant une recette rigoureuse des applications est-elle mise en place ?</t>
  </si>
  <si>
    <t>Déploiement de solutions non conformes ou instables</t>
  </si>
  <si>
    <t>Pannes en production,  insatisfaction des utilisateurs</t>
  </si>
  <si>
    <t>Formaliser une méthodologie de recette adaptée au type de projet</t>
  </si>
  <si>
    <t xml:space="preserve"> Procédure de recette</t>
  </si>
  <si>
    <t>Mettre en place des environnements de test sécurisés et représentatifs</t>
  </si>
  <si>
    <t>Évaluation de l’efficacité des échanges entre la DSI et les utilisateurs</t>
  </si>
  <si>
    <t>L’efficacité des échanges entre la DSI et les utilisateurs est-elle évaluée ?</t>
  </si>
  <si>
    <t>Enquêtes de satisfaction</t>
  </si>
  <si>
    <t>Incompréhensions récurrentes sur les besoins et les livrables</t>
  </si>
  <si>
    <t>Projets mal orientés,  faible adoption des solutions</t>
  </si>
  <si>
    <t>Mettre en place des indicateurs de qualité de la relation DSI-utilisateurs</t>
  </si>
  <si>
    <t xml:space="preserve"> Comptes rendus de réunions</t>
  </si>
  <si>
    <t>Organiser des points de suivi réguliers avec les représentants métiers</t>
  </si>
  <si>
    <t>Vérifier que les tâches, les locaux et les environnements relatifs
aux fonctions études et exploitation, qu’ils soient assurés ou fournis
en interne, ou externalisés, sont séparés</t>
  </si>
  <si>
    <t>Séparation des tâches entre études et exploitation pour réduire les risques opérationnels</t>
  </si>
  <si>
    <t>Les tâches sont-elles séparées entre études et exploitation pour réduire les risques opérationnels ?</t>
  </si>
  <si>
    <t>Organigramme fonctionnel</t>
  </si>
  <si>
    <t>Conflits d’intérêts ou confusion de rôles</t>
  </si>
  <si>
    <t>Altération de la qualité ou de la sécurité des opérations</t>
  </si>
  <si>
    <t>Définir clairement les responsabilités entre équipes de développement et d’exploitation</t>
  </si>
  <si>
    <t xml:space="preserve"> Descriptions de processus</t>
  </si>
  <si>
    <t>Imposer une validation croisée des livrables avant mise en production</t>
  </si>
  <si>
    <t>Définition d’environnements distincts pour les développements, les tests et la production</t>
  </si>
  <si>
    <t>Des environnements distincts sont-ils définis pour les développements, les tests et la production ?</t>
  </si>
  <si>
    <t>Schéma d’architecture des environnements</t>
  </si>
  <si>
    <t>Risques de perturbation de la production ou de fuites de données</t>
  </si>
  <si>
    <t>Pertes de données,interruptions de service</t>
  </si>
  <si>
    <t>Segmenter physiquement ou virtuellement les environnements</t>
  </si>
  <si>
    <t xml:space="preserve"> Politique de gestion des environnements</t>
  </si>
  <si>
    <t>Restreindre les accès aux environnements selon les rôles</t>
  </si>
  <si>
    <t>Gestion claire des droits d’accès aux différents environnements informatiques</t>
  </si>
  <si>
    <t>Les droits d’accès aux différents environnements informatiques sont-ils gérés de manière claire ?</t>
  </si>
  <si>
    <t xml:space="preserve"> Revue des accès périodique</t>
  </si>
  <si>
    <t>Accès non autorisés à des environnements critiques</t>
  </si>
  <si>
    <t>Risques de sabotage, fuite de données ou erreurs graves</t>
  </si>
  <si>
    <t>Mettre en œuvre une gestion centralisée et traçable des droits</t>
  </si>
  <si>
    <t>Registre des droits d’accès</t>
  </si>
  <si>
    <t>Réaliser régulièrement des audits de droits d’accès par environnement</t>
  </si>
  <si>
    <t>Vérification du respect des règles de séparation dans les projets et opérations SI</t>
  </si>
  <si>
    <t>Le respect des règles de séparation dans les projets et opérations SI est-il vérifié ?</t>
  </si>
  <si>
    <t xml:space="preserve"> Rapports d’audit interne</t>
  </si>
  <si>
    <t>Non-conformité réglementaire ou défaillance de contrôle</t>
  </si>
  <si>
    <t>Risques accrus d’incidents,  non-respect des normes</t>
  </si>
  <si>
    <t>Former les équipes aux règles de séparation des tâches</t>
  </si>
  <si>
    <t>Checklists de conformité</t>
  </si>
  <si>
    <t>Mettre en place des contrôles automatiques sur les workflows</t>
  </si>
  <si>
    <t>Analyse des impacts organisationnels en cas d’externalisation des services</t>
  </si>
  <si>
    <t>Les impacts organisationnels en cas d’externalisation des services sont-ils analysés ?</t>
  </si>
  <si>
    <t>Études d’impact</t>
  </si>
  <si>
    <t>Mauvaise anticipation des dépendances et changements internes</t>
  </si>
  <si>
    <t>Rupture de service, perte de contrôle sur les processus</t>
  </si>
  <si>
    <t>Prévoir un plan de continuité et de réversibilité dans les contrats</t>
  </si>
  <si>
    <t xml:space="preserve"> Contrats d’externalisation</t>
  </si>
  <si>
    <t>Réaliser une analyse d’impact complète avant toute externalisation</t>
  </si>
  <si>
    <t>Évaluer la capacité de l’Organisation à gérer les carrières des
informaticiens</t>
  </si>
  <si>
    <t>Mise en place d’un plan de gestion des carrières des informaticiens</t>
  </si>
  <si>
    <t>Un plan de gestion des carrières des informaticiens est-il mis en place ?</t>
  </si>
  <si>
    <t>Politique RH</t>
  </si>
  <si>
    <t>Absence de perspectives d’évolution pour les équipes IT</t>
  </si>
  <si>
    <t>Démotivation,  turnover,  fuite des compétences</t>
  </si>
  <si>
    <t>Accompagner les collaborateurs dans la construction de leur trajectoire professionnelle</t>
  </si>
  <si>
    <t xml:space="preserve"> Plan de carrière DSI</t>
  </si>
  <si>
    <t>Définir des parcours d’évolution clairs pour les métiers SI</t>
  </si>
  <si>
    <t>Existence de parcours d’évolution clairs au sein de la DSI</t>
  </si>
  <si>
    <t>Des parcours d’évolution clairs existent-ils au sein de la DSI ?</t>
  </si>
  <si>
    <t>Grille des parcours métier</t>
  </si>
  <si>
    <t>Difficulté à fidéliser les profils clés</t>
  </si>
  <si>
    <t>Pertes de talents stratégiques pour le SI</t>
  </si>
  <si>
    <t>Mettre en place des revues de carrière annuelles</t>
  </si>
  <si>
    <t xml:space="preserve"> Matrice de mobilité interne</t>
  </si>
  <si>
    <t>Formaliser des passerelles entre les métiers SI</t>
  </si>
  <si>
    <t>Développement d’initiatives pour retenir les talents et éviter la fuite des compétences</t>
  </si>
  <si>
    <t>Des initiatives sont-elles développées pour retenir les talents et éviter la fuite des compétences ?</t>
  </si>
  <si>
    <t>Plan de rétention</t>
  </si>
  <si>
    <t>Érosion des compétences critiques</t>
  </si>
  <si>
    <t>Déstabilisation des projets et des services SI</t>
  </si>
  <si>
    <t>Identifier les leviers de motivation spécifiques aux équipes IT</t>
  </si>
  <si>
    <t xml:space="preserve"> Rapports de satisfaction du personnel</t>
  </si>
  <si>
    <t>Proposer des avantages adaptés (projets innovants, flexibilité,  reconnaissance)</t>
  </si>
  <si>
    <t>Suivi des aspirations professionnelles et des besoins en montée en compétences</t>
  </si>
  <si>
    <t>Les aspirations professionnelles et les besoins en montée en compétences sont-ils suivis ?</t>
  </si>
  <si>
    <t>Résultats d’entretiens annuels</t>
  </si>
  <si>
    <t>Inadéquation entre les attentes des collaborateurs et les politiques RH</t>
  </si>
  <si>
    <t>Frustration, baisse d’implication, baisse d’implication</t>
  </si>
  <si>
    <t>Intégrer les aspirations dans les parcours de formation et d’évolution</t>
  </si>
  <si>
    <t xml:space="preserve"> Plans individuels de formation</t>
  </si>
  <si>
    <t>Instaurer un suivi individualisé des compétences et des projets professionnels</t>
  </si>
  <si>
    <t>Évaluation de l’efficacité des dispositifs RH dédiés aux informaticiens</t>
  </si>
  <si>
    <t>L’efficacité des dispositifs RH dédiés aux informaticiens est-elle évaluée ?</t>
  </si>
  <si>
    <t>Rapports d’évaluation RH</t>
  </si>
  <si>
    <t>Actions RH non adaptées au contexte spécifique de l’IT</t>
  </si>
  <si>
    <t>Faible retour sur investissement des initiatives RH</t>
  </si>
  <si>
    <t>Réaliser des enquêtes ciblées pour mesurer la satisfaction RH IT</t>
  </si>
  <si>
    <t xml:space="preserve"> Indicateurs de performance RH</t>
  </si>
  <si>
    <t>Élaborer des indicateurs spécifiques à la gestion des ressources IT</t>
  </si>
  <si>
    <t>Vérifier l’adéquation du niveau de rémunération du personnel
informatique et évaluer le « moral » des équipes</t>
  </si>
  <si>
    <t>Analyse des niveaux de rémunération par rapport au marché et aux standards du secteur</t>
  </si>
  <si>
    <t>Les niveaux de rémunération sont-ils analysés par rapport au marché et aux standards du secteur ?</t>
  </si>
  <si>
    <t>Études de rémunération</t>
  </si>
  <si>
    <t>Perte de compétitivité sur le marché de l’emploi IT</t>
  </si>
  <si>
    <t>Difficulté à recruter ou à retenir les profils qualifiés</t>
  </si>
  <si>
    <t>Adapter la politique salariale aux profils critiques ou en tension</t>
  </si>
  <si>
    <t xml:space="preserve"> Grille salariale interne</t>
  </si>
  <si>
    <t>Réaliser une veille continue sur les standards de rémunération IT</t>
  </si>
  <si>
    <t>Évaluation de la satisfaction des collaborateurs sur leur rémunération et avantages</t>
  </si>
  <si>
    <t>La satisfaction des collaborateurs sur leur rémunération et avantages est-elle évaluée ?</t>
  </si>
  <si>
    <t>Résultats d’enquêtes internes</t>
  </si>
  <si>
    <t>Mécontentement latent et démotivation</t>
  </si>
  <si>
    <t>Climat social dégradé,  baisse de performance</t>
  </si>
  <si>
    <t>Intégrer les résultats aux négociations annuelles ou collectives</t>
  </si>
  <si>
    <t xml:space="preserve"> Bilans sociaux</t>
  </si>
  <si>
    <t>Organiser régulièrement des enquêtes anonymes sur la rémunération</t>
  </si>
  <si>
    <t>Suivi de l’impact des conditions salariales sur l’attractivité et la rétention des talents</t>
  </si>
  <si>
    <t>L’impact des conditions salariales sur l’attractivité et la rétention des talents est-il suivi ?</t>
  </si>
  <si>
    <t>Tableaux de bord RH</t>
  </si>
  <si>
    <t>Non-maîtrise de la fidélisation des compétences clés</t>
  </si>
  <si>
    <t>Augmentation du coût de renouvellement des équipes</t>
  </si>
  <si>
    <t>Corréler les données de rémunération avec la stabilité des équipes</t>
  </si>
  <si>
    <t xml:space="preserve"> Rapports sur le turnover</t>
  </si>
  <si>
    <t>Mettre en place un suivi des causes de départ</t>
  </si>
  <si>
    <t>Mise en place d’une politique d’évolution salariale cohérente avec la performance</t>
  </si>
  <si>
    <t>Une politique d’évolution salariale cohérente avec la performance est-elle mise en place ?</t>
  </si>
  <si>
    <t>Politique de rémunération</t>
  </si>
  <si>
    <t>Inéquité perçue entre collaborateurs</t>
  </si>
  <si>
    <t>Baisse d’engagement, conflits internes</t>
  </si>
  <si>
    <t>Associer l’évolution salariale à des critères clairs de performance</t>
  </si>
  <si>
    <t xml:space="preserve"> Entretien d’évaluation annuel</t>
  </si>
  <si>
    <t>Instaurer une transparence sur les mécanismes d’augmentation salariale</t>
  </si>
  <si>
    <t>Évaluation régulière du climat social et du moral des équipes informatiques</t>
  </si>
  <si>
    <t>Le climat social et le moral des équipes informatiques sont-ils régulièrement évalués ?</t>
  </si>
  <si>
    <t>Désengagement du personnel</t>
  </si>
  <si>
    <t>Baisse de productivité et fuite des talents</t>
  </si>
  <si>
    <t>Intégrer un plan d’action RH en fonction des résultats</t>
  </si>
  <si>
    <t xml:space="preserve"> rapports RH</t>
  </si>
  <si>
    <t>Mettre en place des baromètres sociaux réguliers</t>
  </si>
  <si>
    <t>Cadre législatif et réglementaire Camerounais</t>
  </si>
  <si>
    <t>Vérifier que les prescriptions légales découlant des loi de 2010
sur la cybersécurité et la cyber criminalité ; ainsi que les transactions
électroniques sont connues et respectées</t>
  </si>
  <si>
    <t>Vérification que les dispositions légales sur la cybersécurité et la cybercriminalité sont bien intégrées dans les processus internes</t>
  </si>
  <si>
    <t>Les dispositions légales sur la cybersécurité et la cybercriminalité sont-elles bien intégrées dans les processus internes ?</t>
  </si>
  <si>
    <t>Politique cybersécurité</t>
  </si>
  <si>
    <t>Sanctions légales et réputationnelles</t>
  </si>
  <si>
    <t>Associer le service juridique à la gouvernance cybersécurité</t>
  </si>
  <si>
    <t xml:space="preserve"> documentation juridique</t>
  </si>
  <si>
    <t>Mettre à jour les politiques internes avec les obligations légales</t>
  </si>
  <si>
    <t>Existence de formations régulières et de sensibilisation du personnel sur la cybersécurité et la cybercriminalité</t>
  </si>
  <si>
    <t>Des formations régulières et de sensibilisation sur la cybersécurité et la cybercriminalité sont-elles mises en place pour le personnel ?</t>
  </si>
  <si>
    <t>Registre de formation</t>
  </si>
  <si>
    <t>Risques accrus d’attaques par méconnaissance</t>
  </si>
  <si>
    <t>Incidents de sécurité évitables</t>
  </si>
  <si>
    <t>Suivre les taux de participation et d’assimilation</t>
  </si>
  <si>
    <t xml:space="preserve"> supports de sensibilisation</t>
  </si>
  <si>
    <t>Intégrer une formation obligatoire annuelle</t>
  </si>
  <si>
    <t>Mise en place de procédures de contrôle pour s’assurer du respect des réglementations liées à la cybersécurité</t>
  </si>
  <si>
    <t>Des procédures de contrôle sont-elles en place pour s’assurer du respect des réglementations liées à la cybersécurité ?</t>
  </si>
  <si>
    <t>Registres de conformité</t>
  </si>
  <si>
    <t>Détection tardive d’anomalies</t>
  </si>
  <si>
    <t>Amendes et perte de confiance des parties prenantes</t>
  </si>
  <si>
    <t>Mettre en œuvre un système de contrôle automatisé</t>
  </si>
  <si>
    <t xml:space="preserve"> rapports d’audit interne</t>
  </si>
  <si>
    <t>Effectuer des audits réguliers</t>
  </si>
  <si>
    <t>Suivi des évolutions législatives et mise à jour des politiques internes en conséquence</t>
  </si>
  <si>
    <t>Les évolutions législatives sont-elles suivies et les politiques internes mises à jour en conséquence ?</t>
  </si>
  <si>
    <t>Veille réglementaire</t>
  </si>
  <si>
    <t>Obsolescence des pratiques de conformité</t>
  </si>
  <si>
    <t>Exposition légale non couverte</t>
  </si>
  <si>
    <t>Mettre à jour la politique sécurité tous les 6 mois</t>
  </si>
  <si>
    <t xml:space="preserve"> procès-verbaux de comités</t>
  </si>
  <si>
    <t>Instaurer une cellule de veille juridique</t>
  </si>
  <si>
    <t>Vérification régulière des actions mises en œuvre pour garantir la conformité aux lois de cybersécurité et de cybercriminalité</t>
  </si>
  <si>
    <t>Les actions mises en œuvre pour garantir la conformité aux lois de cybersécurité et de cybercriminalité sont-elles régulièrement vérifiées ?</t>
  </si>
  <si>
    <t>Inefficacité des mesures appliquées</t>
  </si>
  <si>
    <t>Audit externe défavorable</t>
  </si>
  <si>
    <t>Suivre les écarts et mettre à jour les plans d’action</t>
  </si>
  <si>
    <t xml:space="preserve"> tableaux de bord de conformité</t>
  </si>
  <si>
    <t>Planifier des revues semestrielles de conformité</t>
  </si>
  <si>
    <t xml:space="preserve">Vérifier que les articles sur la fraude informatique sont connus
et que des mesures préventives ont été prises </t>
  </si>
  <si>
    <t>Vérification de la diffusion et de la connaissance des articles sur la fraude informatique au sein de l’organisation</t>
  </si>
  <si>
    <t>Les articles sur la fraude informatique sont-ils bien diffusés et compris au sein de l’organisation ?</t>
  </si>
  <si>
    <t>Campagnes de sensibilisation</t>
  </si>
  <si>
    <t>Méconnaissance des techniques de fraude</t>
  </si>
  <si>
    <t>Hausse du taux de fraudes internes</t>
  </si>
  <si>
    <t>Évaluer régulièrement le niveau de compréhension</t>
  </si>
  <si>
    <t xml:space="preserve"> évaluations de compréhension</t>
  </si>
  <si>
    <t>Diffuser des bulletins mensuels sur la fraude</t>
  </si>
  <si>
    <t>Existence de procédures de prévention et de détection des fraudes informatiques</t>
  </si>
  <si>
    <t>Des procédures de prévention et de détection des fraudes informatiques existent-elles ?</t>
  </si>
  <si>
    <t>Procédures de contrôle interne</t>
  </si>
  <si>
    <t>Fraude non détectée à temps</t>
  </si>
  <si>
    <t>Pertes financières et réputationnelles</t>
  </si>
  <si>
    <t>Renforcer les contrôles sur les zones sensibles</t>
  </si>
  <si>
    <t xml:space="preserve"> registres de surveillance</t>
  </si>
  <si>
    <t>Définir une cartographie des risques de fraude</t>
  </si>
  <si>
    <t>Mise en place de contrôles internes pour prévenir la fraude informatique (accès, transactions)</t>
  </si>
  <si>
    <t>Des contrôles internes sont-ils en place pour prévenir la fraude informatique (accès, transactions) ?</t>
  </si>
  <si>
    <t>Journaux d’accès</t>
  </si>
  <si>
    <t>Accès non autorisé aux données</t>
  </si>
  <si>
    <t>Altération ou vol d’informations sensibles</t>
  </si>
  <si>
    <t>Implémenter une gestion stricte des accès</t>
  </si>
  <si>
    <t xml:space="preserve"> rapports de contrôle d’accès</t>
  </si>
  <si>
    <t>Mettre en place une double validation pour les transactions critiques</t>
  </si>
  <si>
    <t>Formation et sensibilisation continue sur les risques de fraude informatique</t>
  </si>
  <si>
    <t>Une formation et une sensibilisation continues sur les risques de fraude informatique sont-elles organisées ?</t>
  </si>
  <si>
    <t>Risque de manipulation des utilisateurs</t>
  </si>
  <si>
    <t>Exploitation des failles humaines</t>
  </si>
  <si>
    <t>Introduire des tests de simulation de fraude</t>
  </si>
  <si>
    <t xml:space="preserve"> liste des participants</t>
  </si>
  <si>
    <t>Organiser des sessions trimestrielles de sensibilisation</t>
  </si>
  <si>
    <t>Suivi et évaluation réguliers de l’efficacité des mesures de prévention de la fraude</t>
  </si>
  <si>
    <t>L’efficacité des mesures de prévention de la fraude est-elle suivie et évaluée régulièrement ?</t>
  </si>
  <si>
    <t>Rapports d’incidents</t>
  </si>
  <si>
    <t>Maintien de vulnérabilités persistantes</t>
  </si>
  <si>
    <t>Répétition d’incidents similaires</t>
  </si>
  <si>
    <t>Réviser périodiquement les dispositifs de contrôle</t>
  </si>
  <si>
    <t xml:space="preserve"> KPI anti-fraude</t>
  </si>
  <si>
    <t>Suivre des indicateurs spécifiques de fraude</t>
  </si>
  <si>
    <t>Vérifier que les articles sur l’usage de moyens de chiffrement et
de la signature électronique sont connues respectées</t>
  </si>
  <si>
    <t>Vérification de la diffusion et de la compréhension des obligations légales concernant l’usage du chiffrement et de la signature électronique</t>
  </si>
  <si>
    <t>Les obligations légales concernant l’usage du chiffrement et de la signature électronique sont-elles bien diffusées et comprises ?</t>
  </si>
  <si>
    <t>Notes internes</t>
  </si>
  <si>
    <t>Mauvais usage des outils cryptographiques</t>
  </si>
  <si>
    <t>Données sensibles exposées ou non authentifiées</t>
  </si>
  <si>
    <t>Intégrer une validation juridique dans les procédures SI</t>
  </si>
  <si>
    <t>Sensibiliser les utilisateurs à la réglementation</t>
  </si>
  <si>
    <t>Contrôles sur l’utilisation des moyens de chiffrement dans les transactions sensibles</t>
  </si>
  <si>
    <t>Des contrôles sont-ils effectués sur l’utilisation des moyens de chiffrement dans les transactions sensibles ?</t>
  </si>
  <si>
    <t>Rapports de conformité</t>
  </si>
  <si>
    <t>Données interceptées ou modifiées</t>
  </si>
  <si>
    <t>Rupture de confidentialité ou falsification</t>
  </si>
  <si>
    <t>Auditer régulièrement les canaux de transmission</t>
  </si>
  <si>
    <t xml:space="preserve"> logs systèmes</t>
  </si>
  <si>
    <t>Imposer le chiffrement dans toutes les transactions sensibles</t>
  </si>
  <si>
    <t>Mise en place de procédures assurant l’intégrité et la confidentialité des données via des moyens de chiffrement</t>
  </si>
  <si>
    <t>Des procédures sont-elles en place pour assurer l’intégrité et la confidentialité des données via des moyens de chiffrement ?</t>
  </si>
  <si>
    <t>Procédures de sécurité</t>
  </si>
  <si>
    <t>Altération ou perte de données critiques</t>
  </si>
  <si>
    <t>Perte de confiance des clients ou partenaires</t>
  </si>
  <si>
    <t>Utiliser des standards éprouvés (AES, RSA)</t>
  </si>
  <si>
    <t xml:space="preserve"> politiques de chiffrement</t>
  </si>
  <si>
    <t>Définir une politique claire de chiffrement</t>
  </si>
  <si>
    <t>Examen des outils utilisés pour la signature électronique et leur conformité aux normes légales</t>
  </si>
  <si>
    <t>Les outils utilisés pour la signature électronique sont-ils conformes aux normes légales ?</t>
  </si>
  <si>
    <t>Certificats de conformité</t>
  </si>
  <si>
    <t>Signature non reconnue légalement</t>
  </si>
  <si>
    <t>Non-validité de documents signés</t>
  </si>
  <si>
    <t>Réaliser un audit de conformité des outils</t>
  </si>
  <si>
    <t xml:space="preserve"> documentation produit</t>
  </si>
  <si>
    <t>Sélectionner des outils certifiés eIDAS</t>
  </si>
  <si>
    <t>Vérification de la gestion des clés de chiffrement et des mécanismes de contrôle liés à la signature électronique</t>
  </si>
  <si>
    <t>La gestion des clés de chiffrement et des mécanismes de contrôle liés à la signature électronique est-elle vérifiée ?</t>
  </si>
  <si>
    <t>Registre des clés</t>
  </si>
  <si>
    <t>Compromission ou mauvaise gestion des clés</t>
  </si>
  <si>
    <t>Accès frauduleux ou perte de traçabilité</t>
  </si>
  <si>
    <t>Implémenter une rotation périodique des clés</t>
  </si>
  <si>
    <t xml:space="preserve"> politiques de rotation</t>
  </si>
  <si>
    <t>Mettre en place un système HSM sécurisé</t>
  </si>
  <si>
    <t xml:space="preserve">Vérifier que la loi sur l’archivage électronique est connue et
respectée </t>
  </si>
  <si>
    <t>Vérification que la loi sur l’archivage électronique est bien connue et respectée par l’organisation</t>
  </si>
  <si>
    <t>La loi sur l’archivage électronique est-elle bien connue et respectée par l’organisation ?</t>
  </si>
  <si>
    <t>Politique d’archivage</t>
  </si>
  <si>
    <t>Non-respect des obligations légales</t>
  </si>
  <si>
    <t>Rejet d’éléments archivés par les autorités</t>
  </si>
  <si>
    <t>Organiser des sessions de formation juridique</t>
  </si>
  <si>
    <t xml:space="preserve"> supports de formation</t>
  </si>
  <si>
    <t>Réviser les politiques selon les dernières normes légales</t>
  </si>
  <si>
    <t>Mise en place de politiques d’archivage électronique respectant les délais et formats légaux</t>
  </si>
  <si>
    <t>Des politiques d’archivage électronique respectant les délais et formats légaux sont-elles mises en place ?</t>
  </si>
  <si>
    <t>Politique de rétention</t>
  </si>
  <si>
    <t>Invalidation d’archives en cas de litige</t>
  </si>
  <si>
    <t>Perte de valeur probante des documents</t>
  </si>
  <si>
    <t>S’assurer du respect des formats conformes (PDF/A,XML</t>
  </si>
  <si>
    <t xml:space="preserve"> )</t>
  </si>
  <si>
    <t xml:space="preserve"> guide des formats</t>
  </si>
  <si>
    <t>Définir des durées de conservation légales</t>
  </si>
  <si>
    <t>Contrôles sur l’intégrité et la confidentialité des archives électroniques</t>
  </si>
  <si>
    <t>Des contrôles sont-ils effectués sur l’intégrité et la confidentialité des archives électroniques ?</t>
  </si>
  <si>
    <t>Rapports d’intégrité</t>
  </si>
  <si>
    <t>Données archivées modifiables ou exposées</t>
  </si>
  <si>
    <t>Preuves rejetées en cas d’audit ou contentieux</t>
  </si>
  <si>
    <t>Sécuriser les accès aux archives avec authentification forte</t>
  </si>
  <si>
    <t xml:space="preserve"> outils de hash</t>
  </si>
  <si>
    <t>Mettre en place des contrôles d’intégrité (hash, checksum)</t>
  </si>
  <si>
    <t>Formation du personnel aux pratiques d’archivage et aux exigences légales</t>
  </si>
  <si>
    <t>Le personnel est-il formé aux pratiques d’archivage et aux exigences légales ?</t>
  </si>
  <si>
    <t>Archivage incorrect ou incomplet</t>
  </si>
  <si>
    <t>Perte d’information ou sanction juridique</t>
  </si>
  <si>
    <t>Vérifier la compréhension via des tests pratiques</t>
  </si>
  <si>
    <t xml:space="preserve"> quiz d’évaluation</t>
  </si>
  <si>
    <t>Proposer une formation annuelle obligatoire</t>
  </si>
  <si>
    <t>Suivi des pratiques d’archivage pour s’assurer qu’elles répondent aux normes en vigueur</t>
  </si>
  <si>
    <t>Les pratiques d’archivage sont-elles suivies pour s’assurer qu’elles répondent aux normes en vigueur ?</t>
  </si>
  <si>
    <t>Rapports d’audit</t>
  </si>
  <si>
    <t>Non-conformité des pratiques en cas d’audit</t>
  </si>
  <si>
    <t>Révision imposée par les autorités compétentes</t>
  </si>
  <si>
    <t>Réaliser des audits internes annuels</t>
  </si>
  <si>
    <t xml:space="preserve"> tableaux de suivi</t>
  </si>
  <si>
    <t>Comparer les pratiques avec les normes ISO ou réglementaires</t>
  </si>
  <si>
    <t>Vérifier que les articles sur la propriété intellectuelle / logiciel «
pirate » sont connus respectés</t>
  </si>
  <si>
    <t>Vérification que les règles concernant la propriété intellectuelle, en particulier l’utilisation de logiciels « piratés », sont connues et respectées</t>
  </si>
  <si>
    <t>Les règles concernant la propriété intellectuelle, en particulier l’utilisation de logiciels « piratés », sont-elles connues et respectées ?</t>
  </si>
  <si>
    <t>Politique logicielle</t>
  </si>
  <si>
    <t>Utilisation illégale de logiciels</t>
  </si>
  <si>
    <t>Risques juridiques et réputationnels</t>
  </si>
  <si>
    <t>Exiger l’approbation DSI pour tout nouveau logiciel</t>
  </si>
  <si>
    <t xml:space="preserve"> charte informatique</t>
  </si>
  <si>
    <t>Diffuser régulièrement les règles sur la PI</t>
  </si>
  <si>
    <t>Contrôles réguliers pour s’assurer que tous les logiciels utilisés sont légaux et conformes aux licences</t>
  </si>
  <si>
    <t>Des contrôles réguliers sont-ils effectués pour s’assurer que tous les logiciels utilisés sont légaux et conformes aux licences ?</t>
  </si>
  <si>
    <t>Inventaire logiciel</t>
  </si>
  <si>
    <t>Audit externe non conforme</t>
  </si>
  <si>
    <t>Pénalités financières ou poursuites</t>
  </si>
  <si>
    <t>Utiliser un outil de gestion de licences (SAM)</t>
  </si>
  <si>
    <t xml:space="preserve"> rapports de conformité</t>
  </si>
  <si>
    <t>Effectuer des audits logiciels trimestriels</t>
  </si>
  <si>
    <t>Mise en place de politiques pour interdire l’utilisation de logiciels non autorisés ou piratés</t>
  </si>
  <si>
    <t>Des politiques sont-elles mises en place pour interdire l’utilisation de logiciels non autorisés ou piratés ?</t>
  </si>
  <si>
    <t>Politique d’usage logiciel</t>
  </si>
  <si>
    <t>Introduction de malwares ou brèches de sécurité</t>
  </si>
  <si>
    <t>Altération de la sécurité du SI</t>
  </si>
  <si>
    <t>Sensibiliser régulièrement sur les risques associés</t>
  </si>
  <si>
    <t xml:space="preserve"> registres d’interdiction</t>
  </si>
  <si>
    <t>Renforcer la politique de filtrage et d’autorisation</t>
  </si>
  <si>
    <t>Formation et sensibilisation des employés sur la législation relative à la propriété intellectuelle</t>
  </si>
  <si>
    <t>Une formation et une sensibilisation sur la législation relative à la propriété intellectuelle sont-elles proposées aux employés ?</t>
  </si>
  <si>
    <t>Agenda de formation</t>
  </si>
  <si>
    <t>Ignorance des règles par les collaborateurs</t>
  </si>
  <si>
    <t>Manquements non intentionnels aux lois</t>
  </si>
  <si>
    <t>Organiser des rappels annuels par e-learning</t>
  </si>
  <si>
    <t xml:space="preserve"> supports pédagogiques</t>
  </si>
  <si>
    <t>Inclure la PI dans le programme de formation d’accueil</t>
  </si>
  <si>
    <t>Suivi des violations potentielles de la propriété intellectuelle et mise en œuvre de mesures correctives appropriées</t>
  </si>
  <si>
    <t>Les violations potentielles de la propriété intellectuelle sont-elles suivies et des mesures correctives appropriées sont-elles mises en œuvre ?</t>
  </si>
  <si>
    <t>Registre d’incidents</t>
  </si>
  <si>
    <t>Répétition d’erreurs ou d’abus</t>
  </si>
  <si>
    <t>Image ternie,  litiges récurrents</t>
  </si>
  <si>
    <t>Appliquer des sanctions internes si nécessaire</t>
  </si>
  <si>
    <t xml:space="preserve"> plan d’action correctif</t>
  </si>
  <si>
    <t>Analyser chaque incident et en tirer des leçons</t>
  </si>
  <si>
    <t>Critères d'évaluation</t>
  </si>
  <si>
    <t>Fonction support : audit fiabilité et sécurité</t>
  </si>
  <si>
    <t>S’assurer qu’une structure de centre d’assistance (help-desk) 
(HD) est mise en place</t>
  </si>
  <si>
    <t>Existence d’un organigramme précisant les rôles et responsabilités du help-desk</t>
  </si>
  <si>
    <t>Un organigramme décrivant les rôles et responsabilités du help-desk est-il disponible ?</t>
  </si>
  <si>
    <t>Manque de clarté organisationnelle</t>
  </si>
  <si>
    <t>Confusion dans la répartition des tâches</t>
  </si>
  <si>
    <t>Formaliser un organigramme avec rôles clairs</t>
  </si>
  <si>
    <t>Organiser des réunions régulières de coordination</t>
  </si>
  <si>
    <t>Présence physique ou virtuelle du help-desk accessible aux utilisateurs</t>
  </si>
  <si>
    <t>Le help-desk est-il accessible physiquement ou virtuellement pour tous les utilisateurs ?</t>
  </si>
  <si>
    <t>Plan d’accès</t>
  </si>
  <si>
    <t>Inaccessibilité du support</t>
  </si>
  <si>
    <t>Allongement des délais de prise en charge</t>
  </si>
  <si>
    <t>Mettre en place un système de priorisation automatisé</t>
  </si>
  <si>
    <t>Lien vers le portail en ligne</t>
  </si>
  <si>
    <t>Renforcer les effectifs aux heures de pointe</t>
  </si>
  <si>
    <t>Existence d’horaires de disponibilité clairement définis</t>
  </si>
  <si>
    <t>Les horaires de disponibilité du help-desk sont-ils clairement définis et diffusés ?</t>
  </si>
  <si>
    <t>Note de service</t>
  </si>
  <si>
    <t>Indisponibilité non anticipée</t>
  </si>
  <si>
    <t>Perte de confiance des utilisateurs</t>
  </si>
  <si>
    <t>Instaurer un canal de feedback anonyme</t>
  </si>
  <si>
    <t>Charte de support</t>
  </si>
  <si>
    <t>Publier des indicateurs de satisfaction mensuels</t>
  </si>
  <si>
    <t>Existence d’un budget dédié au fonctionnement du help-desk</t>
  </si>
  <si>
    <t>Un budget spécifique est-il alloué et suivi pour le help-desk ?</t>
  </si>
  <si>
    <t>Budget prévisionnel</t>
  </si>
  <si>
    <t>Absence de moyens adaptés</t>
  </si>
  <si>
    <t>Réduction de la qualité du service</t>
  </si>
  <si>
    <t>Renforcer la formation continue des agents</t>
  </si>
  <si>
    <t>Rapport financier</t>
  </si>
  <si>
    <t>Mettre à jour régulièrement les procédures internes</t>
  </si>
  <si>
    <t>Preuve de la formation des agents du help-desk aux outils et procédures internes</t>
  </si>
  <si>
    <t>Les agents du help-desk ont-ils reçu une formation sur les outils et procédures internes ?</t>
  </si>
  <si>
    <t>Incompétence des agents</t>
  </si>
  <si>
    <t>Erreurs de traitement des tickets</t>
  </si>
  <si>
    <t>Implémenter une checklist de validation des actions</t>
  </si>
  <si>
    <t xml:space="preserve"> Programme de formation</t>
  </si>
  <si>
    <t>Mettre en place des contrôles qualité périodiques</t>
  </si>
  <si>
    <t>S’assurer qu’une procédure de gestion des demandes
d’assistance est diffusée et connue des utilisateurs</t>
  </si>
  <si>
    <t>Existence d’un document formalisé décrivant la procédure de gestion des demandes</t>
  </si>
  <si>
    <t>Existe-t-il un document décrivant formellement la procédure de gestion des demandes ?</t>
  </si>
  <si>
    <t>Manuel de procédures</t>
  </si>
  <si>
    <t>Manque de standardisation</t>
  </si>
  <si>
    <t>Traitement incohérent des demandes</t>
  </si>
  <si>
    <t>Centraliser la base de connaissances utilisée</t>
  </si>
  <si>
    <t>Guide d’exploitation</t>
  </si>
  <si>
    <t>Standardiser les scénarios de résolution</t>
  </si>
  <si>
    <t>Preuve de la diffusion de ce document à l’ensemble des utilisateurs (mail, intranet, etc.)</t>
  </si>
  <si>
    <t>Ce document a-t-il été effectivement diffusé à tous les utilisateurs ?</t>
  </si>
  <si>
    <t>Email de diffusion</t>
  </si>
  <si>
    <t>Non-communication des règles</t>
  </si>
  <si>
    <t>Non-respect de la procédure</t>
  </si>
  <si>
    <t>Sensibiliser les agents via des rappels réguliers</t>
  </si>
  <si>
    <t>Copie sur l’intranet</t>
  </si>
  <si>
    <t>Mettre en place un audit interne de conformité</t>
  </si>
  <si>
    <t>Accessibilité de la procédure à tout moment pour les utilisateurs</t>
  </si>
  <si>
    <t>Les utilisateurs peuvent-ils accéder à la procédure à tout moment ?</t>
  </si>
  <si>
    <t>Lien permanent sur l’intranet</t>
  </si>
  <si>
    <t>Difficulté d’accès à l’information</t>
  </si>
  <si>
    <t>Dépendance excessive au support</t>
  </si>
  <si>
    <t>Encourager l’autonomie via des formations utilisateurs</t>
  </si>
  <si>
    <t>Captures du portail</t>
  </si>
  <si>
    <t>Créer des FAQ et des guides d’auto-dépannage</t>
  </si>
  <si>
    <t>Organisation de sessions de sensibilisation ou de formation sur la procédure</t>
  </si>
  <si>
    <t>Des sessions de formation sur la procédure ont-elles été organisées ?</t>
  </si>
  <si>
    <t>Planning de formation</t>
  </si>
  <si>
    <t>Manque de compréhension du processus</t>
  </si>
  <si>
    <t>Utilisation inefficace du service</t>
  </si>
  <si>
    <t>Optimiser l’interface de déclaration de tickets</t>
  </si>
  <si>
    <t>Liste de présence</t>
  </si>
  <si>
    <t>Clarifier les types de demandes acceptées</t>
  </si>
  <si>
    <t>Enquêtes ou retours d’expérience montrant que les utilisateurs connaissent la procédure</t>
  </si>
  <si>
    <t>Des retours montrent-ils que les utilisateurs maîtrisent la procédure ?</t>
  </si>
  <si>
    <t>Résultats d’enquête</t>
  </si>
  <si>
    <t>Méconnaissance de la procédure</t>
  </si>
  <si>
    <t>Non-conformité dans la saisie des tickets</t>
  </si>
  <si>
    <t>Mettre en place un contrôle de cohérence automatique</t>
  </si>
  <si>
    <t>Rapports de satisfaction</t>
  </si>
  <si>
    <t>Ajouter des champs obligatoires dans le formulaire</t>
  </si>
  <si>
    <t>S’assurer qu’un outil est implémenté pour la prise d'appel et le 
suivi des tickets</t>
  </si>
  <si>
    <t>Existence d’un logiciel ou d’une plateforme dédiée à la gestion des tickets</t>
  </si>
  <si>
    <t>Un outil spécifique est-il utilisé pour la gestion des tickets ?</t>
  </si>
  <si>
    <t>Contrat logiciel</t>
  </si>
  <si>
    <t>Outils non adaptés ou inexistants</t>
  </si>
  <si>
    <t>Suivi manuel inefficace</t>
  </si>
  <si>
    <t>Automatiser le suivi des tickets avec notifications</t>
  </si>
  <si>
    <t>Captures d’écran du système</t>
  </si>
  <si>
    <t>Utiliser des tableaux de bord dynamiques</t>
  </si>
  <si>
    <t>Possibilité pour les utilisateurs de créer et suivre leurs tickets en autonomie</t>
  </si>
  <si>
    <t>Les utilisateurs peuvent-ils créer et suivre leurs tickets sans assistance directe ?</t>
  </si>
  <si>
    <t>Guide utilisateur</t>
  </si>
  <si>
    <t>Surcharge du support</t>
  </si>
  <si>
    <t>Allongement des délais de résolution</t>
  </si>
  <si>
    <t>Affecter les tickets en fonction des expertises disponibles</t>
  </si>
  <si>
    <t>Interface du portail</t>
  </si>
  <si>
    <t>Mettre en place des SLA avec alertes automatiques</t>
  </si>
  <si>
    <t>Fonctionnalité de traçabilité complète des tickets depuis leur création jusqu’à leur résolution</t>
  </si>
  <si>
    <t>Le système permet-il une traçabilité complète des tickets ?</t>
  </si>
  <si>
    <t>Journal des tickets</t>
  </si>
  <si>
    <t>Manque de visibilité sur le traitement</t>
  </si>
  <si>
    <t>Difficulté à auditer ou analyser les incidents</t>
  </si>
  <si>
    <t>Conserver un historique complet des tickets</t>
  </si>
  <si>
    <t>Historique des actions</t>
  </si>
  <si>
    <t>Catégoriser systématiquement les incidents traités</t>
  </si>
  <si>
    <t>Capacité de l’outil à générer des rapports et statistiques sur les demandes traitées</t>
  </si>
  <si>
    <t>L’outil permet-il de produire des rapports et des statistiques ?</t>
  </si>
  <si>
    <t>Rapport mensuel</t>
  </si>
  <si>
    <t>Absence d’indicateurs de performance</t>
  </si>
  <si>
    <t>Incapacité à améliorer le service</t>
  </si>
  <si>
    <t>Collecter les retours utilisateurs après résolution</t>
  </si>
  <si>
    <t>Tableau de bord</t>
  </si>
  <si>
    <t>Organiser des revues trimestrielles d’amélioration</t>
  </si>
  <si>
    <t>Connexion possible avec d’autres outils de gestion du système d’information</t>
  </si>
  <si>
    <t>Le système de ticketing est-il interopérable avec d’autres outils du SI ?</t>
  </si>
  <si>
    <t>Schéma d’architecture SI</t>
  </si>
  <si>
    <t>Systèmes cloisonnés</t>
  </si>
  <si>
    <t>Perte d’efficacité et duplication des actions</t>
  </si>
  <si>
    <t>Centraliser l’information sur une plateforme unique</t>
  </si>
  <si>
    <t>documentation d’intégration</t>
  </si>
  <si>
    <t>Utiliser un référentiel partagé de traitement des tickets</t>
  </si>
  <si>
    <t>S’assure qu’il existe une liste de questions à dérouler lors d'un 
appel afin préciser au mieux la demande de l'utilisateur</t>
  </si>
  <si>
    <t>Document standardisé ou base de connaissances regroupant les questions à poser</t>
  </si>
  <si>
    <t>Existe-t-il un document standardisé regroupant les questions à poser aux utilisateurs ?</t>
  </si>
  <si>
    <t>Guide d’assistance help-desk</t>
  </si>
  <si>
    <t>Absence de référentiel commun</t>
  </si>
  <si>
    <t>Support incohérent et erreurs de diagnostic</t>
  </si>
  <si>
    <t>Introduire un arbre de décision dans l’outil</t>
  </si>
  <si>
    <t>base de connaissances partagée</t>
  </si>
  <si>
    <t>Former les agents aux procédures types</t>
  </si>
  <si>
    <t>Utilisation effective de cette liste par les agents du help-desk lors des appels</t>
  </si>
  <si>
    <t>Les agents du help-desk utilisent-ils réellement la liste de questions lors des appels ?</t>
  </si>
  <si>
    <t>Rapports d’activité du help-desk</t>
  </si>
  <si>
    <t>Procédures ignorées</t>
  </si>
  <si>
    <t>Diagnostics incomplets</t>
  </si>
  <si>
    <t>Ajouter des champs de vérification dans les tickets</t>
  </si>
  <si>
    <t>enregistrements d’appels</t>
  </si>
  <si>
    <t>Utiliser un questionnaire de diagnostic structuré</t>
  </si>
  <si>
    <t>Mise à jour régulière de la liste en fonction des retours d’expérience ou des nouvelles problématiques</t>
  </si>
  <si>
    <t>La liste de questions est-elle régulièrement mise à jour à partir des retours d’expérience ?</t>
  </si>
  <si>
    <t>Obsolescence des supports</t>
  </si>
  <si>
    <t>Réponses inadéquates aux problématiques actuelles</t>
  </si>
  <si>
    <t>Mettre à jour la base de connaissances selon les incidents récents</t>
  </si>
  <si>
    <t>comptes rendus d’analyse post-incident</t>
  </si>
  <si>
    <t>Collecter les erreurs fréquemment rencontrées</t>
  </si>
  <si>
    <t>Capacité de la liste à guider l’agent vers un diagnostic plus rapide et précis</t>
  </si>
  <si>
    <t>La liste de questions permet-elle aux agents de poser un diagnostic rapide et fiable ?</t>
  </si>
  <si>
    <t>Arbre de décision</t>
  </si>
  <si>
    <t>Liste peu fonctionnelle ou mal structurée</t>
  </si>
  <si>
    <t>Allongement du délai de traitement</t>
  </si>
  <si>
    <t>Identifier les goulots d’étranglement dans le processus</t>
  </si>
  <si>
    <t>fiche de diagnostic</t>
  </si>
  <si>
    <t>Optimiser la file d’attente avec des règles de priorité</t>
  </si>
  <si>
    <t>Disponibilité de la liste dans l’outil de ticketing ou à proximité immédiate des agents</t>
  </si>
  <si>
    <t>La liste de questions est-elle directement accessible depuis l’outil de ticketing ou à proximité immédiate des agents ?</t>
  </si>
  <si>
    <t>Capture d’écran de l’outil</t>
  </si>
  <si>
    <t>Réduction de l’efficacité du support en situation d’urgence</t>
  </si>
  <si>
    <t>Mettre en place une procédure spéciale d’urgence</t>
  </si>
  <si>
    <t xml:space="preserve"> manuel utilisateur</t>
  </si>
  <si>
    <t>Former une équipe d’astreinte dédiée</t>
  </si>
  <si>
    <t>S’assurer que les incidents de production de nuit et jour ferrier 
sont aussi saisis dans l'outil</t>
  </si>
  <si>
    <t>Existence d’une procédure spécifique pour la remontée des incidents hors heures ouvrées</t>
  </si>
  <si>
    <t>Existe-t-il une procédure spécifique pour la gestion des incidents hors horaires de bureau ?</t>
  </si>
  <si>
    <t>Procédure d’astreinte</t>
  </si>
  <si>
    <t>Absence de prise en charge en dehors des horaires</t>
  </si>
  <si>
    <t>Interruption prolongée des services</t>
  </si>
  <si>
    <t>Effectuer des tests réguliers de continuité de service</t>
  </si>
  <si>
    <t xml:space="preserve"> plan de continuité d’activité</t>
  </si>
  <si>
    <t>Prévoir des scénarios de reprise d’activité</t>
  </si>
  <si>
    <t>Présence d’un système d’astreinte ou de relais opérationnel pendant la nuit et les jours fériés</t>
  </si>
  <si>
    <t>Un système d’astreinte ou de relais opérationnel est-il en place pendant les nuits et jours fériés ?</t>
  </si>
  <si>
    <t>Planning d’astreinte</t>
  </si>
  <si>
    <t>Indisponibilité de personnel qualifié</t>
  </si>
  <si>
    <t>Non-prise en charge des incidents critiques en période sensible</t>
  </si>
  <si>
    <t>Établir un planning d’astreinte clair</t>
  </si>
  <si>
    <t xml:space="preserve"> contrat d’astreinte</t>
  </si>
  <si>
    <t>Paramétrer des alertes pour incidents critiques</t>
  </si>
  <si>
    <t>Suivi effectif des tickets créés en dehors des horaires classiques dans les rapports d’activité</t>
  </si>
  <si>
    <t>Les tickets créés en dehors des horaires standards sont-ils intégrés dans les rapports d’activité ?</t>
  </si>
  <si>
    <t>Rapport d’activité du support</t>
  </si>
  <si>
    <t>Tickets non analysés</t>
  </si>
  <si>
    <t>Sous-estimation des charges ou problèmes récurrents</t>
  </si>
  <si>
    <t>Prévoir un reporting hebdomadaire sur les tickets</t>
  </si>
  <si>
    <t xml:space="preserve"> registre d’incidents</t>
  </si>
  <si>
    <t>Suivre les indicateurs de volumétrie en temps réel</t>
  </si>
  <si>
    <t>Accès permanent à l’outil de ticketing, indépendamment des horaires</t>
  </si>
  <si>
    <t>L’outil de ticketing est-il disponible 24h/24  indépendamment des horaires ?</t>
  </si>
  <si>
    <t>Rapport de disponibilité</t>
  </si>
  <si>
    <t>Indisponibilité de l’outil</t>
  </si>
  <si>
    <t>Impossibilité de déclarer un incident en cas d’urgence</t>
  </si>
  <si>
    <t>Fournir un canal alternatif de signalement (SMS,appel)</t>
  </si>
  <si>
    <t xml:space="preserve"> journal de supervision</t>
  </si>
  <si>
    <t>Garantir un accès 24/7 au portail d’incidents</t>
  </si>
  <si>
    <t>Analyse régulière des incidents nocturnes et fériés pour en tirer des mesures correctives</t>
  </si>
  <si>
    <t>Les incidents nocturnes ou survenus pendant les jours fériés font-ils l’objet d’analyses régulières ?</t>
  </si>
  <si>
    <t>Revue d’incidents</t>
  </si>
  <si>
    <t>Incidents récurrents non traités</t>
  </si>
  <si>
    <t>Reproduction des pannes sans mesure corrective</t>
  </si>
  <si>
    <t>Analyser les causes racines des incidents récurrents</t>
  </si>
  <si>
    <t xml:space="preserve"> rapport hebdomadaire/mensuel</t>
  </si>
  <si>
    <t>Documenter systématiquement chaque panne</t>
  </si>
  <si>
    <t>S’assurer que les indicateurs pour suivre le contrat de service 
existent</t>
  </si>
  <si>
    <t>Définition claire des indicateurs de performance liés au support (SLA, taux de résolution, délais, etc.)</t>
  </si>
  <si>
    <t>Les indicateurs de performance du support (SLA taux de résolution  délais) sont-ils clairement définis ?</t>
  </si>
  <si>
    <t>SLA formel</t>
  </si>
  <si>
    <t>Absence de critères objectifs</t>
  </si>
  <si>
    <t>Incapacité à mesurer et améliorer la qualité du support</t>
  </si>
  <si>
    <t>Définir des indicateurs clés de performance (KPI)</t>
  </si>
  <si>
    <t xml:space="preserve"> tableau de suivi des KPI</t>
  </si>
  <si>
    <t>Évaluer régulièrement la satisfaction utilisateur</t>
  </si>
  <si>
    <t>Mise en place de tableaux de bord pour visualiser ces indicateurs</t>
  </si>
  <si>
    <t>Des tableaux de bord sont-ils en place pour visualiser les indicateurs de performance ?</t>
  </si>
  <si>
    <t>Tableaux de bord automatisés</t>
  </si>
  <si>
    <t>Suivi manuel ou inexistant</t>
  </si>
  <si>
    <t>Manque de réactivité dans la prise de décision et perte de visibilité sur la performance</t>
  </si>
  <si>
    <t>Automatiser la remontée des indicateurs en temps réel</t>
  </si>
  <si>
    <t xml:space="preserve"> interface de reporting</t>
  </si>
  <si>
    <t>Mettre en place un comité de pilotage mensuel</t>
  </si>
  <si>
    <t>Revue périodique des indicateurs avec les responsables concernés</t>
  </si>
  <si>
    <t>Les indicateurs de performance sont-ils revus périodiquement avec les responsables concernés ?</t>
  </si>
  <si>
    <t>Procès-verbaux de réunions</t>
  </si>
  <si>
    <t>Manque d’analyse régulière</t>
  </si>
  <si>
    <t>Stagnation ou dégradation continue des performances</t>
  </si>
  <si>
    <t>Effectuer un audit régulier du service support</t>
  </si>
  <si>
    <t xml:space="preserve"> planning des revues</t>
  </si>
  <si>
    <t>Mettre en œuvre un plan d’amélioration continue</t>
  </si>
  <si>
    <t>Alignement des indicateurs avec les engagements contractuels du service informatique</t>
  </si>
  <si>
    <t>Les indicateurs de performance sont-ils alignés avec les SLA contractuels du service informatique ?</t>
  </si>
  <si>
    <t>SLA signé</t>
  </si>
  <si>
    <t>Désalignement stratégique</t>
  </si>
  <si>
    <t>Non-conformité contractuelle et perte de crédibilité</t>
  </si>
  <si>
    <t>Suivre rigoureusement les SLA définis</t>
  </si>
  <si>
    <t xml:space="preserve"> tableau de correspondance indicateurs–SLA</t>
  </si>
  <si>
    <t>Rédiger un rapport mensuel de conformité contractuelle</t>
  </si>
  <si>
    <t>Communication régulière des résultats aux parties prenantes (direction, utilisateurs, etc.)</t>
  </si>
  <si>
    <t>Les résultats du support sont-ils communiqués régulièrement aux parties prenantes (direction utilisateurs) ?</t>
  </si>
  <si>
    <t>Rapports de performance</t>
  </si>
  <si>
    <t>Méfiance ou désengagement des parties prenantes</t>
  </si>
  <si>
    <t>Communiquer les plans d’action engagés</t>
  </si>
  <si>
    <t xml:space="preserve"> newsletters internes</t>
  </si>
  <si>
    <t>Impliquer les parties prenantes dans la revue des résultats</t>
  </si>
  <si>
    <t>S’assurer qu’il y a un planning systématique concernant les 
mises en production</t>
  </si>
  <si>
    <t>Existence d’un calendrier formel des mises en production validé par les parties prenantes</t>
  </si>
  <si>
    <t>Existe-t-il un calendrier formel des mises en production validé par les parties prenantes ?</t>
  </si>
  <si>
    <t>Planning de mise en production</t>
  </si>
  <si>
    <t>Planification non maîtrisée</t>
  </si>
  <si>
    <t>Mises en production non coordonnées causant des conflits techniques</t>
  </si>
  <si>
    <t>Établir un calendrier de déploiement partagé</t>
  </si>
  <si>
    <t>Créer un comité de validation des changements</t>
  </si>
  <si>
    <t>Mise à jour régulière du planning selon les priorités projets ou contraintes techniques</t>
  </si>
  <si>
    <t>Le planning de mise en production est-il mis à jour régulièrement selon les priorités et contraintes ?</t>
  </si>
  <si>
    <t>Historique des versions du planning</t>
  </si>
  <si>
    <t>Obsolescence du planning</t>
  </si>
  <si>
    <t>Décalages imprévus et mauvaise allocation des ressources</t>
  </si>
  <si>
    <t>Réévaluer périodiquement la charge de travail</t>
  </si>
  <si>
    <t xml:space="preserve"> PV de comités projet</t>
  </si>
  <si>
    <t>Planifier les projets avec marges de sécurité</t>
  </si>
  <si>
    <t>Communication systématique du planning aux équipes techniques et métiers</t>
  </si>
  <si>
    <t>Le planning est-il systématiquement communiqué aux équipes techniques et métiers ?</t>
  </si>
  <si>
    <t>Emails de diffusion</t>
  </si>
  <si>
    <t>Défaut de communication</t>
  </si>
  <si>
    <t>Non-respect des échéances ou conflits de charge</t>
  </si>
  <si>
    <t>Utiliser un outil de planification collaborative</t>
  </si>
  <si>
    <t xml:space="preserve"> plateforme collaborative (type SharePoint)</t>
  </si>
  <si>
    <t>Suivre l’avancement des tâches avec des jalons</t>
  </si>
  <si>
    <t>Suivi rigoureux du respect du planning de mise en production</t>
  </si>
  <si>
    <t>Le respect du planning de mise en production est-il suivi rigoureusement ?</t>
  </si>
  <si>
    <t>Tableau de bord des déploiements</t>
  </si>
  <si>
    <t>Manque de pilotage temporel</t>
  </si>
  <si>
    <t>Accumulation de retards et dérives projet</t>
  </si>
  <si>
    <t>Organiser des points d’étape intermédiaires</t>
  </si>
  <si>
    <t xml:space="preserve"> journal des écarts</t>
  </si>
  <si>
    <t>Tenir un registre des risques projet</t>
  </si>
  <si>
    <t>Intégration d’un processus de validation avant chaque mise en production prévue</t>
  </si>
  <si>
    <t>Un processus de validation est-il intégré avant chaque mise en production prévue ?</t>
  </si>
  <si>
    <t>Liste de contrôle de validation</t>
  </si>
  <si>
    <t>Absence de validation préalable</t>
  </si>
  <si>
    <t>Déploiement de versions instables ou non testées</t>
  </si>
  <si>
    <t>Renforcer la phase de test utilisateur</t>
  </si>
  <si>
    <t xml:space="preserve"> compte rendu de comité de validation</t>
  </si>
  <si>
    <t>Mettre en place une validation croisée des versions</t>
  </si>
  <si>
    <t>Fonction support : audit d'efficacité et de performance</t>
  </si>
  <si>
    <t>S’assurer qu’il existe des revues qualité pour la saisie des 
tickets</t>
  </si>
  <si>
    <t>Existence d’un processus de contrôle qualité régulier sur la saisie des tickets</t>
  </si>
  <si>
    <t>Existe-t-il un processus de contrôle qualité régulier sur la saisie des tickets ?</t>
  </si>
  <si>
    <t>Procédure qualité du support</t>
  </si>
  <si>
    <t>Données saisies non vérifiées</t>
  </si>
  <si>
    <t>Informations erronées compromettant l’analyse des incidents</t>
  </si>
  <si>
    <t>Créer un protocole de saisie contrôlée des données</t>
  </si>
  <si>
    <t xml:space="preserve"> grille d’audit</t>
  </si>
  <si>
    <t>Implémenter une validation manuelle des tickets</t>
  </si>
  <si>
    <t>Mise en œuvre d’audits internes ou d’échantillonnages périodiques des tickets enregistrés</t>
  </si>
  <si>
    <t>Des audits internes ou échantillonnages des tickets sont-ils réalisés régulièrement ?</t>
  </si>
  <si>
    <t>Absence de contrôle qualité</t>
  </si>
  <si>
    <t>Détection tardive ou non des erreurs de saisie</t>
  </si>
  <si>
    <t>Mettre en place des alertes automatiques d’incohérence</t>
  </si>
  <si>
    <t xml:space="preserve"> plan d’audit qualité</t>
  </si>
  <si>
    <t>Ajouter un contrôle qualité sur les enregistrements</t>
  </si>
  <si>
    <t>Identification et correction des erreurs ou incohérences relevées lors des revues</t>
  </si>
  <si>
    <t>Les erreurs détectées lors des revues sont-elles identifiées et corrigées de manière systématique ?</t>
  </si>
  <si>
    <t>Fiches de contrôle qualité</t>
  </si>
  <si>
    <t>Persistance des erreurs</t>
  </si>
  <si>
    <t>Dégradation de la fiabilité des données de support</t>
  </si>
  <si>
    <t>Auditer régulièrement la base de données support</t>
  </si>
  <si>
    <t xml:space="preserve"> registre des actions correctives</t>
  </si>
  <si>
    <t>Standardiser la structure des données collectées</t>
  </si>
  <si>
    <t>Production de rapports de qualité de saisie des tickets et suivi des non-conformités</t>
  </si>
  <si>
    <t>Des rapports de qualité de saisie sont-ils produits et les non-conformités suivies ?</t>
  </si>
  <si>
    <t>Rapports de conformité mensuels</t>
  </si>
  <si>
    <t>Non-suivi des écarts</t>
  </si>
  <si>
    <t>Non-amélioration continue et perte de traçabilité</t>
  </si>
  <si>
    <t>Documenter toutes les actions de support</t>
  </si>
  <si>
    <t xml:space="preserve"> tableaux de bord qualité</t>
  </si>
  <si>
    <t>Instaurer un mécanisme de retour d’expérience</t>
  </si>
  <si>
    <t>Implication des superviseurs ou responsables d’équipe dans le processus de revue</t>
  </si>
  <si>
    <t>Les superviseurs ou responsables d’équipe participent-ils activement à la revue qualité ?</t>
  </si>
  <si>
    <t>PV de réunions de revue</t>
  </si>
  <si>
    <t>Faible implication hiérarchique</t>
  </si>
  <si>
    <t>Absence de pilotage opérationnel de la qualité</t>
  </si>
  <si>
    <t>Produire un tableau de bord qualité mensuel</t>
  </si>
  <si>
    <t xml:space="preserve"> feuilles de présence</t>
  </si>
  <si>
    <t>Nommer un responsable qualité support</t>
  </si>
  <si>
    <t>Vérifier l’existence d’une base de connaissance et  qu’une procédure de mise à jour de la celle-ci existe</t>
  </si>
  <si>
    <t>Existence effective d’une base de connaissance accessible aux agents et utilisateurs</t>
  </si>
  <si>
    <t>Une base de connaissances est-elle effectivement accessible aux agents et utilisateurs ?</t>
  </si>
  <si>
    <t>Capture d’écran de la base</t>
  </si>
  <si>
    <t>Non-utilisation de la base</t>
  </si>
  <si>
    <t>Requêtes redondantes et perte de temps</t>
  </si>
  <si>
    <t>Développer une interface de recherche intelligente</t>
  </si>
  <si>
    <t xml:space="preserve"> guide utilisateur</t>
  </si>
  <si>
    <t>Créer un référentiel centralisé de réponses types</t>
  </si>
  <si>
    <t>Présence d’un responsable ou d’un référent chargé de la mise à jour de la base</t>
  </si>
  <si>
    <t>Un référent ou responsable est-il désigné pour la mise à jour de la base de connaissances ?</t>
  </si>
  <si>
    <t>Fiche de fonction</t>
  </si>
  <si>
    <t>Absence de responsabilité définie</t>
  </si>
  <si>
    <t>Obsolescence des contenus</t>
  </si>
  <si>
    <t>Désigner des référents responsables de la mise à jour</t>
  </si>
  <si>
    <t xml:space="preserve"> organigramme fonctionnel</t>
  </si>
  <si>
    <t>Planifier une revue trimestrielle de la base</t>
  </si>
  <si>
    <t>Formalisation d’une procédure documentée pour l’enrichissement et la révision des contenus</t>
  </si>
  <si>
    <t>Existe-t-il une procédure formalisée pour enrichir et réviser la base ?</t>
  </si>
  <si>
    <t>Procédure d’alimentation</t>
  </si>
  <si>
    <t>Mise à jour non structurée</t>
  </si>
  <si>
    <t>Contenu incohérent ou contradictoire</t>
  </si>
  <si>
    <t>Mettre en place un processus de validation à 2 niveaux</t>
  </si>
  <si>
    <t xml:space="preserve"> workflow de validation</t>
  </si>
  <si>
    <t>Imposer une nomenclature uniforme pour les articles</t>
  </si>
  <si>
    <t>Fréquence de mise à jour de la base alignée sur les évolutions techniques et fonctionnelles</t>
  </si>
  <si>
    <t>La base est-elle mise à jour selon un rythme en phase avec les évolutions techniques et fonctionnelles ?</t>
  </si>
  <si>
    <t>Décalage entre contenu et réalité du système</t>
  </si>
  <si>
    <t>Agents mal informés</t>
  </si>
  <si>
    <t>Mettre à disposition un canal de veille interne</t>
  </si>
  <si>
    <t xml:space="preserve"> roadmap technique</t>
  </si>
  <si>
    <t>Organiser des briefings hebdomadaires</t>
  </si>
  <si>
    <t>Suivi des consultations et retours sur la base pour évaluer sa pertinence et son utilité</t>
  </si>
  <si>
    <t>Les consultations de la base et les retours utilisateurs sont-ils suivis ?</t>
  </si>
  <si>
    <t>Statistiques d’usage</t>
  </si>
  <si>
    <t>Manque de visibilité sur l’utilité de la base</t>
  </si>
  <si>
    <t>Perte de confiance dans l’outil et sous-utilisation</t>
  </si>
  <si>
    <t>Réaliser une campagne de sensibilisation à l’outil</t>
  </si>
  <si>
    <t xml:space="preserve"> analyse des feedbacks</t>
  </si>
  <si>
    <t>Améliorer l’ergonomie et la rapidité de l’outil</t>
  </si>
  <si>
    <t>S’assurer que les appels sont enregistrés</t>
  </si>
  <si>
    <t>Utilisation d’un système d’enregistrement automatique des appels entrants et sortants</t>
  </si>
  <si>
    <t>Un système d’enregistrement automatique des appels est-il en place ?</t>
  </si>
  <si>
    <t>Politique de gestion des appels</t>
  </si>
  <si>
    <t>Absence de traçabilité des échanges</t>
  </si>
  <si>
    <t>Difficulté à vérifier les réponses apportées par le support</t>
  </si>
  <si>
    <t>Conserver un historique des échanges avec les utilisateurs</t>
  </si>
  <si>
    <t xml:space="preserve"> configuration du système téléphonique</t>
  </si>
  <si>
    <t>Rendre accessibles les procédures utilisées par les agents</t>
  </si>
  <si>
    <t>Stockage sécurisé des enregistrements avec une politique de conservation claire</t>
  </si>
  <si>
    <t>Les enregistrements sont-ils stockés de manière sécurisée avec une politique de conservation ?</t>
  </si>
  <si>
    <t>Politique de sécurité des données</t>
  </si>
  <si>
    <t>Perte ou accès non autorisé aux enregistrements</t>
  </si>
  <si>
    <t>Non-conformité RGPD ou exposition à des risques juridiques</t>
  </si>
  <si>
    <t>Former le personnel à la protection des données</t>
  </si>
  <si>
    <t xml:space="preserve"> registre de conservation</t>
  </si>
  <si>
    <t>Mettre à jour la politique de gestion des données</t>
  </si>
  <si>
    <t>Consultation régulière des enregistrements à des fins de contrôle qualité ou de formation</t>
  </si>
  <si>
    <t>Les enregistrements sont-ils régulièrement consultés pour le contrôle qualité ou la formation ?</t>
  </si>
  <si>
    <t>Grille d’évaluation des appels</t>
  </si>
  <si>
    <t>Non-exploitation des données disponibles</t>
  </si>
  <si>
    <t>Manque de retour d’expérience pour améliorer les pratiques</t>
  </si>
  <si>
    <t>Intégrer un questionnaire de satisfaction après chaque ticket</t>
  </si>
  <si>
    <t xml:space="preserve"> plan de formation</t>
  </si>
  <si>
    <t>Organiser des ateliers d’analyse des cas complexes</t>
  </si>
  <si>
    <t>Information aux utilisateurs sur l’enregistrement des appels conformément à la réglementation</t>
  </si>
  <si>
    <t>Les utilisateurs sont-ils informés que leurs appels peuvent être enregistrés ?</t>
  </si>
  <si>
    <t>Script de réponse standardisé</t>
  </si>
  <si>
    <t>Enregistrement non conforme au droit</t>
  </si>
  <si>
    <t>Sanction réglementaire ou plainte d’un usager</t>
  </si>
  <si>
    <t>Publier une charte de service claire et accessible</t>
  </si>
  <si>
    <t xml:space="preserve"> mentions légales sur site ou support vocal</t>
  </si>
  <si>
    <t>Réaliser des audits de conformité réguliers</t>
  </si>
  <si>
    <t>Capacité à retrouver un enregistrement à partir d’un identifiant de ticket ou d’un appel</t>
  </si>
  <si>
    <t>Peut-on retrouver un enregistrement à partir d’un numéro de ticket ou d’appel ?</t>
  </si>
  <si>
    <t>Système de recherche</t>
  </si>
  <si>
    <t>Perte de lien entre ticket et appel</t>
  </si>
  <si>
    <t>Incapacité à reconstituer une interaction client</t>
  </si>
  <si>
    <t>Enregistrer toutes les interactions dans le CRM</t>
  </si>
  <si>
    <t xml:space="preserve"> indexation des appels</t>
  </si>
  <si>
    <t>Associer chaque échange à un identifiant unique</t>
  </si>
  <si>
    <t xml:space="preserve">S’assurer que des études de satisfaction sont réalisées auprès 
des utilisateurs </t>
  </si>
  <si>
    <t>Réalisation périodique d’enquêtes de satisfaction auprès des utilisateurs du support</t>
  </si>
  <si>
    <t>Des enquêtes de satisfaction sont-elles menées régulièrement auprès des utilisateurs ?</t>
  </si>
  <si>
    <t>Absence de mesure de satisfaction</t>
  </si>
  <si>
    <t>Service non ajusté aux attentes des usagers</t>
  </si>
  <si>
    <t>Adapter les horaires et canaux selon les préférences des usagers</t>
  </si>
  <si>
    <t xml:space="preserve"> calendrier de diffusion</t>
  </si>
  <si>
    <t>Réaliser des enquêtes de besoins annuelles</t>
  </si>
  <si>
    <t>Utilisation de questionnaires structurés et validés pour recueillir les avis</t>
  </si>
  <si>
    <t>Les questionnaires utilisés pour les enquêtes sont-ils structurés et validés ?</t>
  </si>
  <si>
    <t>Modèle de questionnaire</t>
  </si>
  <si>
    <t>Biais dans les retours d’enquête</t>
  </si>
  <si>
    <t>Données peu exploitables ou fausses conclusions</t>
  </si>
  <si>
    <t>Nettoyer et structurer les données avant analyse</t>
  </si>
  <si>
    <t xml:space="preserve"> documentation de validation</t>
  </si>
  <si>
    <t>Former les analystes aux bonnes pratiques de reporting</t>
  </si>
  <si>
    <t>Analyse des résultats de satisfaction avec des indicateurs clés (NPS, taux de satisfaction, etc.)</t>
  </si>
  <si>
    <t>Les résultats des enquêtes de satisfaction sont-ils analysés à l’aide d’indicateurs clés ?</t>
  </si>
  <si>
    <t>Rapports d’analyse NPS</t>
  </si>
  <si>
    <t>Absence d’indicateurs objectifs</t>
  </si>
  <si>
    <t>Difficulté à évaluer la qualité du support perçue par les utilisateurs</t>
  </si>
  <si>
    <t xml:space="preserve"> Intégrer systématiquement des KPI dans les enquêtes.</t>
  </si>
  <si>
    <t xml:space="preserve"> tableaux de bord de satisfaction</t>
  </si>
  <si>
    <t>Mettre en place un reporting mensuel automatisé.</t>
  </si>
  <si>
    <t>Communication des résultats aux équipes du support et à la direction</t>
  </si>
  <si>
    <t>Les résultats des enquêtes sont-ils régulièrement communiqués aux équipes et à la direction ?</t>
  </si>
  <si>
    <t>Comptes rendus de réunions</t>
  </si>
  <si>
    <t>Manque de transparence interne</t>
  </si>
  <si>
    <t>Non-implication des équipes dans l’amélioration continue</t>
  </si>
  <si>
    <t>Organiser des points qualité trimestriels.</t>
  </si>
  <si>
    <t>Créer une rubrique dédiée dans l’intranet DSI.</t>
  </si>
  <si>
    <t>Mise en place d’actions correctives à la suite des retours utilisateurs négatifs</t>
  </si>
  <si>
    <t>Des actions correctives sont-elles mises en œuvre après les retours négatifs des utilisateurs ?</t>
  </si>
  <si>
    <t>Plan d’action correctif</t>
  </si>
  <si>
    <t>Absence de réactivité face aux problèmes récurrents</t>
  </si>
  <si>
    <t>Maintien d’un niveau d’insatisfaction élevé</t>
  </si>
  <si>
    <t>Définir une procédure de traitement des retours.</t>
  </si>
  <si>
    <t xml:space="preserve"> journal de suivi des réclamations</t>
  </si>
  <si>
    <t>Suivre les actions via un tableau de bord.</t>
  </si>
  <si>
    <t>S’assurer qu’il existe une évaluation de l’équipe HD, notamment 
pour les prestataires afin d’en évaluer le niveau de connaissance</t>
  </si>
  <si>
    <t>Mise en place d’un processus d’évaluation des compétences techniques et relationnelles des agents</t>
  </si>
  <si>
    <t>Existe-t-il un processus d’évaluation des compétences techniques et relationnelles des agents ?</t>
  </si>
  <si>
    <t>Fiches d’évaluation</t>
  </si>
  <si>
    <t>Non-maîtrise du niveau réel des agents</t>
  </si>
  <si>
    <t>Agents inadaptés aux exigences du poste</t>
  </si>
  <si>
    <t>Mettre en place un référentiel de compétences validé.</t>
  </si>
  <si>
    <t xml:space="preserve"> Réaliser une autoévaluation annuelle.</t>
  </si>
  <si>
    <t>Organisation de tests, mises en situation ou entretiens pour les prestataires et permanents</t>
  </si>
  <si>
    <t>Des tests ou mises en situation sont-ils organisés pour les agents internes et prestataires ?</t>
  </si>
  <si>
    <t>Fiches d’épreuves</t>
  </si>
  <si>
    <t>Absence de validation pratique des compétences</t>
  </si>
  <si>
    <t>Recrutement ou affectation inappropriée</t>
  </si>
  <si>
    <t xml:space="preserve"> Intégrer les tests dans le processus de recrutement.</t>
  </si>
  <si>
    <t xml:space="preserve"> scénarios de tests</t>
  </si>
  <si>
    <t xml:space="preserve"> Organiser des évaluations semestrielles.</t>
  </si>
  <si>
    <t>Existence d’un référentiel de compétences pour évaluer les niveaux attendus</t>
  </si>
  <si>
    <t>Un référentiel de compétences est-il en place pour définir les niveaux attendus ?</t>
  </si>
  <si>
    <t>Référentiel RH</t>
  </si>
  <si>
    <t>Absence de cadre objectif pour l’évaluation</t>
  </si>
  <si>
    <t>Inéquité dans la gestion des agents</t>
  </si>
  <si>
    <t>Harmoniser les référentiels avec les fiches de poste.</t>
  </si>
  <si>
    <t xml:space="preserve"> documentation métier</t>
  </si>
  <si>
    <t>Former les évaluateurs à son usage.</t>
  </si>
  <si>
    <t>Réalisation d’évaluations à fréquence régulière, y compris pour les prestataires externes</t>
  </si>
  <si>
    <t>Les compétences des agents sont-elles évaluées à une fréquence définie ?</t>
  </si>
  <si>
    <t>Planning d’évaluation</t>
  </si>
  <si>
    <t>Faible suivi de la progression des agents</t>
  </si>
  <si>
    <t>Absence de pilotage du développement professionnel</t>
  </si>
  <si>
    <t xml:space="preserve"> Définir une fréquence annuelle ou semestrielle.</t>
  </si>
  <si>
    <t xml:space="preserve"> historiques des entretiens</t>
  </si>
  <si>
    <t xml:space="preserve"> Intégrer les résultats au plan de formation.</t>
  </si>
  <si>
    <t>Prise en compte des résultats d’évaluation dans les plans de formation et les affectations</t>
  </si>
  <si>
    <t>Les résultats d’évaluation sont-ils utilisés pour orienter la formation ou les affectations ?</t>
  </si>
  <si>
    <t>Plan de formation</t>
  </si>
  <si>
    <t>Formation non ciblée</t>
  </si>
  <si>
    <t>Perte de ressources et faible impact des formations</t>
  </si>
  <si>
    <t xml:space="preserve">Faire valider les plans par les managers. </t>
  </si>
  <si>
    <t xml:space="preserve"> rapport d’évaluation</t>
  </si>
  <si>
    <t>Lier les évaluations aux parcours de carrière.</t>
  </si>
  <si>
    <t>S’assurer que l’obtention des certifications (ITIL, ISO, COBIT, 
SIGMA) est encouragée au sein de la DSI, et du HD en particulier</t>
  </si>
  <si>
    <t>Existence d’une politique interne valorisant les certifications en management et qualité IT</t>
  </si>
  <si>
    <t>Existe-t-il une politique interne valorisant les certifications en management et qualité IT ?</t>
  </si>
  <si>
    <t>Absence de culture de certification</t>
  </si>
  <si>
    <t>Faible motivation à se certifier ou se former</t>
  </si>
  <si>
    <t xml:space="preserve">Mettre en place des bonus ou primes associées. </t>
  </si>
  <si>
    <t xml:space="preserve"> guide de reconnaissance interne</t>
  </si>
  <si>
    <t>Mentionner les certifications dans les évaluations annuelles.</t>
  </si>
  <si>
    <t>Prise en charge financière (totale ou partielle) des certifications par l’entreprise</t>
  </si>
  <si>
    <t>L’entreprise prend-elle en charge (partiellement ou totalement) les certifications ?</t>
  </si>
  <si>
    <t>Budget formation</t>
  </si>
  <si>
    <t>Coût dissuasif pour les agents</t>
  </si>
  <si>
    <t>Non-acquisition de certifications clés pour le service</t>
  </si>
  <si>
    <t>Allouer un budget dédié par agent.</t>
  </si>
  <si>
    <t xml:space="preserve"> convention de formation</t>
  </si>
  <si>
    <t>Communiquer les modalités de prise en charge</t>
  </si>
  <si>
    <t>Communication active autour des certifications disponibles et de leur valeur ajoutée</t>
  </si>
  <si>
    <t>Les certifications disponibles et leur utilité sont-elles communiquées aux agents ?</t>
  </si>
  <si>
    <t xml:space="preserve"> newsletters DSI</t>
  </si>
  <si>
    <t>Méconnaissance des possibilités</t>
  </si>
  <si>
    <t>Faible taux de participation volontaire</t>
  </si>
  <si>
    <t>Organiser des sessions de présentation.</t>
  </si>
  <si>
    <t xml:space="preserve"> sessions d’information</t>
  </si>
  <si>
    <t>Créer une FAQ dédiée aux certifications.</t>
  </si>
  <si>
    <t>Présence d’agents certifiés au sein de la DSI et du Helpdesk</t>
  </si>
  <si>
    <t>Des agents certifiés sont-ils présents au sein du Helpdesk et de la DSI ?</t>
  </si>
  <si>
    <t>Liste des certifications</t>
  </si>
  <si>
    <t>Manque d’expertise reconnue</t>
  </si>
  <si>
    <t>Faible crédibilité technique auprès des utilisateurs</t>
  </si>
  <si>
    <t xml:space="preserve"> Suivre annuellement la couverture en certifications.</t>
  </si>
  <si>
    <t>Favoriser le mentorat interne entre certifiés et non-certifiés.</t>
  </si>
  <si>
    <t>Suivi du nombre de certifications obtenues et mise en avant dans les bilans de compétences</t>
  </si>
  <si>
    <t>Le nombre de certifications obtenues est-il suivi et valorisé dans les bilans de compétences ?</t>
  </si>
  <si>
    <t>Bilans annuels de compétences</t>
  </si>
  <si>
    <t>Absence de pilotage des compétences certifiées</t>
  </si>
  <si>
    <t>Sous-utilisation du potentiel des équipes</t>
  </si>
  <si>
    <t>Intégrer les certifications dans le SIRH.</t>
  </si>
  <si>
    <t xml:space="preserve"> tableau de suivi RH</t>
  </si>
  <si>
    <t xml:space="preserve"> Afficher les résultats lors des revues RH.</t>
  </si>
  <si>
    <t>Vérifier la stratégie de formation des utilisateurs et de l’équipe 
Helpdesk</t>
  </si>
  <si>
    <t>Existence d’un plan de formation annuel ou pluriannuel clairement défini</t>
  </si>
  <si>
    <t>Un plan de formation annuel ou pluriannuel est-il formalisé ?</t>
  </si>
  <si>
    <t>Plan de formation DSI</t>
  </si>
  <si>
    <t>Absence de vision stratégique de la montée en compétence</t>
  </si>
  <si>
    <t>Formations réactives, non alignées aux besoins</t>
  </si>
  <si>
    <t>Élaborer le plan en début d’exercice avec toutes les parties prenantes.</t>
  </si>
  <si>
    <t xml:space="preserve"> calendrier pédagogique</t>
  </si>
  <si>
    <t>Réaliser un bilan de formation annuel.</t>
  </si>
  <si>
    <t>Adaptation des contenus de formation aux besoins réels identifiés (usages, outils, incidents fréquents)</t>
  </si>
  <si>
    <t>Les formations sont-elles alignées avec les incidents fréquents les outils ou les usages ?</t>
  </si>
  <si>
    <t>Formation non adaptée au contexte</t>
  </si>
  <si>
    <t>Manque d’impact des formations sur la qualité du support</t>
  </si>
  <si>
    <t xml:space="preserve">Analyser régulièrement les tickets pour identifier les thèmes à couvrir. </t>
  </si>
  <si>
    <t>Associer les agents à la conception du plan.</t>
  </si>
  <si>
    <t>Participation effective de l’équipe HD aux formations continues ou ateliers techniques</t>
  </si>
  <si>
    <t>Les agents du helpdesk participent-ils effectivement aux formations prévues ?</t>
  </si>
  <si>
    <t>Feuilles d’émargement</t>
  </si>
  <si>
    <t>Absence de suivi de participation</t>
  </si>
  <si>
    <t>Perte d’efficacité du plan de formation</t>
  </si>
  <si>
    <t>Suivre les taux de participation par agent</t>
  </si>
  <si>
    <t xml:space="preserve"> certificats de participation</t>
  </si>
  <si>
    <t>Sanctionner l’absence non justifiée.</t>
  </si>
  <si>
    <t>Organisation de sessions de sensibilisation ou de prise en main pour les utilisateurs</t>
  </si>
  <si>
    <t>Des sessions de sensibilisation sont-elles organisées pour aider les utilisateurs à maîtriser les outils et processus ?</t>
  </si>
  <si>
    <t>Calendrier de formation</t>
  </si>
  <si>
    <t>Mauvaise appropriation des outils</t>
  </si>
  <si>
    <t>Utilisation inefficace ou erronée des outils numériques</t>
  </si>
  <si>
    <t xml:space="preserve"> Intégrer systématiquement des sessions de prise en main lors des déploiements. </t>
  </si>
  <si>
    <t xml:space="preserve"> Liste des participants</t>
  </si>
  <si>
    <t xml:space="preserve"> Évaluer les besoins spécifiques de chaque profil utilisateur.</t>
  </si>
  <si>
    <t>Évaluation post-formation permettant de mesurer l’impact sur la qualité de service</t>
  </si>
  <si>
    <t>Une évaluation post-formation est-elle systématiquement réalisée pour mesurer l’impact ?</t>
  </si>
  <si>
    <t>Grille d’évaluation</t>
  </si>
  <si>
    <t>Absence de retour d’efficacité</t>
  </si>
  <si>
    <t>Améliorations nécessaires non identifiées</t>
  </si>
  <si>
    <t>Mettre en place une évaluation obligatoire après chaque session.</t>
  </si>
  <si>
    <t xml:space="preserve"> Rapport de synthèse</t>
  </si>
  <si>
    <t>Corréler les résultats avec les indicateurs de performance.</t>
  </si>
  <si>
    <t>Vérifier que les procédures de reporting et de suivi sont 
fonctionnelles</t>
  </si>
  <si>
    <t>Existence de procédures documentées pour le reporting opérationnel et stratégique</t>
  </si>
  <si>
    <t>Existe-t-il une procédure formalisée pour structurer le reporting opérationnel et stratégique ?</t>
  </si>
  <si>
    <t>Procédure de reporting</t>
  </si>
  <si>
    <t>Manque de cohérence dans les rapports</t>
  </si>
  <si>
    <t>Décisions prises sur des données incomplètes ou incohérentes</t>
  </si>
  <si>
    <t xml:space="preserve">Uniformiser les modèles de reporting entre services. </t>
  </si>
  <si>
    <t xml:space="preserve"> Modèles de rapports</t>
  </si>
  <si>
    <t>Former les agents responsables sur la procédure à suivre.</t>
  </si>
  <si>
    <t>Automatisation ou systématisation de la collecte des données nécessaires au suivi</t>
  </si>
  <si>
    <t>Le processus de collecte des données est-il automatisé ou systématisé ?</t>
  </si>
  <si>
    <t>Diagramme de flux</t>
  </si>
  <si>
    <t>Erreurs ou oublis dans les données collectées</t>
  </si>
  <si>
    <t>Rapports faussés et décisions biaisées</t>
  </si>
  <si>
    <t xml:space="preserve"> Intégrer des scripts ou outils automatisés de collecte</t>
  </si>
  <si>
    <t xml:space="preserve"> Documentation technique de l’outil</t>
  </si>
  <si>
    <t>Mettre en place des contrôles de cohérence sur les données collectées.</t>
  </si>
  <si>
    <t>Régularité dans la production des rapports et tableaux de bord</t>
  </si>
  <si>
    <t>Les rapports sont-ils produits selon un calendrier défini et respecté ?</t>
  </si>
  <si>
    <t>Planning de reporting</t>
  </si>
  <si>
    <t>Retards dans l’analyse des performances</t>
  </si>
  <si>
    <t>Manque de réactivité dans les actions correctives</t>
  </si>
  <si>
    <t xml:space="preserve"> Fixer un calendrier avec des échéances non modifiables. </t>
  </si>
  <si>
    <t xml:space="preserve"> Historique des rapports</t>
  </si>
  <si>
    <t>Désigner un responsable du respect des délais.</t>
  </si>
  <si>
    <t>Diffusion des rapports aux bonnes parties prenantes (DSI, responsables métiers, etc.)</t>
  </si>
  <si>
    <t>Les rapports sont-ils diffusés aux bonnes parties prenantes (DSI métiers etc.) ?</t>
  </si>
  <si>
    <t>Liste de diffusion</t>
  </si>
  <si>
    <t>Mauvaise communication des résultats</t>
  </si>
  <si>
    <t>Non-implication des acteurs dans les décisions</t>
  </si>
  <si>
    <t xml:space="preserve"> Définir une liste claire et validée des destinataires.</t>
  </si>
  <si>
    <t xml:space="preserve"> accusés de réception</t>
  </si>
  <si>
    <t xml:space="preserve"> Suivre les envois avec des accusés de réception.</t>
  </si>
  <si>
    <t>Utilisation effective des rapports pour piloter les activités et orienter les décisions</t>
  </si>
  <si>
    <t>Les rapports sont-ils effectivement utilisés pour piloter les activités et orienter les décisions ?</t>
  </si>
  <si>
    <t>Compte-rendus de réunion</t>
  </si>
  <si>
    <t>Sous-exploitation des données collectées</t>
  </si>
  <si>
    <t>Maintien de dysfonctionnements non identifiés</t>
  </si>
  <si>
    <t xml:space="preserve"> Intégrer les rapports dans les réunions de pilotage.</t>
  </si>
  <si>
    <t xml:space="preserve"> Plan d’action</t>
  </si>
  <si>
    <t>Suivre les décisions prises à partir des indicateurs.</t>
  </si>
  <si>
    <t>Vérifier que les résultats des études de satisfaction sont pris en 
compte</t>
  </si>
  <si>
    <t>Existence d’un processus formel d’analyse et d’exploitation des résultats de satisfaction</t>
  </si>
  <si>
    <t>Existe-t-il un processus structuré d’analyse des résultats des enquêtes de satisfaction ?</t>
  </si>
  <si>
    <t>Procédure d’analyse de satisfaction</t>
  </si>
  <si>
    <t>Interprétation erronée ou incomplète des retours</t>
  </si>
  <si>
    <t>Actions inadaptées ou inefficaces</t>
  </si>
  <si>
    <t>Formaliser le processus d’analyse avec des indicateurs cibles.</t>
  </si>
  <si>
    <t xml:space="preserve"> Synthèse des enquêtes</t>
  </si>
  <si>
    <t>Nommer un responsable de l’exploitation des résultats.</t>
  </si>
  <si>
    <t>Intégration des feedbacks dans les plans d’action et les processus d’amélioration continue</t>
  </si>
  <si>
    <t>Les feedbacks utilisateurs sont-ils intégrés dans les plans d’amélioration ?</t>
  </si>
  <si>
    <t>Plan d’action</t>
  </si>
  <si>
    <t>Décalage entre les besoins des utilisateurs et les actions menées</t>
  </si>
  <si>
    <t>Insatisfaction persistante des utilisateurs</t>
  </si>
  <si>
    <t>Prioriser les feedbacks récurrents dans les plans d’action</t>
  </si>
  <si>
    <t xml:space="preserve"> Rapport d’intégration des retours</t>
  </si>
  <si>
    <t xml:space="preserve"> Suivre la mise en œuvre des actions liées aux retours.</t>
  </si>
  <si>
    <t>Identification des causes récurrentes de mécontentement et proposition de solutions concrètes</t>
  </si>
  <si>
    <t>Les causes de mécontentement récurrentes sont-elles identifiées et documentées ?</t>
  </si>
  <si>
    <t>Tableau des causes</t>
  </si>
  <si>
    <t>Répétition des mêmes erreurs</t>
  </si>
  <si>
    <t>Dégradation continue de la perception du service</t>
  </si>
  <si>
    <t>Analyser régulièrement les tickets et plaintes.</t>
  </si>
  <si>
    <t xml:space="preserve"> Historique des plaintes</t>
  </si>
  <si>
    <t>Établir des axes de correction ciblés.</t>
  </si>
  <si>
    <t>Communication des changements ou ajustements effectués suite aux retours utilisateurs</t>
  </si>
  <si>
    <t>Les changements réalisés suite aux retours sont-ils communiqués aux utilisateurs ?</t>
  </si>
  <si>
    <t>Plan de communication</t>
  </si>
  <si>
    <t>Perception d’un manque d’écoute</t>
  </si>
  <si>
    <t>Perte de confiance dans le support informatique</t>
  </si>
  <si>
    <t xml:space="preserve">Créer une rubrique “vous avez demandé,nous avons fait”. </t>
  </si>
  <si>
    <t xml:space="preserve"> Historique des annonces</t>
  </si>
  <si>
    <t>Informer par mails ou newsletter des changements appliqués.</t>
  </si>
  <si>
    <t>Suivi de l’évolution des indicateurs de satisfaction sur plusieurs périodes pour évaluer l’impact</t>
  </si>
  <si>
    <t>L’évolution des indicateurs de satisfaction est-elle suivie sur plusieurs périodes ?</t>
  </si>
  <si>
    <t>Tableau de bord des enquêtes</t>
  </si>
  <si>
    <t>Difficulté à mesurer les effets des actions entreprises</t>
  </si>
  <si>
    <t>Absence de pilotage sur la durée</t>
  </si>
  <si>
    <t xml:space="preserve"> Intégrer ce suivi dans les rapports mensuels.</t>
  </si>
  <si>
    <t xml:space="preserve"> Courbes d’évolution</t>
  </si>
  <si>
    <t xml:space="preserve"> Comparer systématiquement les indicateurs à M-1/M-6/M-12. </t>
  </si>
  <si>
    <t>Gestion du parc matériel et logiciel : audit fiabilité et sécurité</t>
  </si>
  <si>
    <t>Vérifier la procédure de déploiement des mises à jour, d’un 
nouveau logiciel</t>
  </si>
  <si>
    <t>Existence d’une procédure formalisée décrivant les étapes et les contrôles de sécurité à chaque phase de déploiement</t>
  </si>
  <si>
    <t>Existe-t-il une procédure formalisée de sécurité à chaque phase de déploiement ?</t>
  </si>
  <si>
    <t>Documentation de sécurité</t>
  </si>
  <si>
    <t>Introduction de failles ou d’erreurs lors des mises en production</t>
  </si>
  <si>
    <t>Vulnérabilité du système aux attaques</t>
  </si>
  <si>
    <t>Intégrer un contrôle de conformité sécurité dans chaque étape.</t>
  </si>
  <si>
    <t xml:space="preserve"> Procédure de déploiement</t>
  </si>
  <si>
    <t>. Mettre en œuvre une checklist de validation sécurité.</t>
  </si>
  <si>
    <t>Validation de la compatibilité et de la sécurité des mises à jour avant leur diffusion en production</t>
  </si>
  <si>
    <t>Les mises à jour sont-elles validées sur le plan de la compatibilité et de la sécurité ?</t>
  </si>
  <si>
    <t>Déploiement de versions instables ou non sécurisées</t>
  </si>
  <si>
    <t>Pannes ou compromissions des systèmes</t>
  </si>
  <si>
    <t xml:space="preserve"> Effectuer des tests de charge et de sécurité préalables</t>
  </si>
  <si>
    <t xml:space="preserve"> Rapport de test</t>
  </si>
  <si>
    <t>Rendre la validation obligatoire avant diffusion.</t>
  </si>
  <si>
    <t>Présence d’un environnement de test permettant de détecter les vulnérabilités potentielles</t>
  </si>
  <si>
    <t>Un environnement de test est-il utilisé systématiquement avant production ?</t>
  </si>
  <si>
    <t>Documentation de l’environnement</t>
  </si>
  <si>
    <t>Passage en production de mises à jour non testées</t>
  </si>
  <si>
    <t>Instabilité ou exploitation de failles</t>
  </si>
  <si>
    <t xml:space="preserve"> Isoler un environnement de pré-production identique à la production.</t>
  </si>
  <si>
    <t xml:space="preserve"> Rapport de tests</t>
  </si>
  <si>
    <t>Effectuer des tests d’intrusion systématiques.</t>
  </si>
  <si>
    <t>Traçabilité des déploiements pour assurer la conformité et détecter les écarts</t>
  </si>
  <si>
    <t>Les déploiements sont-ils tracés pour permettre leur auditabilité ?</t>
  </si>
  <si>
    <t>Journal de déploiement</t>
  </si>
  <si>
    <t>Perte d’historique des interventions</t>
  </si>
  <si>
    <t>Difficulté à remonter à l’origine d’un incident</t>
  </si>
  <si>
    <t>Tenir un registre horodaté et versionné de chaque déploiement.</t>
  </si>
  <si>
    <t xml:space="preserve"> Registre de modifications</t>
  </si>
  <si>
    <t>. Associer chaque changement à un identifiant de ticket.</t>
  </si>
  <si>
    <t>Gestion des droits d’accès limitant l’installation de logiciels aux utilisateurs autorisés</t>
  </si>
  <si>
    <t>Existe-t-il une gestion stricte des droits d’accès pour l’installation de logiciels ?</t>
  </si>
  <si>
    <t>Politique d’accès</t>
  </si>
  <si>
    <t>Installation de logiciels non autorisés</t>
  </si>
  <si>
    <t>Failles de sécurité ou incompatibilités logicielles</t>
  </si>
  <si>
    <t xml:space="preserve"> Restreindre les droits d’installation aux profils habilités.</t>
  </si>
  <si>
    <t xml:space="preserve"> Liste des comptes administrateurs</t>
  </si>
  <si>
    <t>Surveiller les installations via audit de parc régulier.</t>
  </si>
  <si>
    <t>Vérifier les outils mis en place pour gérer les versions des 
logiciels</t>
  </si>
  <si>
    <t>Existence d’un inventaire automatisé des versions logicielles installées sur les postes</t>
  </si>
  <si>
    <t>Un inventaire automatisé des versions logicielles est-il maintenu ?</t>
  </si>
  <si>
    <t>Rapport d’inventaire</t>
  </si>
  <si>
    <t>Méconnaissance du parc applicatif</t>
  </si>
  <si>
    <t>Difficulté à déployer les mises à jour ou correctifs</t>
  </si>
  <si>
    <t>Mettre en œuvre un outil d’inventaire automatique</t>
  </si>
  <si>
    <t xml:space="preserve"> Documentation de l’outil de supervision</t>
  </si>
  <si>
    <t>Programmer des scans réguliers du parc.</t>
  </si>
  <si>
    <t>Capacité de l’outil à signaler les versions obsolètes ou vulnérables</t>
  </si>
  <si>
    <t>L’outil utilisé permet-il de signaler les versions obsolètes ou vulnérables ?</t>
  </si>
  <si>
    <t>Journal de surveillance</t>
  </si>
  <si>
    <t>Maintien en production de logiciels non sécurisés</t>
  </si>
  <si>
    <t>Exposition accrue aux menaces informatiques</t>
  </si>
  <si>
    <t>Activer les alertes de sécurité sur les outils de gestion de parc.</t>
  </si>
  <si>
    <t xml:space="preserve"> Alertes de sécurité</t>
  </si>
  <si>
    <t xml:space="preserve"> Associer chaque alerte à un plan de remédiation.</t>
  </si>
  <si>
    <t>Suivi centralisé des correctifs de sécurité appliqués ou manquants</t>
  </si>
  <si>
    <t>Existe-t-il un suivi centralisé des correctifs appliqués ou manquants ?</t>
  </si>
  <si>
    <t>Tableau de suivi des patchs</t>
  </si>
  <si>
    <t>Oubli ou échec d’application de correctifs</t>
  </si>
  <si>
    <t>Exploitation de vulnérabilités connues</t>
  </si>
  <si>
    <t>Mettre en place un calendrier de patch management.</t>
  </si>
  <si>
    <t xml:space="preserve"> Historique des mises à jour</t>
  </si>
  <si>
    <t>Réaliser des contrôles mensuels de conformité aux correctifs.</t>
  </si>
  <si>
    <t>Accès restreint à la modification ou à la suppression des données dans l’outil</t>
  </si>
  <si>
    <t>Les droits d’accès à la modification ou suppression de données dans l’outil sont-ils limités aux utilisateurs autorisés ?</t>
  </si>
  <si>
    <t>Matrice des droits</t>
  </si>
  <si>
    <t>Altération ou suppression non autorisée des données</t>
  </si>
  <si>
    <t>Perte d’intégrité ou de données critiques</t>
  </si>
  <si>
    <t>Mettre en œuvre une gestion des rôles stricte</t>
  </si>
  <si>
    <t xml:space="preserve"> Politique d’accès</t>
  </si>
  <si>
    <t xml:space="preserve"> Réaliser des audits périodiques des droits</t>
  </si>
  <si>
    <t>Historique des mises à jour logicielles conservé pour traçabilité et auditabilité</t>
  </si>
  <si>
    <t>L’historique des mises à jour logicielles est-il correctement conservé ?</t>
  </si>
  <si>
    <t>Impossibilité de retracer les interventions</t>
  </si>
  <si>
    <t>Perte de traçabilité et de responsabilité</t>
  </si>
  <si>
    <t>Activer la journalisation automatique</t>
  </si>
  <si>
    <t xml:space="preserve"> Rapport d’audit</t>
  </si>
  <si>
    <t xml:space="preserve"> Sauvegarder régulièrement les journaux</t>
  </si>
  <si>
    <t>Vérifier les outils mis en place pour gérer le matériel 
informatique</t>
  </si>
  <si>
    <t>Présence d’un système de gestion de parc incluant des fonctions de sécurité (authentification, traçabilité, etc.)</t>
  </si>
  <si>
    <t>Le système de gestion du parc intègre-t-il des fonctions de sécurité robustes ?</t>
  </si>
  <si>
    <t>Fiche technique de l’outil</t>
  </si>
  <si>
    <t>Exploitation non maîtrisée du parc</t>
  </si>
  <si>
    <t>Intrusion ou détournement de matériel</t>
  </si>
  <si>
    <t>Utiliser un outil certifié conforme aux standards de sécurité</t>
  </si>
  <si>
    <t xml:space="preserve"> Politique de sécurité</t>
  </si>
  <si>
    <t xml:space="preserve"> Former les administrateurs à la sécurisation</t>
  </si>
  <si>
    <t>Capacité de l’outil à enregistrer les mouvements de matériel et à détecter les anomalies (pertes, vols)</t>
  </si>
  <si>
    <t>L’outil permet-il le suivi des mouvements et la détection des anomalies ?</t>
  </si>
  <si>
    <t>Vol ou disparition de matériel sans détection</t>
  </si>
  <si>
    <t>Perte financière et de données</t>
  </si>
  <si>
    <t>Activer la traçabilité automatique</t>
  </si>
  <si>
    <t xml:space="preserve"> Fiche de suivi matériel</t>
  </si>
  <si>
    <t xml:space="preserve"> Réaliser des contrôles physiques réguliers</t>
  </si>
  <si>
    <t>Mise en œuvre de contrôles d’accès pour l’utilisation ou la modification des données de gestion du parc</t>
  </si>
  <si>
    <t>Des contrôles d’accès sont-ils en place pour les données de gestion du parc ?</t>
  </si>
  <si>
    <t>Liste des utilisateurs</t>
  </si>
  <si>
    <t>Accès non autorisé à des données sensibles</t>
  </si>
  <si>
    <t>Risque de modification frauduleuse</t>
  </si>
  <si>
    <t>Mettre en place une authentification forte</t>
  </si>
  <si>
    <t xml:space="preserve"> Politique d’habilitation</t>
  </si>
  <si>
    <t xml:space="preserve"> Vérifier régulièrement les accès</t>
  </si>
  <si>
    <t>Sécurisation des données de l’outil (sauvegarde, chiffrement, accès restreint)</t>
  </si>
  <si>
    <t>Les données du système de gestion du parc sont-elles correctement sécurisées ?</t>
  </si>
  <si>
    <t>Plan de sauvegarde</t>
  </si>
  <si>
    <t>Perte ou fuite de données sensibles</t>
  </si>
  <si>
    <t>Atteinte à la confidentialité et disponibilité</t>
  </si>
  <si>
    <t>Implémenter un chiffrement fort</t>
  </si>
  <si>
    <t xml:space="preserve"> Politique de chiffrement</t>
  </si>
  <si>
    <t xml:space="preserve"> Vérifier les sauvegardes régulièrement</t>
  </si>
  <si>
    <t>Possibilité d’associer chaque équipement à un utilisateur clairement identifié</t>
  </si>
  <si>
    <t>Chaque équipement est-il associé à un utilisateur identifié dans l’outil ?</t>
  </si>
  <si>
    <t>Registre d’attribution</t>
  </si>
  <si>
    <t>Difficulté à attribuer une responsabilité en cas d’incident</t>
  </si>
  <si>
    <t>Retard dans les enquêtes ou sanctions</t>
  </si>
  <si>
    <t>Associer chaque matériel à un identifiant utilisateur unique</t>
  </si>
  <si>
    <t xml:space="preserve"> Inventaire matériel</t>
  </si>
  <si>
    <t xml:space="preserve"> Réaliser des audits de cohérence</t>
  </si>
  <si>
    <t>S’assurer que l'installation des PC / portables est faite à partir 
d'un master (configuration minimum et standardisée)</t>
  </si>
  <si>
    <t>Utilisation d’un master validé incluant les outils de sécurité requis (antivirus, pare-feu, chiffrement)</t>
  </si>
  <si>
    <t>Le master utilisé est-il validé et contient-il les outils de sécurité nécessaires ?</t>
  </si>
  <si>
    <t>Description du master</t>
  </si>
  <si>
    <t>Installation de postes non sécurisés</t>
  </si>
  <si>
    <t>Vulnérabilité généralisée du parc</t>
  </si>
  <si>
    <t>Mettre à jour régulièrement le master</t>
  </si>
  <si>
    <t xml:space="preserve"> Rapport de validation</t>
  </si>
  <si>
    <t xml:space="preserve"> Valider le master en amont de son déploiement</t>
  </si>
  <si>
    <t>Standardisation des configurations afin de limiter les risques d’erreurs ou de failles de sécurité</t>
  </si>
  <si>
    <t>Une configuration standardisée est-elle appliquée à tous les équipements ?</t>
  </si>
  <si>
    <t>Politique de configuration</t>
  </si>
  <si>
    <t>Hétérogénéité des systèmes et failles de sécurité</t>
  </si>
  <si>
    <t>Difficulté de maintenance et de sécurisation</t>
  </si>
  <si>
    <t>Uniformiser les configurations</t>
  </si>
  <si>
    <t xml:space="preserve"> Guide d’installation</t>
  </si>
  <si>
    <t xml:space="preserve"> Suivre l’application du standard</t>
  </si>
  <si>
    <t>Contrôle de l’intégrité du master et vérification de son origine avant toute utilisation</t>
  </si>
  <si>
    <t>L’intégrité et l’origine du master sont-elles vérifiées avant déploiement ?</t>
  </si>
  <si>
    <t>Hash de validation</t>
  </si>
  <si>
    <t>Utilisation d’un master corrompu ou non approuvé</t>
  </si>
  <si>
    <t>Compromission initiale des équipements</t>
  </si>
  <si>
    <t xml:space="preserve"> Restreindre l’accès au master</t>
  </si>
  <si>
    <t>Vérifier l’intégrité à chaque déploiement</t>
  </si>
  <si>
    <t>Réalisation d’audits réguliers pour vérifier que les installations sont conformes à la configuration standard</t>
  </si>
  <si>
    <t>Des audits de conformité des installations sont-ils réalisés régulièrement ?</t>
  </si>
  <si>
    <t>Dérives non détectées dans la configuration</t>
  </si>
  <si>
    <t>Prolifération de systèmes non sécurisés</t>
  </si>
  <si>
    <t>Planifier des audits trimestriels</t>
  </si>
  <si>
    <t xml:space="preserve"> Liste de contrôle de conformité</t>
  </si>
  <si>
    <t xml:space="preserve"> Documenter les écarts et mesures correctives</t>
  </si>
  <si>
    <t>Protection du master contre toute modification non autorisée</t>
  </si>
  <si>
    <t>Le master est-il protégé contre les modifications non autorisées ?</t>
  </si>
  <si>
    <t>Paramétrage du stockage</t>
  </si>
  <si>
    <t>Altération du master sans contrôle</t>
  </si>
  <si>
    <t>Risque de propagation de configurations corrompues</t>
  </si>
  <si>
    <t>Restreindre l’accès en écriture</t>
  </si>
  <si>
    <t xml:space="preserve"> Monitorer toute modification</t>
  </si>
  <si>
    <t>S’assurer qu’il existe un processus spécifique pour le suivi des 
mises à jour sur les portables</t>
  </si>
  <si>
    <t>Surveillance active des mises à jour de sécurité appliquées aux ordinateurs portables, y compris à distance</t>
  </si>
  <si>
    <t>Les mises à jour de sécurité sont-elles surveillées activement sur les ordinateurs portables ?</t>
  </si>
  <si>
    <t>Tableau de suivi des mises à jour</t>
  </si>
  <si>
    <t>Ordinateurs exposés à des vulnérabilités connues</t>
  </si>
  <si>
    <t>Accès non autorisé, compromission des données</t>
  </si>
  <si>
    <t>Automatiser les correctifs</t>
  </si>
  <si>
    <t xml:space="preserve"> Rapport de conformité</t>
  </si>
  <si>
    <t>Mettre en place une supervision centralisée</t>
  </si>
  <si>
    <t>Existence de mécanismes de notification en cas de non-application des mises à jour critiques</t>
  </si>
  <si>
    <t>Existe-t-il des alertes en cas d’échec de mise à jour ?</t>
  </si>
  <si>
    <t>Inaction face à des postes non sécurisés</t>
  </si>
  <si>
    <t>Attaques ciblées via postes vulnérables</t>
  </si>
  <si>
    <t xml:space="preserve"> Escalader les anomalies non résolues</t>
  </si>
  <si>
    <t xml:space="preserve"> Journal d’alerte</t>
  </si>
  <si>
    <t>Configurer des alertes automatiques</t>
  </si>
  <si>
    <t>Protection contre les failles connues via l’automatisation des correctifs</t>
  </si>
  <si>
    <t>Un système automatique de correctifs est-il en place pour bloquer les failles connues ?</t>
  </si>
  <si>
    <t>Rapport de patch management</t>
  </si>
  <si>
    <t>Failles non corrigées sur une période prolongée</t>
  </si>
  <si>
    <t>Multiplication des brèches de sécurité</t>
  </si>
  <si>
    <t>Déployer un outil de patching automatique</t>
  </si>
  <si>
    <t xml:space="preserve"> Outil de supervision</t>
  </si>
  <si>
    <t xml:space="preserve"> Évaluer la criticité des failles</t>
  </si>
  <si>
    <t>Gestion centralisée des mises à jour pour tous les postes mobiles connectés au réseau</t>
  </si>
  <si>
    <t>Les mises à jour des postes mobiles sont-elles gérées de manière centralisée ?</t>
  </si>
  <si>
    <t>Console d’administration</t>
  </si>
  <si>
    <t>Postes mobiles désynchronisés ou obsolètes</t>
  </si>
  <si>
    <t>Vulnérabilité accrue des environnements mobiles</t>
  </si>
  <si>
    <t>Assurer la connectivité au serveur central</t>
  </si>
  <si>
    <t xml:space="preserve"> Stratégie de mise à jour</t>
  </si>
  <si>
    <t xml:space="preserve"> Imposer des plages de mise à jour</t>
  </si>
  <si>
    <t>Rapports de conformité générés périodiquement pour les portables</t>
  </si>
  <si>
    <t>Des rapports de conformité sont-ils produits pour les portables ?</t>
  </si>
  <si>
    <t>Méconnaissance du niveau de sécurité effectif</t>
  </si>
  <si>
    <t>Décisions managériales prises sans visibilité</t>
  </si>
  <si>
    <t>Automatiser la génération de rapports</t>
  </si>
  <si>
    <t xml:space="preserve"> Tableau de bord de conformité</t>
  </si>
  <si>
    <t xml:space="preserve"> Partager les rapports avec la DSI</t>
  </si>
  <si>
    <t>Vérifier qu’il est possible pour le HD de prendre la main à 
distance, si oui, en vérifier la procédure</t>
  </si>
  <si>
    <t>Les mises à jour sont-elles validées avant diffusion ?</t>
  </si>
  <si>
    <t>Rapport de test</t>
  </si>
  <si>
    <t>Instabilité ou conflit après mise à jour</t>
  </si>
  <si>
    <t>Dysfonctionnement des postes ou pertes de données</t>
  </si>
  <si>
    <t>Tester les mises à jour en pré-production</t>
  </si>
  <si>
    <t xml:space="preserve"> Plan de validation</t>
  </si>
  <si>
    <t xml:space="preserve"> Impliquer les équipes métiers dans les tests</t>
  </si>
  <si>
    <t>Obligation d’un accord explicite de l’utilisateur avant toute intervention distante</t>
  </si>
  <si>
    <t>Un accord explicite est-il requis avant une prise en main à distance ?</t>
  </si>
  <si>
    <t>Journal des consentements</t>
  </si>
  <si>
    <t>Intervention non consentie</t>
  </si>
  <si>
    <t>Risque juridique et perte de confiance utilisateur</t>
  </si>
  <si>
    <t>Informer clairement l’utilisateur avant toute action</t>
  </si>
  <si>
    <t xml:space="preserve"> Politique de télémaintenance</t>
  </si>
  <si>
    <t xml:space="preserve"> Obtenir un consentement écrit ou enregistré</t>
  </si>
  <si>
    <t>Journalisation automatique de chaque session de prise en main avec détails des actions réalisées</t>
  </si>
  <si>
    <t>Chaque session de télémaintenance est-elle enregistrée avec les détails des actions ?</t>
  </si>
  <si>
    <t>Journal de session</t>
  </si>
  <si>
    <t>Absence de traçabilité en cas de litige</t>
  </si>
  <si>
    <t>Difficulté à prouver l’origine ou la nature des actions</t>
  </si>
  <si>
    <t>Activer la journalisation complète</t>
  </si>
  <si>
    <t xml:space="preserve"> Fichier de log distant</t>
  </si>
  <si>
    <t xml:space="preserve"> Archiver les logs pendant une durée définie</t>
  </si>
  <si>
    <t>Accès à distance réservé aux techniciens autorisés via des profils sécurisés</t>
  </si>
  <si>
    <t>L’accès à distance est-il strictement limité aux techniciens autorisés disposant de profils sécurisés ?</t>
  </si>
  <si>
    <t>Liste des comptes d’accès à distance</t>
  </si>
  <si>
    <t>Accès non autorisé au système</t>
  </si>
  <si>
    <t>Intrusion ou compromission des systèmes critiques</t>
  </si>
  <si>
    <t xml:space="preserve"> Auditer régulièrement les droits d’accès</t>
  </si>
  <si>
    <t>Procédure documentée régissant les modalités d’intervention à distance, incluant les mesures de confidentialité</t>
  </si>
  <si>
    <t>Dispose-t-on d’un référentiel à jour incluant les caractéristiques techniques et de sécurité des machines ?</t>
  </si>
  <si>
    <t>Inventaire du parc informatique</t>
  </si>
  <si>
    <t>Données obsolètes ou incomplètes</t>
  </si>
  <si>
    <t>Difficulté de gestion et exposition à des vulnérabilités</t>
  </si>
  <si>
    <t xml:space="preserve"> Automatiser la collecte des caractéristiques</t>
  </si>
  <si>
    <t xml:space="preserve"> Fiches techniques des postes</t>
  </si>
  <si>
    <t>Mettre à jour le référentiel à chaque changement</t>
  </si>
  <si>
    <t>Vérifier comment est géré le parc informatique, quel type de 
machine, et quels outils y sont déployés</t>
  </si>
  <si>
    <t>Existence d’un référentiel à jour contenant les caractéristiques techniques et sécuritaires des machines</t>
  </si>
  <si>
    <t>Les machines sont-elles systématiquement conformes aux politiques de sécurité internes ?</t>
  </si>
  <si>
    <t>Politique de sécurité interne</t>
  </si>
  <si>
    <t>Failles de sécurité sur les postes utilisateurs</t>
  </si>
  <si>
    <t>Intrusion,  propagation de malwares</t>
  </si>
  <si>
    <t>Effectuer des contrôles périodiques</t>
  </si>
  <si>
    <t xml:space="preserve"> Rapport de conformité du parc</t>
  </si>
  <si>
    <t xml:space="preserve"> Appliquer automatiquement les configurations de sécurité</t>
  </si>
  <si>
    <t>Mise en conformité des machines avec les exigences de sécurité interne (chiffrement, pare-feu, antivirus)</t>
  </si>
  <si>
    <t>Les logiciels installés sur chaque poste sont-ils clairement identifiés et vérifiés ?</t>
  </si>
  <si>
    <t>Liste des logiciels installés</t>
  </si>
  <si>
    <t>Utilisation de logiciels non autorisés</t>
  </si>
  <si>
    <t>Risques juridiques, failles de sécurité</t>
  </si>
  <si>
    <t xml:space="preserve"> Sensibiliser les utilisateurs à la politique logicielle</t>
  </si>
  <si>
    <t xml:space="preserve"> Rapports d’audit de conformité</t>
  </si>
  <si>
    <t>Déployer un outil de gestion des licences</t>
  </si>
  <si>
    <t>Identification claire des logiciels installés sur chaque poste avec vérification de leur légitimité</t>
  </si>
  <si>
    <t>Le parc informatique est-il régulièrement évalué pour détecter l’obsolescence ou la non-conformité ?</t>
  </si>
  <si>
    <t>Rapports d’évaluation du parc</t>
  </si>
  <si>
    <t>Maintien en service de matériels obsolètes</t>
  </si>
  <si>
    <t>Pannes fréquentes ou incompatibilités</t>
  </si>
  <si>
    <t>Planifier des audits réguliers</t>
  </si>
  <si>
    <t xml:space="preserve"> Liste des équipements</t>
  </si>
  <si>
    <t xml:space="preserve"> Mettre en œuvre un plan de renouvellement</t>
  </si>
  <si>
    <t>Évaluation régulière du parc pour détecter les matériels obsolètes ou non conformes</t>
  </si>
  <si>
    <t>Des outils de supervision et de sécurité sont-ils intégrés à la gestion du parc ?</t>
  </si>
  <si>
    <t>Liste des outils déployés</t>
  </si>
  <si>
    <t>Manque de visibilité sur l’état de sécurité</t>
  </si>
  <si>
    <t>Réaction tardive aux incidents</t>
  </si>
  <si>
    <t>Centraliser la supervision dans un tableau de bord</t>
  </si>
  <si>
    <t xml:space="preserve"> Architecture de supervision</t>
  </si>
  <si>
    <t xml:space="preserve"> Former le personnel à l’utilisation des outils</t>
  </si>
  <si>
    <t>Intégration des outils de supervision et de sécurité dans la gestion du parc</t>
  </si>
  <si>
    <t>Les équipements sont-ils localisés ou associés à un site dans l’inventaire ?</t>
  </si>
  <si>
    <t>Inventaire du matériel</t>
  </si>
  <si>
    <t>Perte ou déplacement non détecté, Vols</t>
  </si>
  <si>
    <t xml:space="preserve"> perte de matériels sensibles</t>
  </si>
  <si>
    <t>Mettre à jour l’inventaire à chaque mouvement</t>
  </si>
  <si>
    <t xml:space="preserve"> Cartographie des sites</t>
  </si>
  <si>
    <t xml:space="preserve"> Étiqueter physiquement les équipements</t>
  </si>
  <si>
    <t>S’assurer que l'inventaire du parc informatique comprend la 
localisation des machines</t>
  </si>
  <si>
    <t>Chaque équipement est géolocalisé ou associé à un lieu précis dans l’inventaire</t>
  </si>
  <si>
    <t>L’inventaire permet-il d’identifier facilement les équipements sensibles ?</t>
  </si>
  <si>
    <t xml:space="preserve"> Liste des équipements critiques</t>
  </si>
  <si>
    <t>Gestion inadéquate des équipements stratégiques</t>
  </si>
  <si>
    <t>Défaillance de services critiques</t>
  </si>
  <si>
    <t>Ajouter un marquage des équipements sensibles</t>
  </si>
  <si>
    <t>Inventaire détaillé</t>
  </si>
  <si>
    <t xml:space="preserve"> Restreindre l’accès à leur gestion</t>
  </si>
  <si>
    <t>L’inventaire permet de repérer rapidement les équipements sensibles ou stratégiques</t>
  </si>
  <si>
    <t>Les mouvements de matériels sont-ils tracés entre les sites ?</t>
  </si>
  <si>
    <t>Registre de mouvements</t>
  </si>
  <si>
    <t>Perte ou vol de matériel</t>
  </si>
  <si>
    <t>Non-repérabilité d’équipements essentiels</t>
  </si>
  <si>
    <t>Mettre en place un processus de transfert formalisé</t>
  </si>
  <si>
    <t xml:space="preserve"> Bons de transfert</t>
  </si>
  <si>
    <t xml:space="preserve"> Numériser les bons de mouvements</t>
  </si>
  <si>
    <t>Traçabilité des mouvements de matériels d’un site à un autre</t>
  </si>
  <si>
    <t>Les affectations et retours de matériel sont-ils suivis de manière formelle ?</t>
  </si>
  <si>
    <t xml:space="preserve"> Registre de retour</t>
  </si>
  <si>
    <t>Matériel non restitué ou utilisé sans contrôle</t>
  </si>
  <si>
    <t>Augmentation des pertes et détournements</t>
  </si>
  <si>
    <t>Suivre les affectations dans un outil centralisé</t>
  </si>
  <si>
    <t>Fiches d’affectation</t>
  </si>
  <si>
    <t xml:space="preserve"> Faire signer un reçu d’équipement</t>
  </si>
  <si>
    <t>Suivi des affectations et des retours pour limiter les pertes ou utilisations frauduleuses</t>
  </si>
  <si>
    <t>Existe-t-il une corrélation entre l’inventaire matériel et les connexions des utilisateurs ?</t>
  </si>
  <si>
    <t>Inventaire des équipements</t>
  </si>
  <si>
    <t>Détournement de matériel à l’insu de l’entreprise</t>
  </si>
  <si>
    <t>Fuites de données ou usage malveillant</t>
  </si>
  <si>
    <t>Automatiser la corrélation entre équipements et connexions</t>
  </si>
  <si>
    <t xml:space="preserve"> Journaux de connexions</t>
  </si>
  <si>
    <t xml:space="preserve"> Mettre en alerte les anomalies</t>
  </si>
  <si>
    <t>Corrélation entre les informations d’inventaire et les logs de connexion des utilisateurs</t>
  </si>
  <si>
    <t>Y a-t-il une politique claire interdisant les logiciels non autorisés ?</t>
  </si>
  <si>
    <t>Politique d’installation logicielle</t>
  </si>
  <si>
    <t>Introduction de logiciels malveillants</t>
  </si>
  <si>
    <t>Instabilité du système menaces de cybersécurité</t>
  </si>
  <si>
    <t xml:space="preserve"> Faire signer la charte à chaque nouvel utilisateur</t>
  </si>
  <si>
    <t xml:space="preserve"> Charte utilisateur</t>
  </si>
  <si>
    <t>Mettre en œuvre des outils de contrôle des installations</t>
  </si>
  <si>
    <t>Vérifier que les utilisateurs sont sensibilisés à la sécurité 
informatique, notamment à l'installation de logiciel "non officiel"</t>
  </si>
  <si>
    <t>Existence de politiques formelles interdisant les installations de logiciels non validés</t>
  </si>
  <si>
    <t>Des campagnes de sensibilisation sur les risques des logiciels non certifiés sont-elles organisées ?</t>
  </si>
  <si>
    <t>Supports de sensibilisation</t>
  </si>
  <si>
    <t>Usage incontrôlé de logiciels</t>
  </si>
  <si>
    <t>Contournement des mécanismes de sécurité</t>
  </si>
  <si>
    <t>Organiser des campagnes semestrielles</t>
  </si>
  <si>
    <t xml:space="preserve"> Planning des campagnes</t>
  </si>
  <si>
    <t xml:space="preserve"> Évaluer leur impact via des tests de connaissances</t>
  </si>
  <si>
    <t>Campagnes régulières de sensibilisation sur les risques de sécurité liés aux logiciels piratés ou non certifiés</t>
  </si>
  <si>
    <t>Un système de blocage ou d’alerte est-il en place pour les installations interdites ?</t>
  </si>
  <si>
    <t>Rapport d’alertes de sécurité</t>
  </si>
  <si>
    <t>Installations non contrôlées</t>
  </si>
  <si>
    <t>Vulnérabilités et compromission du poste</t>
  </si>
  <si>
    <t>Activer le contrôle d’installation par l’administrateur</t>
  </si>
  <si>
    <t xml:space="preserve"> Paramétrage des postes</t>
  </si>
  <si>
    <t xml:space="preserve"> Enregistrer toutes les tentatives suspectes</t>
  </si>
  <si>
    <t>Blocage technique ou alerte en cas de tentative d’installation non autorisée</t>
  </si>
  <si>
    <t>Les utilisateurs sont-ils formés aux bonnes pratiques de cybersécurité ?</t>
  </si>
  <si>
    <t>Programme de formation</t>
  </si>
  <si>
    <t>Comportements à risque des utilisateurs</t>
  </si>
  <si>
    <t>Infection phishing perte de données</t>
  </si>
  <si>
    <t>Inclure la cybersécurité dans l’onboarding</t>
  </si>
  <si>
    <t xml:space="preserve"> Attestations de participation</t>
  </si>
  <si>
    <t xml:space="preserve"> Mettre à jour régulièrement les contenus de formation</t>
  </si>
  <si>
    <t>Formation des utilisateurs sur les bonnes pratiques de cybersécurité en entreprise</t>
  </si>
  <si>
    <t>Existe-t-il un audit permettant d’identifier les logiciels non officiels ?</t>
  </si>
  <si>
    <t>Rapports d’audit logiciel</t>
  </si>
  <si>
    <t>Utilisation prolongée de logiciels interdits</t>
  </si>
  <si>
    <t>Failles non détectées responsabilités juridiques</t>
  </si>
  <si>
    <t>Programmer des audits trimestriels</t>
  </si>
  <si>
    <t xml:space="preserve"> Plan de remédiation</t>
  </si>
  <si>
    <t xml:space="preserve"> Sanctionner les écarts identifiés</t>
  </si>
  <si>
    <t>Mécanismes d’audit détectant les logiciels non officiels installés et plan d’action associé</t>
  </si>
  <si>
    <t>Gestion du parc matériel et logiciel : audit d'efficacité et de 
performance</t>
  </si>
  <si>
    <t>Vérifier comment est effectué l'inventaire des licences (logiciel, 
version, date de mise en production, nombre d'utilisateurs)</t>
  </si>
  <si>
    <t>Existence d’un référentiel centralisé recensant toutes les licences logicielles utilisées dans le système d’information</t>
  </si>
  <si>
    <t>Un référentiel centralisé des licences logicielles est-il en place ?</t>
  </si>
  <si>
    <t>Inventaire des licences</t>
  </si>
  <si>
    <t>Manque de visibilité sur les licences utilisées</t>
  </si>
  <si>
    <t>Risque de non-conformité lors d’un audit</t>
  </si>
  <si>
    <t>Mettre en place un outil SAM centralisé</t>
  </si>
  <si>
    <t xml:space="preserve"> Référentiel logiciel</t>
  </si>
  <si>
    <t xml:space="preserve"> Former les équipes à l’utilisation du référentiel</t>
  </si>
  <si>
    <t>Capacité à associer chaque licence à sa version, sa date de mise en production et le nombre d’utilisateurs autorisés</t>
  </si>
  <si>
    <t>Chaque licence est-elle correctement associée à ses caractéristiques essentielles ?</t>
  </si>
  <si>
    <t>Base de données de licences</t>
  </si>
  <si>
    <t>Informations incomplètes ou erronées sur les licences</t>
  </si>
  <si>
    <t>Utilisation illégale ou inefficace des licences</t>
  </si>
  <si>
    <t>Mettre à jour systématiquement les fiches licences</t>
  </si>
  <si>
    <t xml:space="preserve"> Fiche de déploiement logiciel</t>
  </si>
  <si>
    <t xml:space="preserve"> Intégrer ces données dans le système d’inventaire</t>
  </si>
  <si>
    <t>Mise à jour régulière de l’inventaire pour refléter l’état réel du parc logiciel</t>
  </si>
  <si>
    <t>L’inventaire logiciel est-il mis à jour régulièrement ?</t>
  </si>
  <si>
    <t>Rapport de mise à jour</t>
  </si>
  <si>
    <t>Décalage entre l’inventaire et la réalité du terrain</t>
  </si>
  <si>
    <t>Risque de sur-utilisation ou sous-utilisation</t>
  </si>
  <si>
    <t>Planifier des mises à jour périodiques</t>
  </si>
  <si>
    <t xml:space="preserve"> Historique des installations</t>
  </si>
  <si>
    <t xml:space="preserve"> Automatiser la collecte des données</t>
  </si>
  <si>
    <t>Traçabilité des achats, affectations, et renouvellements de licences</t>
  </si>
  <si>
    <t>Les processus d’achat et d’affectation des licences sont-ils bien tracés ?</t>
  </si>
  <si>
    <t>Bons de commande</t>
  </si>
  <si>
    <t>Impossibilité de justifier les licences utilisées</t>
  </si>
  <si>
    <t>Risques légaux et financiers</t>
  </si>
  <si>
    <t>Centraliser les documents liés aux licences</t>
  </si>
  <si>
    <t xml:space="preserve"> Historique des affectations</t>
  </si>
  <si>
    <t xml:space="preserve"> Mettre en place un suivi via outil de gestion des actifs</t>
  </si>
  <si>
    <t>Outils ou procédures permettant de détecter les écarts entre les licences détenues et celles réellement utilisées</t>
  </si>
  <si>
    <t>Existe-t-il un système de détection des écarts de licences ?</t>
  </si>
  <si>
    <t>Rapport d’usage logiciel</t>
  </si>
  <si>
    <t>Incohérence entre licences disponibles et utilisation réelle</t>
  </si>
  <si>
    <t>Surcoût lié à des achats injustifiés ou à des pénalités</t>
  </si>
  <si>
    <t>Mettre en place un outil de comparaison automatisé</t>
  </si>
  <si>
    <t xml:space="preserve"> Journal de conformité</t>
  </si>
  <si>
    <t xml:space="preserve"> Réaliser des revues de conformité régulières</t>
  </si>
  <si>
    <t>S’assurer que les outils de type SAM (Software Asset 
Management) sont déployés</t>
  </si>
  <si>
    <t>Déploiement d’un outil SAM permettant l’inventaire automatique des logiciels installés</t>
  </si>
  <si>
    <t>Un outil SAM est-il déployé et opérationnel ?</t>
  </si>
  <si>
    <t>Dossier de déploiement SAM</t>
  </si>
  <si>
    <t>Absence de vue automatisée sur le parc logiciel</t>
  </si>
  <si>
    <t>Manque d’efficacité et d’optimisation</t>
  </si>
  <si>
    <t>Sélectionner un outil SAM adapté</t>
  </si>
  <si>
    <t xml:space="preserve"> Manuel d’utilisation</t>
  </si>
  <si>
    <t xml:space="preserve"> Garantir son intégration dans l’écosystème SI</t>
  </si>
  <si>
    <t>Capacité de l’outil à croiser les données de déploiement avec les données contractuelles de licences</t>
  </si>
  <si>
    <t>L’outil SAM permet-il de croiser les données déployées et contractuelles ?</t>
  </si>
  <si>
    <t>Contrats de licences</t>
  </si>
  <si>
    <t>Impossibilité de vérifier la légalité des installations</t>
  </si>
  <si>
    <t>Non-respect contractuel et amendes potentielles</t>
  </si>
  <si>
    <t>Configurer le SAM pour le croisement de données</t>
  </si>
  <si>
    <t xml:space="preserve"> Données SAM</t>
  </si>
  <si>
    <t xml:space="preserve"> Effectuer des tests de cohérence réguliers</t>
  </si>
  <si>
    <t>Fonctionnalités de suivi des usages réels afin d’optimiser les coûts de licences</t>
  </si>
  <si>
    <t>Le SAM permet-il de suivre l’usage réel des logiciels ?</t>
  </si>
  <si>
    <t>Rapport d’utilisation</t>
  </si>
  <si>
    <t>Paiement de licences inutilisées</t>
  </si>
  <si>
    <t>Gaspillage de budget informatique</t>
  </si>
  <si>
    <t>Réaliser des analyses d’usage régulières</t>
  </si>
  <si>
    <t xml:space="preserve"> Tableaux de bord SAM</t>
  </si>
  <si>
    <t xml:space="preserve"> Réattribuer ou résilier les licences inutilisées</t>
  </si>
  <si>
    <t>Intégration du SAM avec les autres outils de gestion du SI (inventaire, CMDB, ticketing)</t>
  </si>
  <si>
    <t>Le SAM est-il intégré avec les outils de gestion du SI ?</t>
  </si>
  <si>
    <t>Documentation d’interconnexion</t>
  </si>
  <si>
    <t>Saisie multiple et incohérente des données</t>
  </si>
  <si>
    <t>Risques d’erreurs et perte de temps</t>
  </si>
  <si>
    <t>Automatiser les flux entre outils</t>
  </si>
  <si>
    <t xml:space="preserve"> Architecture applicative</t>
  </si>
  <si>
    <t xml:space="preserve"> Harmoniser les structures de données</t>
  </si>
  <si>
    <t>Utilisation de rapports produits par le SAM pour piloter les renouvellements et mises en conformité</t>
  </si>
  <si>
    <t>Les rapports SAM sont-ils utilisés pour les renouvellements ?</t>
  </si>
  <si>
    <t>Rapports d’audit SAM</t>
  </si>
  <si>
    <t>Renouvellements faits sans données précises</t>
  </si>
  <si>
    <t>Risque de surcoût ou de rupture de service</t>
  </si>
  <si>
    <t>Mettre en place un comité de pilotage licences</t>
  </si>
  <si>
    <t xml:space="preserve"> Plan de renouvellement</t>
  </si>
  <si>
    <t xml:space="preserve"> Utiliser les rapports comme base de décision</t>
  </si>
  <si>
    <t>S’assurer qu’il existe des revues régulières des licences</t>
  </si>
  <si>
    <t>Organisation périodique de campagnes de vérification de la conformité des licences</t>
  </si>
  <si>
    <t>Des campagnes périodiques de vérification de conformité sont-elles réalisées ?</t>
  </si>
  <si>
    <t>Planning de contrôle</t>
  </si>
  <si>
    <t>Non-conformité persistante</t>
  </si>
  <si>
    <t>Risques légaux et financiers accrus</t>
  </si>
  <si>
    <t>Programmer des campagnes semestrielles</t>
  </si>
  <si>
    <t xml:space="preserve"> Résultats de campagnes précédentes</t>
  </si>
  <si>
    <t xml:space="preserve"> Impliquer les métiers dans la validation</t>
  </si>
  <si>
    <t>Existence de comptes rendus documentés à chaque revue avec les écarts identifiés</t>
  </si>
  <si>
    <t>Chaque revue produit-elle un compte rendu formel listant les écarts ?</t>
  </si>
  <si>
    <t>Compte rendu de revue</t>
  </si>
  <si>
    <t>Suivi non formalisé</t>
  </si>
  <si>
    <t>Répétition des écarts non corrigés</t>
  </si>
  <si>
    <t xml:space="preserve"> Suivre l’application des actions correctives</t>
  </si>
  <si>
    <t xml:space="preserve"> Liste d’actions correctives</t>
  </si>
  <si>
    <t>Structurer un modèle de compte rendu</t>
  </si>
  <si>
    <t>Mise en œuvre d’actions correctives en cas de sur-utilisation ou sous-utilisation des licences</t>
  </si>
  <si>
    <t>Des actions correctives sont-elles prises lorsqu’un écart est identifié ?</t>
  </si>
  <si>
    <t>Inertie dans l’ajustement des licences</t>
  </si>
  <si>
    <t>Surcoûts ou pertes de droits d’usage</t>
  </si>
  <si>
    <t>Réagir dans un délai de 30 jours aux écarts</t>
  </si>
  <si>
    <t xml:space="preserve"> Tableau de bord de suivi</t>
  </si>
  <si>
    <t xml:space="preserve"> Suivre les indicateurs d’optimisation</t>
  </si>
  <si>
    <t>Participation de la direction des achats ou du service juridique lors des revues critiques</t>
  </si>
  <si>
    <t>La direction des achats ou le juridique participe-t-il aux revues critiques ?</t>
  </si>
  <si>
    <t>Compte rendu de réunion</t>
  </si>
  <si>
    <t>Décisions prises sans validation juridique</t>
  </si>
  <si>
    <t>Risque contractuel ou litige avec l’éditeur</t>
  </si>
  <si>
    <t>Impliquer systématiquement le juridique</t>
  </si>
  <si>
    <t xml:space="preserve"> Former les acheteurs à la conformité logicielle</t>
  </si>
  <si>
    <t>Suivi dans le temps des indicateurs liés à l’optimisation du portefeuille de licences</t>
  </si>
  <si>
    <t>Suit-on l’évolution des indicateurs d’optimisation des licences ?</t>
  </si>
  <si>
    <t>Tableau de bord des licences</t>
  </si>
  <si>
    <t>Pilotage sans mesure de progrès</t>
  </si>
  <si>
    <t>Incapacité à démontrer l’amélioration</t>
  </si>
  <si>
    <t>Mettre en place des KPIs de suivi</t>
  </si>
  <si>
    <t xml:space="preserve"> Rapport d’indicateurs</t>
  </si>
  <si>
    <t xml:space="preserve"> Analyser leur évolution trimestrielle</t>
  </si>
  <si>
    <t>S’assurer qu’il existe une base de données de gestion de 
configuration de type CMDB (Configuration Management Data Base)</t>
  </si>
  <si>
    <t>Mise en place d’une CMDB recensant les éléments de configuration du SI (matériels, logiciels, relations)</t>
  </si>
  <si>
    <t>La CMDB recense-t-elle l’ensemble des éléments de configuration (matériels logiciels relations) du SI ?</t>
  </si>
  <si>
    <t>Inventaire du SI</t>
  </si>
  <si>
    <t>Configuration incomplète ou obsolète</t>
  </si>
  <si>
    <t>Perte de visibilité sur l’infrastructure</t>
  </si>
  <si>
    <t>Implémenter un processus d’actualisation automatique</t>
  </si>
  <si>
    <t xml:space="preserve"> schéma de la CMDB</t>
  </si>
  <si>
    <t xml:space="preserve"> Auditer régulièrement la complétude de la CMDB</t>
  </si>
  <si>
    <t>Qualité des données de la CMDB (exhaustivité, exactitude, actualisation périodique)</t>
  </si>
  <si>
    <t>Les données de la CMDB sont-elles exhaustives,  exactes et actualisées régulièrement ?</t>
  </si>
  <si>
    <t>Rapport de qualité CMDB</t>
  </si>
  <si>
    <t>Données obsolètes ou incorrectes</t>
  </si>
  <si>
    <t>Décisions erronées basées sur des informations non fiables</t>
  </si>
  <si>
    <t xml:space="preserve"> Former les équipes à la bonne saisie</t>
  </si>
  <si>
    <t xml:space="preserve"> journal de mise à jour</t>
  </si>
  <si>
    <t>Mettre en place des alertes de non-conformité</t>
  </si>
  <si>
    <t>Capacité de la CMDB à établir des liens entre les composants logiciels, les équipements et les utilisateurs</t>
  </si>
  <si>
    <t>La CMDB permet-elle de lier efficacement les composants logiciels aux équipements et aux utilisateurs ?</t>
  </si>
  <si>
    <t>Modèle de données de la CMDB</t>
  </si>
  <si>
    <t>Relations mal définies entre les éléments</t>
  </si>
  <si>
    <t>Mauvaise analyse des impacts en cas d’incident ou de changement</t>
  </si>
  <si>
    <t>Configurer des règles de dépendances systématiques</t>
  </si>
  <si>
    <t xml:space="preserve"> documentation ITSM</t>
  </si>
  <si>
    <t xml:space="preserve"> Réaliser des tests d’intégrité de la base</t>
  </si>
  <si>
    <t>Rattachement de la CMDB aux processus ITSM (incident, changement, problème, déploiement)</t>
  </si>
  <si>
    <t>La CMDB est-elle intégrée aux processus ITSM (incident changement problème déploiement) ?</t>
  </si>
  <si>
    <t>Procédures ITSM</t>
  </si>
  <si>
    <t>Processus ITSM non coordonnés</t>
  </si>
  <si>
    <t>Inefficacité dans la gestion des incidents et changements</t>
  </si>
  <si>
    <t xml:space="preserve"> Former les responsables ITSM à l’utilisation de la CMDB</t>
  </si>
  <si>
    <t xml:space="preserve"> schéma de flux ITSM-CMDB</t>
  </si>
  <si>
    <t>Automatiser les échanges entre outils ITSM et CMDB</t>
  </si>
  <si>
    <t>Accès contrôlé à la CMDB selon les rôles et responsabilités des parties prenantes</t>
  </si>
  <si>
    <t>Les accès à la CMDB sont-ils contrôlés en fonction des rôles et responsabilités ?</t>
  </si>
  <si>
    <t>Accès non autorisé ou modification malveillante</t>
  </si>
  <si>
    <t>Fuite de données critiques ou corruption de la CMDB</t>
  </si>
  <si>
    <t>Mettre en œuvre un système d’authentification forte</t>
  </si>
  <si>
    <t xml:space="preserve"> politique de gestion des accès</t>
  </si>
  <si>
    <t xml:space="preserve"> Réaliser des audits de droits périodiques</t>
  </si>
  <si>
    <t>S’assurer que la DSI est sensibilisée aux enjeux de la maîtrise 
des licences ? (notamment en cas de contrôle)</t>
  </si>
  <si>
    <t>Organisation de sessions de formation ou d’information internes sur les risques liés au non-respect des contrats de licence</t>
  </si>
  <si>
    <t>Des sessions d’information internes sont-elles organisées sur les risques liés au non-respect des contrats de licence ?</t>
  </si>
  <si>
    <t>Méconnaissance des obligations contractuelles</t>
  </si>
  <si>
    <t>Sanctions légales ou financières en cas d’audit</t>
  </si>
  <si>
    <t>Intégrer des cas pratiques dans les formations</t>
  </si>
  <si>
    <t xml:space="preserve"> compte-rendu de session</t>
  </si>
  <si>
    <t xml:space="preserve"> Evaluer la compréhension via des quiz internes</t>
  </si>
  <si>
    <t>Diffusion de guides ou de politiques internes sur la gestion et l’utilisation des licences logicielles</t>
  </si>
  <si>
    <t>Des guides sur la gestion et l’usage des licences sont-ils diffusés aux équipes concernées ?</t>
  </si>
  <si>
    <t>Guide de conformité logicielle</t>
  </si>
  <si>
    <t>Absence de cadre référentiel</t>
  </si>
  <si>
    <t>Non-conformité généralisée dans l’entreprise</t>
  </si>
  <si>
    <t>Rendre la politique accessible via l’intranet</t>
  </si>
  <si>
    <t xml:space="preserve"> note de diffusion</t>
  </si>
  <si>
    <t xml:space="preserve"> Imposer une lecture annuelle validée par signature</t>
  </si>
  <si>
    <t>Identification de référents licences ou de profils spécialisés dans le suivi des contrats logiciels</t>
  </si>
  <si>
    <t>Des référents spécialisés assurent-ils le suivi des contrats logiciels ?</t>
  </si>
  <si>
    <t>Liste des référents</t>
  </si>
  <si>
    <t>Suivi défaillant ou incohérent des licences</t>
  </si>
  <si>
    <t>Multiplication des écarts d’utilisation</t>
  </si>
  <si>
    <t>Désigner des référents formés par domaine</t>
  </si>
  <si>
    <t xml:space="preserve"> fiche de poste</t>
  </si>
  <si>
    <t xml:space="preserve"> Intégrer la mission de suivi dans les entretiens annuels</t>
  </si>
  <si>
    <t>Prise en compte de la gestion des licences dans la stratégie de conformité de la DSI</t>
  </si>
  <si>
    <t>La gestion des licences est-elle intégrée dans la stratégie de conformité de la DSI ?</t>
  </si>
  <si>
    <t>Absence de vision à long terme</t>
  </si>
  <si>
    <t>Failles répétées dans la gestion du parc logiciel</t>
  </si>
  <si>
    <t>Intégrer le pilotage de conformité dans les tableaux de bord DSI</t>
  </si>
  <si>
    <t xml:space="preserve"> politique de conformité</t>
  </si>
  <si>
    <t xml:space="preserve"> Réaliser une revue stratégique annuelle</t>
  </si>
  <si>
    <t>Existence de communications ciblées (emails, notes, réunions) pour sensibiliser les équipes DSI</t>
  </si>
  <si>
    <t>Des communications régulières sont-elles envoyées pour sensibiliser aux obligations de licence ?</t>
  </si>
  <si>
    <t>Extraits de mails</t>
  </si>
  <si>
    <t>Manque d’information auprès des parties prenantes</t>
  </si>
  <si>
    <t>Comportements non conformes récurrents</t>
  </si>
  <si>
    <t>Planifier des campagnes mensuelles</t>
  </si>
  <si>
    <t xml:space="preserve"> bulletins internes</t>
  </si>
  <si>
    <t xml:space="preserve"> Diffuser des infographies de synthèse</t>
  </si>
  <si>
    <t xml:space="preserve">Vérifier que des audits sont réalisés </t>
  </si>
  <si>
    <t>Réalisation régulière d’audits internes ou externes de conformité logicielle</t>
  </si>
  <si>
    <t>Des audits internes ou externes de conformité logicielle sont-ils régulièrement réalisés ?</t>
  </si>
  <si>
    <t>Rapport d’audit</t>
  </si>
  <si>
    <t>Non-détection de dérives dans le temps</t>
  </si>
  <si>
    <t>Amendes ou sanctions contractuelles</t>
  </si>
  <si>
    <t>Prévoir un audit annuel externe</t>
  </si>
  <si>
    <t xml:space="preserve"> planification des audits</t>
  </si>
  <si>
    <t xml:space="preserve"> Contrôler les recommandations via un plan de suivi</t>
  </si>
  <si>
    <t>Documentation claire des constats, anomalies, et recommandations issues des audits</t>
  </si>
  <si>
    <t>Les constats et recommandations des audits sont-ils systématiquement documentés ?</t>
  </si>
  <si>
    <t>Absence de traçabilité des écarts</t>
  </si>
  <si>
    <t>Répétition des erreurs et perte d’historique</t>
  </si>
  <si>
    <t>Archiver tous les audits dans une base centralisée</t>
  </si>
  <si>
    <t xml:space="preserve"> registre des anomalies</t>
  </si>
  <si>
    <t xml:space="preserve"> Utiliser un modèle de rapport standardisé</t>
  </si>
  <si>
    <t>Prise en compte des conclusions d’audit dans les plans d’action correctifs de la DSI</t>
  </si>
  <si>
    <t>Les recommandations issues des audits sont-elles mises en œuvre ?</t>
  </si>
  <si>
    <t>Résultats d’audit ignorés</t>
  </si>
  <si>
    <t>Maintien de non-conformités structurelles</t>
  </si>
  <si>
    <t xml:space="preserve"> Planifier des points de contrôle intermédiaires</t>
  </si>
  <si>
    <t xml:space="preserve"> suivi d’audit</t>
  </si>
  <si>
    <t>Affecter des responsables à chaque action corrective</t>
  </si>
  <si>
    <t>Suivi de la mise en œuvre effective des recommandations d’audit</t>
  </si>
  <si>
    <t>Un suivi effectif est-il réalisé après chaque audit pour s’assurer de l’application des recommandations ?</t>
  </si>
  <si>
    <t>Registre de suivi</t>
  </si>
  <si>
    <t>Actions correctives incomplètes ou non réalisées</t>
  </si>
  <si>
    <t>Risque de récidive ou de non-conformité prolongée</t>
  </si>
  <si>
    <t>Utiliser un outil de suivi centralisé</t>
  </si>
  <si>
    <t xml:space="preserve"> PV de réunions de pilotage</t>
  </si>
  <si>
    <t xml:space="preserve"> Mettre à jour régulièrement les statuts de chaque action</t>
  </si>
  <si>
    <t>Préparation d’un historique des audits antérieurs avec une vision consolidée des progrès réalisés</t>
  </si>
  <si>
    <t>Un historique consolidé des audits est-il disponible pour analyser les progrès ?</t>
  </si>
  <si>
    <t>Tableau de bord récapitulatif</t>
  </si>
  <si>
    <t>Perte de mémoire organisationnelle</t>
  </si>
  <si>
    <t>Manque de continuité et d’amélioration continue</t>
  </si>
  <si>
    <t>Créer un historique sous forme de tableau comparatif</t>
  </si>
  <si>
    <t xml:space="preserve"> registre des audits</t>
  </si>
  <si>
    <t xml:space="preserve"> Diffuser un rapport annuel des évolutions</t>
  </si>
  <si>
    <t>Vérifier qu’une politique logicielle existe</t>
  </si>
  <si>
    <t>Existence d’un document formel définissant les règles d’acquisition, d’utilisation, de renouvellement et de suppression des logiciels</t>
  </si>
  <si>
    <t>Existe-t-il un document définissant les règles d’acquisition, usage et renouvellement des logiciels ?</t>
  </si>
  <si>
    <t>Politique inexistante ou obsolète</t>
  </si>
  <si>
    <t>Pratiques hétérogènes dans l’organisation</t>
  </si>
  <si>
    <t>Réviser la politique chaque année</t>
  </si>
  <si>
    <t xml:space="preserve"> Impliquer les services achats et juridiques</t>
  </si>
  <si>
    <t>Politique diffusée et accessible à l’ensemble des collaborateurs concernés (DSI, achats, utilisateurs)</t>
  </si>
  <si>
    <t>La politique logicielle est-elle diffusée à tous les acteurs concernés ?</t>
  </si>
  <si>
    <t>Preuve de diffusion</t>
  </si>
  <si>
    <t>Collaborateurs non informés</t>
  </si>
  <si>
    <t>Infractions involontaires aux règles établies</t>
  </si>
  <si>
    <t xml:space="preserve"> Organiser des présentations en début d’année</t>
  </si>
  <si>
    <t>Ajouter la politique au livret d’accueil</t>
  </si>
  <si>
    <t>Inclusion des règles de sécurité, de conformité, et de performance dans la politique logicielle</t>
  </si>
  <si>
    <t>La politique logicielle inclut-elle des règles de sécurité,  conformité et performance ?</t>
  </si>
  <si>
    <t>Extrait de la politique</t>
  </si>
  <si>
    <t>Couverture insuffisante des aspects critiques</t>
  </si>
  <si>
    <t>Risques techniques ou légaux non anticipés</t>
  </si>
  <si>
    <t>Intégrer les recommandations RGPD et ISO</t>
  </si>
  <si>
    <t xml:space="preserve"> documentation annexe</t>
  </si>
  <si>
    <t xml:space="preserve"> Faire valider le contenu par la direction SI</t>
  </si>
  <si>
    <t>Validation et actualisation régulières de la politique par la direction informatique</t>
  </si>
  <si>
    <t>La politique est-elle validée et mise à jour régulièrement par la direction informatique ?</t>
  </si>
  <si>
    <t>Politique obsolète non adaptée aux évolutions</t>
  </si>
  <si>
    <t>Pratiques non conformes ou inefficaces</t>
  </si>
  <si>
    <t>Planifier une révision semestrielle</t>
  </si>
  <si>
    <t xml:space="preserve"> calendrier de révision</t>
  </si>
  <si>
    <t xml:space="preserve"> Créer une instance de gouvernance dédiée</t>
  </si>
  <si>
    <t>Contrôle du respect de la politique via des indicateurs ou des revues de conformité internes</t>
  </si>
  <si>
    <t>Le respect de la politique est-il contrôlé via des indicateurs ou des revues ?</t>
  </si>
  <si>
    <t>Rapport de conformité</t>
  </si>
  <si>
    <t>Manque de suivi de l’application des règles</t>
  </si>
  <si>
    <t>Application inégale de la politique dans les équipes</t>
  </si>
  <si>
    <t>Mettre en place un KPI dédié par département</t>
  </si>
  <si>
    <t xml:space="preserve"> tableau de bord indicateurs</t>
  </si>
  <si>
    <t xml:space="preserve"> Réaliser des revues trimestrielles avec les managers</t>
  </si>
  <si>
    <t>Facteurs clés de succès</t>
  </si>
  <si>
    <t>Vérifier qu’une politique de sécurité est définie et correspond à 
l'activité de l'Organisation</t>
  </si>
  <si>
    <t>Existence d’un document officiel de politique de sécurité validé par la direction</t>
  </si>
  <si>
    <t>Existe-t-il un document officiel de politique de sécurité validé par la direction ?</t>
  </si>
  <si>
    <t>Politique de sécurité</t>
  </si>
  <si>
    <t>Absence de cadre stratégique</t>
  </si>
  <si>
    <t>Failles de sécurité non couvertes par une vision globale</t>
  </si>
  <si>
    <t>Formaliser une politique validée en comité exécutif</t>
  </si>
  <si>
    <t xml:space="preserve"> procès-verbal de validation</t>
  </si>
  <si>
    <t>Archiver toutes les validations et mises à jour</t>
  </si>
  <si>
    <t>Adéquation des principes de la politique avec les activités, les métiers et les enjeux de l’organisation</t>
  </si>
  <si>
    <t>Les principes de la politique sont-ils adaptés aux activités,métiers et enjeux spécifiques de l’organisation ?</t>
  </si>
  <si>
    <t>Analyse des métiers</t>
  </si>
  <si>
    <t>Politique déconnectée du terrain</t>
  </si>
  <si>
    <t>Mise en œuvre inefficace ou ignorée</t>
  </si>
  <si>
    <t>Réaliser une revue annuelle d’adéquation stratégique</t>
  </si>
  <si>
    <t xml:space="preserve"> politique de sécurité</t>
  </si>
  <si>
    <t>Associer des représentants métiers à la définition</t>
  </si>
  <si>
    <t>Prise en compte des contraintes réglementaires et sectorielles propres à l’organisation</t>
  </si>
  <si>
    <t>La politique prend-elle en compte les contraintes réglementaires et sectorielles applicables ?</t>
  </si>
  <si>
    <t>Analyse réglementaire</t>
  </si>
  <si>
    <t>Non-conformité légale</t>
  </si>
  <si>
    <t>Sanctions, audits défavorables</t>
  </si>
  <si>
    <t>Intégrer une veille juridique active dans l’élaboration</t>
  </si>
  <si>
    <t xml:space="preserve"> tableau de conformité</t>
  </si>
  <si>
    <t>Cartographier les obligations par secteur d’activité</t>
  </si>
  <si>
    <t>Consultation des parties prenantes lors de la rédaction ou de la mise à jour de la politique</t>
  </si>
  <si>
    <t>Les parties prenantes ont-elles été consultées lors de la rédaction ou des mises à jour ?</t>
  </si>
  <si>
    <t>Comptes-rendus d’ateliers</t>
  </si>
  <si>
    <t>Résistance à l’appropriation</t>
  </si>
  <si>
    <t>Non-respect ou contournement des mesures</t>
  </si>
  <si>
    <t>Intégrer des boucles de feedback systématiques</t>
  </si>
  <si>
    <t xml:space="preserve"> listes de diffusion</t>
  </si>
  <si>
    <t>Organiser des ateliers de co-construction</t>
  </si>
  <si>
    <t>Mise à jour régulière de la politique pour tenir compte des évolutions de l’environnement interne et externe</t>
  </si>
  <si>
    <t>La politique est-elle mise à jour régulièrement selon les évolutions internes ou externes ?</t>
  </si>
  <si>
    <t>Politique obsolète</t>
  </si>
  <si>
    <t>Échec face à de nouvelles menaces</t>
  </si>
  <si>
    <t>Lier chaque évolution à un événement déclencheur</t>
  </si>
  <si>
    <t xml:space="preserve"> PV de revue</t>
  </si>
  <si>
    <t>Fixer une fréquence annuelle de révision</t>
  </si>
  <si>
    <t xml:space="preserve">Vérifier qu’une démarche de mise en œuvre de la gestion de la 
sécurité est adoptée et compatible avec la culture de l'Organisation </t>
  </si>
  <si>
    <t>Existence d’un plan de gestion de la sécurité intégrant une feuille de route, des étapes et des responsabilités</t>
  </si>
  <si>
    <t>Existe-t-il un plan de gestion de la sécurité avec feuille de route, étapes et responsabilités ?</t>
  </si>
  <si>
    <t>Plan sécurité</t>
  </si>
  <si>
    <t>Absence de pilotage opérationnel clair</t>
  </si>
  <si>
    <t>Actions de sécurité non coordonnées</t>
  </si>
  <si>
    <t>Identifier des responsables par lot de mesures</t>
  </si>
  <si>
    <t xml:space="preserve"> matrice RACI</t>
  </si>
  <si>
    <t>Élaborer une feuille de route à 1-3 ans</t>
  </si>
  <si>
    <t>Alignement de la démarche sécurité avec les processus métiers, les usages internes et les modes de gouvernance</t>
  </si>
  <si>
    <t>La démarche sécurité est-elle alignée avec les processus métiers,usages internes et gouvernance ?</t>
  </si>
  <si>
    <t>Cartographie processus</t>
  </si>
  <si>
    <t>Décrochage entre sécurité et activité</t>
  </si>
  <si>
    <t>Rejet ou neutralisation des mesures de sécurité</t>
  </si>
  <si>
    <t>Traduire la politique en usages concrets par métier</t>
  </si>
  <si>
    <t>Aligner les mesures sécurité sur les chaînes de valeur</t>
  </si>
  <si>
    <t>Implication des services utilisateurs et des responsables opérationnels dans la définition des mesures</t>
  </si>
  <si>
    <t>Les services utilisateurs et responsables opérationnels participent-ils à la définition des mesures ?</t>
  </si>
  <si>
    <t xml:space="preserve"> comptes-rendus d’ateliers</t>
  </si>
  <si>
    <t>Absence d’adhésion des opérationnels</t>
  </si>
  <si>
    <t>Contournement ou non-application des mesures</t>
  </si>
  <si>
    <t>Intégrer les retours dans les arbitrages sécurité</t>
  </si>
  <si>
    <t>PV de comité</t>
  </si>
  <si>
    <t>Organiser des ateliers par direction métier</t>
  </si>
  <si>
    <t>Prise en compte des résistances culturelles ou des habitudes organisationnelles dans la mise en œuvre</t>
  </si>
  <si>
    <t>Les résistances culturelles et habitudes organisationnelles sont-elles prises en compte ?</t>
  </si>
  <si>
    <t>Étude d’impact organisationnel</t>
  </si>
  <si>
    <t>Blocage dans l’adoption des mesures</t>
  </si>
  <si>
    <t>Déploiement partiel ou inefficace</t>
  </si>
  <si>
    <t>Prévoir un accompagnement au changement</t>
  </si>
  <si>
    <t xml:space="preserve"> plan de changement</t>
  </si>
  <si>
    <t>Réaliser une analyse de maturité culturelle</t>
  </si>
  <si>
    <t>Souplesse des mesures de sécurité pour s’adapter à la culture d’entreprise sans nuire à la performance</t>
  </si>
  <si>
    <t>Les mesures de sécurité sont-elles suffisamment souples pour préserver la performance ?</t>
  </si>
  <si>
    <t>Analyse des impacts</t>
  </si>
  <si>
    <t>Perception de lourdeur ou d’inefficacité</t>
  </si>
  <si>
    <t>Détournement de la politique ou conflits internes</t>
  </si>
  <si>
    <t>Adapter les exigences en fonction des priorités</t>
  </si>
  <si>
    <t xml:space="preserve"> retour utilisateur</t>
  </si>
  <si>
    <t>Tester les mesures sur des pilotes métiers</t>
  </si>
  <si>
    <t>Vérifier que la direction assure un soutien total et un 
engagement visible pour la sécurité</t>
  </si>
  <si>
    <t>Présence d’un sponsor sécurité ou d’un membre de la direction en charge du pilotage stratégique de la sécurité</t>
  </si>
  <si>
    <t>Un sponsor sécurité ou un dirigeant pilote-t-il stratégiquement la sécurité ?</t>
  </si>
  <si>
    <t xml:space="preserve"> lettres de mission</t>
  </si>
  <si>
    <t>Faible portage de la démarche</t>
  </si>
  <si>
    <t xml:space="preserve"> Absence de moyens,arbitrages défavorables</t>
  </si>
  <si>
    <t>Associer le sponsor aux comités de pilotage</t>
  </si>
  <si>
    <t>Organigramme stratégique</t>
  </si>
  <si>
    <t>Désigner un sponsor sécurité à haut niveau</t>
  </si>
  <si>
    <t>Implication directe de la direction dans les décisions liées à la cybersécurité (budgets, arbitrages, priorisations)</t>
  </si>
  <si>
    <t>La direction est-elle impliquée dans les décisions liées à la cybersécurité ?</t>
  </si>
  <si>
    <t>PV de comités</t>
  </si>
  <si>
    <t>Décisions sécurité prises sans arbitrage stratégique</t>
  </si>
  <si>
    <t>Manque de ressources ou conflits de priorité</t>
  </si>
  <si>
    <t>Associer la direction aux scénarios de gestion de crise</t>
  </si>
  <si>
    <t xml:space="preserve"> budgets validés</t>
  </si>
  <si>
    <t>Faire valider les budgets en comité exécutif</t>
  </si>
  <si>
    <t>Communication explicite et régulière de la direction sur l’importance de la sécurité auprès des collaborateurs</t>
  </si>
  <si>
    <t>La direction communique-t-elle explicitement sur l’importance de la sécurité ?</t>
  </si>
  <si>
    <t>Communications internes</t>
  </si>
  <si>
    <t>Sous-estimation par les équipes</t>
  </si>
  <si>
    <t>Comportements à risque ou désengagement</t>
  </si>
  <si>
    <t>Présenter la sécurité dans les grands événements internes</t>
  </si>
  <si>
    <t xml:space="preserve"> newsletter DSI</t>
  </si>
  <si>
    <t>Rédiger des messages stratégiques réguliers</t>
  </si>
  <si>
    <t>Participation de la direction à des comités de sécurité ou des revues de conformité</t>
  </si>
  <si>
    <t>La direction participe-t-elle aux comités sécurité ou revues de conformité ?</t>
  </si>
  <si>
    <t>Présences en comité</t>
  </si>
  <si>
    <t>Gouvernance sans leadership stratégique</t>
  </si>
  <si>
    <t>Retards dans les décisions critiques</t>
  </si>
  <si>
    <t>Inclure un point sécurité dans les comités de direction</t>
  </si>
  <si>
    <t>Planifier des revues semestrielles avec la direction</t>
  </si>
  <si>
    <t>Suivi par la direction des indicateurs de performance et de conformité en sécurité informatique</t>
  </si>
  <si>
    <t>La direction suit-elle des indicateurs de performance et de conformité en sécurité ?</t>
  </si>
  <si>
    <t>Tableau de bord SSI</t>
  </si>
  <si>
    <t>Absence de pilotage fondé sur les résultats</t>
  </si>
  <si>
    <t>Échec de la stratégie sécurité</t>
  </si>
  <si>
    <t>Réaliser une revue trimestrielle des KPI sécurité</t>
  </si>
  <si>
    <t xml:space="preserve"> reporting DSI</t>
  </si>
  <si>
    <t>Définir un tableau de bord stratégique adapté</t>
  </si>
  <si>
    <t>Vérifier que les exigences de sécurité et les risques sont 
compris et évalués</t>
  </si>
  <si>
    <t>Existence d’une analyse de risques formelle et documentée couvrant les processus critiques de l’organisation</t>
  </si>
  <si>
    <t>Une analyse de risques formelle et documentée couvre-t-elle les processus critiques ?</t>
  </si>
  <si>
    <t>Rapport d’analyse de risques</t>
  </si>
  <si>
    <t>Méconnaissance des zones à risque</t>
  </si>
  <si>
    <t>Mesures mal calibrées ou absentes</t>
  </si>
  <si>
    <t>Actualiser l’analyse à chaque évolution critique</t>
  </si>
  <si>
    <t xml:space="preserve"> cartographie processus</t>
  </si>
  <si>
    <t>Appliquer la méthode EBIOS ou ISO 27005</t>
  </si>
  <si>
    <t>Identification claire des menaces, vulnérabilités, impacts et probabilités associées</t>
  </si>
  <si>
    <t>Les menaces,vulnérabilités, impacts et probabilités sont-ils clairement identifiés ?</t>
  </si>
  <si>
    <t>Cartographie des risques</t>
  </si>
  <si>
    <t>Oubli de scénarios critiques</t>
  </si>
  <si>
    <t>Défaillances imprévues ou crises mal gérées</t>
  </si>
  <si>
    <t>Utiliser des matrices de cotation pour prioriser</t>
  </si>
  <si>
    <t xml:space="preserve"> rapports techniques</t>
  </si>
  <si>
    <t>Formaliser les scénarios de menace typiques</t>
  </si>
  <si>
    <t>Sensibilisation des métiers aux enjeux de sécurité liés à leurs activités spécifiques</t>
  </si>
  <si>
    <t>Les métiers sont-ils sensibilisés aux enjeux sécurité liés à leurs activités ?</t>
  </si>
  <si>
    <t>Fiches métiers sécurité</t>
  </si>
  <si>
    <t>Conduites inadaptées ou négligentes</t>
  </si>
  <si>
    <t>Exploitation de failles par erreur humaine</t>
  </si>
  <si>
    <t>Organiser des sessions interactives de sensibilisation</t>
  </si>
  <si>
    <t xml:space="preserve"> communications ciblées</t>
  </si>
  <si>
    <t>Créer des modules spécifiques par métier</t>
  </si>
  <si>
    <t>Mise à disposition d’une cartographie des risques de sécurité actualisée périodiquement</t>
  </si>
  <si>
    <t>Une cartographie des risques actualisée est-elle disponible et diffusée ?</t>
  </si>
  <si>
    <t>Cartographie</t>
  </si>
  <si>
    <t>Décalage entre stratégie et réalités du terrain</t>
  </si>
  <si>
    <t>Incapacité à anticiper ou à réagir efficacement</t>
  </si>
  <si>
    <t>Mettre la cartographie à disposition sur l’intranet SSI</t>
  </si>
  <si>
    <t>Actualiser la cartographie tous les 6 à 12 mois</t>
  </si>
  <si>
    <t>Intégration des exigences de sécurité dans les cahiers des charges, projets et contrats</t>
  </si>
  <si>
    <t>Les exigences de sécurité sont-elles intégrées dès les cahiers des charges,projets et contrats ?</t>
  </si>
  <si>
    <t>Modèles de cahier des charges</t>
  </si>
  <si>
    <t>Mesures oubliées ou intégrées tardivement</t>
  </si>
  <si>
    <t>Projets non sécurisés ou non conformes</t>
  </si>
  <si>
    <t>Ajouter une section sécurité dans tous les projets</t>
  </si>
  <si>
    <t xml:space="preserve"> annexes contractuelles</t>
  </si>
  <si>
    <t>Former les chefs de projet à l’intégration des exigences SSI</t>
  </si>
  <si>
    <t>Vérifier que l’ensemble des responsables et des employés sont 
sensibilisés et informés</t>
  </si>
  <si>
    <t>Mise en place d’un programme annuel de sensibilisation à la sécurité de l’information</t>
  </si>
  <si>
    <t>Un programme annuel de sensibilisation à la sécurité est-il en place ?</t>
  </si>
  <si>
    <t>Planning annuel</t>
  </si>
  <si>
    <t>Oubli de certaines populations</t>
  </si>
  <si>
    <t>Acculturation incomplète ou inégale</t>
  </si>
  <si>
    <t>Intégrer les retours des campagnes précédentes</t>
  </si>
  <si>
    <t xml:space="preserve"> plan de formation SSI</t>
  </si>
  <si>
    <t>Définir un programme annuel par profil</t>
  </si>
  <si>
    <t>Organisation de sessions de formation adaptées aux différents profils (utilisateurs,managers, techniques)</t>
  </si>
  <si>
    <t>Des sessions de formation sont-elles organisées pour les profils utilisateurs,managers et techniques ?</t>
  </si>
  <si>
    <t>Approche trop générique ou inadéquate</t>
  </si>
  <si>
    <t>Faible rétention de l’information</t>
  </si>
  <si>
    <t>Personnaliser les contenus selon les rôles</t>
  </si>
  <si>
    <t>Mettre à jour les contenus selon les incidents récents</t>
  </si>
  <si>
    <t>Utilisation de supports pédagogiques variés : e-learning,affiches,vidéos, campagnes internes</t>
  </si>
  <si>
    <t>Des supports variés sont-ils utilisés (e-learning, affiches, vidéos, etc.) ?</t>
  </si>
  <si>
    <t>Catalogue de supports</t>
  </si>
  <si>
    <t>Manque d’attention ou d’intérêt</t>
  </si>
  <si>
    <t>Inefficacité des actions de sensibilisation</t>
  </si>
  <si>
    <t>Diversifier les supports par canal et population</t>
  </si>
  <si>
    <t xml:space="preserve"> bilan de campagnes</t>
  </si>
  <si>
    <t>Mesurer l’engagement via les outils numériques</t>
  </si>
  <si>
    <t>Suivi de la participation et de la compréhension des employés aux sessions de sensibilisation</t>
  </si>
  <si>
    <t>La participation et la compréhension aux sessions sont-elles suivies ?</t>
  </si>
  <si>
    <t>Liste d’émargement</t>
  </si>
  <si>
    <t>Absence d’appropriation réelle</t>
  </si>
  <si>
    <t>Résultats théoriques sans changement de pratiques</t>
  </si>
  <si>
    <t>Suivre les KPI de taux de participation et scores</t>
  </si>
  <si>
    <t xml:space="preserve"> quiz de validation</t>
  </si>
  <si>
    <t>Évaluer systématiquement après chaque session</t>
  </si>
  <si>
    <t>Évaluation régulière du niveau de maturité des collaborateurs en matière de sécurité</t>
  </si>
  <si>
    <t>Le niveau de maturité des collaborateurs est-il évalué régulièrement ?</t>
  </si>
  <si>
    <t>Évaluations périodiques</t>
  </si>
  <si>
    <t>Inadéquation des actions sécurité</t>
  </si>
  <si>
    <t>Reproduction des mêmes erreurs ou incidents</t>
  </si>
  <si>
    <t>Adapter le programme de sensibilisation aux résultats</t>
  </si>
  <si>
    <t xml:space="preserve"> rapports de maturité</t>
  </si>
  <si>
    <t>Réaliser un baromètre de maturité annuel</t>
  </si>
  <si>
    <t>Vérifier que les lignes directrices de la politique de sécurité et 
des normes de sécurité de l'information sont distribuées à tous les 
employés et à tous les fournisseurs</t>
  </si>
  <si>
    <t>Diffusion systématique des politiques et procédures sécurité lors de l’arrivée de nouveaux collaborateurs ou prestataires</t>
  </si>
  <si>
    <t>Les politiques et procédures sécurité sont-elles systématiquement diffusées aux nouveaux collaborateurs et prestataires ?</t>
  </si>
  <si>
    <t>Kit d’accueil sécurité</t>
  </si>
  <si>
    <t>Arrivées sans sensibilisation initiale</t>
  </si>
  <si>
    <t>Non-conformité,erreurs ou fuites dès l’intégration</t>
  </si>
  <si>
    <t>Intégrer un module sécurité à l’onboarding</t>
  </si>
  <si>
    <t>Exiger une validation formelle de lecture</t>
  </si>
  <si>
    <t>Accès facilité à la documentation sécurité via l’intranet ou d’autres outils de communication interne</t>
  </si>
  <si>
    <t>La documentation sécurité est-elle facilement accessible via l’intranet ou d’autres outils internes ?</t>
  </si>
  <si>
    <t>Intranet d’entreprise</t>
  </si>
  <si>
    <t>Méconnaissance des règles de sécurité</t>
  </si>
  <si>
    <t>Comportements non conformes ou dangereux</t>
  </si>
  <si>
    <t>Centraliser tous les documents sécurité sur un portail dédié</t>
  </si>
  <si>
    <t xml:space="preserve"> liste des documents diffusés</t>
  </si>
  <si>
    <t>Assurer une navigation intuitive avec moteur de recherche</t>
  </si>
  <si>
    <t>Traçabilité de la réception et de la lecture des documents de sécurité par les parties concernées</t>
  </si>
  <si>
    <t>La réception et la lecture des documents de sécurité par les parties concernées sont-elles tracées ?</t>
  </si>
  <si>
    <t>Journal de lecture</t>
  </si>
  <si>
    <t>Absence de preuve de sensibilisation</t>
  </si>
  <si>
    <t>Non-conformité légale ou RH</t>
  </si>
  <si>
    <t>Rendre la lecture obligatoire avec validation numérique</t>
  </si>
  <si>
    <t xml:space="preserve"> accusés de réception électroniques</t>
  </si>
  <si>
    <t>Mettre en place un système de suivi des lectures</t>
  </si>
  <si>
    <t>Intégration des exigences sécurité dans les contrats fournisseurs et les chartes d’usage</t>
  </si>
  <si>
    <t>Les exigences sécurité sont-elles intégrées dans les contrats fournisseurs et les chartes d’usage ?</t>
  </si>
  <si>
    <t>Modèles de contrat</t>
  </si>
  <si>
    <t>Failles contractuelles de sécurité</t>
  </si>
  <si>
    <t>Incapacité à exiger des mesures correctives</t>
  </si>
  <si>
    <t>Soumettre les chartes à signature obligatoire</t>
  </si>
  <si>
    <t>Ajouter une clause sécurité dans tous les contrats</t>
  </si>
  <si>
    <t>Mise à jour régulière des documents diffusés avec notification des changements significatifs</t>
  </si>
  <si>
    <t>Les documents diffusés sont-ils mis à jour régulièrement avec notification des changements ?</t>
  </si>
  <si>
    <t>Utilisation de documents obsolètes</t>
  </si>
  <si>
    <t>Application de règles inadaptées ou périmées</t>
  </si>
  <si>
    <t>Informer systématiquement les destinataires des modifications</t>
  </si>
  <si>
    <t xml:space="preserve"> email de notification</t>
  </si>
  <si>
    <t>Définir une fréquence semestrielle de mise à jour</t>
  </si>
  <si>
    <t>Vérifier que les acteurs de la sécurité sont formés de manière 
appropriée</t>
  </si>
  <si>
    <t>Identification claire des rôles liés à la sécurité au sein de la DSI et des métiers</t>
  </si>
  <si>
    <t>Les rôles liés à la sécurité sont-ils clairement identifiés dans la DSI et les métiers ?</t>
  </si>
  <si>
    <t>Organigramme sécurité</t>
  </si>
  <si>
    <t>Flou organisationnel</t>
  </si>
  <si>
    <t>Responsabilités non assumées en cas d’incident</t>
  </si>
  <si>
    <t>Cartographier les responsabilités SSI par entité</t>
  </si>
  <si>
    <t>Diffuser l’organigramme fonctionnel à tous les niveaux</t>
  </si>
  <si>
    <t>Suivi des compétences et des besoins de formation spécifiques aux missions de chaque acteur sécurité</t>
  </si>
  <si>
    <t>Les compétences et besoins de formation sont-ils suivis pour chaque acteur de la sécurité ?</t>
  </si>
  <si>
    <t>Inadéquation entre compétences et missions</t>
  </si>
  <si>
    <t>Défaillance dans l’exécution des tâches critiques</t>
  </si>
  <si>
    <t>Mettre à jour le plan de formation selon les écarts constatés</t>
  </si>
  <si>
    <t xml:space="preserve"> référentiel de compétences</t>
  </si>
  <si>
    <t>Évaluer les compétences par profil de poste</t>
  </si>
  <si>
    <t>Organisation de formations spécialisées (normes ISO 27001, gestion des incidents,audit, etc.)</t>
  </si>
  <si>
    <t>Des formations spécialisées sont-elles organisées pour les référents sécurité ?</t>
  </si>
  <si>
    <t>Méconnaissance des normes et pratiques</t>
  </si>
  <si>
    <t>Décisions ou actions de sécurité inappropriées</t>
  </si>
  <si>
    <t>Planifier des formations sur ISO 27001, EBIOS,etc.</t>
  </si>
  <si>
    <t xml:space="preserve"> attestations de participation</t>
  </si>
  <si>
    <t>Financer des certifications officielles (ISO,CEH, etc.)</t>
  </si>
  <si>
    <t>Participation régulière à des séminaires,  conférences ou communautés professionnelles de cybersécurité</t>
  </si>
  <si>
    <t>Les référents participent-ils à des séminaires ou communautés professionnelles cybersécurité ?</t>
  </si>
  <si>
    <t>Invitations</t>
  </si>
  <si>
    <t>Isolement technologique ou réglementaire</t>
  </si>
  <si>
    <t>Retard ou obsolescence des pratiques internes</t>
  </si>
  <si>
    <t>Encourager la veille par la participation aux réseaux</t>
  </si>
  <si>
    <t xml:space="preserve"> attestations de présence</t>
  </si>
  <si>
    <t>Allouer un budget pour la participation externe</t>
  </si>
  <si>
    <t>Mise en œuvre d’un plan de formation annuel spécifique pour les profils clés en sécurité</t>
  </si>
  <si>
    <t>Un plan de formation annuel spécifique aux profils clés est-il mis en œuvre ?</t>
  </si>
  <si>
    <t>Plan annuel</t>
  </si>
  <si>
    <t>Absence de développement des compétences</t>
  </si>
  <si>
    <t>Inadéquation des réponses aux incidents</t>
  </si>
  <si>
    <t>Évaluer le niveau de satisfaction et d’acquisition</t>
  </si>
  <si>
    <t xml:space="preserve"> fiche de suivi individuel</t>
  </si>
  <si>
    <t>Élaborer un programme par population cible</t>
  </si>
  <si>
    <t>Vérifier qu’un système de mesure complet est mis en place afin 
d'évaluer l'efficacité de la gestion de la sécurité de l'information et 
pour collecter les suggestions d'amélioration</t>
  </si>
  <si>
    <t>Définition et suivi d’indicateurs clés de performance et de conformité en matière de sécurité</t>
  </si>
  <si>
    <t>Des indicateurs de performance et conformité sécurité sont-ils définis et suivis ?</t>
  </si>
  <si>
    <t>Pilotage sans mesure objective</t>
  </si>
  <si>
    <t>Impossibilité de démontrer les progrès ou les failles</t>
  </si>
  <si>
    <t>Réviser régulièrement les indicateurs selon les enjeux</t>
  </si>
  <si>
    <t xml:space="preserve"> reporting SSI</t>
  </si>
  <si>
    <t>Définir des KPI par domaine (incidents, fornation, etc.)</t>
  </si>
  <si>
    <t>Existence de tableaux de bord régulièrement mis à jour pour la direction et les responsables métiers</t>
  </si>
  <si>
    <t>Des tableaux de bord sécurité sont-ils mis à jour pour la direction et les métiers ?</t>
  </si>
  <si>
    <t>Tableau de bord mensuel</t>
  </si>
  <si>
    <t>Décisions prises sans données actualisées</t>
  </si>
  <si>
    <t>Priorisation erronée des actions ou projets</t>
  </si>
  <si>
    <t>Préparer des rapports adaptés à chaque cible (direction, metiers)</t>
  </si>
  <si>
    <t xml:space="preserve"> diffusion interne</t>
  </si>
  <si>
    <t>Mettre à jour les données selon un cycle défini (mensuel/trimestriel)</t>
  </si>
  <si>
    <t>Réalisation de bilans de sécurité périodiques incluant les incidents,  les audits, et les actions correctives</t>
  </si>
  <si>
    <t>Des bilans périodiques sont-ils réalisés sur les incidents,audits et actions correctives ?</t>
  </si>
  <si>
    <t>Rapport de bilan sécurité</t>
  </si>
  <si>
    <t>Absence de vision globale sur les événements passés</t>
  </si>
  <si>
    <t>Répétition d’erreurs ou d’incidents</t>
  </si>
  <si>
    <t>Intégrer les bilans dans les comités stratégiques</t>
  </si>
  <si>
    <t xml:space="preserve"> fiches incidents</t>
  </si>
  <si>
    <t>Réaliser un bilan semestriel ou annuel consolidé</t>
  </si>
  <si>
    <t>Mécanismes de remontée des suggestions d’amélioration par les collaborateurs (boîte à idées,  questionnaires)</t>
  </si>
  <si>
    <t>Existe-t-il des mécanismes pour recueillir les suggestions d’amélioration des collaborateurs ?</t>
  </si>
  <si>
    <t>Boîte à idées</t>
  </si>
  <si>
    <t>Rejet de la culture sécurité</t>
  </si>
  <si>
    <t>Frein à l’innovation ou à la détection de failles</t>
  </si>
  <si>
    <t>Valoriser les suggestions avec retours et remerciements</t>
  </si>
  <si>
    <t xml:space="preserve"> formulaires anonymes</t>
  </si>
  <si>
    <t>Instaurer des canaux d’expression ouverts et accessibles</t>
  </si>
  <si>
    <t>Utilisation des retours d’expérience pour alimenter les plans d’amélioration continue du dispositif de sécurité</t>
  </si>
  <si>
    <t>Les retours d’expérience alimentent-ils les plans d’amélioration sécurité ?</t>
  </si>
  <si>
    <t>Revue post-incident</t>
  </si>
  <si>
    <t>Non-capitalisation des incidents passés</t>
  </si>
  <si>
    <t>Répétition des erreurs, vulnérabilités persistantes</t>
  </si>
  <si>
    <t>Intégrer les REX dans les réunions sécurité</t>
  </si>
  <si>
    <t xml:space="preserve"> plan d’action sécurité</t>
  </si>
  <si>
    <t>Documenter et archiver systématiquement les REX</t>
  </si>
  <si>
    <t>S’assurer qu’il existe une politique de sécurité formalisée avec 
une implication de la direction générale et une définition claire des 
responsabilités</t>
  </si>
  <si>
    <t>La politique de sécurité est validée et signée par la direction générale</t>
  </si>
  <si>
    <t>La politique de sécurité est-elle validée et signée par la direction générale ?</t>
  </si>
  <si>
    <t>Politique signée</t>
  </si>
  <si>
    <t>Absence de légitimité de la politique</t>
  </si>
  <si>
    <t>Non-application des règles ou contestation</t>
  </si>
  <si>
    <t>Communiquer largement cette validation aux équipes</t>
  </si>
  <si>
    <t>Faire signer la politique par un dirigeant de haut niveau</t>
  </si>
  <si>
    <t>Les responsabilités en matière de sécurité sont définies pour chaque niveau hiérarchique</t>
  </si>
  <si>
    <t>Les responsabilités en sécurité sont-elles définies pour chaque niveau hiérarchique ?</t>
  </si>
  <si>
    <t>Zones d’ombre dans l’organisation</t>
  </si>
  <si>
    <t>Réactions lentes ou erreurs dans la gestion des incidents</t>
  </si>
  <si>
    <t>Former chaque niveau hiérarchique à ses responsabilités SSI</t>
  </si>
  <si>
    <t>Définir une matrice RACI précise et diffusée</t>
  </si>
  <si>
    <t>Un responsable sécurité (RSSI ou équivalent) est officiellement désigné</t>
  </si>
  <si>
    <t>Un RSSI ou équivalent est-il officiellement désigné ?</t>
  </si>
  <si>
    <t>Lettre de nomination</t>
  </si>
  <si>
    <t>Absence de référent unique sécurité</t>
  </si>
  <si>
    <t>Gouvernance inefficace,  coordination faible</t>
  </si>
  <si>
    <t>Donner au RSSI une autorité transversale sur les projets SI</t>
  </si>
  <si>
    <t xml:space="preserve"> organigramme SSI</t>
  </si>
  <si>
    <t>Désigner formellement un RSSI dans l’organigramme</t>
  </si>
  <si>
    <t>Les rôles et responsabilités en sécurité sont intégrés dans les fiches de poste</t>
  </si>
  <si>
    <t>Les rôles sécurité sont-ils intégrés dans les fiches de poste ?</t>
  </si>
  <si>
    <t>Responsabilités implicites ou ignorées</t>
  </si>
  <si>
    <t>Oubli de la dimension sécurité dans les missions</t>
  </si>
  <si>
    <t>Former les RH à intégrer la SSI dans les profils</t>
  </si>
  <si>
    <t>Mettre à jour toutes les fiches de poste concernées</t>
  </si>
  <si>
    <t>Des réunions périodiques sont organisées entre la DSI et la direction pour le suivi de la sécurité</t>
  </si>
  <si>
    <t>Des réunions périodiques sont-elles organisées entre la DSI et la direction pour le suivi SSI ?</t>
  </si>
  <si>
    <t>Comptes-rendus de réunion</t>
  </si>
  <si>
    <t>Manque de coordination stratégique</t>
  </si>
  <si>
    <t>Décalage entre besoins métiers et actions SSI</t>
  </si>
  <si>
    <t>Prioriser la SSI dans les agendas de gouvernance</t>
  </si>
  <si>
    <t xml:space="preserve"> calendrier annuel</t>
  </si>
  <si>
    <t>Planifier des points trimestriels DSI-direction</t>
  </si>
  <si>
    <t>S’assurer que la communication se fait à tous les utilisateurs 
sous une forme pertinente, accessible et compréhensible au lecteur</t>
  </si>
  <si>
    <t>Un support de communication sur la politique est diffusé à l’ensemble des employés</t>
  </si>
  <si>
    <t>Un support de communication sur la politique est-il diffusé à tous les employés ?</t>
  </si>
  <si>
    <t>Livret de politique</t>
  </si>
  <si>
    <t>Incompréhension généralisée des règles</t>
  </si>
  <si>
    <t>Faible appropriation des exigences</t>
  </si>
  <si>
    <t>Diffuser via intranet,  newsletters,  réunions</t>
  </si>
  <si>
    <t xml:space="preserve"> email de diffusion</t>
  </si>
  <si>
    <t>Créer un livret ou support synthétique dédié</t>
  </si>
  <si>
    <t>Le contenu de la politique est rédigé de manière claire, sans jargon technique excessif</t>
  </si>
  <si>
    <t>Le contenu de la politique est-il rédigé de façon claire,  sans jargon technique ?</t>
  </si>
  <si>
    <t>Difficulté de compréhension</t>
  </si>
  <si>
    <t>Mauvaise interprétation ou rejet</t>
  </si>
  <si>
    <t>Relecture par un comité pluridisciplinaire</t>
  </si>
  <si>
    <t xml:space="preserve"> guide de lecture</t>
  </si>
  <si>
    <t>Ajouter un glossaire ou des exemples concrets</t>
  </si>
  <si>
    <t>Des sessions de présentation ou de sensibilisation sont organisées pour expliquer les règles</t>
  </si>
  <si>
    <t>Des sessions sont-elles organisées pour expliquer les règles de la politique ?</t>
  </si>
  <si>
    <t>Planning de sensibilisation</t>
  </si>
  <si>
    <t>Appropriation faible des règles</t>
  </si>
  <si>
    <t>Application incohérente ou sélective</t>
  </si>
  <si>
    <t>Intégrer ces sessions au plan de communication annuel</t>
  </si>
  <si>
    <t xml:space="preserve"> supports de présentation</t>
  </si>
  <si>
    <t>Organiser des webinaires ou réunions explicatives</t>
  </si>
  <si>
    <t>La politique est accessible sur les canaux internes (intranet,affichage, livret d’accueil)</t>
  </si>
  <si>
    <t>La politique est-elle accessible via l’intranet, affichage ou livret d’accueil ?</t>
  </si>
  <si>
    <t>livret, affiches</t>
  </si>
  <si>
    <t>Difficulté d’accès à la politique</t>
  </si>
  <si>
    <t>Inapplication faute de connaissance</t>
  </si>
  <si>
    <t>Intégrer la politique dans le kit d’onboarding</t>
  </si>
  <si>
    <t>Intranet</t>
  </si>
  <si>
    <t>Mettre en place des points d’accès physiques et numériques</t>
  </si>
  <si>
    <t>Un système permet de tracer la prise de connaissance de la politique par les utilisateurs</t>
  </si>
  <si>
    <t>Un système permet-il de tracer la prise de connaissance de la politique ?</t>
  </si>
  <si>
    <t>Outil RH</t>
  </si>
  <si>
    <t>Impossibilité de prouver l’adhésion</t>
  </si>
  <si>
    <t>Conflits RH ou juridiques en cas d’incident</t>
  </si>
  <si>
    <t>Automatiser les rappels aux retardataires</t>
  </si>
  <si>
    <t xml:space="preserve"> plateforme de formation</t>
  </si>
  <si>
    <t>Exiger une signature ou validation numérique</t>
  </si>
  <si>
    <t>S’assurer qu’une revue régulière de la politique est réalisée afin 
de vérifier son adéquation avec</t>
  </si>
  <si>
    <t>Une périodicité de révision de la politique est définie dans le document officiel</t>
  </si>
  <si>
    <t>Une périodicité de révision de la politique est-elle définie officiellement ?</t>
  </si>
  <si>
    <t>Politique non maintenue à jour</t>
  </si>
  <si>
    <t>Déconnexion entre mesures et réalités</t>
  </si>
  <si>
    <t>Prévoir des alertes à date anniversaire de révision</t>
  </si>
  <si>
    <t>Inscrire la périodicité dans l’introduction du document</t>
  </si>
  <si>
    <t>La dernière mise à jour de la politique date de moins de 12 mois</t>
  </si>
  <si>
    <t>La dernière mise à jour de la politique date-t-elle de moins de 12 mois ?</t>
  </si>
  <si>
    <t>Risques non couverts,  image affaiblie</t>
  </si>
  <si>
    <t>Associer cette révision à un processus de revue formel</t>
  </si>
  <si>
    <t xml:space="preserve"> date de dernière modification</t>
  </si>
  <si>
    <t>Mettre à jour au moins une fois par an</t>
  </si>
  <si>
    <t>Les mises à jour tiennent compte des évolutions réglementaires (ex. : RGPD) ou technologiques</t>
  </si>
  <si>
    <t>Les mises à jour de la politique de sécurité prennent-elles en compte les évolutions réglementaires et technologiques ?</t>
  </si>
  <si>
    <t>Dernière version de la politique de sécurité</t>
  </si>
  <si>
    <t>Sanctions financières ou juridiques</t>
  </si>
  <si>
    <t>Mettre en place une veille réglementaire structurée</t>
  </si>
  <si>
    <t xml:space="preserve"> veille réglementaire</t>
  </si>
  <si>
    <t>Associer un juriste aux mises à jour de la politique</t>
  </si>
  <si>
    <t>Un comité de révision incluant la DSI, la direction et des représentants métiers est actif</t>
  </si>
  <si>
    <t>Un comité de révision associant DSI, direction et représentants métiers est-il en place ?</t>
  </si>
  <si>
    <t>Charte du comité de révision</t>
  </si>
  <si>
    <t>Manque de coordination</t>
  </si>
  <si>
    <t>Décisions inadaptées ou incomplètes</t>
  </si>
  <si>
    <t>Planifier des réunions régulières avec compte rendu</t>
  </si>
  <si>
    <t>Formaliser le fonctionnement du comité</t>
  </si>
  <si>
    <t>Les modifications apportées à la politique sont documentées et communiquées</t>
  </si>
  <si>
    <t>Les modifications apportées à la politique de sécurité sont-elles documentées et communiquées ?</t>
  </si>
  <si>
    <t>Manque de traçabilité</t>
  </si>
  <si>
    <t>Incompréhension des changements</t>
  </si>
  <si>
    <t>Utiliser un système de gestion de versions</t>
  </si>
  <si>
    <t xml:space="preserve"> journal des modifications</t>
  </si>
  <si>
    <t>Informer systématiquement les équipes de chaque mise à jour</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</si>
  <si>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</si>
  <si>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Le périmètre de la politique couvre aussi les équipements périphériques (imprimantes, téléphones IP, etc.)</t>
  </si>
  <si>
    <t>Le périmètre de la politique inclut-il les équipements périphériques (imprimantes, téléphones IP,etc.)</t>
  </si>
  <si>
    <t>Oubli de périmètre</t>
  </si>
  <si>
    <t>Failles de sécurité non traitées</t>
  </si>
  <si>
    <t>Intégrer les équipements dans les contrôles de sécurité</t>
  </si>
  <si>
    <t xml:space="preserve"> inventaire des actifs</t>
  </si>
  <si>
    <t>Mettre à jour l’inventaire pour inclure les périphériques</t>
  </si>
  <si>
    <t>Les systèmes industriels, bâtiments,et autres équipements techniques sont inclus dans les annexes de la politique</t>
  </si>
  <si>
    <t>Les systèmes industriels, bâtiments et autres équipements techniques sont-ils inclus dans les annexes de la politique ?</t>
  </si>
  <si>
    <t>Annexes de la politique</t>
  </si>
  <si>
    <t>Zones non couvertes par la politique</t>
  </si>
  <si>
    <t>Exploitation des faiblesses techniques</t>
  </si>
  <si>
    <t>Associer les responsables techniques à la rédaction</t>
  </si>
  <si>
    <t xml:space="preserve"> documentation des systèmes techniques</t>
  </si>
  <si>
    <t>Ajouter des annexes spécifiques pour chaque domaine technique</t>
  </si>
  <si>
    <t>Les risques liés à ces dispositifs sont spécifiquement identifiés dans la cartographie des risques</t>
  </si>
  <si>
    <t>Les risques liés aux équipements non-IT sont-ils identifiés dans la cartographie des risques ?</t>
  </si>
  <si>
    <t>Risques non évalués</t>
  </si>
  <si>
    <t>Incapacité à anticiper ou répondre à un incident</t>
  </si>
  <si>
    <t>Mettre à jour la cartographie de manière périodique</t>
  </si>
  <si>
    <t xml:space="preserve"> fiche d’analyse de risques</t>
  </si>
  <si>
    <t>Réaliser une évaluation spécifique des risques liés aux équipements</t>
  </si>
  <si>
    <t>Des responsables techniques non-IT sont associés à la mise en œuvre de la politique</t>
  </si>
  <si>
    <t>Des responsables techniques non-IT sont-ils associés à la mise en œuvre de la politique ?</t>
  </si>
  <si>
    <t>Organigramme de sécurité</t>
  </si>
  <si>
    <t>Faible appropriation des exigences sécurité</t>
  </si>
  <si>
    <t>Application partielle des mesures</t>
  </si>
  <si>
    <t>Définir les rôles et responsabilités pour ces profils</t>
  </si>
  <si>
    <t xml:space="preserve"> comptes rendus de réunions</t>
  </si>
  <si>
    <t>Sensibiliser les équipes techniques non-IT</t>
  </si>
  <si>
    <t>Des contrôles sont effectués sur ces éléments pour s’assurer de leur conformité aux exigences de sécurité</t>
  </si>
  <si>
    <t>Des contrôles sont-ils effectués pour vérifier la conformité des équipements périphériques et techniques ?</t>
  </si>
  <si>
    <t>Incohérence entre politique et pratiques</t>
  </si>
  <si>
    <t>Détérioration du niveau global de sécurité</t>
  </si>
  <si>
    <t>Effectuer des audits ciblés régulièrement</t>
  </si>
  <si>
    <t xml:space="preserve"> check-lists de conformité</t>
  </si>
  <si>
    <t>Mettre en place un plan de contrôle dédié</t>
  </si>
  <si>
    <t>Vérifier que la politique de sécurité est intégrée dans les processus opérationnels et fait l’objet d’un suivi par des indicateurs mesurables</t>
  </si>
  <si>
    <t>Des indicateurs de suivi de la politique sont définis (taux de conformité, incidents, audits réalisés…)</t>
  </si>
  <si>
    <t>Des indicateurs de suivi de l’application de la politique sont-ils définis ?</t>
  </si>
  <si>
    <t>Tableau de bord sécurité</t>
  </si>
  <si>
    <t>Absence de pilotage</t>
  </si>
  <si>
    <t>Détection tardive des écarts</t>
  </si>
  <si>
    <t>Définir des KPI clairs et mesurables</t>
  </si>
  <si>
    <t>Automatiser la collecte et la visualisation des indicateurs</t>
  </si>
  <si>
    <t>Les audits internes évaluent la bonne application de la politique dans les processus métiers</t>
  </si>
  <si>
    <t>Les audits internes évaluent-ils l’application de la politique dans les processus métiers ?</t>
  </si>
  <si>
    <t>Faiblesse des contrôles internes</t>
  </si>
  <si>
    <t>Non-conformité prolongée</t>
  </si>
  <si>
    <t>Impliquer les responsables métiers dans les revues d’audit</t>
  </si>
  <si>
    <t>Intégrer des critères métiers dans les audits</t>
  </si>
  <si>
    <t>La politique de sécurité est citée dans les procédures opérationnelles critiques</t>
  </si>
  <si>
    <t>La politique de sécurité est-elle mentionnée dans les procédures opérationnelles critiques ?</t>
  </si>
  <si>
    <t>Procédures métiers</t>
  </si>
  <si>
    <t>Déconnexion entre sécurité et opérationnel</t>
  </si>
  <si>
    <t>Risques non maîtrisés en production</t>
  </si>
  <si>
    <t>Réviser les procédures critiques pour intégrer les exigences sécurité</t>
  </si>
  <si>
    <t xml:space="preserve"> référentiels internes</t>
  </si>
  <si>
    <t>Impliquer les opérationnels dans la mise à jour des documents</t>
  </si>
  <si>
    <t>Des plans d’actions correctifs sont établis suite aux écarts identifiés dans l’application de la politique</t>
  </si>
  <si>
    <t>Des plans d’actions correctifs sont-ils définis suite aux écarts identifiés ?</t>
  </si>
  <si>
    <t>Plan d’action sécurité</t>
  </si>
  <si>
    <t>Persistance des vulnérabilités</t>
  </si>
  <si>
    <t>Aggravation du risque</t>
  </si>
  <si>
    <t>Assurer un suivi régulier de la mise en œuvre des actions</t>
  </si>
  <si>
    <t xml:space="preserve"> registre des non-conformités</t>
  </si>
  <si>
    <t>Mettre à jour le plan d’action après chaque audit</t>
  </si>
  <si>
    <t>Un tableau de bord sécurité permet un reporting régulier à la direction</t>
  </si>
  <si>
    <t>Un tableau de bord sécurité est-il disponible pour la direction ?</t>
  </si>
  <si>
    <t>Manque de pilotage stratégique</t>
  </si>
  <si>
    <t>Faible implication de la direction</t>
  </si>
  <si>
    <t>Adapter le contenu aux attentes des décideurs</t>
  </si>
  <si>
    <t xml:space="preserve"> reporting mensuel sécurité</t>
  </si>
  <si>
    <t>Produire un reporting régulier orienté décisionnel</t>
  </si>
  <si>
    <t>Organisation de la sécurité</t>
  </si>
  <si>
    <t>S’assurer qu’il existe une structure dédiée à la gestion de la 
sécurité de l'information : un comité sécurité, un responsable de la 
sécurité du système d'information (RSSI) et des correspondants 
sécurité dans les unités</t>
  </si>
  <si>
    <t>Un comité de sécurité de l’information est officiellement constitué avec des réunions planifiées</t>
  </si>
  <si>
    <t>Un comité de sécurité de l’information fonctionne-t-il avec des réunions planifiées ?</t>
  </si>
  <si>
    <t>Absence de gouvernance dédiée</t>
  </si>
  <si>
    <t>Décisions de sécurité incohérentes</t>
  </si>
  <si>
    <t>Formaliser les comptes rendus et les décisions</t>
  </si>
  <si>
    <t xml:space="preserve"> calendrier des réunions</t>
  </si>
  <si>
    <t>Instituer un comité avec un calendrier fixe</t>
  </si>
  <si>
    <t>Un RSSI est désigné par une décision formelle de la direction</t>
  </si>
  <si>
    <t>Un RSSI est-il désigné par une décision formelle ?</t>
  </si>
  <si>
    <t>Absence de leadership sécurité</t>
  </si>
  <si>
    <t>Faible coordination des actions</t>
  </si>
  <si>
    <t>Clarifier ses prérogatives dans la politique</t>
  </si>
  <si>
    <t xml:space="preserve"> organigramme officiel</t>
  </si>
  <si>
    <t>Formaliser la désignation du RSSI</t>
  </si>
  <si>
    <t>Des correspondants sécurité sont identifiés dans les principales unités métiers</t>
  </si>
  <si>
    <t>Des correspondants sécurité sont-ils identifiés dans les principales unités métiers ?</t>
  </si>
  <si>
    <t>Liste des correspondants</t>
  </si>
  <si>
    <t>Faible relai local des politiques sécurité</t>
  </si>
  <si>
    <t>Incohérences dans l’application des mesures</t>
  </si>
  <si>
    <t>Former ces correspondants aux exigences essentielles</t>
  </si>
  <si>
    <t xml:space="preserve"> missions définies</t>
  </si>
  <si>
    <t>Désigner des référents dans chaque unité</t>
  </si>
  <si>
    <t>Le rôle et les responsabilités du comité, du RSSI et des correspondants sont documentés</t>
  </si>
  <si>
    <t>Le rôle du comité, du RSSI et des correspondants est-il documenté ?</t>
  </si>
  <si>
    <t>Ambiguïté des responsabilités</t>
  </si>
  <si>
    <t>Retard dans la mise en œuvre des actions</t>
  </si>
  <si>
    <t>Rédiger des fiches de fonction claires</t>
  </si>
  <si>
    <t xml:space="preserve"> charte de sécurité</t>
  </si>
  <si>
    <t>Partager ces documents avec l’ensemble des équipes</t>
  </si>
  <si>
    <t>Un compte rendu régulier d’activité sécurité est produit par ces structures et présenté à la direction</t>
  </si>
  <si>
    <t>Un reporting régulier des activités sécurité est-il présenté à la direction ?</t>
  </si>
  <si>
    <t>Rapport d’activité sécurité</t>
  </si>
  <si>
    <t>Manque de visibilité</t>
  </si>
  <si>
    <t>Absence de priorisation des actions</t>
  </si>
  <si>
    <t>Utiliser un format synthétique et visuel</t>
  </si>
  <si>
    <t xml:space="preserve"> synthèse semestrielle</t>
  </si>
  <si>
    <t>Planifier des points trimestriels avec la direction</t>
  </si>
  <si>
    <t>Vérifier qu’il y a une attribution claire des responsabilités</t>
  </si>
  <si>
    <t>La matrice des responsabilités (RACI) inclut la sécurité de l’information dans chaque domaine</t>
  </si>
  <si>
    <t>La matrice RACI intègre-t-elle la sécurité de l’information dans chaque domaine ?</t>
  </si>
  <si>
    <t>Matrice RACI</t>
  </si>
  <si>
    <t>Responsabilités floues</t>
  </si>
  <si>
    <t>Tâches critiques non assumées</t>
  </si>
  <si>
    <t>Valider la répartition des rôles avec les métiers</t>
  </si>
  <si>
    <t xml:space="preserve"> documentation projets</t>
  </si>
  <si>
    <t>Mettre à jour la matrice avec les dimensions sécurité</t>
  </si>
  <si>
    <t>Les responsabilités sont formalisées dans les fiches de poste des acteurs concernés</t>
  </si>
  <si>
    <t>Les responsabilités sécurité sont-elles formalisées dans les fiches de poste ?</t>
  </si>
  <si>
    <t>Non-exécution des obligations</t>
  </si>
  <si>
    <t>Sensibiliser les managers RH à cette exigence</t>
  </si>
  <si>
    <t>Intégrer systématiquement les missions sécurité</t>
  </si>
  <si>
    <t>Les délégations de responsabilité en matière de sécurité sont signées et disponibles</t>
  </si>
  <si>
    <t>Des délégations de responsabilité en sécurité sont-elles signées et disponibles ?</t>
  </si>
  <si>
    <t>Documents de délégation</t>
  </si>
  <si>
    <t>Inexistence de traçabilité formelle</t>
  </si>
  <si>
    <t>Flou juridique ou organisationnel</t>
  </si>
  <si>
    <t>Centraliser les documents dans un registre sécurisé</t>
  </si>
  <si>
    <t xml:space="preserve"> registre des responsabilités</t>
  </si>
  <si>
    <t>Formaliser les délégations par écrit</t>
  </si>
  <si>
    <t>Les actions de sécurité sont tracées avec mention des responsables</t>
  </si>
  <si>
    <t>Les actions de sécurité sont-elles tracées avec les responsables associés ?</t>
  </si>
  <si>
    <t>Registre des actions sécurité</t>
  </si>
  <si>
    <t>Manque de redevabilité</t>
  </si>
  <si>
    <t>Suivi difficile des progrès</t>
  </si>
  <si>
    <t>Associer un responsable à chaque action</t>
  </si>
  <si>
    <t xml:space="preserve"> outil de gestion des plans</t>
  </si>
  <si>
    <t>Suivre les échéances avec des alertes automatisées</t>
  </si>
  <si>
    <t>Des formations sont prévues pour les personnes ayant des responsabilités en sécurité</t>
  </si>
  <si>
    <t>Des formations sont-elles prévues pour les personnes ayant des responsabilités en sécurité ?</t>
  </si>
  <si>
    <t>Incompétence opérationnelle</t>
  </si>
  <si>
    <t>Erreurs ou mauvaises pratiques</t>
  </si>
  <si>
    <t>Renouveler régulièrement les sessions pour mise à jour</t>
  </si>
  <si>
    <t>Prévoir un socle de formation obligatoire</t>
  </si>
  <si>
    <t>S’assurer qu’un propriétaire est désigné, il est responsable de la 
mise en œuvre et du suivi des évolutions à apporter</t>
  </si>
  <si>
    <t>Chaque système d’information ou application a un propriétaire identifié</t>
  </si>
  <si>
    <t>Chaque système ou application a-t-il un propriétaire identifié ?</t>
  </si>
  <si>
    <t>Registre des SI</t>
  </si>
  <si>
    <t>Absence de responsable opérationnel</t>
  </si>
  <si>
    <t>SI non gérés ou vulnérables</t>
  </si>
  <si>
    <t>Attribuer un propriétaire à chaque système</t>
  </si>
  <si>
    <t xml:space="preserve"> documentation des propriétaires</t>
  </si>
  <si>
    <t>Intégrer cette exigence dans les projets dès la phase de conception</t>
  </si>
  <si>
    <t>Les responsabilités de ces propriétaires sont formalisées et connues des équipes</t>
  </si>
  <si>
    <t>Les responsabilités des propriétaires sont-elles formalisées et connues ?</t>
  </si>
  <si>
    <t>Ambiguïté dans la gestion du SI</t>
  </si>
  <si>
    <t>Répartition inefficace des tâches</t>
  </si>
  <si>
    <t>Sensibiliser les équipes à leur rôle et à leur portée</t>
  </si>
  <si>
    <t xml:space="preserve"> charte de gouvernance</t>
  </si>
  <si>
    <t>Documenter clairement les responsabilités</t>
  </si>
  <si>
    <t>Les propriétaires sont impliqués dans les comités d’évolution et de sécurité</t>
  </si>
  <si>
    <t>Les propriétaires sont-ils impliqués dans les comités d’évolution et de sécurité ?</t>
  </si>
  <si>
    <t>Invitations aux comités</t>
  </si>
  <si>
    <t>Décisions sans expertise fonctionnelle</t>
  </si>
  <si>
    <t>Inadéquation entre besoins métiers et sécurité</t>
  </si>
  <si>
    <t>Encourager leur participation active aux échanges</t>
  </si>
  <si>
    <t xml:space="preserve"> comptes rendus</t>
  </si>
  <si>
    <t>Intégrer les propriétaires dans les circuits décisionnels</t>
  </si>
  <si>
    <t>Des comptes rendus de suivi d’évolution sont rédigés et archivés</t>
  </si>
  <si>
    <t>Des comptes rendus de suivi d’évolution sont-ils rédigés et archivés ?</t>
  </si>
  <si>
    <t>Comptes rendus d’évolution</t>
  </si>
  <si>
    <t>Absence de traçabilité des évolutions</t>
  </si>
  <si>
    <t>Perte de contrôle sur l’historique des changements</t>
  </si>
  <si>
    <t>Mettre en place un modèle de compte rendu formel</t>
  </si>
  <si>
    <t xml:space="preserve"> procès-verbaux de réunions</t>
  </si>
  <si>
    <t>Archiver systématiquement les comptes rendus dans un référentiel</t>
  </si>
  <si>
    <t>Les propriétaires reçoivent des alertes ou rapports liés à la sécurité de leurs systèmes</t>
  </si>
  <si>
    <t>Les propriétaires reçoivent-ils des alertes ou rapports liés à la sécurité de leurs systèmes ?</t>
  </si>
  <si>
    <t>Alertes de sécurité</t>
  </si>
  <si>
    <t>Retard dans la réaction face aux incidents</t>
  </si>
  <si>
    <t>Augmentation du temps d’exposition aux menaces</t>
  </si>
  <si>
    <t>Mettre en place une procédure de traitement des alertes</t>
  </si>
  <si>
    <t xml:space="preserve"> rapports périodiques</t>
  </si>
  <si>
    <t>Automatiser la transmission des alertes aux propriétaires</t>
  </si>
  <si>
    <t>S’assurer qu’il existe des procédures d'autorisation de nouveaux 
matériels ou logiciels</t>
  </si>
  <si>
    <t>Une procédure formalisée encadre l’introduction de nouveaux matériels et logiciels</t>
  </si>
  <si>
    <t>Une procédure formalisée encadre-t-elle l’introduction de nouveaux matériels et logiciels ?</t>
  </si>
  <si>
    <t>Procédure d’intégration</t>
  </si>
  <si>
    <t>Introduction de composants non conformes</t>
  </si>
  <si>
    <t>Risque d’incompatibilité ou de faille de sécurité</t>
  </si>
  <si>
    <t>Former les équipes aux étapes obligatoires d’introduction</t>
  </si>
  <si>
    <t xml:space="preserve"> fiches de validation</t>
  </si>
  <si>
    <t>Rédiger une procédure détaillée de validation préalable</t>
  </si>
  <si>
    <t>Les demandes sont validées par la DSI et par la cellule sécurité avant déploiement</t>
  </si>
  <si>
    <t>Les demandes sont-elles validées par la DSI et la cellule sécurité avant déploiement ?</t>
  </si>
  <si>
    <t>Fiches de validation</t>
  </si>
  <si>
    <t>Contournement des contrôles de sécurité</t>
  </si>
  <si>
    <t>Déploiement de solutions non conformes</t>
  </si>
  <si>
    <t>Utiliser un outil de workflow assurant les signatures requises</t>
  </si>
  <si>
    <t xml:space="preserve"> signatures de validation</t>
  </si>
  <si>
    <t>Intégrer une double validation dans le circuit de validation</t>
  </si>
  <si>
    <t>Les critères de conformité sécurité sont inclus dans les étapes d’homologation</t>
  </si>
  <si>
    <t>Les critères de conformité sécurité sont-ils inclus dans les étapes d’homologation ?</t>
  </si>
  <si>
    <t>Dossier d’homologation</t>
  </si>
  <si>
    <t>Oubli des exigences de sécurité dans l’analyse</t>
  </si>
  <si>
    <t>Mise en production de systèmes vulnérables</t>
  </si>
  <si>
    <t>Intégrer des exigences sécurité dès la phase de conception</t>
  </si>
  <si>
    <t xml:space="preserve"> grille de conformité</t>
  </si>
  <si>
    <t>Vérifier la présence des critères sécurité dans chaque livrable</t>
  </si>
  <si>
    <t>Les documents d’autorisation sont archivés dans un outil de suivi</t>
  </si>
  <si>
    <t>Les documents d’autorisation sont-ils archivés dans un outil de suivi ?</t>
  </si>
  <si>
    <t>Registre d’autorisations</t>
  </si>
  <si>
    <t>Absence de preuve d’autorisation</t>
  </si>
  <si>
    <t>Difficulté à démontrer la conformité lors d’un audit</t>
  </si>
  <si>
    <t>Exiger l’archivage numérique systématique des documents</t>
  </si>
  <si>
    <t xml:space="preserve"> outil de gestion documentaire</t>
  </si>
  <si>
    <t>Centraliser les autorisations dans un outil structuré</t>
  </si>
  <si>
    <t>Un registre des matériels et logiciels autorisés est maintenu à jour</t>
  </si>
  <si>
    <t>Un registre des matériels et logiciels autorisés est-il maintenu à jour ?</t>
  </si>
  <si>
    <t>Registre des actifs</t>
  </si>
  <si>
    <t>Présence de composants non référencés</t>
  </si>
  <si>
    <t>Failles de sécurité dues à un inventaire obsolète</t>
  </si>
  <si>
    <t>Réaliser des revues trimestrielles du registre</t>
  </si>
  <si>
    <t xml:space="preserve"> base de données CMDB</t>
  </si>
  <si>
    <t>Mettre en place un inventaire automatisé et synchronisé</t>
  </si>
  <si>
    <t>S’assurer qu’il existe des procédures applicables à l'accès aux 
informations de l'organisation par des tiers</t>
  </si>
  <si>
    <t>Une procédure spécifique encadre les accès aux systèmes d’information par des prestataires</t>
  </si>
  <si>
    <t>Une procédure spécifique encadre-t-elle les accès aux SI par des prestataires ?</t>
  </si>
  <si>
    <t>Procédure d’accès prestataire</t>
  </si>
  <si>
    <t>Accès non contrôlé aux systèmes sensibles</t>
  </si>
  <si>
    <t>Compromission de données par des tiers</t>
  </si>
  <si>
    <t>Limiter la durée et l’étendue des accès selon le besoin</t>
  </si>
  <si>
    <t xml:space="preserve"> convention de sécurité</t>
  </si>
  <si>
    <t>Formaliser une procédure d’habilitation spécifique prestataire</t>
  </si>
  <si>
    <t>Les clauses contractuelles incluent les obligations de confidentialité et de sécurité</t>
  </si>
  <si>
    <t>Les clauses contractuelles incluent-elles des obligations de confidentialité et de sécurité ?</t>
  </si>
  <si>
    <t>Contrats de prestation</t>
  </si>
  <si>
    <t>Failles contractuelles en cas d’incident</t>
  </si>
  <si>
    <t>Impossibilité de recours ou sanctions juridiques limitées</t>
  </si>
  <si>
    <t>Inclure des clauses types dans tous les contrats IT</t>
  </si>
  <si>
    <t xml:space="preserve"> annexes sécurité</t>
  </si>
  <si>
    <t>Impliquer la direction juridique dans la relecture des clauses</t>
  </si>
  <si>
    <t>Les tiers sont soumis à des autorisations formelles et contrôles d’accès temporaires</t>
  </si>
  <si>
    <t>Les tiers sont-ils soumis à des autorisations formelles et contrôles d’accès temporaires ?</t>
  </si>
  <si>
    <t>Fiches d’habilitation</t>
  </si>
  <si>
    <t>Accès abusif ou non révoqué après mission</t>
  </si>
  <si>
    <t>Fuite ou perte de données sensibles</t>
  </si>
  <si>
    <t>Exiger une validation hiérarchique des accès temporaires</t>
  </si>
  <si>
    <t xml:space="preserve"> journal des accès</t>
  </si>
  <si>
    <t>Mettre en place des contrôles d’expiration automatique des accès</t>
  </si>
  <si>
    <t>Des audits ou vérifications ponctuelles sont réalisés sur les accès tiers</t>
  </si>
  <si>
    <t>Des audits ou vérifications ponctuelles sont-ils réalisés sur les accès tiers ?</t>
  </si>
  <si>
    <t>Rapports d’audit tiers</t>
  </si>
  <si>
    <t>Manque de visibilité sur les actions des prestataires</t>
  </si>
  <si>
    <t>Détection tardive d’abus ou d’anomalies</t>
  </si>
  <si>
    <t>Planifier des vérifications aléatoires trimestrielles</t>
  </si>
  <si>
    <t xml:space="preserve"> registre des contrôles</t>
  </si>
  <si>
    <t>Documenter les résultats et suivre les non-conformités</t>
  </si>
  <si>
    <t>Un registre des accès externes est maintenu et régulièrement révisé</t>
  </si>
  <si>
    <t>Un registre des accès externes est-il maintenu et révisé régulièrement ?</t>
  </si>
  <si>
    <t>Journal d’accès externe</t>
  </si>
  <si>
    <t>Impossibilité de retracer les accès non autorisés</t>
  </si>
  <si>
    <t>Détection tardive d’intrusions</t>
  </si>
  <si>
    <t>Maintenir un journal centralisé des connexions externes</t>
  </si>
  <si>
    <t xml:space="preserve"> rapport de révision</t>
  </si>
  <si>
    <t>Auditer ce journal tous les mois avec alerte en cas d’anomalie</t>
  </si>
  <si>
    <t>S’assurer que des modalités de protection de l'information 
confiée à des sous-traitants existent</t>
  </si>
  <si>
    <t>Les contrats avec les sous-traitants incluent des clauses de protection des données et de sécurité</t>
  </si>
  <si>
    <t>Les contrats avec les sous-traitants incluent-ils des clauses de protection des données et de sécurité ?</t>
  </si>
  <si>
    <t>Contrats</t>
  </si>
  <si>
    <t>Inadéquation avec les exigences réglementaires</t>
  </si>
  <si>
    <t>Responsabilité partagée en cas de violation de données</t>
  </si>
  <si>
    <t>Intégrer les exigences RGPD dans les contrats</t>
  </si>
  <si>
    <t xml:space="preserve"> annexes de sécurité</t>
  </si>
  <si>
    <t>Faire valider les clauses par le DPO ou le RSSI</t>
  </si>
  <si>
    <t>Des annexes de sécurité ou chartes sont signées par les sous-traitants</t>
  </si>
  <si>
    <t>Des annexes de sécurité ou chartes sont-elles signées par les sous-traitants ?</t>
  </si>
  <si>
    <t>Chartes de sécurité</t>
  </si>
  <si>
    <t>Non-adhésion des tiers aux politiques internes</t>
  </si>
  <si>
    <t>Difficulté d’imposer des règles en cas d’incident</t>
  </si>
  <si>
    <t>Conserver les chartes signées dans le dossier contractuel</t>
  </si>
  <si>
    <t>Exiger la signature des chartes avant démarrage</t>
  </si>
  <si>
    <t>Des audits de conformité ou revues de sécurité sont menés chez les sous-traitants</t>
  </si>
  <si>
    <t>Des audits de conformité ou revues de sécurité sont-ils menés chez les sous-traitants ?</t>
  </si>
  <si>
    <t>Inconformité des pratiques tierces</t>
  </si>
  <si>
    <t>Impact direct sur la sécurité interne</t>
  </si>
  <si>
    <t>Prévoir un audit annuel sur site ou à distance</t>
  </si>
  <si>
    <t xml:space="preserve"> plan d’action sous-traitant</t>
  </si>
  <si>
    <t>Exiger des actions correctrices avec preuve de réalisation</t>
  </si>
  <si>
    <t>Les moyens techniques de protection (VPN, chiffrement, etc.) sont imposés contractuellement</t>
  </si>
  <si>
    <t>Les moyens techniques de protection (VPN,chiffrement,etc.) sont-ils imposés contractuellement ?</t>
  </si>
  <si>
    <t>Clauses contractuelles techniques</t>
  </si>
  <si>
    <t>Accès non sécurisé aux ressources SI</t>
  </si>
  <si>
    <t>Risques d’interception ou compromission de données</t>
  </si>
  <si>
    <t>Imposer l’usage de solutions sécurisées dans les contrats</t>
  </si>
  <si>
    <t xml:space="preserve"> cahier des charges</t>
  </si>
  <si>
    <t>Vérifier techniquement la mise en œuvre de ces exigences</t>
  </si>
  <si>
    <t>Les sous-traitants sont sensibilisés ou formés à la politique de sécurité de l’organisation</t>
  </si>
  <si>
    <t>Les sous-traitants sont-ils sensibilisés ou formés à la politique de sécurité de l’organisation ?</t>
  </si>
  <si>
    <t>Registres de formation</t>
  </si>
  <si>
    <t>Méconnaissance des règles de sécurité interne</t>
  </si>
  <si>
    <t>Comportements à risque ou actions non conformes</t>
  </si>
  <si>
    <t>Intégrer une session sécurité dans chaque contrat prestataire</t>
  </si>
  <si>
    <t>Organiser des sessions régulières de rappel</t>
  </si>
  <si>
    <t>Vérifier qu'il existe des modalités de réaction aux incidents de 
sécurité et aux défauts de fonctionnement</t>
  </si>
  <si>
    <t>Une procédure d’escalade des incidents de sécurité est rédigée et diffusée</t>
  </si>
  <si>
    <t>Une procédure d’escalade des incidents de sécurité est-elle rédigée et diffusée ?</t>
  </si>
  <si>
    <t>Procédure d’escalade</t>
  </si>
  <si>
    <t>Retard dans le traitement des incidents</t>
  </si>
  <si>
    <t>Aggravation des impacts d’une crise</t>
  </si>
  <si>
    <t>Former les équipes à l’utilisation de cette procédure</t>
  </si>
  <si>
    <t xml:space="preserve"> organigramme de contact</t>
  </si>
  <si>
    <t>Rédiger un protocole clair d’escalade en cas d’incident</t>
  </si>
  <si>
    <t>Un dispositif de détection et d’alerte est opérationnel (SIEM, logs, supervision)</t>
  </si>
  <si>
    <t>Un dispositif de détection et d’alerte est-il opérationnel (SIEM, logs, supervision) ?</t>
  </si>
  <si>
    <t>Architecture SIEM</t>
  </si>
  <si>
    <t>Incapacité à détecter les attaques en temps réel</t>
  </si>
  <si>
    <t>Perte ou vol de données sans réaction immédiate</t>
  </si>
  <si>
    <t>Déployer un outil SIEM adapté à l’environnement SI</t>
  </si>
  <si>
    <t xml:space="preserve"> rapport de supervision</t>
  </si>
  <si>
    <t>Assurer un suivi 24/7 avec alertes en temps réel</t>
  </si>
  <si>
    <t>Une cellule de gestion de crise ou un CSIRT est identifié</t>
  </si>
  <si>
    <t>Une cellule de gestion de crise ou un CSIRT est-il identifié ?</t>
  </si>
  <si>
    <t>Coordination insuffisante en situation de crise</t>
  </si>
  <si>
    <t>Réponse inefficace aux incidents majeurs</t>
  </si>
  <si>
    <t>Définir les responsabilités et procédures associées</t>
  </si>
  <si>
    <t xml:space="preserve"> organigramme CSIRT</t>
  </si>
  <si>
    <t>Mettre en place une cellule dédiée avec moyens opérationnels</t>
  </si>
  <si>
    <t>Les incidents de sécurité font l’objet de comptes rendus et d’analyses post-incident</t>
  </si>
  <si>
    <t>Les incidents de sécurité font-ils l’objet de comptes rendus et d’analyses post-incident ?</t>
  </si>
  <si>
    <t>Rapports post-incident</t>
  </si>
  <si>
    <t>Absence d’amélioration des mesures de sécurité</t>
  </si>
  <si>
    <t>Réaliser systématiquement une analyse de chaque incident</t>
  </si>
  <si>
    <t xml:space="preserve"> plan d’action</t>
  </si>
  <si>
    <t>Diffuser les enseignements aux équipes concernées</t>
  </si>
  <si>
    <t>Des tests ou exercices de gestion de crise sont réalisés régulièrement</t>
  </si>
  <si>
    <t>Des tests ou exercices de gestion de crise sont-ils réalisés régulièrement ?</t>
  </si>
  <si>
    <t xml:space="preserve"> compte rendu d’exercice</t>
  </si>
  <si>
    <t>Dispositif de crise non fonctionnel en cas réel</t>
  </si>
  <si>
    <t>Débordement organisationnel en situation critique</t>
  </si>
  <si>
    <t>Organiser des simulations annuelles avec tous les acteurs</t>
  </si>
  <si>
    <t>Plan de test</t>
  </si>
  <si>
    <t>Mettre à jour les procédures à l’issue des tests</t>
  </si>
  <si>
    <t>S’assure qu’il existe une revue régulière de la sécurité par des 
audits aussi bien internes qu'externes</t>
  </si>
  <si>
    <t>Un plan d’audit sécurité annuel est défini et validé par la direction</t>
  </si>
  <si>
    <t>Un plan d’audit sécurité annuel est-il défini et validé par la direction ?</t>
  </si>
  <si>
    <t>Contrôles de sécurité incohérents ou incomplets</t>
  </si>
  <si>
    <t>Absence de pilotage global de la sécurité</t>
  </si>
  <si>
    <t>Élaborer un plan aligné avec la stratégie SI</t>
  </si>
  <si>
    <t>Valider et diffuser ce plan auprès des responsables concernés</t>
  </si>
  <si>
    <t>Des audits internes sont réalisés par une entité indépendante de la DSI</t>
  </si>
  <si>
    <t>Des audits internes sont-ils réalisés par une entité indépendante de la DSI ?</t>
  </si>
  <si>
    <t>Manque d’impartialité dans les constats</t>
  </si>
  <si>
    <t>Maintien de vulnérabilités non révélées</t>
  </si>
  <si>
    <t>Garantir un rythme annuel et une revue externe périodique</t>
  </si>
  <si>
    <t xml:space="preserve"> charte d’audit interne</t>
  </si>
  <si>
    <t>Confier les audits à une fonction indépendante</t>
  </si>
  <si>
    <t>Des audits externes sont commandés périodiquement (conformité ISO 27001, RGPD…)</t>
  </si>
  <si>
    <t>Des audits externes sont-ils commandés périodiquement (conformité ISO 27001 RGPD…) ?</t>
  </si>
  <si>
    <t>Contrats d’audit</t>
  </si>
  <si>
    <t>Sanctions financières ou réputationnelles</t>
  </si>
  <si>
    <t>Planifier un audit externe au moins tous les 2 ans</t>
  </si>
  <si>
    <t>Choisir des auditeurs certifiés et reconnus</t>
  </si>
  <si>
    <t>Les résultats des audits sont formalisés dans des rapports et plans d’action</t>
  </si>
  <si>
    <t>Les résultats des audits sont-ils formalisés dans des rapports et plans d’action ?</t>
  </si>
  <si>
    <t xml:space="preserve"> Rapport d’audit,plan d’action</t>
  </si>
  <si>
    <t>Non-suivi des écarts identifiés</t>
  </si>
  <si>
    <t>Maintien de failles connues dans le SI</t>
  </si>
  <si>
    <t>Documenter formellement chaque recommandation</t>
  </si>
  <si>
    <t xml:space="preserve"> tableau de suivi</t>
  </si>
  <si>
    <t>Suivre l’implémentation avec des jalons clairs</t>
  </si>
  <si>
    <t>Le taux de réalisation des plans correctifs est suivi par indicateur</t>
  </si>
  <si>
    <t>Le taux de réalisation des plans correctifs est-il suivi par des indicateurs formalisés ?</t>
  </si>
  <si>
    <t>Suivi inefficace des remédiations</t>
  </si>
  <si>
    <t>Persistance des vulnérabilités dans le système</t>
  </si>
  <si>
    <t>Mettre en place un tableau de bord des plans correctifs</t>
  </si>
  <si>
    <t xml:space="preserve"> tableau de bord de suivi des actions</t>
  </si>
  <si>
    <t>Réaliser des revues périodiques des plans d’action</t>
  </si>
  <si>
    <t>Classification et contrôle des actifs</t>
  </si>
  <si>
    <t>Vérifier que les actifs sont inventoriés et hiérarchisés par valeur 
pour l'organisation</t>
  </si>
  <si>
    <t>L’organisation tient à jour un inventaire complet des actifs physiques, logiciels, informationnels et humains</t>
  </si>
  <si>
    <t>L’organisation dispose-t-elle d’un inventaire complet des actifs (physiques, logiciels,  informationnels, humains) ?</t>
  </si>
  <si>
    <t>Inventaire des actifs</t>
  </si>
  <si>
    <t>Oubli d’actifs critiques dans la gestion de sécurité</t>
  </si>
  <si>
    <t>Failles non détectées ou non maîtrisées</t>
  </si>
  <si>
    <t>Mettre à jour régulièrement la CMDB</t>
  </si>
  <si>
    <t xml:space="preserve"> CMDB</t>
  </si>
  <si>
    <t>Intégrer tous les types d’actifs dans l’inventaire</t>
  </si>
  <si>
    <t>Les actifs sont évalués selon leur contribution aux processus métiers et à la continuité de service</t>
  </si>
  <si>
    <t>Les actifs sont-ils évalués en fonction de leur contribution aux processus métiers et à la continuité de service ?</t>
  </si>
  <si>
    <t>Évaluation inadéquate des impacts</t>
  </si>
  <si>
    <t>Mauvaise priorisation des investissements sécurité</t>
  </si>
  <si>
    <t>Associer chaque actif à un processus métier</t>
  </si>
  <si>
    <t xml:space="preserve"> matrice actif/processus</t>
  </si>
  <si>
    <t>Impliquer les métiers dans l’évaluation des actifs</t>
  </si>
  <si>
    <t>Des critères de hiérarchisation des actifs sont formellement définis et appliqués</t>
  </si>
  <si>
    <t>Des critères de hiérarchisation des actifs sont-ils définis et appliqués ?</t>
  </si>
  <si>
    <t>Politique de gestion des actifs</t>
  </si>
  <si>
    <t>Absence de priorisation des risques</t>
  </si>
  <si>
    <t>Actions de sécurité mal ciblées ou inefficaces</t>
  </si>
  <si>
    <t>Appliquer la hiérarchisation à l’ensemble des actifs</t>
  </si>
  <si>
    <t xml:space="preserve"> grille de criticité</t>
  </si>
  <si>
    <t>Définir des critères de criticité clairs</t>
  </si>
  <si>
    <t>La hiérarchisation des actifs permet de prioriser les investissements en sécurité et les actions correctives</t>
  </si>
  <si>
    <t>La hiérarchisation permet-elle de prioriser les investissements et actions de sécurité ?</t>
  </si>
  <si>
    <t>Plan d’investissement sécurité</t>
  </si>
  <si>
    <t>Investissements mal orientés</t>
  </si>
  <si>
    <t>Perte de ressources ou inefficacité opérationnelle</t>
  </si>
  <si>
    <t>Relier les budgets aux niveaux de criticité</t>
  </si>
  <si>
    <t xml:space="preserve"> priorisation des actions</t>
  </si>
  <si>
    <t>Réviser les priorités en fonction de l’évolution des risques</t>
  </si>
  <si>
    <t>Les informations relatives à la valeur des actifs sont accessibles aux décideurs pour la gestion des risques</t>
  </si>
  <si>
    <t>Les informations sur la valeur des actifs sont-elles accessibles aux décideurs pour la gestion des risques ?</t>
  </si>
  <si>
    <t>Fiches d’évaluation des actifs</t>
  </si>
  <si>
    <t>Décisions basées sur des données incomplètes</t>
  </si>
  <si>
    <t>Risques mal évalués ou ignorés</t>
  </si>
  <si>
    <t>Sensibiliser les décideurs à l’utilisation de ces données</t>
  </si>
  <si>
    <t xml:space="preserve"> rapports de valorisation</t>
  </si>
  <si>
    <t>Intégrer la valorisation des actifs dans les outils de pilotage</t>
  </si>
  <si>
    <t>Vérifier que pour tout actif important, un propriétaire est 
désigné et informé de ses responsabilités</t>
  </si>
  <si>
    <t>Chaque actif critique dispose d’un responsable désigné clairement dans les référentiels internes</t>
  </si>
  <si>
    <t>Chaque actif critique a-t-il un responsable désigné dans les référentiels ?</t>
  </si>
  <si>
    <t>Registre des responsabilités</t>
  </si>
  <si>
    <t>Actifs sans responsable dédié</t>
  </si>
  <si>
    <t>Manque de supervision ou d’actions correctives</t>
  </si>
  <si>
    <t>Mettre à jour régulièrement les référentiels</t>
  </si>
  <si>
    <t xml:space="preserve"> fiches de rôle</t>
  </si>
  <si>
    <t>Désigner un responsable pour chaque actif critique</t>
  </si>
  <si>
    <t>Les responsabilités du propriétaire sont formalisées dans un document officiel ou une fiche de rôle</t>
  </si>
  <si>
    <t>Les responsabilités du propriétaire sont-elles formalisées ?</t>
  </si>
  <si>
    <t xml:space="preserve"> charte de responsabilité</t>
  </si>
  <si>
    <t>Ambiguïté dans les responsabilités</t>
  </si>
  <si>
    <t>Oubli ou négligence des tâches critiques</t>
  </si>
  <si>
    <t>Rédiger des fiches de rôle normalisées</t>
  </si>
  <si>
    <t>Fiche de rôle</t>
  </si>
  <si>
    <t>Faire valider les responsabilités par les parties prenantes</t>
  </si>
  <si>
    <t>Le propriétaire de l’actif est informé de ses obligations en matière de sécurité, maintenance et conformité</t>
  </si>
  <si>
    <t>Le propriétaire de l’actif est-il informé de ses obligations ?</t>
  </si>
  <si>
    <t>Courrier d’affectation</t>
  </si>
  <si>
    <t>Non-conformité par méconnaissance</t>
  </si>
  <si>
    <t>Défaillance dans la sécurité ou la maintenance</t>
  </si>
  <si>
    <t>Communiquer systématiquement les responsabilités</t>
  </si>
  <si>
    <t>Organiser des réunions d’explication avec les responsables</t>
  </si>
  <si>
    <t>Des formations ou communications ciblées sont assurées pour les propriétaires d’actifs</t>
  </si>
  <si>
    <t>Des formations ou communications sont-elles assurées pour les propriétaires d’actifs ?</t>
  </si>
  <si>
    <t>Incompréhension des obligations</t>
  </si>
  <si>
    <t>Gestion inefficace ou non conforme des actifs</t>
  </si>
  <si>
    <t>Suivre la participation et la compréhension des responsables</t>
  </si>
  <si>
    <t xml:space="preserve"> relevé de participation</t>
  </si>
  <si>
    <t>Prévoir des sessions annuelles dédiées</t>
  </si>
  <si>
    <t>Des contrôles internes sont effectués pour vérifier la connaissance des responsabilités par les propriétaires</t>
  </si>
  <si>
    <t>Des contrôles internes vérifient-ils la connaissance des responsabilités ?</t>
  </si>
  <si>
    <t>Rapports de contrôle</t>
  </si>
  <si>
    <t>Absence de contrôle de l’appropriation des rôles</t>
  </si>
  <si>
    <t>Failles non corrigées dans la gestion des actifs</t>
  </si>
  <si>
    <t>Intégrer ce contrôle dans les audits internes</t>
  </si>
  <si>
    <t xml:space="preserve"> grilles d’audit</t>
  </si>
  <si>
    <t>Réaliser des entretiens aléatoires avec les responsables</t>
  </si>
  <si>
    <t>Vérifier qu'il existe un système de classification qui définit un 
ensemble approprié de niveaux de protection</t>
  </si>
  <si>
    <t>Une politique de classification des actifs est formalisée et validée par la direction sécurité</t>
  </si>
  <si>
    <t>Une politique de classification des actifs est-elle formalisée et validée ?</t>
  </si>
  <si>
    <t>Politique de classification</t>
  </si>
  <si>
    <t>Gestion désorganisée de la sensibilité des données</t>
  </si>
  <si>
    <t>Manque de mesures de protection adaptées</t>
  </si>
  <si>
    <t>Faire valider cette politique par la direction sécurité</t>
  </si>
  <si>
    <t>Rédiger une politique claire et complète</t>
  </si>
  <si>
    <t>Des niveaux de classification clairs sont définis en fonction de la sensibilité et de l’usage des actifs</t>
  </si>
  <si>
    <t>Des niveaux de classification clairs sont-ils définis ?</t>
  </si>
  <si>
    <t>Grille de classification</t>
  </si>
  <si>
    <t>Confusion dans l’application des règles de sécurité</t>
  </si>
  <si>
    <t>Mauvaise protection des données sensibles</t>
  </si>
  <si>
    <t>Définir des niveaux clairs (ex : public, interne,confidentiel</t>
  </si>
  <si>
    <t xml:space="preserve"> documentation des niveaux</t>
  </si>
  <si>
    <t>Diffuser la grille à tous les utilisateurs concernés</t>
  </si>
  <si>
    <t>Des règles d’accès, de stockage, de transfert et de destruction sont associées à chaque niveau de classification</t>
  </si>
  <si>
    <t>Des règles sont-elles associées à chaque niveau de classification ?</t>
  </si>
  <si>
    <t>Application incohérente des mesures de sécurité</t>
  </si>
  <si>
    <t>Risques de fuites ou pertes de données</t>
  </si>
  <si>
    <t>Mettre en œuvre des contrôles automatisés</t>
  </si>
  <si>
    <t xml:space="preserve"> procédure de destruction</t>
  </si>
  <si>
    <t>Associer des règles strictes à chaque niveau</t>
  </si>
  <si>
    <t>La classification est systématiquement appliquée à tous les types d’actifs du système d’information</t>
  </si>
  <si>
    <t>La classification est-elle appliquée à tous les types d’actifs ?</t>
  </si>
  <si>
    <t>Inventaire classifié</t>
  </si>
  <si>
    <t>Zones d’ombre dans la gestion des actifs</t>
  </si>
  <si>
    <t>Actifs critiques non protégés à leur juste niveau</t>
  </si>
  <si>
    <t>Étendre la classification à tous les actifs</t>
  </si>
  <si>
    <t xml:space="preserve"> procédure de classification</t>
  </si>
  <si>
    <t>Vérifier son application à chaque acquisition ou mise en service</t>
  </si>
  <si>
    <t>La politique de classification est diffusée et expliquée aux utilisateurs concernés</t>
  </si>
  <si>
    <t>La politique de classification est-elle diffusée et expliquée ?</t>
  </si>
  <si>
    <t>Support de communication</t>
  </si>
  <si>
    <t>Manque d’adhésion ou d’application</t>
  </si>
  <si>
    <t>Mise en œuvre partielle ou inefficace des mesures</t>
  </si>
  <si>
    <t xml:space="preserve"> preuve de diffusion</t>
  </si>
  <si>
    <t>Rendre la politique accessible et compréhensible</t>
  </si>
  <si>
    <t>Vérifier que chaque actif a fait l'objet d'une étude visant à 
déterminer son niveau de classification</t>
  </si>
  <si>
    <t>Des procédures sont en place pour évaluer et classifier les actifs lors de leur acquisition ou création</t>
  </si>
  <si>
    <t>Des procédures sont-elles en place pour classifier les nouveaux actifs ?</t>
  </si>
  <si>
    <t>Procédure de classification</t>
  </si>
  <si>
    <t>Intégration non conforme dans la sécurité globale</t>
  </si>
  <si>
    <t>Risques d’incidents dès l’introduction d’un actif</t>
  </si>
  <si>
    <t>Vérifier systématiquement la classification en amont</t>
  </si>
  <si>
    <t xml:space="preserve"> registre des entrées</t>
  </si>
  <si>
    <t>Intégrer la classification dans le processus d’achat</t>
  </si>
  <si>
    <t>La classification des actifs repose sur des critères métiers, juridiques et techniques clairement établis</t>
  </si>
  <si>
    <t>Les critères de classification sont-ils définis selon des critères métiers,  juridiques et techniques ?</t>
  </si>
  <si>
    <t>Matrice des critères</t>
  </si>
  <si>
    <t>Classification non adaptée aux enjeux</t>
  </si>
  <si>
    <t>Mauvaise protection ou conformité partielle</t>
  </si>
  <si>
    <t>Impliquer DSI, juridique et métiers dans la classification</t>
  </si>
  <si>
    <t xml:space="preserve"> charte sécurité</t>
  </si>
  <si>
    <t>Définir une matrice pluridisciplinaire</t>
  </si>
  <si>
    <t>Chaque actif classé est associé à une documentation de justification et de validation</t>
  </si>
  <si>
    <t>Chaque actif classé est-il documenté avec justification et validation ?</t>
  </si>
  <si>
    <t>Fiche de classification</t>
  </si>
  <si>
    <t>Arbitrages de classification contestables</t>
  </si>
  <si>
    <t>Risques de conflit ou d’audit défavorable</t>
  </si>
  <si>
    <t>Formaliser une fiche type de justification</t>
  </si>
  <si>
    <t>Mettre en place un comité de validation des classifications</t>
  </si>
  <si>
    <t>Des révisions régulières sont programmées pour adapter la classification à l’évolution des risques</t>
  </si>
  <si>
    <t>Des révisions régulières sont-elles prévues pour adapter la classification ?</t>
  </si>
  <si>
    <t>Planning de révision</t>
  </si>
  <si>
    <t>Obsolescence des niveaux de classification</t>
  </si>
  <si>
    <t>Inadéquation avec les nouveaux risques</t>
  </si>
  <si>
    <t>Ajuster en fonction des changements organisationnels</t>
  </si>
  <si>
    <t xml:space="preserve"> historique de classification</t>
  </si>
  <si>
    <t>Planifier des revues annuelles</t>
  </si>
  <si>
    <t>Les propriétaires d’actifs valident et participent au processus de classification</t>
  </si>
  <si>
    <t>Les propriétaires participent-ils au processus de classification ?</t>
  </si>
  <si>
    <t>Mauvaise compréhension des niveaux de risque</t>
  </si>
  <si>
    <t>Décalage entre classification et usage réel</t>
  </si>
  <si>
    <t>Intégrer les propriétaires dans les comités de classement</t>
  </si>
  <si>
    <t xml:space="preserve"> preuve de validation</t>
  </si>
  <si>
    <t>Former les propriétaires à la méthode de classification</t>
  </si>
  <si>
    <t>Vérifier que le contrôle des actifs classifiés est adapté à leur niveau de sensibilité</t>
  </si>
  <si>
    <t>Les actifs classés bénéficient de mesures de sécurité proportionnées à leur niveau de classification</t>
  </si>
  <si>
    <t>Les actifs classés bénéficient-ils de mesures adaptées à leur niveau ?</t>
  </si>
  <si>
    <t>Plan de sécurité</t>
  </si>
  <si>
    <t>Protection disproportionnée ou insuffisante</t>
  </si>
  <si>
    <t>Pertes de données ou surcoûts inutiles</t>
  </si>
  <si>
    <t>Réaliser un audit des mesures par niveau</t>
  </si>
  <si>
    <t xml:space="preserve"> preuve d’application des mesures</t>
  </si>
  <si>
    <t>Ajuster les protections en fonction de la classification</t>
  </si>
  <si>
    <t>Des mécanismes d’authentification, de chiffrement ou de restriction d’accès sont appliqués selon la criticité</t>
  </si>
  <si>
    <t>Des mécanismes techniques sont-ils appliqués selon la criticité des actifs ?</t>
  </si>
  <si>
    <t>Paramétrage VPN/chiffrement</t>
  </si>
  <si>
    <t>Manque de cohérence dans les protections</t>
  </si>
  <si>
    <t>Ouverture à des intrusions ou fuites de données</t>
  </si>
  <si>
    <t>Contrôler la conformité via des scans de configuration</t>
  </si>
  <si>
    <t xml:space="preserve"> politique d’accès</t>
  </si>
  <si>
    <t>Appliquer un niveau minimal technique selon la criticité</t>
  </si>
  <si>
    <t>Des audits sont réalisés pour vérifier que les actifs sensibles sont correctement protégés</t>
  </si>
  <si>
    <t>Des audits vérifient-ils la protection des actifs sensibles ?</t>
  </si>
  <si>
    <t>Risques non détectés sur les actifs critiques</t>
  </si>
  <si>
    <t>Atteinte à la confidentialité ou à l’intégrité</t>
  </si>
  <si>
    <t>Réaliser des revues périodiques de sécurité par criticité</t>
  </si>
  <si>
    <t xml:space="preserve"> plan de test sécurité</t>
  </si>
  <si>
    <t>Inclure des tests ciblés dans les audits</t>
  </si>
  <si>
    <t>Les incidents de sécurité sont analysés en lien avec le niveau de classification des actifs concernés</t>
  </si>
  <si>
    <t>Les incidents de sécurité sont-ils analysés selon la classification des actifs concernés ?</t>
  </si>
  <si>
    <t>Fiche d’incident</t>
  </si>
  <si>
    <t>Résolution inefficace des incidents</t>
  </si>
  <si>
    <t>Répétition des failles ou non-apprentissage</t>
  </si>
  <si>
    <t>Analyser systématiquement l’impact par niveau d’actif</t>
  </si>
  <si>
    <t xml:space="preserve"> rapport d’analyse post-incident</t>
  </si>
  <si>
    <t>Utiliser les retours pour ajuster les niveaux de classification</t>
  </si>
  <si>
    <t>Des mesures spécifiques sont mises en place pour les actifs partagés avec des tiers ou accessibles à distance</t>
  </si>
  <si>
    <t>Des mesures spécifiques sont-elles appliquées aux actifs partagés ou accessibles à distance ?</t>
  </si>
  <si>
    <t xml:space="preserve"> contrat de service</t>
  </si>
  <si>
    <t>Actifs vulnérables aux accès non maîtrisés</t>
  </si>
  <si>
    <t>Compromission via accès tiers ou distants</t>
  </si>
  <si>
    <t>Limiter les droits d’accès aux seuls besoins stricts</t>
  </si>
  <si>
    <t>Politique d’accès externe</t>
  </si>
  <si>
    <t>Sécuriser l’accès par MFA ou VPN</t>
  </si>
  <si>
    <t>Sécurité du personnel</t>
  </si>
  <si>
    <t>Vérifier que les postes et les ressources sont définis</t>
  </si>
  <si>
    <t>Chaque poste est associé à une fiche de poste décrivant les responsabilités en matière de sécurité</t>
  </si>
  <si>
    <t>Chaque poste est-il associé à une fiche de poste précisant les responsabilités en matière de sécurité ?</t>
  </si>
  <si>
    <t>Flou sur les responsabilités de sécurité</t>
  </si>
  <si>
    <t>Tâches critiques non assumées ou mal réalisées</t>
  </si>
  <si>
    <t>Réviser régulièrement les fiches pour intégrer les évolutions</t>
  </si>
  <si>
    <t>Formaliser les responsabilités sécurité dans toutes les fiches de poste</t>
  </si>
  <si>
    <t>Les profils métiers sont alignés avec les niveaux d’accès et les droits dans le système d’information</t>
  </si>
  <si>
    <t>Les profils métiers sont-ils alignés avec les niveaux d’accès et droits dans le SI ?</t>
  </si>
  <si>
    <t>Attributions excessives ou insuffisantes</t>
  </si>
  <si>
    <t>Risques d’accès non autorisés ou dysfonctionnements opérationnels</t>
  </si>
  <si>
    <t>Mettre à jour les profils en cas de changement de fonction</t>
  </si>
  <si>
    <t xml:space="preserve"> organigramme des fonctions</t>
  </si>
  <si>
    <t>Réaliser un audit d’alignement entre rôles et droits</t>
  </si>
  <si>
    <t>Les ressources techniques et logicielles attribuées sont documentées pour chaque fonction</t>
  </si>
  <si>
    <t>Les ressources techniques et logicielles attribuées à chaque poste sont-elles documentées ?</t>
  </si>
  <si>
    <t>Registre des dotations</t>
  </si>
  <si>
    <t>Ressources non maîtrisées ou obsolètes</t>
  </si>
  <si>
    <t>Usage inapproprié ou failles de sécurité</t>
  </si>
  <si>
    <t>Lier chaque ressource à une fonction précise dans le SI</t>
  </si>
  <si>
    <t xml:space="preserve"> fiches de configuration</t>
  </si>
  <si>
    <t>Tenir un inventaire à jour par poste de travail</t>
  </si>
  <si>
    <t>Les procédures de gestion des habilitations sont fondées sur les attributions liées aux postes</t>
  </si>
  <si>
    <t>Les procédures de gestion des habilitations tiennent-elles compte des postes occupés ?</t>
  </si>
  <si>
    <t>Procédure d’habilitation</t>
  </si>
  <si>
    <t>Habilitations incohérentes ou non mises à jour</t>
  </si>
  <si>
    <t>Accès non autorisé ou déni de service</t>
  </si>
  <si>
    <t>Revoir les droits lors de chaque changement de poste</t>
  </si>
  <si>
    <t xml:space="preserve"> journal des droits accordés</t>
  </si>
  <si>
    <t>Intégrer les fonctions dans les processus d’habilitation</t>
  </si>
  <si>
    <t>La DSI et la DRH collaborent pour intégrer la sécurité dans la définition des postes de travail</t>
  </si>
  <si>
    <t>La DSI et la DRH collaborent-elles pour intégrer la sécurité dans la définition des postes ?</t>
  </si>
  <si>
    <t>PV de comité DSI-RH</t>
  </si>
  <si>
    <t>Défauts d’intégration de la dimension sécurité</t>
  </si>
  <si>
    <t>Incohérences entre métier et exigences techniques</t>
  </si>
  <si>
    <t>Formaliser les contributions sécurité dans les postes clés</t>
  </si>
  <si>
    <t xml:space="preserve"> fiches de fonctions co-signées</t>
  </si>
  <si>
    <t>Organiser des comités réguliers entre DSI et RH</t>
  </si>
  <si>
    <t>Vérifier qu’il existe un programme de formation pour tous les 
personnels</t>
  </si>
  <si>
    <t>Un programme de formation en sécurité est formellement défini au niveau de l’organisation</t>
  </si>
  <si>
    <t>Un programme de formation à la sécurité est-il formellement défini ?</t>
  </si>
  <si>
    <t>Plan de formation sécurité</t>
  </si>
  <si>
    <t>Absence de montée en compétence des utilisateurs</t>
  </si>
  <si>
    <t>Failles de sécurité liées à des erreurs humaines</t>
  </si>
  <si>
    <t>Valider ce programme avec la direction sécurité</t>
  </si>
  <si>
    <t xml:space="preserve"> programme annuel</t>
  </si>
  <si>
    <t>Élaborer un programme structuré de formation en cybersécurité</t>
  </si>
  <si>
    <t>Le contenu du programme couvre les bonnes pratiques de cybersécurité et la gestion des incidents</t>
  </si>
  <si>
    <t>Le contenu du programme de formation couvre-t-il les bonnes pratiques et la gestion des incidents ?</t>
  </si>
  <si>
    <t>Supports de formation</t>
  </si>
  <si>
    <t>Méconnaissance des gestes de sécurité élémentaires</t>
  </si>
  <si>
    <t>Réactions inadaptées face aux incidents</t>
  </si>
  <si>
    <t>Prévoir des cas pratiques et des mises en situation</t>
  </si>
  <si>
    <t xml:space="preserve"> plan de formation annuel</t>
  </si>
  <si>
    <t>Intégrer les bonnes pratiques et la réponse aux incidents</t>
  </si>
  <si>
    <t>Le programme est révisé régulièrement pour tenir compte des évolutions des risques et des technologies</t>
  </si>
  <si>
    <t>Le programme est-il révisé régulièrement en fonction de l’évolution des risques et technologies ?</t>
  </si>
  <si>
    <t>Compte rendu de revue annuelle</t>
  </si>
  <si>
    <t>Programme obsolète</t>
  </si>
  <si>
    <t>Formations inadaptées aux menaces actuelles</t>
  </si>
  <si>
    <t>Prévoir une révision annuelle du programme</t>
  </si>
  <si>
    <t>S’appuyer sur des sources d’actualisation (CERT ANSSI)</t>
  </si>
  <si>
    <t>Tous les nouveaux entrants suivent une formation obligatoire dès leur intégration</t>
  </si>
  <si>
    <t>Tous les nouveaux arrivants suivent-ils une formation sécurité dès leur intégration ?</t>
  </si>
  <si>
    <t>Manque de sensibilisation initiale</t>
  </si>
  <si>
    <t>Adoption de mauvaises pratiques dès l’embauche</t>
  </si>
  <si>
    <t>Suivre les taux de participation et de complétion</t>
  </si>
  <si>
    <t xml:space="preserve"> planning d’intégration</t>
  </si>
  <si>
    <t>Intégrer systématiquement une session sécurité dans l’onboarding</t>
  </si>
  <si>
    <t>Le programme de formation est validé par la direction de la sécurité ou le RSSI</t>
  </si>
  <si>
    <t>Le programme de formation est-il validé par la direction sécurité ou le RSSI ?</t>
  </si>
  <si>
    <t>Absence de supervision experte du contenu</t>
  </si>
  <si>
    <t>Formation incomplète ou mal orientée</t>
  </si>
  <si>
    <t>Mettre en place un circuit d’approbation formel</t>
  </si>
  <si>
    <t xml:space="preserve"> e-mail de validation RSSI</t>
  </si>
  <si>
    <t>Impliquer le RSSI dans la validation annuelle</t>
  </si>
  <si>
    <t>Vérifier que le programme de formation prenne en compte la 
spécificité des postes de travail et des profils</t>
  </si>
  <si>
    <t>Les formations sont adaptées selon le profil des utilisateurs, techniques ou non</t>
  </si>
  <si>
    <t>Les formations sont-elles adaptées aux profils techniques et non techniques ?</t>
  </si>
  <si>
    <t>Contenu trop générique ou inadapté</t>
  </si>
  <si>
    <t>Perte d’engagement ou incompréhension des enjeux</t>
  </si>
  <si>
    <t>Prévoir des parcours distincts pour utilisateurs métiers et IT</t>
  </si>
  <si>
    <t xml:space="preserve"> fiches pédagogiques</t>
  </si>
  <si>
    <t>Adapter les modules selon les profils d’utilisateurs</t>
  </si>
  <si>
    <t>Des modules spécifiques sont prévus pour les utilisateurs à haut niveau de privilèges</t>
  </si>
  <si>
    <t>Des modules spécifiques sont-ils prévus pour les utilisateurs à privilèges élevés ?</t>
  </si>
  <si>
    <t>Module avancé</t>
  </si>
  <si>
    <t>Utilisateurs à risques non spécifiquement formés</t>
  </si>
  <si>
    <t>Exploitation d’erreurs humaines sur comptes critiques</t>
  </si>
  <si>
    <t>Suivre la formation de ces profils de façon prioritaire</t>
  </si>
  <si>
    <t xml:space="preserve"> liste des utilisateurs à privilèges</t>
  </si>
  <si>
    <t>Élaborer des modules renforcés pour administrateurs et comptes à privilèges</t>
  </si>
  <si>
    <t>Les métiers critiques (finance, ressources humaines, exploitation) reçoivent une sensibilisation renforcée</t>
  </si>
  <si>
    <t>Les fonctions critiques reçoivent-elles une sensibilisation renforcée ?</t>
  </si>
  <si>
    <t>Plan de sensibilisation</t>
  </si>
  <si>
    <t>Utilisateurs stratégiques non sensibilisés</t>
  </si>
  <si>
    <t>Risques accrus sur les processus clés de l’entreprise</t>
  </si>
  <si>
    <t>Organiser des sessions ciblées à haute valeur ajoutée</t>
  </si>
  <si>
    <t xml:space="preserve"> relevé des participants métiers critiques</t>
  </si>
  <si>
    <t>Identifier les métiers sensibles et leurs besoins spécifiques</t>
  </si>
  <si>
    <t>Un référentiel de compétences en sécurité est utilisé pour adapter les contenus aux besoins réels</t>
  </si>
  <si>
    <t>Un référentiel de compétences en sécurité est-il utilisé pour construire le programme de formation ?</t>
  </si>
  <si>
    <t>Référentiel de compétences</t>
  </si>
  <si>
    <t>Contenu mal calibré par rapport aux besoins réels</t>
  </si>
  <si>
    <t>Inefficacité de la formation ou dispersion des efforts</t>
  </si>
  <si>
    <t>Utiliser ce référentiel pour concevoir les programmes</t>
  </si>
  <si>
    <t xml:space="preserve"> cartographie des besoins</t>
  </si>
  <si>
    <t>Élaborer une cartographie des compétences sécurité</t>
  </si>
  <si>
    <t>Les outils de formation permettent un apprentissage individualisé en fonction des usages professionnels</t>
  </si>
  <si>
    <t>Les outils de formation permettent-ils un apprentissage individualisé ?</t>
  </si>
  <si>
    <t>Plateforme e-learning</t>
  </si>
  <si>
    <t>Difficultés d’appropriation selon les profils</t>
  </si>
  <si>
    <t>Faible rétention ou application des apprentissages</t>
  </si>
  <si>
    <t>Permettre l’adaptation en fonction des cas d’usage métier</t>
  </si>
  <si>
    <t xml:space="preserve"> statistiques d’usage</t>
  </si>
  <si>
    <t>Intégrer un LMS avec parcours personnalisables</t>
  </si>
  <si>
    <t xml:space="preserve">Vérifier que tous les personnels participent aux formations </t>
  </si>
  <si>
    <t>La participation aux sessions de formation est enregistrée et suivie</t>
  </si>
  <si>
    <t>La participation aux formations est-elle suivie et enregistrée ?</t>
  </si>
  <si>
    <t>Registre de présence</t>
  </si>
  <si>
    <t>Formations non généralisées ou inégalement suivies</t>
  </si>
  <si>
    <t>Failles humaines persistantes dans le SI</t>
  </si>
  <si>
    <t>Rendre les formations obligatoires et traçables</t>
  </si>
  <si>
    <t xml:space="preserve"> rapport de participation</t>
  </si>
  <si>
    <t>Suivre systématiquement les participations via des outils dédiés</t>
  </si>
  <si>
    <t>Des relances sont effectuées pour les personnes n’ayant pas encore suivi les formations obligatoires</t>
  </si>
  <si>
    <t>Des relances sont-elles faites en cas de non-participation ?</t>
  </si>
  <si>
    <t>Liste des relancés</t>
  </si>
  <si>
    <t>Couverture incomplète de la formation</t>
  </si>
  <si>
    <t>Population exposée à des risques non contrôlés</t>
  </si>
  <si>
    <t>Informer les managers des défauts de complétion</t>
  </si>
  <si>
    <t xml:space="preserve"> e-mails de relance</t>
  </si>
  <si>
    <t>Mettre en place un système de relance automatique</t>
  </si>
  <si>
    <t>Le taux de couverture des formations en sécurité est régulièrement présenté à la direction</t>
  </si>
  <si>
    <t>Le taux de couverture des formations est-il présenté à la direction ?</t>
  </si>
  <si>
    <t>Tableau de bord de formation</t>
  </si>
  <si>
    <t>Absence de pilotage stratégique de la formation</t>
  </si>
  <si>
    <t>Manque de soutien ou de priorisation des actions</t>
  </si>
  <si>
    <t>Présenter des tableaux de bord aux comités de direction</t>
  </si>
  <si>
    <t xml:space="preserve"> rapport mensuel sécurité</t>
  </si>
  <si>
    <t>Intégrer ces indicateurs dans les revues de sécurité</t>
  </si>
  <si>
    <t>L’accès à certains outils est conditionné à la validation d’un module de formation en sécurité</t>
  </si>
  <si>
    <t>L’accès à certains outils est-il conditionné à la validation d’une formation ?</t>
  </si>
  <si>
    <t>Utilisation non conforme d’outils sensibles</t>
  </si>
  <si>
    <t>Risques accrus sur des outils critiques mal utilisés</t>
  </si>
  <si>
    <t>Intégrer des contrôles d’accès conditionnels dans les systèmes</t>
  </si>
  <si>
    <t xml:space="preserve"> rapports de validation</t>
  </si>
  <si>
    <t>Restreindre l’accès jusqu’à validation d’un module sécurité</t>
  </si>
  <si>
    <t>Les managers de proximité sont impliqués pour assurer la participation effective de leurs équipes</t>
  </si>
  <si>
    <t>Les managers de proximité sont-ils impliqués pour assurer la formation de leurs équipes ?</t>
  </si>
  <si>
    <t>Courrier de mobilisation</t>
  </si>
  <si>
    <t>Faible mobilisation locale</t>
  </si>
  <si>
    <t>Formation perçue comme optionnelle ou secondaire</t>
  </si>
  <si>
    <t>Sensibiliser les managers à leur rôle en matière de cybersécurité</t>
  </si>
  <si>
    <t xml:space="preserve"> compte rendu de réunions RH/DSI</t>
  </si>
  <si>
    <t>Intégrer la formation sécurité dans les objectifs managériaux</t>
  </si>
  <si>
    <t>Vérifier que des évaluations « anté » et « post » formation sont 
réalisées pour évaluer l’impact de ces dernières</t>
  </si>
  <si>
    <t>Des questionnaires de positionnement sont proposés avant les formations pour identifier les besoins</t>
  </si>
  <si>
    <t>Des questionnaires de positionnement sont-ils proposés avant les formations pour identifier les besoins ?</t>
  </si>
  <si>
    <t>Questionnaire d’entrée</t>
  </si>
  <si>
    <t>Formation non adaptée aux profils</t>
  </si>
  <si>
    <t>Perte d’efficacité pédagogique et temps mal alloué</t>
  </si>
  <si>
    <t>Adapter les parcours en fonction des réponses collectées</t>
  </si>
  <si>
    <t xml:space="preserve"> politique de formation</t>
  </si>
  <si>
    <t>Déployer un questionnaire préalable pour chaque session</t>
  </si>
  <si>
    <t>Des tests de connaissances sont administrés à l’issue des formations pour mesurer les acquis</t>
  </si>
  <si>
    <t>Des tests de connaissances sont-ils administrés à l’issue des formations ?</t>
  </si>
  <si>
    <t>Tests post-formation</t>
  </si>
  <si>
    <t>Absence de mesure des acquis</t>
  </si>
  <si>
    <t>Incapacité à prouver l’efficacité de la formation</t>
  </si>
  <si>
    <t>Corriger et commenter les résultats individuellement</t>
  </si>
  <si>
    <t>Intégrer un test à chaque module finalisé</t>
  </si>
  <si>
    <t>Les résultats des évaluations sont analysés pour ajuster le contenu des sessions futures</t>
  </si>
  <si>
    <t>Les résultats des évaluations sont-ils analysés pour ajuster les contenus ?</t>
  </si>
  <si>
    <t>Rapport d’analyse des résultats</t>
  </si>
  <si>
    <t>Contenus obsolètes ou non adaptés</t>
  </si>
  <si>
    <t>Maintien de lacunes de sécurité chez les utilisateurs</t>
  </si>
  <si>
    <t>Réviser les contenus sur la base des évaluations cumulées</t>
  </si>
  <si>
    <t xml:space="preserve"> plan de révision</t>
  </si>
  <si>
    <t>Mettre en place une cellule d’analyse pédagogique</t>
  </si>
  <si>
    <t>Un seuil minimal de réussite est requis pour valider la participation à certaines formations critiques</t>
  </si>
  <si>
    <t>Un seuil minimal de réussite est-il requis pour valider la participation à certaines formations critiques ?</t>
  </si>
  <si>
    <t>Grille de validation</t>
  </si>
  <si>
    <t>Participants non qualifiés malgré leur présence</t>
  </si>
  <si>
    <t>Failles opérationnelles sur des postes sensibles</t>
  </si>
  <si>
    <t>Reprogrammer une session en cas d’échec</t>
  </si>
  <si>
    <t xml:space="preserve"> politique de certification interne</t>
  </si>
  <si>
    <t>Définir des seuils de réussite minimums</t>
  </si>
  <si>
    <t>Les évaluations sont archivées pour être exploitées dans le cadre d’audits ou d’indicateurs</t>
  </si>
  <si>
    <t>Les évaluations sont-elles archivées pour exploitation ultérieure ?</t>
  </si>
  <si>
    <t>Base de données d’évaluations</t>
  </si>
  <si>
    <t>Perte d’informations stratégiques pour l’audit</t>
  </si>
  <si>
    <t>Absence de traçabilité ou preuve en cas de contrôle</t>
  </si>
  <si>
    <t>Intégrer les données au tableau de bord sécurité</t>
  </si>
  <si>
    <t xml:space="preserve"> registre de formation</t>
  </si>
  <si>
    <t>Archiver systématiquement les résultats</t>
  </si>
  <si>
    <t>S’assurer que des sondages existent pour évaluer l’impact des 
formations dans le travail quotidien des utilisateurs</t>
  </si>
  <si>
    <t>Des enquêtes de satisfaction sont réalisées pour recueillir l’avis des utilisateurs après chaque session</t>
  </si>
  <si>
    <t>Des enquêtes de satisfaction sont-elles réalisées après chaque session ?</t>
  </si>
  <si>
    <t>Questionnaire de satisfaction</t>
  </si>
  <si>
    <t>Absence de retour sur la qualité perçue</t>
  </si>
  <si>
    <t>Formation déconnectée des attentes et réalités terrain</t>
  </si>
  <si>
    <t>Analyser les retours et dégager des pistes d’amélioration</t>
  </si>
  <si>
    <t xml:space="preserve"> rapports de formation</t>
  </si>
  <si>
    <t>Diffuser une enquête à chaud après chaque session</t>
  </si>
  <si>
    <t>Les résultats des sondages incluent des questions sur l’application concrète des acquis en situation de travail</t>
  </si>
  <si>
    <t>Les sondages incluent-ils des questions sur l’application concrète des acquis ?</t>
  </si>
  <si>
    <t>Questionnaire détaillé</t>
  </si>
  <si>
    <t>Aucune mesure de transposition dans le poste</t>
  </si>
  <si>
    <t>Impact limité des formations sur la sécurité réelle</t>
  </si>
  <si>
    <t>Comparer les réponses par métiers pour ajuster les actions</t>
  </si>
  <si>
    <t xml:space="preserve"> modèle d’enquête type</t>
  </si>
  <si>
    <t>Ajouter des questions sur les cas d’usage concrets</t>
  </si>
  <si>
    <t>Des analyses qualitatives permettent de détecter les freins ou les besoins de formation complémentaire</t>
  </si>
  <si>
    <t>Des analyses qualitatives permettent-elles de détecter des besoins de formation complémentaire ?</t>
  </si>
  <si>
    <t>Compte rendu d’analyse qualitative</t>
  </si>
  <si>
    <t>Besoins mal identifiés ou sous-estimés</t>
  </si>
  <si>
    <t>Écart persistant entre compétences requises et acquises</t>
  </si>
  <si>
    <t>Exploiter les résultats pour proposer de nouveaux modules</t>
  </si>
  <si>
    <t xml:space="preserve"> rapport RH</t>
  </si>
  <si>
    <t>Organiser des entretiens ou focus groups ciblés</t>
  </si>
  <si>
    <t>Les retours utilisateurs sont pris en compte dans l’amélioration continue du programme de formation</t>
  </si>
  <si>
    <t>Les retours utilisateurs sont-ils pris en compte pour améliorer les formations ?</t>
  </si>
  <si>
    <t>Plan d’amélioration continue</t>
  </si>
  <si>
    <t>Insatisfaction durable des utilisateurs</t>
  </si>
  <si>
    <t>Désengagement progressif et abandon des formations</t>
  </si>
  <si>
    <t>Co-construire certaines sessions avec les métiers</t>
  </si>
  <si>
    <t xml:space="preserve"> PV des comités formation</t>
  </si>
  <si>
    <t>Intégrer les retours dans les revues de programme</t>
  </si>
  <si>
    <t>Les résultats des sondages sont partagés avec les responsables métiers et le comité de sécurité</t>
  </si>
  <si>
    <t>Les résultats des sondages sont-ils partagés avec les responsables métiers et le comité de sécurité ?</t>
  </si>
  <si>
    <t>Compte rendu de comité</t>
  </si>
  <si>
    <t>Rupture de communication entre acteurs</t>
  </si>
  <si>
    <t>Décisions de formation non alignées avec les besoins métiers</t>
  </si>
  <si>
    <t>Organiser des points de suivi interservices réguliers</t>
  </si>
  <si>
    <t xml:space="preserve"> mail de diffusion des résultats</t>
  </si>
  <si>
    <t>Intégrer les données dans les revues de sécurité</t>
  </si>
  <si>
    <t>Sécurité : gestion des communications et des opérations</t>
  </si>
  <si>
    <t>Vérifier que la documentation des procédures et les 
responsabilités opérationnelles existe</t>
  </si>
  <si>
    <t>La documentation des processus opérationnels est centralisée et facilement accessible</t>
  </si>
  <si>
    <t>La documentation des processus opérationnels est-elle centralisée et accessible ?</t>
  </si>
  <si>
    <t>Référentiel documentaire</t>
  </si>
  <si>
    <t>Perte de temps,  erreurs opérationnelles</t>
  </si>
  <si>
    <t>Mauvaise exécution des tâches critiques</t>
  </si>
  <si>
    <t>Centraliser la documentation dans un référentiel unique</t>
  </si>
  <si>
    <t xml:space="preserve"> portail intranet</t>
  </si>
  <si>
    <t>Garantir l’accessibilité aux équipes autorisées</t>
  </si>
  <si>
    <t>Chaque procédure est associée à un responsable clairement identifié</t>
  </si>
  <si>
    <t>Chaque procédure est-elle associée à un responsable identifié ?</t>
  </si>
  <si>
    <t>Fiches de procédure</t>
  </si>
  <si>
    <t>Absence de redevabilité</t>
  </si>
  <si>
    <t>Procédure non suivie ou obsolète non mise à jour</t>
  </si>
  <si>
    <t>Afficher la responsabilité dans chaque document</t>
  </si>
  <si>
    <t xml:space="preserve"> matrice de responsabilité</t>
  </si>
  <si>
    <t>Désigner un responsable par procédure</t>
  </si>
  <si>
    <t>La documentation couvre l’ensemble des tâches critiques liées aux opérations IT</t>
  </si>
  <si>
    <t>La documentation couvre-t-elle l’ensemble des tâches critiques IT ?</t>
  </si>
  <si>
    <t>Lacunes documentaires</t>
  </si>
  <si>
    <t>Activités critiques non maîtrisées</t>
  </si>
  <si>
    <t>Compléter les manques avec l’aide des opérationnels</t>
  </si>
  <si>
    <t xml:space="preserve"> liste des procédures critiques</t>
  </si>
  <si>
    <t>Identifier les tâches critiques et vérifier leur documentation</t>
  </si>
  <si>
    <t>Les mises à jour des procédures sont tracées et validées par les responsables concernés</t>
  </si>
  <si>
    <t>Les mises à jour des procédures sont-elles tracées et validées ?</t>
  </si>
  <si>
    <t>Utilisation de procédures obsolètes</t>
  </si>
  <si>
    <t>Non-conformité et dérives opérationnelles</t>
  </si>
  <si>
    <t>Valider chaque modification par le responsable concerné</t>
  </si>
  <si>
    <t>Mettre en place un système de gestion des versions</t>
  </si>
  <si>
    <t>Les procédures sont communiquées à tous les opérateurs et régulièrement révisées</t>
  </si>
  <si>
    <t>Les procédures sont-elles communiquées et révisées régulièrement ?</t>
  </si>
  <si>
    <t>Méconnaissance des évolutions</t>
  </si>
  <si>
    <t>Exécution incorrecte ou incohérente</t>
  </si>
  <si>
    <t>Prévoir des rappels périodiques de lecture et de validation</t>
  </si>
  <si>
    <t>Diffuser les mises à jour à tous les opérateurs concernés</t>
  </si>
  <si>
    <t>Vérifier que le contrôle des modifications opérationnelles est 
réalisé</t>
  </si>
  <si>
    <t>Un processus formel de gestion des changements est en place avec différents niveaux de validation</t>
  </si>
  <si>
    <t>Un processus formel de gestion des changements est-il en place avec niveaux de validation ?</t>
  </si>
  <si>
    <t>Changements non maîtrisés</t>
  </si>
  <si>
    <t>Interruption de service ou atteinte à l’intégrité</t>
  </si>
  <si>
    <t>Impliquer toutes les parties concernées dans les décisions</t>
  </si>
  <si>
    <t xml:space="preserve"> grille de validation</t>
  </si>
  <si>
    <t>Formaliser les étapes de validation par criticité</t>
  </si>
  <si>
    <t>Chaque modification est documentée avec un historique complet des actions entreprises</t>
  </si>
  <si>
    <t>Chaque modification est-elle documentée avec un historique complet ?</t>
  </si>
  <si>
    <t>Registre des changements</t>
  </si>
  <si>
    <t>Absence de traçabilité</t>
  </si>
  <si>
    <t>Difficulté à auditer ou à restaurer une configuration</t>
  </si>
  <si>
    <t>Assurer la complétude des informations sur chaque changement</t>
  </si>
  <si>
    <t xml:space="preserve"> outil de gestion de configuration</t>
  </si>
  <si>
    <t>Tenir un journal de modification systématique</t>
  </si>
  <si>
    <t>Les changements sont évalués en termes d’impact sur la sécurité et la disponibilité des systèmes</t>
  </si>
  <si>
    <t>Les changements sont-ils évalués en termes d’impact sécurité et disponibilité ?</t>
  </si>
  <si>
    <t>Analyse d’impact</t>
  </si>
  <si>
    <t>Changements non sécurisés</t>
  </si>
  <si>
    <t>Introduction de vulnérabilités ou indisponibilité</t>
  </si>
  <si>
    <t>Impliquer la sécurité et la production avant validation</t>
  </si>
  <si>
    <t xml:space="preserve"> fiche de modification</t>
  </si>
  <si>
    <t>Ajouter une étape d’analyse d’impact dans le processus</t>
  </si>
  <si>
    <t>Des tests préalables sont réalisés avant mise en production des modifications critiques</t>
  </si>
  <si>
    <t>Des tests sont-ils réalisés avant la mise en production des changements critiques ?</t>
  </si>
  <si>
    <t>Défauts non détectés en amont</t>
  </si>
  <si>
    <t>Incidents en environnement réel</t>
  </si>
  <si>
    <t>Utiliser des environnements de pré-production fiables</t>
  </si>
  <si>
    <t xml:space="preserve"> PV de recette</t>
  </si>
  <si>
    <t>Rendre les tests obligatoires pour les changements critiques</t>
  </si>
  <si>
    <t>Un comité de gestion des changements (CAB) supervise et valide les modifications majeures</t>
  </si>
  <si>
    <t>Un comité de gestion des changements supervise-t-il les modifications majeures ?</t>
  </si>
  <si>
    <t>PV du CAB</t>
  </si>
  <si>
    <t>Décisions prises sans concertation</t>
  </si>
  <si>
    <t>Projets mal pilotés ou risques sous-estimés</t>
  </si>
  <si>
    <t>Associer métiers,  DSI et sécurité aux décisions</t>
  </si>
  <si>
    <t xml:space="preserve"> liste des décisions</t>
  </si>
  <si>
    <t>Instaurer un Change Advisory Board (CAB)</t>
  </si>
  <si>
    <t>Vérifier que des procédures de gestion des incidents existent</t>
  </si>
  <si>
    <t>Un processus de gestion des incidents est formellement établi et approuvé par la direction</t>
  </si>
  <si>
    <t>Un processus de gestion des incidents est-il établi et approuvé ?</t>
  </si>
  <si>
    <t>Politique de gestion des incidents</t>
  </si>
  <si>
    <t>Réaction non coordonnée aux incidents</t>
  </si>
  <si>
    <t>Pertes de données, interruption de service</t>
  </si>
  <si>
    <t>Élaborer une procédure claire et validée</t>
  </si>
  <si>
    <t xml:space="preserve"> organigramme opérationnel</t>
  </si>
  <si>
    <t>Communiquer ce processus à tous les acteurs concernés</t>
  </si>
  <si>
    <t>Un canal unique est défini pour la remontée des incidents techniques ou de sécurité</t>
  </si>
  <si>
    <t>Un canal unique est-il défini pour la remontée des incidents ?</t>
  </si>
  <si>
    <t>Multiplicité des canaux, confusion</t>
  </si>
  <si>
    <t>Délai dans la prise en charge ou oubli d’incident</t>
  </si>
  <si>
    <t>Mettre en place un point d’entrée unique</t>
  </si>
  <si>
    <t xml:space="preserve"> interface de signalement</t>
  </si>
  <si>
    <t>Former les utilisateurs à son usage systématique</t>
  </si>
  <si>
    <t>Les incidents sont classés selon leur criticité et leur impact potentiel</t>
  </si>
  <si>
    <t>Les incidents sont-ils classés selon criticité et impact ?</t>
  </si>
  <si>
    <t>Grille de criticité</t>
  </si>
  <si>
    <t>Ressources mal allouées</t>
  </si>
  <si>
    <t>Incidents graves non priorisés</t>
  </si>
  <si>
    <t>Former les équipes de support à l’évaluation rapide</t>
  </si>
  <si>
    <t xml:space="preserve"> registre des incidents</t>
  </si>
  <si>
    <t>Définir une classification objective des incidents</t>
  </si>
  <si>
    <t>Chaque incident donne lieu à un enregistrement, une analyse et un plan de remédiation</t>
  </si>
  <si>
    <t>Chaque incident donne-t-il lieu à un enregistrement,une analyse et un plan de remédiation ?</t>
  </si>
  <si>
    <t>Fiches d’incidents</t>
  </si>
  <si>
    <t>Image dégradée ou perte financière</t>
  </si>
  <si>
    <t>Suivre les plans correctifs dans le temps</t>
  </si>
  <si>
    <t xml:space="preserve"> plan de remédiation</t>
  </si>
  <si>
    <t>Imposer l’enregistrement et le traitement formel de tout incident</t>
  </si>
  <si>
    <t>Des rapports d’incident sont produits régulièrement et analysés dans un but d’amélioration continue</t>
  </si>
  <si>
    <t>Des rapports d’incident sont-ils produits et analysés régulièrement ?</t>
  </si>
  <si>
    <t>Rapport mensuel incidents</t>
  </si>
  <si>
    <t>Manque de vision globale des incidents</t>
  </si>
  <si>
    <t>Absence d’actions d’amélioration</t>
  </si>
  <si>
    <t>Produire des rapports réguliers synthétisant les causes</t>
  </si>
  <si>
    <t xml:space="preserve"> tableau de bord sécurité</t>
  </si>
  <si>
    <t>Présenter ces rapports en comité sécurité</t>
  </si>
  <si>
    <t>Vérifier que la séparation des fonctions et des 
infrastructures existe</t>
  </si>
  <si>
    <t>Les rôles opérationnels sont définis de manière à éviter les conflits d’intérêts ou abus de droits</t>
  </si>
  <si>
    <t>Les rôles opérationnels sont-ils définis pour éviter conflits d’intérêts ou abus ?</t>
  </si>
  <si>
    <t>Matrice des responsabilités</t>
  </si>
  <si>
    <t>Concentration de pouvoirs ou confusion des rôles</t>
  </si>
  <si>
    <t>Risques de fraude, sabotage ou erreurs graves</t>
  </si>
  <si>
    <t>Appliquer une séparation des tâches critique/non critique</t>
  </si>
  <si>
    <t>Contrôler périodiquement la répartition des responsabilités</t>
  </si>
  <si>
    <t>Les environnements de développement, test et production sont physiquement ou logiquement séparés</t>
  </si>
  <si>
    <t>Les environnements de développement, test et production sont-ils séparés physiquement ou logiquement ?</t>
  </si>
  <si>
    <t>Mélange des environnements entraînant des erreurs ou failles</t>
  </si>
  <si>
    <t>Intrusion ou corruption de données en production</t>
  </si>
  <si>
    <t>Isoler strictement les environnements via des VLAN ou VM distinctes</t>
  </si>
  <si>
    <t xml:space="preserve"> politiques de segmentation</t>
  </si>
  <si>
    <t>Contrôler les flux inter-environnements avec des pare-feu ou ACL</t>
  </si>
  <si>
    <t>Les accès sont limités selon le principe du moindre privilège pour chaque fonction</t>
  </si>
  <si>
    <t>Les accès sont-ils accordés selon le principe du moindre privilège ?</t>
  </si>
  <si>
    <t>Matrice des droits d’accès</t>
  </si>
  <si>
    <t>Accès excessifs entraînant des usages abusifs</t>
  </si>
  <si>
    <t>Compromission des systèmes critiques</t>
  </si>
  <si>
    <t>Mettre en œuvre une gestion automatisée des accès avec approbation</t>
  </si>
  <si>
    <t xml:space="preserve"> journal d’audit des accès</t>
  </si>
  <si>
    <t>Réviser régulièrement les droits d’accès par fonction</t>
  </si>
  <si>
    <t>Les fonctions de supervision, d’exploitation et d’administration sont réparties entre plusieurs personnes</t>
  </si>
  <si>
    <t>Les fonctions de supervision,d’exploitation et d’administration sont-elles réparties entre plusieurs personnes ?</t>
  </si>
  <si>
    <t>Organigramme IT</t>
  </si>
  <si>
    <t>Concentration de pouvoir ou conflit d’intérêts</t>
  </si>
  <si>
    <t>Fraudes ou erreurs non détectées</t>
  </si>
  <si>
    <t>Imposer la validation croisée pour les actions critiques</t>
  </si>
  <si>
    <t>Séparer fonctionnellement les rôles clés avec délégations claires</t>
  </si>
  <si>
    <t>Des contrôles d’accès renforcés sont appliqués aux infrastructures critiques</t>
  </si>
  <si>
    <t>Des contrôles d’accès renforcés sont-ils appliqués aux infrastructures critiques ?</t>
  </si>
  <si>
    <t>Politique de sécurité physique/logique</t>
  </si>
  <si>
    <t>Intrusion non autorisée</t>
  </si>
  <si>
    <t>Interruption de service ou vol de données</t>
  </si>
  <si>
    <t>Restreindre l’accès aux personnels habilités uniquement</t>
  </si>
  <si>
    <t>Mettre en place une authentification forte (MFA)</t>
  </si>
  <si>
    <t xml:space="preserve">Vérifier qu’une étude de sécurité en cas de gestion externe des 
infrastructures a été réalisée </t>
  </si>
  <si>
    <t>Une analyse de risque a été réalisée avant toute externalisation des infrastructures</t>
  </si>
  <si>
    <t>Une analyse de risque a-t-elle été menée avant toute externalisation ?</t>
  </si>
  <si>
    <t>Rapport d’analyse de risque</t>
  </si>
  <si>
    <t>Choix d’un prestataire non conforme</t>
  </si>
  <si>
    <t>Non-conformité réglementaire ou pertes de données</t>
  </si>
  <si>
    <t>Mettre à jour l’analyse en cas de changement de périmètre</t>
  </si>
  <si>
    <t xml:space="preserve"> cahier des charges d’externalisation</t>
  </si>
  <si>
    <t>Intégrer une évaluation des risques dans le processus d’appel d’offres</t>
  </si>
  <si>
    <t>Le prestataire a été évalué selon des critères de sécurité et de conformité réglementaire</t>
  </si>
  <si>
    <t>Le prestataire a-t-il été évalué selon des critères de sécurité et de conformité ?</t>
  </si>
  <si>
    <t>Fiche d’évaluation fournisseur</t>
  </si>
  <si>
    <t>Prestataire non fiable ou non conforme</t>
  </si>
  <si>
    <t>Défaillance de service ou compromission de données</t>
  </si>
  <si>
    <t>Réaliser des audits réguliers chez les sous-traitants</t>
  </si>
  <si>
    <t>Définir un processus formel d’évaluation des fournisseurs</t>
  </si>
  <si>
    <t>Les exigences de sécurité sont intégrées au contrat de sous-traitance</t>
  </si>
  <si>
    <t>Les exigences de sécurité sont-elles intégrées aux contrats ?</t>
  </si>
  <si>
    <t>Contrat de sous-traitance</t>
  </si>
  <si>
    <t>Absence d’engagements contractuels clairs</t>
  </si>
  <si>
    <t>Inexécution des obligations en cas d’incident</t>
  </si>
  <si>
    <t>Formaliser les exigences de sécurité dans les SLA</t>
  </si>
  <si>
    <t>Intégrer une clause de conformité au RGPD et à la PSSI</t>
  </si>
  <si>
    <t>Une clause de réversibilité et de continuité d’activité est prévue dans les contrats</t>
  </si>
  <si>
    <t>Une clause de réversibilité et de continuité d’activité est-elle prévue ?</t>
  </si>
  <si>
    <t>Contrat</t>
  </si>
  <si>
    <t>Perte d’accès ou dépendance excessive au prestataire</t>
  </si>
  <si>
    <t>Interruption prolongée des services critiques</t>
  </si>
  <si>
    <t>Inclure des délais et modalités de reprise explicites</t>
  </si>
  <si>
    <t xml:space="preserve"> plan de réversibilité</t>
  </si>
  <si>
    <t>Centraliser tous les rapports dans un registre dédié</t>
  </si>
  <si>
    <t>Les niveaux de service (SLA) incluent des obligations en matière de sécurité de l’information</t>
  </si>
  <si>
    <t>Les SLA incluent-ils des engagements en matière de sécurité ?</t>
  </si>
  <si>
    <t>SLA</t>
  </si>
  <si>
    <t>Faibles garanties contractuelles en sécurité</t>
  </si>
  <si>
    <t>Risques non pris en charge par le fournisseur</t>
  </si>
  <si>
    <t>Ajouter des KPI de sécurité (temps de réaction, taux d’incidents)</t>
  </si>
  <si>
    <t xml:space="preserve"> convention de services</t>
  </si>
  <si>
    <t>Inclure des pénalités contractuelles en cas de non-respect</t>
  </si>
  <si>
    <t>Vérifier que les mesures de protection contre les infections 
logiques existent</t>
  </si>
  <si>
    <t>Un antivirus ou antimalware est installé sur tous les postes et serveurs critiques</t>
  </si>
  <si>
    <t>Un antivirus ou antimalware est-il installé sur tous les postes et serveurs critiques ?</t>
  </si>
  <si>
    <t>Infections non détectées</t>
  </si>
  <si>
    <t>Propagation rapide de malware</t>
  </si>
  <si>
    <t>Auditer la conformité des installations régulièrement</t>
  </si>
  <si>
    <t>Imposer un déploiement systématique sur les postes critiques</t>
  </si>
  <si>
    <t>Les signatures virales sont mises à jour automatiquement et régulièrement</t>
  </si>
  <si>
    <t>Les signatures virales sont-elles mises à jour automatiquement ?</t>
  </si>
  <si>
    <t>Protection obsolète</t>
  </si>
  <si>
    <t>Infections par de nouvelles menaces</t>
  </si>
  <si>
    <t>Activer les mises à jour automatiques</t>
  </si>
  <si>
    <t xml:space="preserve"> politique antivirus</t>
  </si>
  <si>
    <t>Superviser les postes non à jour via un tableau de bord</t>
  </si>
  <si>
    <t>Une supervision des alertes de sécurité est assurée en temps réel</t>
  </si>
  <si>
    <t>Une supervision en temps réel des alertes de sécurité est-elle en place ?</t>
  </si>
  <si>
    <t>Journal SIEM</t>
  </si>
  <si>
    <t>Détection tardive d’incidents</t>
  </si>
  <si>
    <t>Réaction lente en cas d’attaque</t>
  </si>
  <si>
    <t>Mettre en place une équipe de réponse rapide (SOC)</t>
  </si>
  <si>
    <t xml:space="preserve"> procédure de traitement des alertes</t>
  </si>
  <si>
    <t>Déployer un système centralisé de supervision</t>
  </si>
  <si>
    <t>Des tests de détection et de réaction aux infections sont effectués régulièrement</t>
  </si>
  <si>
    <t>Des tests de détection et de réaction sont-ils effectués régulièrement ?</t>
  </si>
  <si>
    <t>Réaction inadaptée lors d’une attaque</t>
  </si>
  <si>
    <t>Documenter les leçons tirées pour renforcer les procédures</t>
  </si>
  <si>
    <t xml:space="preserve"> plan de réponse à incident</t>
  </si>
  <si>
    <t>Planifier des tests trimestriels avec simulation d’incidents</t>
  </si>
  <si>
    <t>Des politiques d’interdiction des supports amovibles non autorisés sont appliquées</t>
  </si>
  <si>
    <t>Des politiques interdisent-elles les supports amovibles non autorisés ?</t>
  </si>
  <si>
    <t>Introduction de malwares via supports physiques</t>
  </si>
  <si>
    <t>Infiltration de données malveillantes</t>
  </si>
  <si>
    <t>Sensibiliser les utilisateurs sur les risques des supports externes</t>
  </si>
  <si>
    <t xml:space="preserve"> registre des supports autorisés</t>
  </si>
  <si>
    <t>Bloquer par défaut tous les ports USB sauf exception justifiée</t>
  </si>
  <si>
    <t>Vérifier que les sauvegardes des données sont réalisées</t>
  </si>
  <si>
    <t>Un plan de sauvegarde existe et couvre l’ensemble des données critiques</t>
  </si>
  <si>
    <t>Un plan de sauvegarde couvre-t-il toutes les données critiques ?</t>
  </si>
  <si>
    <t>Politique de sauvegarde</t>
  </si>
  <si>
    <t>Données non sauvegardées</t>
  </si>
  <si>
    <t>Perte définitive de données</t>
  </si>
  <si>
    <t>Vérifier que chaque donnée a une solution de sauvegarde dédiée</t>
  </si>
  <si>
    <t xml:space="preserve"> registre des sauvegardes</t>
  </si>
  <si>
    <t>Identifier les données critiques par métier</t>
  </si>
  <si>
    <t>Les sauvegardes sont réalisées selon une fréquence adaptée aux exigences métiers</t>
  </si>
  <si>
    <t>Les sauvegardes sont-elles réalisées selon une fréquence adaptée ?</t>
  </si>
  <si>
    <t>Journal des sauvegardes</t>
  </si>
  <si>
    <t>Sauvegardes trop espacées</t>
  </si>
  <si>
    <t>Perte de données récentes non récupérables</t>
  </si>
  <si>
    <t>Réviser les stratégies de sauvegarde lors de chaque changement SI</t>
  </si>
  <si>
    <t xml:space="preserve"> procédure métier</t>
  </si>
  <si>
    <t>Définir la fréquence selon la criticité métier (RPO)</t>
  </si>
  <si>
    <t>Les sauvegardes sont chiffrées et stockées dans un lieu sécurisé ou distant</t>
  </si>
  <si>
    <t>Les sauvegardes sont-elles chiffrées et stockées de manière sécurisée ?</t>
  </si>
  <si>
    <t>Politique de chiffrement</t>
  </si>
  <si>
    <t>Fuite ou vol de sauvegardes</t>
  </si>
  <si>
    <t>Divulgation d’informations sensibles</t>
  </si>
  <si>
    <t>Utiliser un algorithme de chiffrement reconnu</t>
  </si>
  <si>
    <t xml:space="preserve"> contrat d’hébergement</t>
  </si>
  <si>
    <t>Externaliser les sauvegardes dans un coffre-fort numérique certifié</t>
  </si>
  <si>
    <t>Des tests de restauration sont effectués périodiquement pour vérifier la validité des sauvegardes</t>
  </si>
  <si>
    <t>Des tests de restauration sont-ils effectués périodiquement ?</t>
  </si>
  <si>
    <t>Rapport de test de restauration</t>
  </si>
  <si>
    <t>Sauvegardes inutilisables</t>
  </si>
  <si>
    <t>Pertes prolongées ou définitives en cas d’incident</t>
  </si>
  <si>
    <t>Documenter les résultats et suivre les anomalies détectées</t>
  </si>
  <si>
    <t xml:space="preserve"> planning des tests</t>
  </si>
  <si>
    <t>Tester chaque type de sauvegarde au moins une fois par an</t>
  </si>
  <si>
    <t>La politique de sauvegarde est formellement validée par la direction de la sécurité</t>
  </si>
  <si>
    <t>La politique de sauvegarde est-elle validée par la direction sécurité ?</t>
  </si>
  <si>
    <t>Absence d’arbitrage sur les priorités de sauvegarde</t>
  </si>
  <si>
    <t>Incohérence entre stratégie métier et IT</t>
  </si>
  <si>
    <t>Organiser une revue annuelle de la politique de sauvegarde</t>
  </si>
  <si>
    <t xml:space="preserve"> politique officielle</t>
  </si>
  <si>
    <t>Obtenir la validation écrite du RSSI</t>
  </si>
  <si>
    <t>Vérifier que les modalités de gestion des supports de 
données sont clairement définies</t>
  </si>
  <si>
    <t>Une procédure de gestion des supports (disques durs, clés USB, bandes) est formalisée</t>
  </si>
  <si>
    <t>Une procédure formelle de gestion des supports est-elle en place ?</t>
  </si>
  <si>
    <t>Procédure de gestion des supports</t>
  </si>
  <si>
    <t>Perte ou usage non contrôlé de supports</t>
  </si>
  <si>
    <t>Fuite d’informations sensibles</t>
  </si>
  <si>
    <t>Mettre à disposition des contenants sécurisés pour supports sensibles</t>
  </si>
  <si>
    <t xml:space="preserve"> registre des supports</t>
  </si>
  <si>
    <t>Élaborer un processus de traçabilité de bout en bout</t>
  </si>
  <si>
    <t>Les supports sont étiquetés, enregistrés et suivis tout au long de leur cycle de vie</t>
  </si>
  <si>
    <t>Les supports sont-ils étiquetés,  enregistrés et suivis ?</t>
  </si>
  <si>
    <t>Registre d’identification</t>
  </si>
  <si>
    <t>Confusion ou perte de support</t>
  </si>
  <si>
    <t>Difficulté à localiser les données ou preuves</t>
  </si>
  <si>
    <t>Imposer une identification systématique et un tracking</t>
  </si>
  <si>
    <t xml:space="preserve"> fiche de suivi des supports</t>
  </si>
  <si>
    <t>Former les utilisateurs à la manipulation conforme des supports</t>
  </si>
  <si>
    <t>Les règles de stockage, de transport et d’élimination des supports sont documentées</t>
  </si>
  <si>
    <t>Les règles de stockage, transport et élimination sont-elles documentées ?</t>
  </si>
  <si>
    <t>Politique de conservation</t>
  </si>
  <si>
    <t>Manipulations non conformes</t>
  </si>
  <si>
    <t>Perte, vol ou altération des supports</t>
  </si>
  <si>
    <t>Élaborer des guides pratiques pour chaque phase du cycle de vie</t>
  </si>
  <si>
    <t xml:space="preserve"> fiche de sécurité des supports</t>
  </si>
  <si>
    <t>Vérifier le respect des règles lors des audits internes</t>
  </si>
  <si>
    <t>Les responsabilités de gestion des supports sont assignées à des personnes spécifiques</t>
  </si>
  <si>
    <t>Les responsabilités de gestion des supports sont-elles attribuées ?</t>
  </si>
  <si>
    <t>Absence de responsable identifié</t>
  </si>
  <si>
    <t>Retards ou erreurs dans le suivi des supports</t>
  </si>
  <si>
    <t>Répartir clairement les responsabilités entre les équipes</t>
  </si>
  <si>
    <t>Désigner un gestionnaire référent par type de support</t>
  </si>
  <si>
    <t>Les supports contenant des données sensibles doivent être protégés contre les accès non autorisés</t>
  </si>
  <si>
    <t>Les supports sensibles sont-ils protégés contre les accès non autorisés ?</t>
  </si>
  <si>
    <t>Politique d’accès physique</t>
  </si>
  <si>
    <t>Consultation ou vol de données</t>
  </si>
  <si>
    <t>Divulgation d’informations confidentielles</t>
  </si>
  <si>
    <t>Utiliser des coffres sécurisés et cadenas scellés</t>
  </si>
  <si>
    <t xml:space="preserve"> registre de transport</t>
  </si>
  <si>
    <t>Restreindre l’accès aux zones de stockage sensibles</t>
  </si>
  <si>
    <t>Vérifier que les modalités de gestion des supports de 
données sont appliquées</t>
  </si>
  <si>
    <t>Les supports obsolètes ou non utilisés sont systématiquement effacés ou détruits selon les procédures</t>
  </si>
  <si>
    <t>Les supports obsolètes sont-ils effacés ou détruits ?</t>
  </si>
  <si>
    <t>Registre d’élimination</t>
  </si>
  <si>
    <t>Réutilisation involontaire de supports sensibles</t>
  </si>
  <si>
    <t>Divulgation d’anciens fichiers ou configurations</t>
  </si>
  <si>
    <t>Mettre à disposition des broyeurs ou dispositifs d’effacement</t>
  </si>
  <si>
    <t xml:space="preserve"> certificat de destruction</t>
  </si>
  <si>
    <t>Appliquer une politique de destruction certifiée</t>
  </si>
  <si>
    <t>Des journaux de suivi sont tenus à jour pour chaque transfert ou suppression de support</t>
  </si>
  <si>
    <t>Des journaux sont-ils tenus pour les transferts ou suppressions de supports ?</t>
  </si>
  <si>
    <t>Journal de transfert</t>
  </si>
  <si>
    <t>Incapacité à démontrer la conformité ou la destruction</t>
  </si>
  <si>
    <t>Auditer les transferts sensibles trimestriellement</t>
  </si>
  <si>
    <t xml:space="preserve"> registre de destruction</t>
  </si>
  <si>
    <t>Renseigner un registre électronique horodaté</t>
  </si>
  <si>
    <t>Des audits sont réalisés pour s’assurer du respect des procédures de gestion des supports</t>
  </si>
  <si>
    <t>Des audits sont-ils réalisés pour s’assurer du respect des procédures de gestion des supports ?</t>
  </si>
  <si>
    <t>Non-conformité dans la manipulation des supports</t>
  </si>
  <si>
    <t>Perte de données sensibles ou violation de la confidentialité</t>
  </si>
  <si>
    <t>Former les auditeurs aux spécificités de la gestion des supports</t>
  </si>
  <si>
    <t xml:space="preserve"> procédures de gestion des supports</t>
  </si>
  <si>
    <t>Planifier des audits périodiques de gestion des supports</t>
  </si>
  <si>
    <t>Les utilisateurs sont sensibilisés aux risques liés à l’usage non encadré des supports de données</t>
  </si>
  <si>
    <t>Les utilisateurs sont-ils sensibilisés aux risques liés à l’usage non encadré des supports de données ?</t>
  </si>
  <si>
    <t>Mauvaises pratiques de manipulation des supports</t>
  </si>
  <si>
    <t>Introduction de logiciels malveillants ou fuite d’informations</t>
  </si>
  <si>
    <t>Réaliser des campagnes régulières de sensibilisation ciblées</t>
  </si>
  <si>
    <t xml:space="preserve"> registre de formation des utilisateurs</t>
  </si>
  <si>
    <t>Intégrer la gestion des supports dans les programmes de formation</t>
  </si>
  <si>
    <t>Des contrôles aléatoires sont effectués pour vérifier la conformité des pratiques sur site</t>
  </si>
  <si>
    <t>Des contrôles aléatoires sont-ils effectués pour vérifier la conformité des pratiques sur site ?</t>
  </si>
  <si>
    <t>Fiches de contrôle inopiné</t>
  </si>
  <si>
    <t>Laxisme dans l’application des procédures</t>
  </si>
  <si>
    <t>Accès non autorisé ou utilisation frauduleuse de supports</t>
  </si>
  <si>
    <t>Impliquer les responsables de site dans le suivi de conformité</t>
  </si>
  <si>
    <t xml:space="preserve"> rapports de vérification</t>
  </si>
  <si>
    <t>Mettre en place un planning de contrôles inopinés</t>
  </si>
  <si>
    <t>Conformité</t>
  </si>
  <si>
    <t>Vérifier que les politique et procédures de sécurité internalisent 
les exigences légales et réglementaires</t>
  </si>
  <si>
    <t>Les politiques de sécurité de l’information font explicitement référence aux textes légaux et réglementaires applicables</t>
  </si>
  <si>
    <t>Les politiques de sécurité font-elles explicitement référence aux textes légaux et réglementaires applicables ?</t>
  </si>
  <si>
    <t xml:space="preserve"> liste des textes légaux référencés</t>
  </si>
  <si>
    <t>Non-alignement avec les exigences réglementaires</t>
  </si>
  <si>
    <t>Risques juridiques ou sanctions administratives</t>
  </si>
  <si>
    <t>Actualiser la politique de sécurité à chaque évolution réglementaire</t>
  </si>
  <si>
    <t>Politique de sécurité de l’information</t>
  </si>
  <si>
    <t>Associer un juriste ou le responsable conformité à la validation des politiques</t>
  </si>
  <si>
    <t>Les procédures opérationnelles sont alignées sur les exigences de conformité (ex. RGPD, loi sur la cybersécurité)</t>
  </si>
  <si>
    <t>Les procédures sont-elles alignées sur les exigences de conformité (RGPD, loi cybersécurité) ?</t>
  </si>
  <si>
    <t>Procédures opérationnelles</t>
  </si>
  <si>
    <t>Inadéquation entre les pratiques internes et les lois</t>
  </si>
  <si>
    <t>Amendes, restrictions, ou perte de certification</t>
  </si>
  <si>
    <t>Adapter les processus sur la base des obligations identifiées</t>
  </si>
  <si>
    <t xml:space="preserve"> grille de conformité réglementaire</t>
  </si>
  <si>
    <t>Réaliser une analyse d’impact réglementaire par procédure</t>
  </si>
  <si>
    <t>Les évolutions législatives sont suivies et intégrées dans les politiques internes dans un délai raisonnable</t>
  </si>
  <si>
    <t>Les évolutions législatives sont-elles suivies et intégrées dans les politiques internes dans un délai raisonnable ?</t>
  </si>
  <si>
    <t>Registre de veille réglementaire</t>
  </si>
  <si>
    <t>Inadéquation entre la politique interne et les exigences légales récentes</t>
  </si>
  <si>
    <t>Risque de non-conformité, contentieux ou sanctions financières</t>
  </si>
  <si>
    <t>Associer systématiquement le service juridique à l’analyse des impacts réglementaires</t>
  </si>
  <si>
    <t xml:space="preserve"> historique des mises à jour de politiques internes</t>
  </si>
  <si>
    <t>Mettre en place une procédure formelle de veille réglementaire avec indicateurs de réactivité</t>
  </si>
  <si>
    <t>Une veille réglementaire est formellement organisée par la direction de la sécurité ou le responsable conformité</t>
  </si>
  <si>
    <t>Une veille réglementaire est-elle organisée par la direction sécurité ou conformité ?</t>
  </si>
  <si>
    <t>Plan de veille réglementaire</t>
  </si>
  <si>
    <t>Méconnaissance des nouvelles obligations légales</t>
  </si>
  <si>
    <t>Non-conformité persistante ou tardive</t>
  </si>
  <si>
    <t>Utiliser des outils automatisés de veille légale</t>
  </si>
  <si>
    <t xml:space="preserve"> preuves de suivi des évolutions</t>
  </si>
  <si>
    <t>Désigner formellement un responsable de la veille</t>
  </si>
  <si>
    <t>Des audits internes vérifient régulièrement l’intégration des obligations légales dans les pratiques internes</t>
  </si>
  <si>
    <t>Les audits internes intègrent-ils les exigences réglementaires dans leur périmètre ?</t>
  </si>
  <si>
    <t>Programmes d’audit, checklists d’audit</t>
  </si>
  <si>
    <t>Audits incomplets ou partiels</t>
  </si>
  <si>
    <t>Réviser les référentiels d’audit avec un focus réglementaire</t>
  </si>
  <si>
    <t xml:space="preserve"> rapports d’audit</t>
  </si>
  <si>
    <t>Former les auditeurs à l’interprétation des textes légaux</t>
  </si>
  <si>
    <t>Vérifier que la convergence vers le cadre règlementaire national 
est recherchée</t>
  </si>
  <si>
    <t>Une cartographie des référentiels réglementaires nationaux pertinents est disponible et mise à jour</t>
  </si>
  <si>
    <t>Une cartographie des référentiels réglementaires nationaux est-elle disponible et à jour ?</t>
  </si>
  <si>
    <t>Cartographie des exigences légales</t>
  </si>
  <si>
    <t>Absence de vision globale des obligations applicables</t>
  </si>
  <si>
    <t>Manque d’alignement stratégique et opérationnel</t>
  </si>
  <si>
    <t>Mettre à jour la cartographie à chaque changement législatif</t>
  </si>
  <si>
    <t xml:space="preserve"> base documentaire</t>
  </si>
  <si>
    <t>Mettre en place un outil de cartographie réglementaire</t>
  </si>
  <si>
    <t>Les écarts entre le système de sécurité de l’organisation et les exigences du cadre national sont identifiés</t>
  </si>
  <si>
    <t>Les écarts entre le système de sécurité et les exigences nationales sont-ils identifiés ?</t>
  </si>
  <si>
    <t>Rapports de gap analysis</t>
  </si>
  <si>
    <t>Manque de contrôle sur les non-conformités</t>
  </si>
  <si>
    <t>Impossibilité d’établir un plan de mise en conformité</t>
  </si>
  <si>
    <t>Prioriser les écarts selon leur criticité</t>
  </si>
  <si>
    <t xml:space="preserve"> état des écarts</t>
  </si>
  <si>
    <t>Réaliser une analyse systématique des écarts réglementaires</t>
  </si>
  <si>
    <t>Un plan d’alignement progressif est élaboré et suivi par la direction de la sécurité ou le responsable conformité</t>
  </si>
  <si>
    <t>Un plan d’alignement progressif est-il élaboré et suivi ?</t>
  </si>
  <si>
    <t>Plan d’action de mise en conformité</t>
  </si>
  <si>
    <t>Immobilisme ou retards dans les corrections</t>
  </si>
  <si>
    <t>Accumulation de pénalités et réputation entachée</t>
  </si>
  <si>
    <t>Intégrer le plan dans le pilotage stratégique sécurité</t>
  </si>
  <si>
    <t xml:space="preserve"> tableau de bord réglementaire</t>
  </si>
  <si>
    <t>Suivre les indicateurs d’avancement en comité de direction</t>
  </si>
  <si>
    <t>Des indicateurs de suivi de convergence réglementaire sont définis et présentés périodiquement à la direction</t>
  </si>
  <si>
    <t>Des indicateurs de convergence réglementaire sont-ils définis et suivis ?</t>
  </si>
  <si>
    <t>Tableau de bord de conformité</t>
  </si>
  <si>
    <t>Manque de pilotage et de vision stratégique</t>
  </si>
  <si>
    <t>Difficulté à démontrer l’effort de conformité</t>
  </si>
  <si>
    <t>Présenter les résultats trimestriellement au comité de sécurité</t>
  </si>
  <si>
    <t xml:space="preserve"> KPI réglementaires</t>
  </si>
  <si>
    <t>Définir des indicateurs SMART pour chaque exigence majeure</t>
  </si>
  <si>
    <t>Des actions de sensibilisation sont menées pour promouvoir la conformité avec les textes nationaux auprès des équipes</t>
  </si>
  <si>
    <t>Les actions de sensibilisation promeuvent-elles la conformité avec les textes nationaux ?</t>
  </si>
  <si>
    <t>Matériel de sensibilisation</t>
  </si>
  <si>
    <t>Méconnaissance des obligations légales par les employés</t>
  </si>
  <si>
    <t>Répétition d’erreurs ou de pratiques non conformes</t>
  </si>
  <si>
    <t>Cibler les campagnes en fonction des rôles à risques</t>
  </si>
  <si>
    <t xml:space="preserve"> bilans des campagnes internes</t>
  </si>
  <si>
    <t>Renforcer les messages de conformité dans les formations</t>
  </si>
  <si>
    <t>S’assurer qu’un document retraçant le gap entre l’état actuel 
des politiques et procédures de sécurité interne et le cadre 
réglementaire existe et est tenu à jour</t>
  </si>
  <si>
    <t>Un document formel de type “gap analysis” ou “état des écarts” est rédigé par le responsable conformité ou le RSSI</t>
  </si>
  <si>
    <t>Un document de type “gap analysis” est-il disponible et maintenu à jour ?</t>
  </si>
  <si>
    <t>Gap analysis</t>
  </si>
  <si>
    <t>Absence de suivi structuré des écarts</t>
  </si>
  <si>
    <t>Plans de remédiation inefficaces ou incomplets</t>
  </si>
  <si>
    <t>Associer les responsables métiers à sa validation</t>
  </si>
  <si>
    <t xml:space="preserve"> plan de mise en conformité</t>
  </si>
  <si>
    <t>Mettre à jour le document après chaque changement</t>
  </si>
  <si>
    <t>Le document identifie précisément les écarts par article ou exigence réglementaire avec un degré de priorité</t>
  </si>
  <si>
    <t>Le document identifie-t-il les écarts par article ou exigence avec degré de priorité ?</t>
  </si>
  <si>
    <t>Matrice de conformité détaillée</t>
  </si>
  <si>
    <t>Absence de hiérarchisation des actions</t>
  </si>
  <si>
    <t>Traitement inefficace des risques critiques</t>
  </si>
  <si>
    <t>Adopter une approche par scénario d’impact</t>
  </si>
  <si>
    <t>Intégrer une colonne “priorité” dans l’analyse</t>
  </si>
  <si>
    <t>Le document est mis à jour après chaque changement réglementaire majeur ou mise à jour des politiques internes</t>
  </si>
  <si>
    <t>Le document est-il mis à jour après chaque changement réglementaire majeur ou mise à jour des politiques internes ?</t>
  </si>
  <si>
    <t>Historique des versions du document</t>
  </si>
  <si>
    <t>Utilisation d’un référentiel obsolète pour piloter la conformité</t>
  </si>
  <si>
    <t>Maintien ou aggravation des écarts non identifiés ou mal adressés</t>
  </si>
  <si>
    <t>Automatiser les alertes de modification pour les responsables concernés</t>
  </si>
  <si>
    <t xml:space="preserve"> registre des changements réglementaires</t>
  </si>
  <si>
    <t>Intégrer une obligation de mise à jour dans le processus de gestion documentaire</t>
  </si>
  <si>
    <t>Le plan d’action pour réduire les écarts est associé à ce document et validé par la direction</t>
  </si>
  <si>
    <t>Le plan d’action pour réduire les écarts est-il associé à ce document et validé par la direction ?</t>
  </si>
  <si>
    <t>Absence de pilotage stratégique de la remédiation</t>
  </si>
  <si>
    <t>Incapacité à prouver l’engagement de l’organisation en cas d’audit ou d’incident</t>
  </si>
  <si>
    <t>Prévoir une validation formelle en comité de direction avec échéancier</t>
  </si>
  <si>
    <t xml:space="preserve"> procès-verbal de validation par la direction</t>
  </si>
  <si>
    <t>Lier formellement le plan d’action à la matrice des écarts</t>
  </si>
  <si>
    <t>Le document est audité et conservé dans un référentiel documentaire centralisé et sécurisé</t>
  </si>
  <si>
    <t>Le document est-il archivé et sécurisé dans un référentiel centralisé ?</t>
  </si>
  <si>
    <t>Référentiel documentaire sécurisé</t>
  </si>
  <si>
    <t>Perte ou manipulation non autorisée des preuves de conformité</t>
  </si>
  <si>
    <t>Incapacité à produire les documents lors d’un audit externe</t>
  </si>
  <si>
    <t>Héberger le document dans un espace à accès restreint</t>
  </si>
  <si>
    <t xml:space="preserve"> logs d’accès</t>
  </si>
  <si>
    <t>Journaliser tous les accès et modifications</t>
  </si>
  <si>
    <t>S’assurer que tous les audits réglementaires sont réalisés</t>
  </si>
  <si>
    <t>Un calendrier d’audits réglementaires est défini et validé en début d’année par la direction ou le comité sécurité</t>
  </si>
  <si>
    <t>Un calendrier annuel d’audit réglementaire est-il défini et validé ?</t>
  </si>
  <si>
    <t>Calendrier d’audit</t>
  </si>
  <si>
    <t>Absence de planification proactive</t>
  </si>
  <si>
    <t>Audits non réalisés ou partiels</t>
  </si>
  <si>
    <t xml:space="preserve"> procès-verbaux de validation</t>
  </si>
  <si>
    <t>Planifier les audits dès le début de l’exercice</t>
  </si>
  <si>
    <t>Les audits sont réalisés par des entités habilitées ou des tiers externes qualifiés, selon les exigences des textes</t>
  </si>
  <si>
    <t>Les audits sont-ils réalisés par des entités qualifiées selon les textes ?</t>
  </si>
  <si>
    <t>Non-conformité des procédures d’audit</t>
  </si>
  <si>
    <t>Remise en cause des conclusions ou sanctions légales</t>
  </si>
  <si>
    <t>Inclure des critères de sélection dans les appels d’offres</t>
  </si>
  <si>
    <t xml:space="preserve"> accréditations des auditeurs</t>
  </si>
  <si>
    <t>Vérifier l’habilitation des entités d’audit</t>
  </si>
  <si>
    <t>Les rapports d’audit sont formellement rédigés, analysés et archivés dans un registre dédié à la conformité</t>
  </si>
  <si>
    <t>Les rapports d’audit sont-ils archivés et analysés ?</t>
  </si>
  <si>
    <t>Perte d’informations critiques</t>
  </si>
  <si>
    <t>Répétition d’erreurs ou de non-conformités</t>
  </si>
  <si>
    <t>Analyser chaque rapport avec les équipes concernées</t>
  </si>
  <si>
    <t xml:space="preserve"> registre d’analyse des écarts</t>
  </si>
  <si>
    <t>Les écarts identifiés lors des audits donnent systématiquement lieu à un plan de remédiation suivi dans le temps</t>
  </si>
  <si>
    <t>Un plan de remédiation est-il systématiquement mis en œuvre après audit ?</t>
  </si>
  <si>
    <t>Plans d’action correctifs</t>
  </si>
  <si>
    <t>Accumulation des écarts non corrigés</t>
  </si>
  <si>
    <t>Rejets lors d’un audit de certification ou pénalité</t>
  </si>
  <si>
    <t>Impliquer la direction dans le suivi des correctifs</t>
  </si>
  <si>
    <t xml:space="preserve"> indicateurs de suivi</t>
  </si>
  <si>
    <t>Suivre un plan d’action avec des échéances précises</t>
  </si>
  <si>
    <t>Les résultats des audits sont communiqués à la direction générale et intégrés au bilan annuel de sécurité</t>
  </si>
  <si>
    <t>Les résultats des audits sont-ils communiqués à la direction générale ?</t>
  </si>
  <si>
    <t>Sous-estimation des risques réglementaires par la direction</t>
  </si>
  <si>
    <t>Décisions stratégiques erronées ou insuffisantes</t>
  </si>
  <si>
    <t>Présenter les résultats en comité exécutif</t>
  </si>
  <si>
    <t xml:space="preserve"> bulletins de sécurité</t>
  </si>
  <si>
    <t>Intégrer les audits au bilan annuel de sécurité</t>
  </si>
  <si>
    <t>S’assurer qu’un responsable conformité est désigné</t>
  </si>
  <si>
    <t>La fonction de responsable conformité est officiellement établie dans l’organigramme de la DSI ou du service juridique</t>
  </si>
  <si>
    <t>La fonction de responsable conformité est-elle formellement établie ?</t>
  </si>
  <si>
    <t>Absence de gouvernance claire en matière de conformité</t>
  </si>
  <si>
    <t>Confusion des responsabilités ou inaction</t>
  </si>
  <si>
    <t>Désigner un responsable avec un mandat officiel</t>
  </si>
  <si>
    <t xml:space="preserve"> fiche de poste responsable conformité</t>
  </si>
  <si>
    <t>Documenter la position dans l’organigramme</t>
  </si>
  <si>
    <t>Les missions et responsabilités du responsable conformité sont formalisées dans une fiche de poste</t>
  </si>
  <si>
    <t>Les missions du responsable conformité sont-elles formalisées ?</t>
  </si>
  <si>
    <t>Fiche de poste</t>
  </si>
  <si>
    <t>Flou dans l’attribution des tâches</t>
  </si>
  <si>
    <t>Échec du pilotage réglementaire</t>
  </si>
  <si>
    <t>Réviser périodiquement le périmètre de ses missions</t>
  </si>
  <si>
    <t xml:space="preserve"> charte de mission conformité</t>
  </si>
  <si>
    <t>Rédiger une fiche complète validée par la direction</t>
  </si>
  <si>
    <t>Le responsable conformité dispose de l’autorité nécessaire pour effectuer ses contrôles et recommandations</t>
  </si>
  <si>
    <t>Le responsable conformité dispose-t-il de l’autorité nécessaire ?</t>
  </si>
  <si>
    <t>Notes de service</t>
  </si>
  <si>
    <t>Absence de légitimité face aux autres directions</t>
  </si>
  <si>
    <t>Blocage des plans de mise en conformité</t>
  </si>
  <si>
    <t>Donner un pouvoir de validation au responsable conformité</t>
  </si>
  <si>
    <t xml:space="preserve"> PV de réunions de validation</t>
  </si>
  <si>
    <t>Inclure ce rôle dans les comités décisionnels clés</t>
  </si>
  <si>
    <t>Il participe aux comités de sécurité, comités de direction ou réunions stratégiques en lien avec les risques</t>
  </si>
  <si>
    <t>Le responsable conformité est-il impliqué dans les décisions stratégiques de sécurité ?</t>
  </si>
  <si>
    <t>Procès-verbaux de réunion</t>
  </si>
  <si>
    <t>Mauvaise gouvernance des risques</t>
  </si>
  <si>
    <t>Décisions stratégiques mal alignées avec les enjeux de conformité</t>
  </si>
  <si>
    <t>Formaliser sa participation dans la charte de gouvernance</t>
  </si>
  <si>
    <t xml:space="preserve"> convocations</t>
  </si>
  <si>
    <t>Intégrer systématiquement le responsable conformité aux comités</t>
  </si>
  <si>
    <t>Son action est évaluée périodiquement par des indicateurs de performance ou dans le cadre d’un audit interne</t>
  </si>
  <si>
    <t>Existe-t-il un dispositif d’évaluation formel des activités du responsable conformité ?</t>
  </si>
  <si>
    <t>Manque de pilotage de la fonction conformité</t>
  </si>
  <si>
    <t>Inefficacité ou dérives non détectées</t>
  </si>
  <si>
    <t>Planifier des audits internes ciblés</t>
  </si>
  <si>
    <t xml:space="preserve"> tableaux de bord de performance</t>
  </si>
  <si>
    <t>Définir des KPIs pour le responsable conformité</t>
  </si>
  <si>
    <t>Gestion des identifiants et des mots de passe</t>
  </si>
  <si>
    <t>Vérifier qu'il y a un seul utilisateur par identifiant</t>
  </si>
  <si>
    <t>Chaque identifiant est nominatif et associé à un seul utilisateur dans les systèmes d’information</t>
  </si>
  <si>
    <t>Tous les comptes utilisateurs sont-ils personnels et traçables ?</t>
  </si>
  <si>
    <t>Relevés de comptes</t>
  </si>
  <si>
    <t>Anonymat ou confusion d’identité</t>
  </si>
  <si>
    <t>Tracabilité impossible des actions utilisateurs</t>
  </si>
  <si>
    <t>Auditer régulièrement les comptes en production</t>
  </si>
  <si>
    <t xml:space="preserve"> politiques de gestion des identifiants</t>
  </si>
  <si>
    <t>Interdire les comptes partagés par défaut</t>
  </si>
  <si>
    <t>Les comptes partagés sont interdits ou font l’objet d’exceptions formalisées et justifiées</t>
  </si>
  <si>
    <t>Les comptes partagés sont-ils justifiés et encadrés ?</t>
  </si>
  <si>
    <t>Registre des exceptions</t>
  </si>
  <si>
    <t>Perte de responsabilité individuelle</t>
  </si>
  <si>
    <t>Accès non autorisés ou malveillants</t>
  </si>
  <si>
    <t>Prévoir des contrôles accrus sur ces comptes</t>
  </si>
  <si>
    <t xml:space="preserve"> justification écrite</t>
  </si>
  <si>
    <t>Documenter et encadrer les exceptions</t>
  </si>
  <si>
    <t>Les comptes génériques sont restreints, tracés et régulièrement revus par les administrateurs</t>
  </si>
  <si>
    <t>Comment les comptes génériques sont-ils gérés ?</t>
  </si>
  <si>
    <t>Liste des comptes génériques</t>
  </si>
  <si>
    <t>Utilisation abusive non détectée</t>
  </si>
  <si>
    <t>Intrusions difficiles à retracer</t>
  </si>
  <si>
    <t>Restreindre leur usage à des cas spécifiques</t>
  </si>
  <si>
    <t>Activer une journalisation renforcée</t>
  </si>
  <si>
    <t>Les droits attribués sont strictement liés à l’identité et au rôle de l’utilisateur dans l’organisation</t>
  </si>
  <si>
    <t>Existe-t-il une politique de droits basée sur les rôles ?</t>
  </si>
  <si>
    <t>Matrice des rôles</t>
  </si>
  <si>
    <t>Surcharge ou sous-attribution de privilèges</t>
  </si>
  <si>
    <t>Risques d’accès non autorisés</t>
  </si>
  <si>
    <t>Revoir les habilitations régulièrement</t>
  </si>
  <si>
    <t xml:space="preserve"> politique d’habilitation</t>
  </si>
  <si>
    <t>Un audit périodique des comptes utilisateurs vérifie l’unicité et la validité des identifiants</t>
  </si>
  <si>
    <t>Des audits réguliers des comptes sont-ils effectués ?</t>
  </si>
  <si>
    <t>Rapports d’audit des comptes</t>
  </si>
  <si>
    <t>Comptes obsolètes ou redondants</t>
  </si>
  <si>
    <t>Accès résiduels non justifiés</t>
  </si>
  <si>
    <t>Intégrer un contrôle périodique au planning d’audit</t>
  </si>
  <si>
    <t xml:space="preserve"> liste des utilisateurs</t>
  </si>
  <si>
    <t>Utiliser des outils d’inventaire automatisés</t>
  </si>
  <si>
    <t>Vérifier que les identifiants inutilisés pendant un certain délai 
sont révoqués</t>
  </si>
  <si>
    <t>Une politique de désactivation automatique des comptes inactifs est définie et appliquée</t>
  </si>
  <si>
    <t>Comment sont gérés les comptes inactifs ?</t>
  </si>
  <si>
    <t>Accès prolongé non autorisé</t>
  </si>
  <si>
    <t>Exploitation de comptes dormants</t>
  </si>
  <si>
    <t>Sensibiliser les administrateurs</t>
  </si>
  <si>
    <t xml:space="preserve"> logs d’activité</t>
  </si>
  <si>
    <t>Paramétrer un seuil d’inactivité avec désactivation</t>
  </si>
  <si>
    <t>Le délai d’inactivité avant désactivation est précisé et paramétré dans les systèmes</t>
  </si>
  <si>
    <t>Ce délai est-il formellement défini et respecté ?</t>
  </si>
  <si>
    <t>Politique de gestion des comptes</t>
  </si>
  <si>
    <t>Flou sur l’application des politiques</t>
  </si>
  <si>
    <t>Accès inappropriés ou oubliés</t>
  </si>
  <si>
    <t>Contrôler son application via des tests</t>
  </si>
  <si>
    <t xml:space="preserve"> capture écran de configuration</t>
  </si>
  <si>
    <t>Définir un délai clair (ex. 90 jours)</t>
  </si>
  <si>
    <t>Un système d’alerte avertit les administrateurs de l’inactivité prolongée d’un compte</t>
  </si>
  <si>
    <t>Existe-t-il un mécanisme d’alerte automatique ?</t>
  </si>
  <si>
    <t>outil IAM</t>
  </si>
  <si>
    <t>Retard dans la désactivation</t>
  </si>
  <si>
    <t>Non-conformité et risque accru</t>
  </si>
  <si>
    <t>Affecter un responsable du suivi</t>
  </si>
  <si>
    <t xml:space="preserve">Paramétrage SIEM </t>
  </si>
  <si>
    <t>Mettre en place des alertes automatiques</t>
  </si>
  <si>
    <t>Les comptes désactivés sont ensuite supprimés après une période définie de non-utilisation</t>
  </si>
  <si>
    <t>Comment sont traités les comptes désactivés ?</t>
  </si>
  <si>
    <t>Politique de suppression</t>
  </si>
  <si>
    <t>Conservation excessive de comptes inutiles</t>
  </si>
  <si>
    <t>Risque de réactivation non contrôlée</t>
  </si>
  <si>
    <t>Archiver les informations nécessaires avant suppression</t>
  </si>
  <si>
    <t xml:space="preserve"> log système</t>
  </si>
  <si>
    <t>Planifier la suppression automatique</t>
  </si>
  <si>
    <t>Les réactivations de comptes inactifs sont soumises à une procédure de validation formelle</t>
  </si>
  <si>
    <t>Une validation est-elle exigée pour réactiver un compte ?</t>
  </si>
  <si>
    <t>Formulaire de demande</t>
  </si>
  <si>
    <t>Réactivation abusive</t>
  </si>
  <si>
    <t>Accès frauduleux ou non justifié</t>
  </si>
  <si>
    <t>Journaliser toute réactivation</t>
  </si>
  <si>
    <t xml:space="preserve"> procédure formelle</t>
  </si>
  <si>
    <t>Mettre en place un circuit de validation</t>
  </si>
  <si>
    <t>Vérifier que des règles de gestion de la casse des mots de passe 
existent</t>
  </si>
  <si>
    <t>Une politique formalisée précise les exigences de complexité des mots de passe, incluant la casse</t>
  </si>
  <si>
    <t>Existe-t-il une politique de mot de passe documentée ?</t>
  </si>
  <si>
    <t>Faiblesse des mots de passe</t>
  </si>
  <si>
    <t>Usurpation d’identité,attaques par force brute</t>
  </si>
  <si>
    <t>Définir des exigences claires (longueur,ase)</t>
  </si>
  <si>
    <t xml:space="preserve"> guides utilisateurs</t>
  </si>
  <si>
    <t>Former les utilisateurs à leur respect</t>
  </si>
  <si>
    <t>Les mots de passe doivent inclure des lettres majuscules, minuscules, chiffres et caractères spéciaux</t>
  </si>
  <si>
    <t>Les critères de complexité sont-ils imposés techniquement ?</t>
  </si>
  <si>
    <t>Politique de mot de passe</t>
  </si>
  <si>
    <t>Mot de passe facilement devinable</t>
  </si>
  <si>
    <t>Accès non autorisé</t>
  </si>
  <si>
    <t>Interdire les mots de passe simples par dictionnaire</t>
  </si>
  <si>
    <t xml:space="preserve"> script de vérification de complexité</t>
  </si>
  <si>
    <t>Appliquer les règles via GPO ou équivalent</t>
  </si>
  <si>
    <t>Des règles sont imposées pour éviter les mots de passe faibles ou issus de dictionnaires</t>
  </si>
  <si>
    <t>Existe-t-il une vérification contre une base de mots interdits ?</t>
  </si>
  <si>
    <t>Liste noire</t>
  </si>
  <si>
    <t>Recyclage de mots de passe faibles</t>
  </si>
  <si>
    <t>Failles facilement exploitables</t>
  </si>
  <si>
    <t>Tester régulièrement leur robustesse</t>
  </si>
  <si>
    <t xml:space="preserve"> politique de mot de passe</t>
  </si>
  <si>
    <t>Utiliser une liste de mots de passe interdits</t>
  </si>
  <si>
    <t>La politique est diffusée à tous les utilisateurs au moment de la création ou du changement de mot de passe</t>
  </si>
  <si>
    <t>Les utilisateurs sont-ils informés des règles ?</t>
  </si>
  <si>
    <t>Courriels</t>
  </si>
  <si>
    <t>Méconnaissance des exigences</t>
  </si>
  <si>
    <t>Erreurs ou contournements fréquents</t>
  </si>
  <si>
    <t>Intégrer les règles dans l’interface utilisateur</t>
  </si>
  <si>
    <t xml:space="preserve"> guides de prise en main</t>
  </si>
  <si>
    <t>Informer systématiquement lors de l’onboarding</t>
  </si>
  <si>
    <t>Des contrôles automatiques empêchent la création de mots de passe ne respectant pas ces règles</t>
  </si>
  <si>
    <t>Un contrôle technique est-il actif à la création de mot de passe ?</t>
  </si>
  <si>
    <t>Paramétrage système</t>
  </si>
  <si>
    <t>Mot de passe faible accepté</t>
  </si>
  <si>
    <t>Perte de protection efficace</t>
  </si>
  <si>
    <t>Intégrer le contrôle dans le système d’authentification</t>
  </si>
  <si>
    <t xml:space="preserve"> capture de configuration</t>
  </si>
  <si>
    <t>Tester régulièrement son fonctionnement</t>
  </si>
  <si>
    <t>Vérifier que ces règles sont respectées</t>
  </si>
  <si>
    <t>Des mécanismes techniques contraignent les utilisateurs à créer des mots de passe conformes</t>
  </si>
  <si>
    <t>Des mécanismes techniques contraignent-ils les utilisateurs à créer des mots de passe conformes ?</t>
  </si>
  <si>
    <t>Politique de mot de passe paramétrée</t>
  </si>
  <si>
    <t>Création de mots de passe non sécurisés</t>
  </si>
  <si>
    <t>Vulnérabilité exploitable</t>
  </si>
  <si>
    <t>Bloquer les comptes après échec de conformité</t>
  </si>
  <si>
    <t xml:space="preserve"> documentation du logiciel de gestion des accès</t>
  </si>
  <si>
    <t>Utiliser un gestionnaire de mots de passe d’entreprise</t>
  </si>
  <si>
    <t>Les journaux de connexion et de changement de mot de passe sont audités pour détecter des anomalies</t>
  </si>
  <si>
    <t>Les journaux de connexion et de changement de mot de passe sont-ils audités pour détecter des anomalies ?</t>
  </si>
  <si>
    <t>Logs de sécurité</t>
  </si>
  <si>
    <t>Anomalies non détectées à temps</t>
  </si>
  <si>
    <t>Activité suspecte non signalée ou non traitée</t>
  </si>
  <si>
    <t>Programmer des audits réguliers des journaux critiques</t>
  </si>
  <si>
    <t xml:space="preserve"> rapports d’audit des journaux SI</t>
  </si>
  <si>
    <t>Mettre en place un outil de SIEM pour surveiller les logs</t>
  </si>
  <si>
    <t>Des audits internes vérifient périodiquement la conformité des pratiques avec la politique</t>
  </si>
  <si>
    <t>Des audits internes vérifient-ils périodiquement la conformité des pratiques avec la politique ?</t>
  </si>
  <si>
    <t xml:space="preserve"> rapports d’audit de sécurité</t>
  </si>
  <si>
    <t>Non-conformité persistante et non détectée</t>
  </si>
  <si>
    <t>Détérioration progressive du niveau de sécurité</t>
  </si>
  <si>
    <t>Évaluer l’efficacité des mesures à chaque audit</t>
  </si>
  <si>
    <t>Plan d’audit interne</t>
  </si>
  <si>
    <t>Intégrer les contrôles d’accès dans les audits récurrents</t>
  </si>
  <si>
    <t>Les utilisateurs reçoivent des rappels et consignes lors de la modification de leurs mots de passe</t>
  </si>
  <si>
    <t>Les utilisateurs reçoivent-ils des rappels et consignes lors de la modification de leurs mots de passe ?</t>
  </si>
  <si>
    <t>Modèle de notification utilisateur</t>
  </si>
  <si>
    <t>Répétition d’erreurs malgré les règles</t>
  </si>
  <si>
    <t>Baisse de la robustesse globale du système</t>
  </si>
  <si>
    <t>Prévoir des rappels contextuels intégrés dans les outils</t>
  </si>
  <si>
    <t xml:space="preserve"> script de changement de mot de passe</t>
  </si>
  <si>
    <t>Ajouter un message d’information systématique</t>
  </si>
  <si>
    <t>Des sanctions ou restrictions sont prévues en cas de non-respect des règles de sécurité</t>
  </si>
  <si>
    <t>Des sanctions ou restrictions sont-elles prévues en cas de non-respect des règles de sécurité ?</t>
  </si>
  <si>
    <t>Politique disciplinaire interne</t>
  </si>
  <si>
    <t>Comportements à risque répétés</t>
  </si>
  <si>
    <t>Manque d’effet dissuasif et banalisation des écarts</t>
  </si>
  <si>
    <t>Appliquer systématiquement les mesures prévues</t>
  </si>
  <si>
    <t>Préciser les sanctions dans les politiques de sécurité</t>
  </si>
  <si>
    <t>Vérifier qu’il existe une procédure de gestion des mots de 
passe</t>
  </si>
  <si>
    <t>La procédure de gestion des mots de passe est formalisée, validée et diffusée par la DSI</t>
  </si>
  <si>
    <t>La procédure de gestion des mots de passe est-elle formalisée, validée et diffusée par la DSI ?</t>
  </si>
  <si>
    <t>Procédure de gestion des mots de passe</t>
  </si>
  <si>
    <t>Approche non harmonisée de la gestion des accès</t>
  </si>
  <si>
    <t>Risque de conflits, incohérences ou failles dans la gestion</t>
  </si>
  <si>
    <t>Diffuser la procédure dans le référentiel de la DSI</t>
  </si>
  <si>
    <t xml:space="preserve"> note de validation de la DSI</t>
  </si>
  <si>
    <t>Formaliser la procédure et la faire approuver</t>
  </si>
  <si>
    <t>Elle couvre l’ensemble du cycle de vie du mot de passe (création, modification, suppression)</t>
  </si>
  <si>
    <t>Couvre-t-elle l’ensemble du cycle de vie du mot de passe (création, modification, suppression) ?</t>
  </si>
  <si>
    <t>Documentation de la procédure</t>
  </si>
  <si>
    <t>Lacunes dans la gestion des accès</t>
  </si>
  <si>
    <t>Exposition prolongée à des risques inutiles</t>
  </si>
  <si>
    <t>Évaluer son application dans les systèmes utilisés</t>
  </si>
  <si>
    <t xml:space="preserve"> journal des demandes de modification</t>
  </si>
  <si>
    <t>Réviser la procédure pour inclure tout le cycle</t>
  </si>
  <si>
    <t>Elle est accessible à tous les utilisateurs dans un référentiel documentaire ou une base de connaissances</t>
  </si>
  <si>
    <t>Est-elle accessible à tous les utilisateurs dans un référentiel documentaire ou une base de connaissances ?</t>
  </si>
  <si>
    <t>Portail documentaire DSI</t>
  </si>
  <si>
    <t>Méconnaissance des règles par les utilisateurs</t>
  </si>
  <si>
    <t>Non-respect involontaire des procédures</t>
  </si>
  <si>
    <t>Rendre la procédure facilement accessible</t>
  </si>
  <si>
    <t xml:space="preserve"> captures d’écran d’accès utilisateur</t>
  </si>
  <si>
    <t>Former les utilisateurs à la consulter régulièrement</t>
  </si>
  <si>
    <t>Elle précise les rôles et responsabilités en matière de gestion des accès et d’assistance</t>
  </si>
  <si>
    <t>Précise-t-elle les rôles et responsabilités en matière de gestion des accès et d’assistance ?</t>
  </si>
  <si>
    <t>Matrice RACI des accès</t>
  </si>
  <si>
    <t>Délai ou erreur dans la gestion des demandes</t>
  </si>
  <si>
    <t>Réaliser des rappels auprès des équipes concernées</t>
  </si>
  <si>
    <t xml:space="preserve"> politique de gestion des comptes</t>
  </si>
  <si>
    <t>Clarifier les rôles dans un document officiel</t>
  </si>
  <si>
    <t>Elle est revue régulièrement pour rester en cohérence avec les standards de sécurité en vigueur</t>
  </si>
  <si>
    <t>La politique de gestion des mots de passe est-elle mise à jour périodiquement pour refléter les évolutions des standards de sécurité ?</t>
  </si>
  <si>
    <t>Politique de mots de passe</t>
  </si>
  <si>
    <t>Obsolescence des règles de sécurité</t>
  </si>
  <si>
    <t>Vulnérabilités non couvertes et exposition accrue aux attaques</t>
  </si>
  <si>
    <t>Suivre les recommandations des référentiels de sécurité (ex. ANSSI</t>
  </si>
  <si>
    <t>Mettre en place un processus de révision périodique</t>
  </si>
  <si>
    <t>Vérifier que la procédure de gestion des mots de passe statue 
sur leur réutilisation</t>
  </si>
  <si>
    <t>La politique interdit ou limite la réutilisation d’anciens mots de passe déjà utilisés</t>
  </si>
  <si>
    <t>La réutilisation d’anciens mots de passe est-elle explicitement interdite ou limitée ?</t>
  </si>
  <si>
    <t>Politique de sécurité des mots de passe</t>
  </si>
  <si>
    <t>Réutilisation de mots de passe faibles ou compromis</t>
  </si>
  <si>
    <t>Prise de contrôle des comptes par des attaquants</t>
  </si>
  <si>
    <t>Mettre en place un contrôle technique dans les systèmes</t>
  </si>
  <si>
    <t xml:space="preserve"> Procédure de gestion des comptes utilisateurs</t>
  </si>
  <si>
    <t>Définir une règle de non-réutilisation des derniers mots de passe</t>
  </si>
  <si>
    <t>Un historique des anciens mots de passe est conservé pour empêcher leur réutilisation</t>
  </si>
  <si>
    <t>Le système conserve-t-il un historique des anciens mots de passe ?</t>
  </si>
  <si>
    <t>Paramétrage du système</t>
  </si>
  <si>
    <t>Absence de mémoire des anciens mots de passe</t>
  </si>
  <si>
    <t>Réutilisation facilitée des mots de passe précédents</t>
  </si>
  <si>
    <t>Spécifier le nombre de mots de passe mémorisés dans la politique</t>
  </si>
  <si>
    <t xml:space="preserve"> Politique de mots de passe</t>
  </si>
  <si>
    <t>Activer la conservation de l’historique dans les systèmes</t>
  </si>
  <si>
    <t>Le nombre de mots de passe antérieurs mémorisés est spécifié dans la procédure</t>
  </si>
  <si>
    <t>Le nombre de mots de passe précédents enregistrés est-il défini dans les procédures ?</t>
  </si>
  <si>
    <t>Procédure de sécurité</t>
  </si>
  <si>
    <t>Valeur par défaut insuffisante</t>
  </si>
  <si>
    <t>Inefficacité du contrôle de non-réutilisation</t>
  </si>
  <si>
    <t>Harmoniser le paramétrage des systèmes avec cette valeur</t>
  </si>
  <si>
    <t>Documenter la valeur dans les procédures</t>
  </si>
  <si>
    <t>Des contrôles techniques assurent le respect de cette restriction dans les systèmes</t>
  </si>
  <si>
    <t>Des mécanismes techniques empêchent-ils l’utilisation des anciens mots de passe ?</t>
  </si>
  <si>
    <t>Paramètres de sécurité système</t>
  </si>
  <si>
    <t>Politique non appliquée</t>
  </si>
  <si>
    <t>Risques non maîtrisés malgré les règles</t>
  </si>
  <si>
    <t>Paramétrer les contrôles dans l’annuaire ou le SSO</t>
  </si>
  <si>
    <t xml:space="preserve"> Fiche technique d’implémentation</t>
  </si>
  <si>
    <t>Vérifier régulièrement le respect de cette règle par audit</t>
  </si>
  <si>
    <t>La consigne est clairement communiquée lors du changement de mot de passe par l’utilisateur</t>
  </si>
  <si>
    <t>Les utilisateurs sont-ils informés des restrictions au moment du changement ?</t>
  </si>
  <si>
    <t>Interface utilisateur</t>
  </si>
  <si>
    <t>Mauvaise compréhension des règles</t>
  </si>
  <si>
    <t>Non-conformité involontaire des mots de passe</t>
  </si>
  <si>
    <t>Diffuser une note explicative à chaque modification de mot de passe</t>
  </si>
  <si>
    <t xml:space="preserve"> Procédure de changement de mot de passe</t>
  </si>
  <si>
    <t>Afficher les règles dans l’interface de changement</t>
  </si>
  <si>
    <t>Vérifier que la procédure de gestion des mots de passe statue 
sur leur stockage</t>
  </si>
  <si>
    <t>Les mots de passe sont stockés uniquement sous forme chiffrée et non réversible dans les bases</t>
  </si>
  <si>
    <t>Le stockage des mots de passe respecte-t-il les exigences de chiffrement non réversible ?</t>
  </si>
  <si>
    <t>Vol ou fuite de mots de passe en clair</t>
  </si>
  <si>
    <t>Compromission massive d’identifiants</t>
  </si>
  <si>
    <t>Auditer régulièrement les mécanismes de stockage</t>
  </si>
  <si>
    <t xml:space="preserve"> Documentation d’architecture</t>
  </si>
  <si>
    <t>Utiliser des fonctions de hachage robustes (ex. bcrypt)</t>
  </si>
  <si>
    <t>Le recours à des algorithmes robustes de hachage est formalisé et documenté (ex : SHA-256, bcrypt)</t>
  </si>
  <si>
    <t>Les algorithmes utilisés pour le hachage sont-ils documentés et conformes aux bonnes pratiques ?</t>
  </si>
  <si>
    <t>Documentation technique</t>
  </si>
  <si>
    <t>Utilisation d’algorithmes faibles ou obsolètes</t>
  </si>
  <si>
    <t>Brute force ou collisions facilitant le cassage des mots de passe</t>
  </si>
  <si>
    <t>Documenter et imposer un standard (bcrypt, Argon, etc.)</t>
  </si>
  <si>
    <t>Mettre à jour les systèmes anciens avec des algorithmes robustes</t>
  </si>
  <si>
    <t>Aucun mot de passe en clair n’est visible, même pour les administrateurs système</t>
  </si>
  <si>
    <t>Des protections empêchent-elles l’accès en clair aux mots de passe ?</t>
  </si>
  <si>
    <t>Revue de configuration système</t>
  </si>
  <si>
    <t>Fuite interne par privilège abusif</t>
  </si>
  <si>
    <t>Risques internes et compromission de la confidentialité</t>
  </si>
  <si>
    <t>Réaliser des tests techniques pour valider le chiffrement</t>
  </si>
  <si>
    <t xml:space="preserve"> Politique d’accès privilégié</t>
  </si>
  <si>
    <t>Désactiver tout stockage ou affichage de mots de passe en clair</t>
  </si>
  <si>
    <t>Les accès aux bases contenant les empreintes des mots de passe sont restreints et tracés</t>
  </si>
  <si>
    <t>Les accès aux bases sensibles sont-ils limités aux seuls personnels habilités ?</t>
  </si>
  <si>
    <t>Politique de contrôle d’accès</t>
  </si>
  <si>
    <t>Accès non maîtrisé aux données sensibles</t>
  </si>
  <si>
    <t>Fuite d’identifiants par compromission ou erreur</t>
  </si>
  <si>
    <t>Activer les journaux de traçabilité avec alertes</t>
  </si>
  <si>
    <t xml:space="preserve"> Journal d’audit des accès</t>
  </si>
  <si>
    <t>Restreindre l’accès aux administrateurs autorisés</t>
  </si>
  <si>
    <t>Des audits techniques vérifient périodiquement la conformité du stockage des mots de passe</t>
  </si>
  <si>
    <t>Des audits sont-ils réalisés pour s’assurer de la conformité du stockage des mots de passe ?</t>
  </si>
  <si>
    <t>Rapport d’audit technique</t>
  </si>
  <si>
    <t>Dérive ou modification non détectée</t>
  </si>
  <si>
    <t>Non-conformité prolongée et vulnérabilités latentes</t>
  </si>
  <si>
    <t>Corriger rapidement toute anomalie détectée</t>
  </si>
  <si>
    <t xml:space="preserve"> Politique de gestion des mots de passe</t>
  </si>
  <si>
    <t>Planifier des audits réguliers par un tiers</t>
  </si>
  <si>
    <t>Vérifier que la procédure de gestion des mots de passe statue 
sur leur diffusion</t>
  </si>
  <si>
    <t>La diffusion des mots de passe par courriel ou messagerie non sécurisée est formellement interdite</t>
  </si>
  <si>
    <t>Est-il interdit de transmettre des mots de passe par des canaux non sécurisés ?</t>
  </si>
  <si>
    <t>Politique de communication sécurisée</t>
  </si>
  <si>
    <t>Interception des identifiants par un tiers</t>
  </si>
  <si>
    <t>Usurpation d’identité ou compromission du compte</t>
  </si>
  <si>
    <t>Former les utilisateurs aux risques associés</t>
  </si>
  <si>
    <t xml:space="preserve"> Procédure de distribution d’identifiants</t>
  </si>
  <si>
    <t>Interdire explicitement les canaux non sécurisés</t>
  </si>
  <si>
    <t>Toute communication de mot de passe initial se fait via un canal sécurisé ou à usage unique</t>
  </si>
  <si>
    <t>Les mots de passe initiaux sont-ils transmis de manière sécurisée ?</t>
  </si>
  <si>
    <t>Procédure d’attribution des comptes</t>
  </si>
  <si>
    <t>Diffusion involontaire à une mauvaise personne</t>
  </si>
  <si>
    <t>Risque de prise de contrôle avant première connexion</t>
  </si>
  <si>
    <t>Imposer le changement immédiat du mot de passe</t>
  </si>
  <si>
    <t xml:space="preserve"> Guide utilisateur</t>
  </si>
  <si>
    <t>Utiliser un lien temporaire chiffré pour la première connexion</t>
  </si>
  <si>
    <t>Les mécanismes d’envoi automatique sont paramétrés pour garantir la confidentialité des mots de passe</t>
  </si>
  <si>
    <t>Les processus automatisés respectent-ils les exigences de sécurité ?</t>
  </si>
  <si>
    <t>Paramétrage du système de gestion d’identité</t>
  </si>
  <si>
    <t>Failles dans les scripts automatiques</t>
  </si>
  <si>
    <t>Fuite massive d’identifiants via un canal vulnérable</t>
  </si>
  <si>
    <t>Revoir régulièrement les configurations automatiques</t>
  </si>
  <si>
    <t xml:space="preserve"> Revue des scripts d’automatisation</t>
  </si>
  <si>
    <t>Chiffrer les envois automatiques et tracer les accès</t>
  </si>
  <si>
    <t>Les utilisateurs sont tenus de modifier leur mot de passe dès la première connexion</t>
  </si>
  <si>
    <t>Une politique impose-t-elle le changement immédiat du mot de passe initial ?</t>
  </si>
  <si>
    <t>Politique d’accueil utilisateur</t>
  </si>
  <si>
    <t>Mot de passe initial conservé trop longtemps</t>
  </si>
  <si>
    <t>Compromission possible par réutilisation</t>
  </si>
  <si>
    <t>Informer clairement l’utilisateur de cette exigence</t>
  </si>
  <si>
    <t xml:space="preserve"> Procédure de première connexion</t>
  </si>
  <si>
    <t>Forcer techniquement le changement au premier accès</t>
  </si>
  <si>
    <t>Des logs de distribution des identifiants et mots de passe sont conservés pour traçabilité</t>
  </si>
  <si>
    <t>Existe-t-il un mécanisme de journalisation de la distribution ?</t>
  </si>
  <si>
    <t>Configuration de la plateforme IAM</t>
  </si>
  <si>
    <t>Absence de preuve ou de suivi</t>
  </si>
  <si>
    <t>Impossible de retracer une action ou une fuite</t>
  </si>
  <si>
    <t>Limiter l’accès aux journaux à des personnes habilitées</t>
  </si>
  <si>
    <t xml:space="preserve"> Procédure de création de comptes</t>
  </si>
  <si>
    <t>Archiver toutes les attributions de comptes avec date et responsable</t>
  </si>
  <si>
    <t>Vérifier que la procédure de gestion des mots de passe statue 
sur leur réinitialisation</t>
  </si>
  <si>
    <t>La procédure de réinitialisation inclut une vérification forte de l’identité de l’utilisateur</t>
  </si>
  <si>
    <t>L’identité est-elle vérifiée de manière forte avant réinitialisation ?</t>
  </si>
  <si>
    <t>Politique de réinitialisation</t>
  </si>
  <si>
    <t>Réinitialisation frauduleuse</t>
  </si>
  <si>
    <t>Usurpation d’identité et accès non autorisé</t>
  </si>
  <si>
    <t>Limiter les réinitialisations aux canaux formels et tracés</t>
  </si>
  <si>
    <t xml:space="preserve"> Enregistrement des demandes d’assistance</t>
  </si>
  <si>
    <t>Utiliser un système à double authentification</t>
  </si>
  <si>
    <t>Un mot de passe temporaire ou un lien unique est généré de manière automatique et sécurisée</t>
  </si>
  <si>
    <t>Le système génère-t-il un mot de passe temporaire sécurisé ?</t>
  </si>
  <si>
    <t>Génération faible ou non contrôlée</t>
  </si>
  <si>
    <t>Accès involontaire à un compte non réinitialisé</t>
  </si>
  <si>
    <t>Paramétrer un mot de passe aléatoire complexe automatiquement</t>
  </si>
  <si>
    <t xml:space="preserve"> Revue des mécanismes de récupération</t>
  </si>
  <si>
    <t>Utiliser des liens à usage unique avec expiration</t>
  </si>
  <si>
    <t>Le mot de passe temporaire est valide pour une durée limitée et expire s’il n’est pas utilisé</t>
  </si>
  <si>
    <t>Un délai d’expiration est-il appliqué au mot de passe temporaire ?</t>
  </si>
  <si>
    <t>Mot de passe réutilisable indéfiniment</t>
  </si>
  <si>
    <t>Risque de prise de contrôle différée par un tiers</t>
  </si>
  <si>
    <t>Informer l’utilisateur de la limite de validité</t>
  </si>
  <si>
    <t xml:space="preserve"> Politique de gestion des réinitialisations</t>
  </si>
  <si>
    <t>Définir une durée d’expiration courte (ex. 1h)</t>
  </si>
  <si>
    <t>La réinitialisation déclenche une notification automatique à l’utilisateur concerné</t>
  </si>
  <si>
    <t>L’utilisateur reçoit-il une alerte après réinitialisation de son mot de passe ?</t>
  </si>
  <si>
    <t>Paramètres de notification</t>
  </si>
  <si>
    <t>Réinitialisation non autorisée non détectée</t>
  </si>
  <si>
    <t>Perte de contrôle sur le compte</t>
  </si>
  <si>
    <t>Ajouter un lien de contestation dans le message</t>
  </si>
  <si>
    <t xml:space="preserve"> Journal des événements</t>
  </si>
  <si>
    <t>Activer les notifications systématiques</t>
  </si>
  <si>
    <t>Toute réinitialisation est enregistrée dans les journaux d’audit pour analyse et traçabilité</t>
  </si>
  <si>
    <t>Les opérations de réinitialisation sont-elles journalisées ?</t>
  </si>
  <si>
    <t>Journal d’audit</t>
  </si>
  <si>
    <t>Impossibilité de tracer une action suspecte</t>
  </si>
  <si>
    <t>Risque de compromission sans preuve</t>
  </si>
  <si>
    <t>Analyser les journaux régulièrement à des fins de détection</t>
  </si>
  <si>
    <t xml:space="preserve"> Procédure de gestion des incidents</t>
  </si>
  <si>
    <t>Conserver les logs d’accès et d’action sur les comptes</t>
  </si>
  <si>
    <t>Contrôle des accès</t>
  </si>
  <si>
    <t>Vérifier que la définition et la documentation de la politique de 
contrôle d'accès existent</t>
  </si>
  <si>
    <t>Une politique de contrôle d’accès formalisée est approuvée par la direction et accessible</t>
  </si>
  <si>
    <t>Existe-t-il une politique de contrôle d’accès validée par la direction ?</t>
  </si>
  <si>
    <t>Accès non encadré ou non conforme</t>
  </si>
  <si>
    <t>Perte d’intégrité ou de confidentialité des données</t>
  </si>
  <si>
    <t>Obtenir l’approbation formelle de la direction</t>
  </si>
  <si>
    <t xml:space="preserve"> Note de validation de la direction</t>
  </si>
  <si>
    <t>Formaliser et diffuser la politique à tous les niveaux</t>
  </si>
  <si>
    <t>La politique précise les types d’accès (utilisateur, administrateur, invité) et leurs droits associés</t>
  </si>
  <si>
    <t>La politique catégorise-t-elle clairement les profils d’accès et leurs droits ?</t>
  </si>
  <si>
    <t>Mise en œuvre incohérente ou variable</t>
  </si>
  <si>
    <t>Manquements aux exigences de sécurité</t>
  </si>
  <si>
    <t>Aligner les pratiques techniques aux principes définis</t>
  </si>
  <si>
    <t xml:space="preserve"> Charte informatique</t>
  </si>
  <si>
    <t>Définir les objectifs de contrôle dans les documents stratégiques</t>
  </si>
  <si>
    <t>Les objectifs, principes et règles de contrôle d’accès y sont clairement définis</t>
  </si>
  <si>
    <t>Droits mal attribués ou excessifs</t>
  </si>
  <si>
    <t>Escalade de privilège ou perte de confidentialité</t>
  </si>
  <si>
    <t>Revoir régulièrement la matrice des droits</t>
  </si>
  <si>
    <t xml:space="preserve"> Procédure de gestion des accès</t>
  </si>
  <si>
    <t>Définir clairement chaque type de compte et ses permissions</t>
  </si>
  <si>
    <t>La politique est régulièrement mise à jour en fonction de l’évolution du SI et des risques identifiés</t>
  </si>
  <si>
    <t>La politique évolue-t-elle en fonction des nouvelles menaces ou changements internes ?</t>
  </si>
  <si>
    <t>Obsolescence des mesures de contrôle</t>
  </si>
  <si>
    <t>Exploitation de failles non couvertes</t>
  </si>
  <si>
    <t>Intégrer la sécurité dans tout projet d’évolution SI</t>
  </si>
  <si>
    <t xml:space="preserve"> Compte rendu de revue de sécurité</t>
  </si>
  <si>
    <t>Organiser des revues annuelles de la politique</t>
  </si>
  <si>
    <t>La politique est diffusée à tous les acteurs concernés (utilisateurs, responsables IT, sous-traitants)</t>
  </si>
  <si>
    <t>La diffusion de la politique est-elle organisée et tracée ?</t>
  </si>
  <si>
    <t>Méconnaissance des règles d’accès</t>
  </si>
  <si>
    <t>Comportements non conformes involontaires</t>
  </si>
  <si>
    <t>Organiser des sessions de sensibilisation ciblées</t>
  </si>
  <si>
    <t xml:space="preserve"> Liste de diffusion des politiques</t>
  </si>
  <si>
    <t>Communiquer activement à chaque mise à jour</t>
  </si>
  <si>
    <t>S’assurer que la gestion des accès utilisateurs est effective</t>
  </si>
  <si>
    <t>Des procédures formelles d’attribution, de modification et de suppression des droits d’accès existent</t>
  </si>
  <si>
    <t>Les procédures de gestion des droits sont-elles formalisées, documentées et appliquées ?</t>
  </si>
  <si>
    <t xml:space="preserve"> Procédure d’attribution des droits</t>
  </si>
  <si>
    <t>Attribution erronée ou excessive de privilèges</t>
  </si>
  <si>
    <t>Accès non autorisé aux ressources sensibles</t>
  </si>
  <si>
    <t>Mettre à jour la procédure d’accès</t>
  </si>
  <si>
    <t>Effectuer un contrôle régulier de l’application de la procédure</t>
  </si>
  <si>
    <t>Les droits sont accordés selon le principe du moindre privilège et validés par les responsables hiérarchiques</t>
  </si>
  <si>
    <t>Les droits sont-ils systématiquement validés par un responsable avant attribution ?</t>
  </si>
  <si>
    <t>Fiche de demande d’accès</t>
  </si>
  <si>
    <t>Attribution excessive de droits par défaut</t>
  </si>
  <si>
    <t>Élévation de privilèges ou accès injustifié</t>
  </si>
  <si>
    <t>Former les managers aux principes du moindre privilège</t>
  </si>
  <si>
    <t>Mettre en place un système d’approbation obligatoire</t>
  </si>
  <si>
    <t>Les mouvements internes (mutation, départ, changement de poste) déclenchent une révision des accès</t>
  </si>
  <si>
    <t>Une procédure permet-elle de revoir les droits en cas de changement de poste ?</t>
  </si>
  <si>
    <t>Procédure de gestion RH</t>
  </si>
  <si>
    <t>Maintien de droits inadaptés</t>
  </si>
  <si>
    <t>Risque de fuite ou d’abus d’accès</t>
  </si>
  <si>
    <t>Impliquer le responsable hiérarchique dans la validation des nouveaux accès</t>
  </si>
  <si>
    <t xml:space="preserve"> Registre des accès</t>
  </si>
  <si>
    <t>Lier les mouvements RH à une alerte pour révision des droits</t>
  </si>
  <si>
    <t>Un système de suivi des comptes utilisateurs permet de vérifier les droits accordés</t>
  </si>
  <si>
    <t>Existe-t-il un mécanisme de suivi des comptes et de leurs droits ?</t>
  </si>
  <si>
    <t>Outil de gestion des identités</t>
  </si>
  <si>
    <t>Droits oubliés ou non révoqués</t>
  </si>
  <si>
    <t>Failles d’accès persistantes dans le système</t>
  </si>
  <si>
    <t>Réaliser un audit semestriel des comptes</t>
  </si>
  <si>
    <t xml:space="preserve"> Rapport d’audit des comptes</t>
  </si>
  <si>
    <t>Mettre en place un outil de gestion centralisée des identités</t>
  </si>
  <si>
    <t>Des revues régulières des droits d’accès sont réalisées pour détecter les écarts ou abus</t>
  </si>
  <si>
    <t>À quelle fréquence les revues de droits sont-elles menées ?</t>
  </si>
  <si>
    <t>Plan de revue des accès</t>
  </si>
  <si>
    <t>Accumulation de privilèges injustifiés</t>
  </si>
  <si>
    <t>Atteinte à la confidentialité et intégrité du système</t>
  </si>
  <si>
    <t>Intégrer la revue dans les indicateurs de conformité</t>
  </si>
  <si>
    <t xml:space="preserve"> Rapport de revue des droits</t>
  </si>
  <si>
    <t>Définir un calendrier de revue périodique</t>
  </si>
  <si>
    <t>S’assurer que l'utilisation de mots de passe et de systèmes de 
déconnexion automatique est effective</t>
  </si>
  <si>
    <t>Les systèmes imposent une déconnexion automatique après un délai d’inactivité défini</t>
  </si>
  <si>
    <t>Les systèmes appliquent-ils une déconnexion automatique inactive ?</t>
  </si>
  <si>
    <t>Paramétrage de sécurité du SI</t>
  </si>
  <si>
    <t>Session ouverte et vulnérable</t>
  </si>
  <si>
    <t>Intrusion via poste inactif</t>
  </si>
  <si>
    <t>Tester le verrouillage sur les postes utilisateurs</t>
  </si>
  <si>
    <t xml:space="preserve"> Politique d’authentification</t>
  </si>
  <si>
    <t>Configurer un délai d’inactivité maximal</t>
  </si>
  <si>
    <t>L’usage de mots de passe conformes à une politique de complexité est obligatoire</t>
  </si>
  <si>
    <t>Une politique de complexité est-elle formellement imposée à tous ?</t>
  </si>
  <si>
    <t>Utilisation de mots de passe faibles</t>
  </si>
  <si>
    <t>Compromission de comptes utilisateurs</t>
  </si>
  <si>
    <t>Sensibiliser les utilisateurs sur la création de mots de passe robustes</t>
  </si>
  <si>
    <t>Appliquer des règles de complexité via les systèmes</t>
  </si>
  <si>
    <t>Les utilisateurs sont informés des règles de gestion des mots de passe et de leur mise à jour</t>
  </si>
  <si>
    <t>Comment les utilisateurs sont-ils informés des bonnes pratiques ?</t>
  </si>
  <si>
    <t>Non-respect des règles par méconnaissance</t>
  </si>
  <si>
    <t>Vulnérabilités liées aux erreurs humaines</t>
  </si>
  <si>
    <t>Rappeler les règles à chaque changement de mot de passe</t>
  </si>
  <si>
    <t xml:space="preserve"> Note de service DSI</t>
  </si>
  <si>
    <t>Intégrer les règles dans les formations</t>
  </si>
  <si>
    <t>Les sessions ouvertes sur les terminaux partagés sont verrouillées automatiquement</t>
  </si>
  <si>
    <t>Le verrouillage automatique est-il activé sur les postes partagés ?</t>
  </si>
  <si>
    <t xml:space="preserve"> Politique de sécurité physique</t>
  </si>
  <si>
    <t>Accès à des sessions ouvertes par des tiers</t>
  </si>
  <si>
    <t>Appliquer une minuterie de verrouillage automatique</t>
  </si>
  <si>
    <t>Configuration des postes</t>
  </si>
  <si>
    <t>Interdire l’utilisation de postes partagés sans restriction</t>
  </si>
  <si>
    <t>Des audits vérifient l’effectivité des systèmes de verrouillage et déconnexion</t>
  </si>
  <si>
    <t>Les contrôles sont-ils effectués pour vérifier ces systèmes ?</t>
  </si>
  <si>
    <t>Défaillance non détectée des mécanismes</t>
  </si>
  <si>
    <t>Ouverture d’une brèche de sécurité</t>
  </si>
  <si>
    <t>Corriger rapidement les non-conformités techniques</t>
  </si>
  <si>
    <t xml:space="preserve"> Fiche de test sécurité</t>
  </si>
  <si>
    <t>Intégrer des contrôles dans les audits réguliers</t>
  </si>
  <si>
    <t>Vérifier que le contrôle des accès aux réseaux est effectif</t>
  </si>
  <si>
    <t>L’accès aux réseaux internes est protégé par des systèmes d’authentification et de filtrage</t>
  </si>
  <si>
    <t>Des mesures de contrôle d’accès réseau sont-elles mises en place ?</t>
  </si>
  <si>
    <t>Architecture réseau</t>
  </si>
  <si>
    <t>Intrusion via réseau non filtré</t>
  </si>
  <si>
    <t>Perte de confidentialité</t>
  </si>
  <si>
    <t xml:space="preserve"> compromission du SI</t>
  </si>
  <si>
    <t xml:space="preserve"> Politique d’accès réseau</t>
  </si>
  <si>
    <t>Mettre en œuvre des pare-feu et VLAN</t>
  </si>
  <si>
    <t>L’accès invité ou externe est segmenté et soumis à des contrôles spécifiques</t>
  </si>
  <si>
    <t>Les accès invités sont-ils limités et contrôlés ?</t>
  </si>
  <si>
    <t>Procédure d’accès invité</t>
  </si>
  <si>
    <t>Accès invité étendu au réseau interne</t>
  </si>
  <si>
    <t>Exposition non maîtrisée aux menaces</t>
  </si>
  <si>
    <t>Appliquer un filtrage MAC et une durée de session limitée</t>
  </si>
  <si>
    <t xml:space="preserve"> Plan de segmentation réseau</t>
  </si>
  <si>
    <t>Créer un VLAN dédié aux invités</t>
  </si>
  <si>
    <t>Des mécanismes de détection d’intrusion et de journalisation des connexions sont mis en œuvre</t>
  </si>
  <si>
    <t>Existe-t-il une détection d’intrusion active et des journaux d’accès ?</t>
  </si>
  <si>
    <t>Politique de détection d’intrusion</t>
  </si>
  <si>
    <t>Activités malveillantes non détectées</t>
  </si>
  <si>
    <t>Propagation d’une attaque dans l’organisation</t>
  </si>
  <si>
    <t>Configurer la journalisation centralisée et son analyse</t>
  </si>
  <si>
    <t xml:space="preserve"> Configuration SIEM</t>
  </si>
  <si>
    <t>Déployer une solution IDS/IPS</t>
  </si>
  <si>
    <t>Les droits d’accès aux ressources partagées sont limités en fonction des profils</t>
  </si>
  <si>
    <t>Comment sont attribués les droits sur les ressources partagées ?</t>
  </si>
  <si>
    <t>Politique de partage des ressources</t>
  </si>
  <si>
    <t>Accès étendu à des fichiers sensibles</t>
  </si>
  <si>
    <t>Fuite de données ou modification non autorisée</t>
  </si>
  <si>
    <t>Effectuer des audits réguliers sur les droits de partage</t>
  </si>
  <si>
    <t xml:space="preserve"> Matrice des rôles</t>
  </si>
  <si>
    <t>Créer des profils d’accès selon les fonctions</t>
  </si>
  <si>
    <t>Des tests réguliers sont menés pour détecter les failles dans la configuration des accès réseau</t>
  </si>
  <si>
    <t>Les configurations réseau sont-elles testées périodiquement ?</t>
  </si>
  <si>
    <t>Plan de tests réseau</t>
  </si>
  <si>
    <t>Failles non détectées dans l’infrastructure</t>
  </si>
  <si>
    <t>Compromission du réseau interne</t>
  </si>
  <si>
    <t>Corriger systématiquement les failles identifiées</t>
  </si>
  <si>
    <t xml:space="preserve"> Rapport de tests de vulnérabilité</t>
  </si>
  <si>
    <t>Planifier des tests de pénétration annuels</t>
  </si>
  <si>
    <t>Vérifier que le contrôle d'accès aux systèmes d'exploitation est 
effectif</t>
  </si>
  <si>
    <t>L’accès aux systèmes d’exploitation est soumis à une authentification forte ou renforcée</t>
  </si>
  <si>
    <t>Une authentification forte est-elle exigée pour accéder aux OS ?</t>
  </si>
  <si>
    <t>Politique d’authentification</t>
  </si>
  <si>
    <t>Accès OS par mot de passe simple</t>
  </si>
  <si>
    <t>Prise de contrôle non autorisée du système</t>
  </si>
  <si>
    <t xml:space="preserve"> Dossier de configuration système</t>
  </si>
  <si>
    <t>Mettre en place un second facteur d’authentification</t>
  </si>
  <si>
    <t>Les comptes administrateurs sont nominatifs et surveillés en continu</t>
  </si>
  <si>
    <t>Les comptes d’administration sont-ils individualisés et surveillés ?</t>
  </si>
  <si>
    <t>Liste des comptes</t>
  </si>
  <si>
    <t>Usage abusif de comptes génériques</t>
  </si>
  <si>
    <t>Impossibilité d’identifier l’auteur d’une action</t>
  </si>
  <si>
    <t>Activer la journalisation continue des activités admin</t>
  </si>
  <si>
    <t xml:space="preserve"> Rapport de surveillance</t>
  </si>
  <si>
    <t>Éliminer les comptes admin partagés</t>
  </si>
  <si>
    <t>L’ensemble des journaux d’accès aux OS est activé, stocké et analysé périodiquement</t>
  </si>
  <si>
    <t>Les logs d’accès sont-ils correctement configurés et analysés ?</t>
  </si>
  <si>
    <t>Configuration des logs</t>
  </si>
  <si>
    <t>Manque de traçabilité des activités</t>
  </si>
  <si>
    <t>Impossibilité de détecter ou remonter une attaque</t>
  </si>
  <si>
    <t>Centraliser les journaux dans un SIEM</t>
  </si>
  <si>
    <t xml:space="preserve"> Rapport d’analyse SIEM</t>
  </si>
  <si>
    <t>Définir une politique d’analyse hebdomadaire</t>
  </si>
  <si>
    <t>Des outils de gestion centralisée des comptes permettent de restreindre et auditer les accès</t>
  </si>
  <si>
    <t>Utilisez-vous une solution IAM ou équivalent ?</t>
  </si>
  <si>
    <t>Politique IAM</t>
  </si>
  <si>
    <t>Accès non maîtrisés sur divers systèmes</t>
  </si>
  <si>
    <t>Contrôle faible de la gestion des accès</t>
  </si>
  <si>
    <t>Former les administrateurs à son utilisation</t>
  </si>
  <si>
    <t xml:space="preserve"> Dossier technique IAM</t>
  </si>
  <si>
    <t>Déployer un outil IAM adapté au SI</t>
  </si>
  <si>
    <t>Des revues de conformité sont réalisées pour vérifier que seuls les utilisateurs autorisés accèdent aux systèmes</t>
  </si>
  <si>
    <t>Les accès utilisateurs sont-ils régulièrement comparés à la politique ?</t>
  </si>
  <si>
    <t>Rapport de revue d’accès</t>
  </si>
  <si>
    <t>Présence de comptes obsolètes ou non autorisés</t>
  </si>
  <si>
    <t>Accès illégitime à des ressources critiques</t>
  </si>
  <si>
    <t>Associer chaque accès à un propriétaire valide</t>
  </si>
  <si>
    <t>Automatiser les revues d’accès</t>
  </si>
  <si>
    <t>Vérifier que le contrôle d'accès aux applications est effectif</t>
  </si>
  <si>
    <t>Les accès aux applications sont gérés via des profils utilisateurs préalablement définis</t>
  </si>
  <si>
    <t>Les droits applicatifs sont-ils limités selon des profils métiers ?</t>
  </si>
  <si>
    <t>Attribution incohérente ou excessive de droits</t>
  </si>
  <si>
    <t>Modification ou suppression involontaire de données</t>
  </si>
  <si>
    <t>Faire valider les profils par les métiers concernés</t>
  </si>
  <si>
    <t xml:space="preserve"> Politique de gestion des applications</t>
  </si>
  <si>
    <t>Cartographier les profils métiers et les rôles associés</t>
  </si>
  <si>
    <t>Chaque application impose une authentification conforme à la politique de sécurité</t>
  </si>
  <si>
    <t>Les applications imposent-elles une authentification conforme à la politique de sécurité ?</t>
  </si>
  <si>
    <t>Non-conformité de l’accès aux applications</t>
  </si>
  <si>
    <t>Usurpation d’identité,compromission de données</t>
  </si>
  <si>
    <t>Mettre à jour les applications pour intégrer des mécanismes d’authentification conformes</t>
  </si>
  <si>
    <t xml:space="preserve"> Documentation des applications</t>
  </si>
  <si>
    <t>Réaliser des audits réguliers de conformité</t>
  </si>
  <si>
    <t>Les journaux d’accès et d’usage des applications sont activés et analysés</t>
  </si>
  <si>
    <t>Les journaux d’accès et d’usage sont-ils activés et analysés régulièrement ?</t>
  </si>
  <si>
    <t>Journaux applicatifs</t>
  </si>
  <si>
    <t>Délai dans la détection des incidents</t>
  </si>
  <si>
    <t>Mettre en place une procédure d’analyse périodique</t>
  </si>
  <si>
    <t xml:space="preserve"> Rapport d’analyse de logs</t>
  </si>
  <si>
    <t>La gestion des droits applicatifs est centralisée ou documentée, avec suivi des évolutions</t>
  </si>
  <si>
    <t>La gestion des droits applicatifs est-elle centralisée et documentée ?</t>
  </si>
  <si>
    <t>Attribution excessive ou non suivie</t>
  </si>
  <si>
    <t>Fuites ou suppressions de données non justifiées</t>
  </si>
  <si>
    <t>Documenter systématiquement chaque modification</t>
  </si>
  <si>
    <t xml:space="preserve"> Procédure de gestion des droits</t>
  </si>
  <si>
    <t>Centraliser la gestion dans un outil IAM</t>
  </si>
  <si>
    <t>Des tests de sécurité applicative sont réalisés pour vérifier l’absence de contournement des contrôles d’accès</t>
  </si>
  <si>
    <t>Des tests de sécurité applicative sont-ils réalisés régulièrement ?</t>
  </si>
  <si>
    <t xml:space="preserve"> Cahier de tests</t>
  </si>
  <si>
    <t>Failles non détectées dans les contrôles d’accès</t>
  </si>
  <si>
    <t xml:space="preserve"> Intrusion,élévation de privilèges</t>
  </si>
  <si>
    <t>Corriger rapidement les vulnérabilités détectées</t>
  </si>
  <si>
    <t>Rapport de tests de sécurité</t>
  </si>
  <si>
    <t>Planifier des tests automatisés et manuels</t>
  </si>
  <si>
    <t>Vérifier que la surveillance des accès aux systèmes et leur 
utilisation sont effectives</t>
  </si>
  <si>
    <t>Les accès aux ressources critiques sont enregistrés et analysés en temps réel ou différé</t>
  </si>
  <si>
    <t>Les accès aux ressources critiques sont-ils systématiquement enregistrés et analysés ?</t>
  </si>
  <si>
    <t>Rapport de supervision</t>
  </si>
  <si>
    <t>Accès non autorisés non détectés</t>
  </si>
  <si>
    <t>Compromission d’actifs critiques</t>
  </si>
  <si>
    <t>Mettre en œuvre une analyse régulière des logs</t>
  </si>
  <si>
    <t xml:space="preserve"> Journal des accès critiques</t>
  </si>
  <si>
    <t>Activer l’enregistrement systématique des accès</t>
  </si>
  <si>
    <t>Un outil de supervision ou un SIEM centralise les logs d’accès et détecte les anomalies</t>
  </si>
  <si>
    <t>Un SIEM est-il utilisé pour la supervision des accès ?</t>
  </si>
  <si>
    <t>Architecture du SIEM</t>
  </si>
  <si>
    <t>Multiplication des incidents non contrôlés</t>
  </si>
  <si>
    <t>Configurer des alertes pertinentes sur les logs</t>
  </si>
  <si>
    <t xml:space="preserve"> Politique de supervision</t>
  </si>
  <si>
    <t>Déployer un outil SIEM performant</t>
  </si>
  <si>
    <t>Les accès suspects ou hors horaires sont identifiés et signalés automatiquement</t>
  </si>
  <si>
    <t>Un mécanisme identifie-t-il les accès suspects ou hors horaires ?</t>
  </si>
  <si>
    <t>Paramétrage du SIEM</t>
  </si>
  <si>
    <t>Accès malveillants non détectés</t>
  </si>
  <si>
    <t>Intrusions prolongées dans le système</t>
  </si>
  <si>
    <t>Analyser les journaux anormaux quotidiennement</t>
  </si>
  <si>
    <t xml:space="preserve"> Politique de détection</t>
  </si>
  <si>
    <t>Activer les alertes sur accès hors plage horaire</t>
  </si>
  <si>
    <t>Des alertes sont configurées pour détecter les tentatives d’accès non autorisé ou les erreurs d’authentification</t>
  </si>
  <si>
    <t>Des alertes sont-elles configurées pour les tentatives d’accès non autorisé ?</t>
  </si>
  <si>
    <t>Configuration du système d’alerte</t>
  </si>
  <si>
    <t>Multiples tentatives d’authentification échouées non détectées</t>
  </si>
  <si>
    <t>Compromission potentielle de comptes</t>
  </si>
  <si>
    <t>Coupler avec une réponse automatisée aux incidents</t>
  </si>
  <si>
    <t xml:space="preserve"> Rapport de sécurité</t>
  </si>
  <si>
    <t>Paramétrer des alertes en temps réel</t>
  </si>
  <si>
    <t>Les actions correctives sont documentées et suivies après toute alerte ou incident identifié</t>
  </si>
  <si>
    <t>Les actions correctives post-incidents sont-elles formalisées et suivies ?</t>
  </si>
  <si>
    <t>Répétition des mêmes incidents</t>
  </si>
  <si>
    <t>Détérioration de la posture de sécurité</t>
  </si>
  <si>
    <t>Mettre en œuvre un suivi rigoureux de leur exécution</t>
  </si>
  <si>
    <t>Documenter systématiquement chaque action corrective</t>
  </si>
  <si>
    <t>Vérifier que la gestion de l'informatique mobile est prise en 
compte</t>
  </si>
  <si>
    <t>Une politique de sécurité dédiée à l’usage des terminaux mobiles est définie et diffusée</t>
  </si>
  <si>
    <t>Existe-t-il une politique formelle pour l’usage sécurisé des terminaux mobiles ?</t>
  </si>
  <si>
    <t>Politique mobilité</t>
  </si>
  <si>
    <t>Utilisation non sécurisée des appareils mobiles</t>
  </si>
  <si>
    <t>Perte ou vol de données sensibles</t>
  </si>
  <si>
    <t>Former les utilisateurs à ses exigences</t>
  </si>
  <si>
    <t>Définir et diffuser une politique claire</t>
  </si>
  <si>
    <t>L’accès aux systèmes d’information via des appareils mobiles est soumis à des restrictions techniques</t>
  </si>
  <si>
    <t>Des restrictions techniques sont-elles mises en œuvre pour l’accès via mobile ?</t>
  </si>
  <si>
    <t>Paramétrage MDM</t>
  </si>
  <si>
    <t>Accès non maîtrisé aux SI depuis des mobiles</t>
  </si>
  <si>
    <t>Intrusion,perte de données</t>
  </si>
  <si>
    <t>Restreindre les fonctions critiques depuis mobile</t>
  </si>
  <si>
    <t xml:space="preserve"> Politique d’accès mobile</t>
  </si>
  <si>
    <t>Configurer un contrôle d’accès mobile renforcé</t>
  </si>
  <si>
    <t>Les terminaux mobiles sont inscrits dans une MDM (Mobile Device Management) ou solution équivalente</t>
  </si>
  <si>
    <t>Une solution MDM est-elle utilisée pour gérer les mobiles ?</t>
  </si>
  <si>
    <t>Configuration MDM</t>
  </si>
  <si>
    <t>Absence de gestion centralisée</t>
  </si>
  <si>
    <t>Données non effaçables à distance</t>
  </si>
  <si>
    <t>Associer chaque terminal à un utilisateur identifié</t>
  </si>
  <si>
    <t xml:space="preserve"> Rapport d’inventaire des terminaux</t>
  </si>
  <si>
    <t>Mettre en œuvre une solution MDM</t>
  </si>
  <si>
    <t>Les dispositifs de chiffrement, d’effacement à distance et de géolocalisation sont activés</t>
  </si>
  <si>
    <t>Ces mécanismes sont-ils activés sur les terminaux ?</t>
  </si>
  <si>
    <t>Paramétrage de la MDM</t>
  </si>
  <si>
    <t>Perte ou vol de terminal sans protection</t>
  </si>
  <si>
    <t>Fuite de données confidentielles</t>
  </si>
  <si>
    <t>Tester régulièrement ces fonctionnalités</t>
  </si>
  <si>
    <t xml:space="preserve"> Politique de sécurité mobile</t>
  </si>
  <si>
    <t>Activer le chiffrement et l’effacement à distance</t>
  </si>
  <si>
    <t>Les usages professionnels et personnels sont distingués et encadrés dans des chartes d’usage</t>
  </si>
  <si>
    <t>Une séparation est-elle formalisée entre usages pro/perso ?</t>
  </si>
  <si>
    <t>Charte d’usage</t>
  </si>
  <si>
    <t>Confusion des usages, données mélangées</t>
  </si>
  <si>
    <t>Divulgation accidentelle d’informations sensibles</t>
  </si>
  <si>
    <t>Appliquer des politiques de conteneurisation</t>
  </si>
  <si>
    <t xml:space="preserve"> Politique BYOD</t>
  </si>
  <si>
    <t>Mettre en place une charte claire d’usage</t>
  </si>
  <si>
    <t>Vérifier que des suites sont systématiquement données aux 
incidents</t>
  </si>
  <si>
    <t>Les incidents de sécurité liés aux accès sont enregistrés dans un registre formel</t>
  </si>
  <si>
    <t>Existe-t-il un registre des incidents d’accès ?</t>
  </si>
  <si>
    <t>Oubli ou négligence dans le suivi</t>
  </si>
  <si>
    <t>Répétition des vulnérabilités non résolues</t>
  </si>
  <si>
    <t>Réaliser des bilans trimestriels des incidents</t>
  </si>
  <si>
    <t>Tenir un registre formel à jour</t>
  </si>
  <si>
    <t>Chaque incident déclenche une analyse des causes et un plan d’actions correctives</t>
  </si>
  <si>
    <t>Une analyse des causes est-elle faite après chaque incident ?</t>
  </si>
  <si>
    <t>Rapport d’incident</t>
  </si>
  <si>
    <t>Résolution superficielle</t>
  </si>
  <si>
    <t>Réapparition du même type d’incident</t>
  </si>
  <si>
    <t>Suivre l’application du plan correctif</t>
  </si>
  <si>
    <t xml:space="preserve"> Plan d’actions</t>
  </si>
  <si>
    <t>Intégrer une analyse causale systématique</t>
  </si>
  <si>
    <t>Un processus d’escalade est défini pour la gestion des incidents majeurs d’accès</t>
  </si>
  <si>
    <t>Le processus d’escalade est-il défini et appliqué ?</t>
  </si>
  <si>
    <t>Délai de réponse excessif</t>
  </si>
  <si>
    <t>Impact accru en cas de crise</t>
  </si>
  <si>
    <t>Former les responsables à sa mise en œuvre</t>
  </si>
  <si>
    <t xml:space="preserve"> Plan de réponse aux incidents</t>
  </si>
  <si>
    <t>Formaliser un processus clair d’escalade</t>
  </si>
  <si>
    <t>Les sanctions ou mesures disciplinaires sont prévues en cas de violation délibérée des règles d’accès</t>
  </si>
  <si>
    <t>Des sanctions sont-elles prévues pour violation des règles ?</t>
  </si>
  <si>
    <t>Absence de dissuasion</t>
  </si>
  <si>
    <t>Répétition des comportements à risque</t>
  </si>
  <si>
    <t>Communiquer les conséquences aux utilisateurs</t>
  </si>
  <si>
    <t xml:space="preserve"> Politique RH</t>
  </si>
  <si>
    <t>Intégrer les sanctions dans la politique</t>
  </si>
  <si>
    <t>Des indicateurs permettent de suivre l’évolution des incidents et d’améliorer les dispositifs de prévention</t>
  </si>
  <si>
    <t>Des indicateurs de suivi sont-ils utilisés pour améliorer la sécurité ?</t>
  </si>
  <si>
    <t>Tableau de bord des incidents</t>
  </si>
  <si>
    <t>Manque de pilotage</t>
  </si>
  <si>
    <t>Faible amélioration continue</t>
  </si>
  <si>
    <t>Réaliser des revues régulières des performances</t>
  </si>
  <si>
    <t xml:space="preserve"> Rapport de sécurité annuel</t>
  </si>
  <si>
    <t>Définir des KPIs liés aux incidents</t>
  </si>
  <si>
    <t>Développement et maintenance des systèmes</t>
  </si>
  <si>
    <t>S’assurer que les exigences de sécurité des systèmes existent</t>
  </si>
  <si>
    <t>Les exigences de sécurité sont définies dès la phase de spécification des besoins</t>
  </si>
  <si>
    <t>Les exigences sont-elles définies dès la conception ?</t>
  </si>
  <si>
    <t>Cahier des charges sécurité</t>
  </si>
  <si>
    <t>Absence de sécurité dès la base</t>
  </si>
  <si>
    <t>Surcoûts et failles en production</t>
  </si>
  <si>
    <t>Impliquer la SSI dans les phases de conception</t>
  </si>
  <si>
    <t xml:space="preserve"> Plan projet</t>
  </si>
  <si>
    <t>Intégrer un volet sécurité dès la spécification</t>
  </si>
  <si>
    <t>Les exigences de sécurité sont validées par les parties prenantes concernées</t>
  </si>
  <si>
    <t>Ces exigences sont-elles formellement validées ?</t>
  </si>
  <si>
    <t>Inadéquation entre sécurité et besoins métier</t>
  </si>
  <si>
    <t>Blocages ou non-conformités après déploiement</t>
  </si>
  <si>
    <t>Archiver les décisions et approbations</t>
  </si>
  <si>
    <t xml:space="preserve"> Fiche de validation des exigences</t>
  </si>
  <si>
    <t>Organiser une validation collégiale</t>
  </si>
  <si>
    <t>Les exigences de sécurité couvrent l’authentification, l’autorisation, la traçabilité et la confidentialité</t>
  </si>
  <si>
    <t>Les exigences couvrent-elles tous les volets critiques ?</t>
  </si>
  <si>
    <t>Exigences incomplètes</t>
  </si>
  <si>
    <t>Zones non protégées du SI</t>
  </si>
  <si>
    <t>Vérifier l’exhaustivité des exigences</t>
  </si>
  <si>
    <t xml:space="preserve"> Référentiel interne</t>
  </si>
  <si>
    <t>Mettre à jour le référentiel en continu</t>
  </si>
  <si>
    <t>Un référentiel interne de sécurité applicative est utilisé comme base lors des développements</t>
  </si>
  <si>
    <t>Un référentiel est-il utilisé pour guider les développements ?</t>
  </si>
  <si>
    <t>Référentiel sécurité</t>
  </si>
  <si>
    <t>Développement non sécurisé</t>
  </si>
  <si>
    <t>Création de failles par défaut</t>
  </si>
  <si>
    <t>Former les développeurs à son application</t>
  </si>
  <si>
    <t xml:space="preserve"> Procédure de développement sécurisé</t>
  </si>
  <si>
    <t>Utiliser un référentiel validé</t>
  </si>
  <si>
    <t>Les exigences de sécurité sont mises à jour lors des évolutions fonctionnelles ou techniques du système</t>
  </si>
  <si>
    <t>Les exigences sont-elles actualisées après évolutions ?</t>
  </si>
  <si>
    <t>Cahier des exigences mis à jour</t>
  </si>
  <si>
    <t>Obsolescence des exigences</t>
  </si>
  <si>
    <t>Failles dues à des changements non couverts</t>
  </si>
  <si>
    <t>Valider chaque mise à jour avec la SSI</t>
  </si>
  <si>
    <t>Suivre les évolutions du SI pour ajuster les exigences</t>
  </si>
  <si>
    <t>S’assurer que la sécurité des systèmes d'application est 
effective</t>
  </si>
  <si>
    <t>Les systèmes applicatifs disposent de mécanismes de contrôle d’accès adaptés aux profils utilisateurs</t>
  </si>
  <si>
    <t>Les mécanismes d’accès sont-ils adaptés aux profils ?</t>
  </si>
  <si>
    <t>Documentation des profils</t>
  </si>
  <si>
    <t>Accès trop larges ou inadaptés</t>
  </si>
  <si>
    <t>Divulgation ou modification non autorisée de données</t>
  </si>
  <si>
    <t>Effectuer des revues régulières des permissions</t>
  </si>
  <si>
    <t xml:space="preserve"> Paramétrage applicatif</t>
  </si>
  <si>
    <t>Définir des profils types et leurs accès</t>
  </si>
  <si>
    <t>Des mécanismes de journalisation et de détection des comportements suspects sont en place</t>
  </si>
  <si>
    <t>Existe-t-il une détection des comportements suspects ?</t>
  </si>
  <si>
    <t>Configuration SIEM</t>
  </si>
  <si>
    <t>Comportements malveillants non détectés</t>
  </si>
  <si>
    <t>Dommages non identifiés à temps</t>
  </si>
  <si>
    <t>Réaliser une analyse comportementale continue</t>
  </si>
  <si>
    <t xml:space="preserve"> Politique de surveillance</t>
  </si>
  <si>
    <t>Mettre en place des règles comportementales dans le SIEM</t>
  </si>
  <si>
    <t>Des audits de sécurité applicative (tests de pénétration, revues de code) sont réalisés régulièrement</t>
  </si>
  <si>
    <t>Des audits de sécurité applicative sont-ils réalisés régulièrement ?</t>
  </si>
  <si>
    <t>Rapport d’audit de sécurité</t>
  </si>
  <si>
    <t>Présence de vulnérabilités non détectées</t>
  </si>
  <si>
    <t>Exposition accrue aux cyberattaques</t>
  </si>
  <si>
    <t>Intégrer les tests de pénétration à chaque mise à jour majeure</t>
  </si>
  <si>
    <t xml:space="preserve"> Plan d’audit annuel</t>
  </si>
  <si>
    <t>Planifier des audits de sécurité applicative réguliers</t>
  </si>
  <si>
    <t>Les vulnérabilités détectées sont corrigées dans des délais conformes à leur criticité</t>
  </si>
  <si>
    <t>Les délais de correction des vulnérabilités respectent-ils leur niveau de criticité ?</t>
  </si>
  <si>
    <t>Rapport de suivi des vulnérabilités</t>
  </si>
  <si>
    <t>Exploitation prolongée de failles critiques</t>
  </si>
  <si>
    <t>Compromission des données ou systèmes</t>
  </si>
  <si>
    <t>Suivre régulièrement les indicateurs de correction</t>
  </si>
  <si>
    <t xml:space="preserve"> Politique de gestion des correctifs</t>
  </si>
  <si>
    <t>Établir des délais de correction selon la criticité</t>
  </si>
  <si>
    <t>La gestion des sessions, des mots de passe et des permissions respecte les bonnes pratiques de sécurité</t>
  </si>
  <si>
    <t>La gestion des sessions,mots de passe et permissions est-elle conforme aux bonnes pratiques ?</t>
  </si>
  <si>
    <t>Politique de sécurité des accès</t>
  </si>
  <si>
    <t>Failles dans la gestion des identités</t>
  </si>
  <si>
    <t>Accès non autorisé à des ressources sensibles</t>
  </si>
  <si>
    <t>Auditer les paramètres de session et droits régulièrement</t>
  </si>
  <si>
    <t xml:space="preserve"> Rapport de conformité technique</t>
  </si>
  <si>
    <t>Appliquer les standards de sécurité reconnus (OWASP)</t>
  </si>
  <si>
    <t>S’assurer qu’un protocole de recette existe</t>
  </si>
  <si>
    <t>Un protocole de recette formalisé est défini pour chaque nouveau système ou mise à jour</t>
  </si>
  <si>
    <t>Un protocole de recette est-il formalisé pour chaque nouveau système ou mise à jour ?</t>
  </si>
  <si>
    <t>Protocole de recette</t>
  </si>
  <si>
    <t>Déploiement d’un système non vérifié</t>
  </si>
  <si>
    <t>Dysfonctionnements ou failles post-mise en production</t>
  </si>
  <si>
    <t>Intégrer les tests de sécurité dès la phase de recette</t>
  </si>
  <si>
    <t xml:space="preserve"> Cahier des charges projet</t>
  </si>
  <si>
    <t>Documenter et valider un protocole de recette pour chaque projet</t>
  </si>
  <si>
    <t>Le protocole de recette inclut des tests fonctionnels, de performance et de sécurité</t>
  </si>
  <si>
    <t>Le protocole de recette intègre-t-il tous les tests nécessaires ?</t>
  </si>
  <si>
    <t>Systèmes insuffisamment testés avant mise en production</t>
  </si>
  <si>
    <t>Dysfonctionnements techniques et failles de sécurité</t>
  </si>
  <si>
    <t>Mettre à jour le protocole en fonction des risques émergents</t>
  </si>
  <si>
    <t xml:space="preserve"> Compte rendu de recette</t>
  </si>
  <si>
    <t>S’assurer que les tests de performance et sécurité sont systématiques</t>
  </si>
  <si>
    <t>Les responsables métier, techniques et sécurité participent à la définition du protocole</t>
  </si>
  <si>
    <t>Tous les responsables concernés participent-ils à la définition du protocole ?</t>
  </si>
  <si>
    <t>Procès-verbal de réunion de validation</t>
  </si>
  <si>
    <t>Manque d’exhaustivité du protocole de recette</t>
  </si>
  <si>
    <t>Oubli d’exigences critiques lors des tests</t>
  </si>
  <si>
    <t>Formaliser leurs validations dans la documentation</t>
  </si>
  <si>
    <t xml:space="preserve"> Protocole de recette validé</t>
  </si>
  <si>
    <t>Impliquer systématiquement les parties prenantes</t>
  </si>
  <si>
    <t>La documentation associée au protocole de recette est versionnée et archivée</t>
  </si>
  <si>
    <t>La documentation du protocole de recette est-elle versionnée et conservée ?</t>
  </si>
  <si>
    <t>Registre de versions</t>
  </si>
  <si>
    <t>Perte de traçabilité des changements</t>
  </si>
  <si>
    <t>Non-conformité en cas d’audit</t>
  </si>
  <si>
    <t>Mettre en place un outil de gestion documentaire</t>
  </si>
  <si>
    <t xml:space="preserve"> Référentiel documentaire</t>
  </si>
  <si>
    <t>Archiver chaque version du protocole</t>
  </si>
  <si>
    <t>Des critères d’acceptation sont formellement fixés dans le protocole</t>
  </si>
  <si>
    <t>Des critères d’acceptation sont-ils définis dans chaque protocole ?</t>
  </si>
  <si>
    <t>Absence de référentiel pour valider un projet</t>
  </si>
  <si>
    <t>Mise en production prématurée ou incomplète</t>
  </si>
  <si>
    <t>Valider systématiquement leur respect avant mise en production</t>
  </si>
  <si>
    <t xml:space="preserve"> Grille d’évaluation</t>
  </si>
  <si>
    <t>Définir des critères clairs et mesurables</t>
  </si>
  <si>
    <t>S’assurer que le protocole de recette a été testé</t>
  </si>
  <si>
    <t>Le protocole de recette est mis en œuvre dans un environnement de préproduction isolé</t>
  </si>
  <si>
    <t>La recette est-elle réalisée dans un environnement de préproduction isolé ?</t>
  </si>
  <si>
    <t>Plan d’architecture système</t>
  </si>
  <si>
    <t>Influence de données ou paramètres non contrôlés</t>
  </si>
  <si>
    <t>Résultats de tests non fiables</t>
  </si>
  <si>
    <t>Répliquer fidèlement l’environnement de production</t>
  </si>
  <si>
    <t xml:space="preserve"> Dossier de recette</t>
  </si>
  <si>
    <t>Isoler strictement l’environnement de recette</t>
  </si>
  <si>
    <t>Les résultats des tests de recette sont tracés, validés et archivés</t>
  </si>
  <si>
    <t>Les résultats des tests de recette sont-ils documentés et archivés ?</t>
  </si>
  <si>
    <t>Perte d’historique de test</t>
  </si>
  <si>
    <t>Incapacité à démontrer la conformité</t>
  </si>
  <si>
    <t>Conserver tous les rapports de test</t>
  </si>
  <si>
    <t xml:space="preserve"> Validation de recette</t>
  </si>
  <si>
    <t>Utiliser un outil centralisé de suivi de recette</t>
  </si>
  <si>
    <t>Les anomalies détectées lors de la recette sont analysées et corrigées avant mise en production</t>
  </si>
  <si>
    <t>Les anomalies sont-elles systématiquement corrigées avant déploiement ?</t>
  </si>
  <si>
    <t xml:space="preserve"> Plan d’action de correction</t>
  </si>
  <si>
    <t>Mise en production avec défauts connus</t>
  </si>
  <si>
    <t>Risques d’incidents opérationnels</t>
  </si>
  <si>
    <t>Mettre en place un circuit de traitement des anomalies</t>
  </si>
  <si>
    <t>Bloquer la mise en production tant que les anomalies critiques subsistent</t>
  </si>
  <si>
    <t>Des comptes-rendus de recette sont transmis aux instances de validation et à la direction de projet</t>
  </si>
  <si>
    <t>Les comptes-rendus de recette sont-ils partagés avec toutes les parties décisionnaires ?</t>
  </si>
  <si>
    <t>Compte-rendu de recette</t>
  </si>
  <si>
    <t>Manque d’information pour décision de mise en production</t>
  </si>
  <si>
    <t>Déploiement sans approbation formelle</t>
  </si>
  <si>
    <t>Automatiser l’envoi des rapports à la direction projet</t>
  </si>
  <si>
    <t xml:space="preserve"> Liste de diffusion projet</t>
  </si>
  <si>
    <t>Inclure toutes les instances dans la boucle de validation</t>
  </si>
  <si>
    <t>Le protocole est évalué après chaque projet pour identifier des pistes d’amélioration</t>
  </si>
  <si>
    <t>Le protocole de recette est-il évalué à la fin de chaque projet ?</t>
  </si>
  <si>
    <t>Rapport de retour d’expérience</t>
  </si>
  <si>
    <t>Répétition des erreurs non identifiées</t>
  </si>
  <si>
    <t>Inefficacité des processus futurs</t>
  </si>
  <si>
    <t>Intégrer les leçons apprises dans le protocole standard</t>
  </si>
  <si>
    <t xml:space="preserve"> Compte rendu post-mortem</t>
  </si>
  <si>
    <t>Réaliser un retour d’expérience à la clôture de chaque projet</t>
  </si>
  <si>
    <t>S’assurer que la sécurité des fichiers est prise en compte</t>
  </si>
  <si>
    <t>Des permissions d’accès sont définies pour chaque type de fichier selon sa sensibilité</t>
  </si>
  <si>
    <t>Des permissions spécifiques sont-elles définies selon la sensibilité des fichiers ?</t>
  </si>
  <si>
    <t>Accès inapproprié à des fichiers critiques</t>
  </si>
  <si>
    <t>Appliquer une classification stricte des données</t>
  </si>
  <si>
    <t xml:space="preserve"> Configuration des droits d’accès</t>
  </si>
  <si>
    <t>Définir des règles d’accès selon les niveaux de sensibilité</t>
  </si>
  <si>
    <t>Les fichiers critiques sont stockés dans des répertoires sécurisés et surveillés</t>
  </si>
  <si>
    <t>Les fichiers critiques sont-ils stockés de façon sécurisée ?</t>
  </si>
  <si>
    <t>Plan de sécurité des fichiers</t>
  </si>
  <si>
    <t>Accès non contrôlé à des données sensibles</t>
  </si>
  <si>
    <t>Fuite ou altération de données critiques</t>
  </si>
  <si>
    <t>Activer des mécanismes de surveillance et d’alerte</t>
  </si>
  <si>
    <t xml:space="preserve"> Rapport de surveillance des accès</t>
  </si>
  <si>
    <t>Restreindre l’accès aux répertoires critiques</t>
  </si>
  <si>
    <t>Des mécanismes de chiffrement sont utilisés pour les fichiers sensibles en transit et au repos</t>
  </si>
  <si>
    <t>Le chiffrement est-il activé pour les fichiers sensibles ?</t>
  </si>
  <si>
    <t>Interception ou lecture non autorisée de données</t>
  </si>
  <si>
    <t>Atteinte à la confidentialité et conformité</t>
  </si>
  <si>
    <t>Utiliser des canaux sécurisés (TLS</t>
  </si>
  <si>
    <t xml:space="preserve"> Journal de configuration des systèmes</t>
  </si>
  <si>
    <t>Appliquer le chiffrement AES ou équivalent sur tous les fichiers sensibles</t>
  </si>
  <si>
    <t>Les fichiers sont protégés contre les accès non autorisés, les altérations ou les suppressions accidentelles</t>
  </si>
  <si>
    <t>Des mesures protègent-elles les fichiers contre tout accès ou modification non autorisés ?</t>
  </si>
  <si>
    <t>Perte ou altération de données sensibles</t>
  </si>
  <si>
    <t>Dysfonctionnements</t>
  </si>
  <si>
    <t>Sauvegarder les fichiers critiques avec versionnage</t>
  </si>
  <si>
    <t xml:space="preserve"> Configuration système de fichiers</t>
  </si>
  <si>
    <t>Appliquer des permissions strictes et revues régulièrement</t>
  </si>
  <si>
    <t>La traçabilité des manipulations de fichiers sensibles est assurée par des journaux d’audit</t>
  </si>
  <si>
    <t>Les manipulations de fichiers sensibles sont-elles traçables ?</t>
  </si>
  <si>
    <t>Modifications non traçables de fichiers sensibles</t>
  </si>
  <si>
    <t>Impossibilité de reconstituer les actions lors d’un incident</t>
  </si>
  <si>
    <t>Analyser régulièrement les logs d’accès pour détecter les anomalies</t>
  </si>
  <si>
    <t xml:space="preserve"> Politique d’audit</t>
  </si>
  <si>
    <t>Activer la journalisation des accès aux fichiers critiques</t>
  </si>
  <si>
    <t>Un plan de transfert des connaissances et des responsabilités est mis en place pour garantir une transition fluide entre la garantie et la maintenance</t>
  </si>
  <si>
    <t>Les rôles et responsabilités pendant la transition de la garantie à la maintenance sont spécifiés et validés par les responsables</t>
  </si>
  <si>
    <t>Les processus de transition entre la phase de garantie et de maintenance sont clairement définis</t>
  </si>
  <si>
    <t>Des documents contractuels détaillant les termes de la garantie et de la maintenance sont disponibles et accessibles aux parties prenantes</t>
  </si>
  <si>
    <t>La bascule de la garantie vers la maintenance est bien organisée et documentée à travers des contrats clairs</t>
  </si>
  <si>
    <t>S’assurer que la bascule de la garantie vers la maintenance est 
organisée à travers des documents contractuels clairs</t>
  </si>
  <si>
    <t>Les écarts par rapport aux obligations sont suivis et des actions correctives sont mises en œuvre lorsque nécessaire</t>
  </si>
  <si>
    <t>Des indicateurs de performance sont utilisés pour mesurer le respect des obligations durant la mise en production</t>
  </si>
  <si>
    <t>Des mécanismes de suivi sont en place pour garantir que les obligations sont remplies à chaque étape du projet</t>
  </si>
  <si>
    <t>Les engagements et obligations des fournisseurs et des équipes internes sont clairement définis dans les documents contractuels</t>
  </si>
  <si>
    <t>Les membres de l’organisation et les fournisseurs respectent leurs obligations contractuelles et opérationnelles pendant la mise en production</t>
  </si>
  <si>
    <t>S’assurer que les membres de l’organisation et les fournisseurs 
respectent leurs obligations lors de la mise en production</t>
  </si>
  <si>
    <t>Des audits internes sont réalisés pour confirmer que le respect des responsabilités est observé pendant la mise en production</t>
  </si>
  <si>
    <t>Les équipes sont régulièrement consultées pour recueillir leur feedback sur la clarté du document</t>
  </si>
  <si>
    <t>Des évaluations régulières sont effectuées pour vérifier que le document est bien compris et respecté</t>
  </si>
  <si>
    <t>Des sessions de formation sont organisées pour s’assurer que tous les membres des équipes comprennent leurs rôles et responsabilités</t>
  </si>
  <si>
    <t>Les équipes projet et de production ont connaissance du document décrivant leurs responsabilités respectives</t>
  </si>
  <si>
    <t>S’assurer que les équipes projet et de production connaissent 
et respectent ce document</t>
  </si>
  <si>
    <t>Ce document est régulièrement révisé pour s’assurer qu’il reste pertinent et conforme aux évolutions organisationnelles</t>
  </si>
  <si>
    <t>Les parties prenantes et les responsables de la mise en production doivent valider ce document avant son application</t>
  </si>
  <si>
    <t>Les responsabilités sont définies de manière précise pour éviter toute confusion durant la mise en production</t>
  </si>
  <si>
    <t>Le document couvre toutes les étapes de la mise en production, y compris les responsabilités de la direction projet et de la production</t>
  </si>
  <si>
    <t>Un document détaillant les responsabilités des projets et de la production pendant la mise en production existe et est formalisé</t>
  </si>
  <si>
    <t>S’assurer qu’il existe un document décrivant les responsabilités 
respectives des projets et de la production lors d’une mise en 
production</t>
  </si>
  <si>
    <t>Des processus sont en place pour vérifier que les responsabilités sont suivies durant toute la phase de mise en production</t>
  </si>
  <si>
    <t>Les rôles de chaque direction dans le processus de mise en production sont bien précisés et compréhensibles</t>
  </si>
  <si>
    <t>Des mécanismes de validation sont mis en place pour s’assurer que la séparation des tâches est respectée</t>
  </si>
  <si>
    <t>Les périmètres des directions des projets et de la production sont spécifiés en tenant compte de la séparation des tâches</t>
  </si>
  <si>
    <t>Les responsabilités respectives des directions des projets et de la production sont clairement définies dans des documents officiels</t>
  </si>
  <si>
    <t>S’assurer que les responsabilités respectives des directions des 
projets et de la production sont clairement établies et les périmètres 
décrits respectent les principes de séparation des tâches</t>
  </si>
  <si>
    <t>Mise en production</t>
  </si>
  <si>
    <t>Les évolutions sont comparées aux besoins exprimés pour s’assurer qu’elles apportent la valeur attendue</t>
  </si>
  <si>
    <t>Des ajustements sont faits si des écarts sont constatés entre les évolutions et le cahier des charges</t>
  </si>
  <si>
    <t>Les parties prenantes du projet valident que les évolutions respectent les exigences initiales</t>
  </si>
  <si>
    <t>Des contrôles sont effectués pour vérifier que les évolutions répondent aux objectifs fonctionnels définis</t>
  </si>
  <si>
    <t>Les évolutions sont conformes aux spécifications et aux besoins exprimés dans le cahier des charges</t>
  </si>
  <si>
    <t>S’assurer que l’évolution est conforme aux besoins fonctionnels 
exprimés par le cahier des charges</t>
  </si>
  <si>
    <t>Des mesures de sécurité sont appliquées à chaque phase d’évolution pour garantir leur conformité aux exigences</t>
  </si>
  <si>
    <t>Les évolutions sont évaluées par des utilisateurs représentatifs pour valider leur convivialité</t>
  </si>
  <si>
    <t>Des tests de performance et d’ergonomie sont réalisés avant chaque mise en production</t>
  </si>
  <si>
    <t>Des critères clairs sont définis pour chaque aspect de l’évolution (convivialité, performance, sécurité)</t>
  </si>
  <si>
    <t>Les évolutions sont testées pour s’assurer qu’elles respectent les critères de convivialité, de performance et de sécurité</t>
  </si>
  <si>
    <t>S’assurer que l’évolution est conforme au niveau de convivialité, de performance et de sécurité
attendu</t>
  </si>
  <si>
    <t>Les procédures de mise à jour du support aux utilisateurs sont établies et régulièrement révisées</t>
  </si>
  <si>
    <t>Les utilisateurs finaux sont informés des évolutions à venir, ce qui leur permet de se préparer</t>
  </si>
  <si>
    <t>Le personnel de soutien est formé aux nouvelles fonctionnalités et évolutions avant leur mise en production</t>
  </si>
  <si>
    <t>Des sessions d’information régulières sont organisées pour anticiper les besoins de soutien liés aux évolutions</t>
  </si>
  <si>
    <t>L’organisation de soutien aux utilisateurs est informée des évolutions du système dès qu’elles surviennent</t>
  </si>
  <si>
    <t>S’assurer que l’organisation de soutien aux utilisateurs est 
informée des évolutions et les a anticipées</t>
  </si>
  <si>
    <t>Les données sont mises à jour en temps réel pour garantir que les décisions sont basées sur les informations les plus récentes</t>
  </si>
  <si>
    <t>Les décideurs disposent de tous les éléments requis pour évaluer correctement les implications de chaque décision</t>
  </si>
  <si>
    <t>Les décisions sont soutenues par des analyses détaillées et des rapports précis</t>
  </si>
  <si>
    <t>Les informations nécessaires à la prise de décision sont collectées auprès des parties prenantes pertinentes</t>
  </si>
  <si>
    <t>Les décisions sont prises sur la base de données fiables et pertinentes</t>
  </si>
  <si>
    <t>S’assurer que les décisions sont prises sur la base d'un niveau 
d'information pertinent</t>
  </si>
  <si>
    <t>Les processus décisionnels sont régulièrement suivis et évalués pour garantir leur efficacité</t>
  </si>
  <si>
    <t>Les responsables sont tenus de respecter les délais de décision et de justifier les éventuels retard</t>
  </si>
  <si>
    <t>Un processus de prise de décision rapide est mis en place en cas de situations urgentes ou imprévues</t>
  </si>
  <si>
    <t>Les délais de prise de décision sont mesurés et respectés pour éviter les retards dans le projet</t>
  </si>
  <si>
    <t>Les décisions sont prises dans les délais définis pour chaque type de décision dans le projet</t>
  </si>
  <si>
    <t>S’assurer que les décisions sont prises dans un délai 
satisfaisant</t>
  </si>
  <si>
    <t>Les versions sont archivées pour assurer la traçabilité et la gestion des changements au fil du temps</t>
  </si>
  <si>
    <t>Des procédures sont établies pour garantir que toutes les parties prenantes travaillent sur la version la plus récente</t>
  </si>
  <si>
    <t>Les processus de mise à jour et de publication des versions sont formalisés</t>
  </si>
  <si>
    <t>Les versions des documents, du logiciel ou des livrables sont clairement identifiées et suivies</t>
  </si>
  <si>
    <t>Un système de gestion des versions est mis en place pour contrôler les modifications apportées au projet</t>
  </si>
  <si>
    <t>S’assurer qu’il existe une gestion des versions</t>
  </si>
  <si>
    <t>Les résultats de l’analyse d’impact sont documentés et partagés avec les décideurs du projet</t>
  </si>
  <si>
    <t>L’impact sur les ressources, les coûts et les délais est systématiquement pris en compte</t>
  </si>
  <si>
    <t>Les parties prenantes sont consultées pour évaluer les effets des évolutions sur le projet</t>
  </si>
  <si>
    <t>Les impacts potentiels sont évalués sur les plans technique, fonctionnel et organisationnel</t>
  </si>
  <si>
    <t>Une analyse d’impact est réalisée pour chaque demande d’évolution du périmètre</t>
  </si>
  <si>
    <t>S’assurer qu’une mesure d'impact est effectuée</t>
  </si>
  <si>
    <t>Les évolutions sont suivies et rapportées de manière transparente tout au long de leur cycle de vie</t>
  </si>
  <si>
    <t>La procédure de gestion des évolutions est revue régulièrement pour s’assurer de sa pertinence</t>
  </si>
  <si>
    <t>Des responsabilités sont clairement attribuées pour la gestion et l’approbation des évolutions</t>
  </si>
  <si>
    <t>La procédure inclut des critères d’acceptation et de validation des demandes d’évolution</t>
  </si>
  <si>
    <t>Il existe une procédure formalisée qui décrit les étapes à suivre pour la gestion des évolutions</t>
  </si>
  <si>
    <t>S’assurer qu’il existe une procédure de gestion des évolutions 
du périmètre</t>
  </si>
  <si>
    <t>Un système de gestion des demandes d’évolution est mis en place pour garantir leur traçabilité</t>
  </si>
  <si>
    <t>Les demandes d’évolution sont suivies par des rapports réguliers indiquant leur état d’avancement</t>
  </si>
  <si>
    <t>Chaque demande d’évolution est analysée par un comité ou une instance dédiée</t>
  </si>
  <si>
    <t>Les demandes d’évolution sont soumises à un processus d’approbation formel</t>
  </si>
  <si>
    <t>Les demandes d’évolution du périmètre sont systématiquement enregistrées et documentées</t>
  </si>
  <si>
    <t>S’assurer que les demandes d'évolution du périmètre sont 
fréquentes et formalisées</t>
  </si>
  <si>
    <t>Gestion des évolutions</t>
  </si>
  <si>
    <t>Un engagement de résultat est formellement stipulé dans le contrat entre la MOA et la MOE</t>
  </si>
  <si>
    <t>Les résultats finaux sont validés par des audits ou des revues de performance afin de garantir leur conformité</t>
  </si>
  <si>
    <t>Un mécanisme de révision des résultats est mis en place pour ajuster les objectifs si nécessaire</t>
  </si>
  <si>
    <t>Les parties prenantes sont tenues responsables de l’atteinte des résultats convenus</t>
  </si>
  <si>
    <t>Les objectifs de résultats sont clairement définis avec des indicateurs de performance mesurables</t>
  </si>
  <si>
    <t>S’assurer qu’il existe un engagement de résultat</t>
  </si>
  <si>
    <t>Les équipes sont formées et accompagnées pour assurer un haut niveau de performance durant le projet</t>
  </si>
  <si>
    <t>La MOA et la MOE disposent de structures hiérarchiques adaptées pour superviser efficacement le projet</t>
  </si>
  <si>
    <t>Les ressources humaines et techniques nécessaires au bon déroulement du projet sont disponibles</t>
  </si>
  <si>
    <t>Des processus de recrutement et de formation ont été mis en place pour assurer les compétences requises</t>
  </si>
  <si>
    <t>La MOA et la MOE disposent des compétences techniques et managériales nécessaires pour mener à bien le projet</t>
  </si>
  <si>
    <t>S’assurer que la MOA et la MOE disposent des compétences et 
des ressources managériales, techniques et fonctionnelles 
suffisantes</t>
  </si>
  <si>
    <t>Le contrat précise les responsabilités et la répartition des tâches entre la MOA et la MOE</t>
  </si>
  <si>
    <t>Les engagements des deux parties sont clairement définis dans un accord mutuel signé</t>
  </si>
  <si>
    <t>Des modalités de suivi et d’évaluation sont incluses dans le contrat de prestation</t>
  </si>
  <si>
    <t>Le contrat stipule les délais, les livrables et les conditions de satisfaction des deux parties</t>
  </si>
  <si>
    <t>Il existe un contrat formel détaillant les obligations de la MOA et de la MOE</t>
  </si>
  <si>
    <t xml:space="preserve">S’assurer qu’il existe un contrat de prestation entre la MOA et la 
MOE </t>
  </si>
  <si>
    <t>Des groupes de travail ou des ateliers sont organisés pour impliquer les utilisateurs à chaque étape clé</t>
  </si>
  <si>
    <t>Les utilisateurs participent à des tests fonctionnels pour assurer la conformité avec leurs besoins</t>
  </si>
  <si>
    <t>Les retours des utilisateurs sont pris en compte dans le processus de validation du projet</t>
  </si>
  <si>
    <t>Les utilisateurs sont consultés régulièrement pour recueillir leur feedback et ajuster les fonctionnalités</t>
  </si>
  <si>
    <t>Les utilisateurs sont impliqués dans toutes les phases critiques du projet, y compris la phase de conception</t>
  </si>
  <si>
    <t>S’assurer que la consultation et l'implication des utilisateurs a 
été suffisante au cours des différentes phases du projet</t>
  </si>
  <si>
    <t>Les intervenants sont régulièrement évalués pour s’assurer qu’ils restent 100% dédiés au projet</t>
  </si>
  <si>
    <t>Des indicateurs de performance sont définis pour mesurer l’engagement des intervenants</t>
  </si>
  <si>
    <t>Tous les intervenants sur le projet ont un pourcentage de leur temps alloué exclusivement à celui-ci</t>
  </si>
  <si>
    <t>Les anciens liens hiérarchiques sont suspendus pendant la durée du projet pour éviter les conflits d’intérêts</t>
  </si>
  <si>
    <t>Les membres de l’équipe projet sont pleinement engagés à la réussite du projet</t>
  </si>
  <si>
    <t>S’assurer que les principaux intervenants sur le projet sont 
100% dédiés au projet avec suppression, pendant la durée du projet, 
des anciens liens hiérarchiques ;</t>
  </si>
  <si>
    <t>Les niveaux de management impliqués sont clairement identifiés et leurs responsabilités définies</t>
  </si>
  <si>
    <t>Les principaux acteurs du projet sont impliqués dans la prise de décisions selon leur domaine d’expertise</t>
  </si>
  <si>
    <t>Le processus décisionnel est bien documenté et accessible à toutes les parties prenantes</t>
  </si>
  <si>
    <t>Les décisions de gestion quotidienne sont prises par le chef de projet en fonction des prérogatives</t>
  </si>
  <si>
    <t>Les décisions stratégiques et majeures sont prises par la direction ou un comité exécutif dédié</t>
  </si>
  <si>
    <t>S’assurer que les principales décisions et orientations du projet 
sont prises par le niveau de management adéquat</t>
  </si>
  <si>
    <t>Les conflits sont traités de manière transparente et documentée pour éviter les ambiguïtés</t>
  </si>
  <si>
    <t>Le chef de projet reçoit un soutien formel de la direction pour exercer son autorité</t>
  </si>
  <si>
    <t>Le chef de projet a le pouvoir d’allouer des ressources et de faire des ajustements à la planification</t>
  </si>
  <si>
    <t>Des procédures sont établies pour permettre au chef de projet de résoudre les conflits rapidement</t>
  </si>
  <si>
    <t>Le chef de projet dispose de l’autorité nécessaire pour arbitrer et prendre des décisions importantes</t>
  </si>
  <si>
    <t>S’assurer que le chef de projet dispose de l'autorité suffisante 
pour résoudre les éventuels conflits</t>
  </si>
  <si>
    <t>Les prérogatives sont révisées à chaque étape clé du projet pour s’assurer de leur pertinence</t>
  </si>
  <si>
    <t>Des mécanismes de suivi sont en place pour assurer que les prérogatives du chef de projet sont respectées</t>
  </si>
  <si>
    <t>Les prérogatives du chef de projet sont communiquées à toutes les parties prenantes du projet</t>
  </si>
  <si>
    <t>Les responsabilités du chef de projet incluent une prise de décision autonome sur certains aspects du projet</t>
  </si>
  <si>
    <t>Les prérogatives du chef de projet sont documentées dans un cadre formel</t>
  </si>
  <si>
    <t xml:space="preserve">S’assurer que les prérogatives du chef de projet sont clairement 
définies </t>
  </si>
  <si>
    <t>Les responsabilités des deux entités sont régulièrement réévaluées pour s’assurer de leur adéquation au projet</t>
  </si>
  <si>
    <t>Les processus de communication entre la MOA et la MOE sont bien établis</t>
  </si>
  <si>
    <t>Il existe un mécanisme pour résoudre les conflits de responsabilités entre la MOA et la MOE</t>
  </si>
  <si>
    <t>Les attentes et obligations de chaque partie sont définies dans un cadre contractuel ou de gouvernance</t>
  </si>
  <si>
    <t>Les rôles et responsabilités de la MOA et de la MOE sont clairement énoncés dans un document officiel</t>
  </si>
  <si>
    <t>assurer que les rôles et les responsabilités respectifs de la 
MOA et de la MOE sont clairement définis</t>
  </si>
  <si>
    <t>Structures mises en place à l'occasion du projet</t>
  </si>
  <si>
    <t>Les utilisateurs sont informés de la disponibilité des nouvelles versions du manuel</t>
  </si>
  <si>
    <t>Une équipe dédiée est responsable de la gestion des mises à jour</t>
  </si>
  <si>
    <t>Le manuel est mis à jour après chaque changement majeur dans le système</t>
  </si>
  <si>
    <t>Les modifications du manuel sont répertoriées et tracées</t>
  </si>
  <si>
    <t>Le manuel d’exploitation suit une procédure de mise à jour régulière</t>
  </si>
  <si>
    <t>S’assurer que le manuel d'exploitation fait l'objet d'une 
procédure de mise à jour</t>
  </si>
  <si>
    <t>Le manuel est ajusté selon les observations et les besoins des utilisateurs</t>
  </si>
  <si>
    <t>Des retours sont collectés des opérateurs pour améliorer le contenu du manuel</t>
  </si>
  <si>
    <t>Les tests vérifient si les instructions du manuel sont adaptées aux opérations réelles</t>
  </si>
  <si>
    <t>Le manuel est validé par les utilisateurs finaux dans un environnement de production</t>
  </si>
  <si>
    <t>Le manuel d’exploitation est testé lors de la phase de tests finaux du système</t>
  </si>
  <si>
    <t>S’assurer que le manuel d'exploitation a été testé lors des tests 
finaux</t>
  </si>
  <si>
    <t>Des procédures pas-à-pas sont incluses pour guider les opérateurs dans leurs tâches</t>
  </si>
  <si>
    <t>Des schémas ou illustrations sont fournis pour clarifier les explications</t>
  </si>
  <si>
    <t>Le manuel est structuré de manière logique et facile à suivre</t>
  </si>
  <si>
    <t>Il est écrit dans un langage simple et accessible aux opérateurs</t>
  </si>
  <si>
    <t>Le manuel est disponible en ligne et sous format imprimé</t>
  </si>
  <si>
    <t>S’assurer que le manuel d'exploitation est accessible et 
compréhensible pour les opérateurs</t>
  </si>
  <si>
    <t>Le manuel est mis à jour régulièrement pour inclure les nouvelles versions du système</t>
  </si>
  <si>
    <t>Il couvre la gestion des erreurs, la maintenance et les procédures de sauvegarde</t>
  </si>
  <si>
    <t>Le manuel inclut toutes les informations techniques nécessaires pour l’exploitation</t>
  </si>
  <si>
    <t>Il est destiné à l’usage des opérateurs et administrateurs du système</t>
  </si>
  <si>
    <t>Le manuel d’exploitation est formalisé et validé par l’équipe en charge</t>
  </si>
  <si>
    <t>S’assurer qu’il existe un manuel d'exploitation</t>
  </si>
  <si>
    <t>Les utilisateurs sont informés des nouvelles versions du manuel</t>
  </si>
  <si>
    <t>La procédure de mise à jour inclut une révision régulière du contenu</t>
  </si>
  <si>
    <t>Les modifications sont validées et approuvées par l’équipe de développement</t>
  </si>
  <si>
    <t>Le manuel est mis à jour à chaque version majeure du système</t>
  </si>
  <si>
    <t>Une procédure formelle de mise à jour du manuel est en place</t>
  </si>
  <si>
    <t>S’assurer que le manuel d’utilisateur fait l'objet d'une procédure 
de mise à jour</t>
  </si>
  <si>
    <t>Les scénarios d’utilisation possibles sont couverts dans le manuel</t>
  </si>
  <si>
    <t>La navigation et l’interaction avec l’interface sont expliquées de manière claire</t>
  </si>
  <si>
    <t>Des captures d’écran et des diagrammes illustrent l’interface utilisateur</t>
  </si>
  <si>
    <t>Chaque commande disponible est expliquée avec des exemples pratiques</t>
  </si>
  <si>
    <t>Le manuel inclut une description détaillée de chaque objet du système</t>
  </si>
  <si>
    <t>S’assurer que le manuel utilisateur comprend les objets du 
système et la description des dessins d'écran et des commandes 
disponibles</t>
  </si>
  <si>
    <t>Des guides d’utilisation visuels sont inclus</t>
  </si>
  <si>
    <t>Le langage utilisé dans le manuel est simple et adapté au public cible</t>
  </si>
  <si>
    <t>Le manuel est accessible via différents canaux</t>
  </si>
  <si>
    <t>Les instructions sont claires et compréhensibles pour des utilisateurs non techniques</t>
  </si>
  <si>
    <t>Le manuel est disponible sous format électronique et physique</t>
  </si>
  <si>
    <t>S’assurer que le manuel d’utilisateur est disponible et 
compréhensible par l'ensemble des utilisateurs</t>
  </si>
  <si>
    <t>Le manuel inclut une table des matières et un index pour faciliter la navigation</t>
  </si>
  <si>
    <t>Les principes d’ergonomie sont respectés pour une bonne lisibilité</t>
  </si>
  <si>
    <t>Le manuel suit un format structuré et standardisé reconnu par l’organisation</t>
  </si>
  <si>
    <t>Il est conforme aux exigences légales et réglementaires pertinentes</t>
  </si>
  <si>
    <t>Le manuel respecte les normes de rédaction internes de l’entreprise</t>
  </si>
  <si>
    <t>S’assurer que le manuel utilisateur est conforme aux normes en 
vigueur</t>
  </si>
  <si>
    <t>Il existe un responsable pour la gestion et la mise à jour du manuel</t>
  </si>
  <si>
    <t>Le manuel est mis à jour en fonction des évolutions du système</t>
  </si>
  <si>
    <t>Le manuel est accessible à tous les utilisateurs finaux</t>
  </si>
  <si>
    <t>Le manuel couvre toutes les fonctionnalités principales du système</t>
  </si>
  <si>
    <t>Le manuel est officiellement documenté et validé</t>
  </si>
  <si>
    <t>S’assurer qu’il existe un manuel d'utilisation</t>
  </si>
  <si>
    <t xml:space="preserve"> Documentation</t>
  </si>
  <si>
    <t>Des audits réguliers sont effectués pour vérifier la performance des contrôles automatiques de qualité des données</t>
  </si>
  <si>
    <t>Des rapports automatisés sont générés pour suivre la qualité des données reprises et permettre une intervention rapide en cas de problème</t>
  </si>
  <si>
    <t>Des alertes sont configurées pour signaler toute donnée manquante ou erronée dans les processus de reprise</t>
  </si>
  <si>
    <t>Les données sont comparées à des sources de référence pour assurer leur exactitude</t>
  </si>
  <si>
    <t>Des mécanismes de contrôle automatisés sont mis en place pour valider l’exhaustivité des données reprises</t>
  </si>
  <si>
    <t>S’assurer qu’il existe des contrôles automatiques de la qualité 
des données obtenues après reprise (exhaustivité et exactitude)</t>
  </si>
  <si>
    <t>Les formations sont régulièrement mises à jour pour refléter les évolutions du projet et des outils utilisés</t>
  </si>
  <si>
    <t>Les formateurs sont formés et préparés avant de dispenser les sessions pour garantir la qualité de l’enseignement</t>
  </si>
  <si>
    <t>Des supports pédagogiques de qualité (documents, exercices, démonstrations) sont utilisés pour la formation</t>
  </si>
  <si>
    <t>Le contenu de la formation est validé en fonction des besoins des utilisateurs et des objectifs du projet</t>
  </si>
  <si>
    <t>Les formateurs sont sélectionnés sur la base de leur expertise dans le domaine du projet et de leurs compétences pédagogiques</t>
  </si>
  <si>
    <t>S’assurer que les formateurs et le contenu de la formation sont 
de qualité</t>
  </si>
  <si>
    <t>Des ajustements sont effectués si nécessaire pour tenir compte des retards ou changements dans le projet</t>
  </si>
  <si>
    <t>Les formateurs et les participants sont informés à l’avance pour éviter toute incohérence entre le planning de formation et d’autres activités du projet</t>
  </si>
  <si>
    <t>Les formations sont planifiées avant les mises en production ou les phases critiques du projet</t>
  </si>
  <si>
    <t>Les dates des sessions de formation sont définies en fonction des jalons importants du projet</t>
  </si>
  <si>
    <t>Le planning de formation est aligné avec les grandes étapes du projet pour s’assurer que les utilisateurs sont formés au moment opportun</t>
  </si>
  <si>
    <t xml:space="preserve">S’assurer que le planning de formation est cohérent avec le 
planning du projet </t>
  </si>
  <si>
    <t>Les formations sont continuellement améliorées en fonction des retours des participants et des changements dans le projet</t>
  </si>
  <si>
    <t>Des actions de suivi sont définies pour traiter les aspects moins bien perçus ou compris pendant la formation</t>
  </si>
  <si>
    <t>Les résultats des évaluations sont utilisés pour ajuster et améliorer les futures sessions de formation</t>
  </si>
  <si>
    <t>Les évaluations de la formation portent sur la qualité du contenu, l’efficacité des formateurs, et la pertinence des supports pédagogiques</t>
  </si>
  <si>
    <t>Un système d’évaluation des sessions de formation est mis en place pour recueillir des retours des participants</t>
  </si>
  <si>
    <t>S’assurer que les sessions de formations sont évaluées et 
repensées selon l'évaluation</t>
  </si>
  <si>
    <t>Les responsables hiérarchiques évaluent l’efficacité de la formation auprès de leurs collaborateurs</t>
  </si>
  <si>
    <t>Le suivi de la progression de la formation est effectué par la hiérarchie pour assurer l’engagement et la participation des équipes</t>
  </si>
  <si>
    <t>Les managers jouent un rôle actif dans la gestion de la formation de leurs équipes</t>
  </si>
  <si>
    <t>Les responsables hiérarchiques approuvent le plan de formation et la hiérarchie des priorités de formation</t>
  </si>
  <si>
    <t>Les responsables hiérarchiques sont consultés pour identifier les personnes à former et leurs besoins spécifiques</t>
  </si>
  <si>
    <t>S’assurer que la hiérarchie des personnes à former est 
impliquée</t>
  </si>
  <si>
    <t>Le plan prend en compte les besoins spécifiques des utilisateurs finaux et des administrateurs du système</t>
  </si>
  <si>
    <t>Les rôles et responsabilités des formateurs et des participants sont clairement établis</t>
  </si>
  <si>
    <t>Les méthodes pédagogiques à utiliser (présentiel, e-learning, etc.) sont spécifiées</t>
  </si>
  <si>
    <t>Le plan définit les objectifs de la formation, le contenu, et les ressources nécessaires</t>
  </si>
  <si>
    <t>Un plan de formation est élaboré dès le début du projet pour garantir que toutes les parties prenantes reçoivent la formation nécessaire</t>
  </si>
  <si>
    <t>S’assurer qu’il existe un plan de formation</t>
  </si>
  <si>
    <t>Les éléments de communication sont adaptés aux besoins spécifiques de chaque groupe de parties prenantes</t>
  </si>
  <si>
    <t>Les canaux de communication sont modifiés ou complétés si nécessaire pour garantir une bonne circulation de l’information</t>
  </si>
  <si>
    <t>Des retours d’informations sont collectés à chaque phase pour améliorer la communication</t>
  </si>
  <si>
    <t>Les mises à jour du projet sont envoyées régulièrement aux parties prenantes en fonction de l’avancement</t>
  </si>
  <si>
    <t>La communication est réajustée à chaque étape du projet pour refléter les évolutions du développement</t>
  </si>
  <si>
    <t>S’assurer que la communication évolue et progresse par rapport 
au développement du projet</t>
  </si>
  <si>
    <t>Les parties prenantes et leur rôle dans la communication sont identifiés dans le plan de communication</t>
  </si>
  <si>
    <t>Les délais et fréquences de communication sont spécifiés dans le plan</t>
  </si>
  <si>
    <t>Les canaux de communication (réunions, emails, rapports, etc.) sont clairement définis et adaptés aux besoins des parties prenantes</t>
  </si>
  <si>
    <t>Le plan de communication définit les objectifs, les messages clés, et les parties prenantes à informer</t>
  </si>
  <si>
    <t>Un plan de communication global est établi au début du projet</t>
  </si>
  <si>
    <t>S’assurer qu’il existe un plan de communication complet</t>
  </si>
  <si>
    <t>La synthèse permet de suivre l’évolution des changements et d’ajuster les actions nécessaires</t>
  </si>
  <si>
    <t>Les décisions concernant l’acceptation ou le rejet des changements sont documentées</t>
  </si>
  <si>
    <t>Les résultats de l’évaluation des changements sont partagés avec les parties prenantes pour validation</t>
  </si>
  <si>
    <t>Les critères d’évaluation des changements incluent les impacts sur le planning, les coûts, et la qualité</t>
  </si>
  <si>
    <t>Une synthèse des évaluations des changements est produite à chaque phase clé du projet</t>
  </si>
  <si>
    <t>S’assurer qu’il existe une synthèse de l'évaluation des 
changements</t>
  </si>
  <si>
    <t>Conduite du changement et mise en œuvre</t>
  </si>
  <si>
    <t>Les résultats des tests de recette sont discutés en réunion et les actions correctives sont planifiées</t>
  </si>
  <si>
    <t>Les acteurs sont formés ou informés sur le processus de recette et leur rôle dans cette phase</t>
  </si>
  <si>
    <t>Les retours des utilisateurs finaux sont collectés et pris en compte dans la recette</t>
  </si>
  <si>
    <t>Un planning de tests est partagé et suivi par tous les acteurs concernés</t>
  </si>
  <si>
    <t>Les utilisateurs finaux, les développeurs, et les responsables de la MOE sont impliqués dans la recette</t>
  </si>
  <si>
    <t>S’assurer que tous les acteurs concernés participent 
activement à la phase de recette</t>
  </si>
  <si>
    <t>Le responsable de la recette valide les résultats avant la clôture de la procédure</t>
  </si>
  <si>
    <t>Les anomalies et écarts sont résolus avant d’accepter l’application</t>
  </si>
  <si>
    <t>Les tests sont réalisés conformément aux étapes définies dans le document de recette finale</t>
  </si>
  <si>
    <t>Les critères de validation pour l’acceptation finale sont clairement définis dans cette procédure</t>
  </si>
  <si>
    <t>Une procédure détaillée et documentée de recette finale est établie avant la mise en production</t>
  </si>
  <si>
    <t>S’assurer qu’il existe une procédure formalisée de recette finale 
destinée à accepter formellement l'application</t>
  </si>
  <si>
    <t>Les équipes responsables de l’intégration valident chaque étape avant de poursuivre le processus</t>
  </si>
  <si>
    <t>Les performances et la résilience de l’application dans le SI global sont évaluées sous des conditions de charge réelle</t>
  </si>
  <si>
    <t>Les tests incluent la validation des flux de données entre l’application et les autres systèmes du SI</t>
  </si>
  <si>
    <t>Les tests d’intégration permettent de valider la communication et la compatibilité avec les autres systèmes et composants</t>
  </si>
  <si>
    <t>L’intégration de l’application dans l’architecture existante du SI est vérifiée par des tests d’intégration</t>
  </si>
  <si>
    <t>S’assurer que l'application s'intègre bien dans l'ensemble du SI</t>
  </si>
  <si>
    <t>Une validation officielle par les parties prenantes est réalisée avant la phase de déploiement</t>
  </si>
  <si>
    <t>Les corrections nécessaires sont apportées avant d’accepter la mise en production</t>
  </si>
  <si>
    <t>Les résultats des tests de recette sont documentés et comparés aux exigences du cahier des charges</t>
  </si>
  <si>
    <t>Les tests de recette sont réalisés par des utilisateurs clés et les équipes de la MOE</t>
  </si>
  <si>
    <t>Une procédure formelle de recette est mise en place avant la mise en production de l’application</t>
  </si>
  <si>
    <t>S’assurer que l'application est recettée</t>
  </si>
  <si>
    <t>Les utilisateurs finaux sont impliqués dans les tests d’acceptation pour s’assurer de la qualité de l’expérience utilisateur</t>
  </si>
  <si>
    <t>Les tests de sécurité sont menés pour identifier d’éventuelles vulnérabilités dans le système</t>
  </si>
  <si>
    <t>Les tests de qualité des entrées et sorties sont effectués pour garantir leur conformité avec les spécifications</t>
  </si>
  <si>
    <t>Des tests de performance (temps de réponse, capacité de traitement) sont réalisés pour valider les exigences non fonctionnelles</t>
  </si>
  <si>
    <t>Les tests d’acceptation incluent des vérifications sur l’ergonomie du système, son accessibilité et son interactivité</t>
  </si>
  <si>
    <t>S’assurer que les tests portent sur l'acceptation technique du 
système (ergonomie, performance, qualité des entrées/sorties…)</t>
  </si>
  <si>
    <t>Les retours d’erreurs sont gérés de manière appropriée dans les tests</t>
  </si>
  <si>
    <t>Des tests de bout en bout sont réalisés pour vérifier le bon fonctionnement des interfaces</t>
  </si>
  <si>
    <t>Les interfaces sont testées dans un environnement intégrant d’autres systèmes du SI</t>
  </si>
  <si>
    <t>Les tests d’interfaces incluent la vérification de la conformité des échanges de données, la gestion des erreurs et la synchronisation</t>
  </si>
  <si>
    <t>Les interfaces avec d’autres systèmes sont testées pour garantir l’intégration correcte</t>
  </si>
  <si>
    <t>S’assurer que la MOE réalise des tests sur les interfaces de 
l'application dans le SI</t>
  </si>
  <si>
    <t>Les tests de performance et de charge sont réalisés pour valider la capacité du système à supporter la charge estimée</t>
  </si>
  <si>
    <t>Les tests sont effectués dans des environnements représentatifs des conditions réelles d’exploitation</t>
  </si>
  <si>
    <t>Un planning de tests est établi pour tester chaque composant à différents niveaux (fonctionnel, technique)</t>
  </si>
  <si>
    <t>Les tests couvrent les fonctionnalités, la performance, la sécurité et la compatibilité du système</t>
  </si>
  <si>
    <t>Tous les composants sont testés de manière systématique, en fonction de leur rôle dans l’application</t>
  </si>
  <si>
    <t>S’assurer que la MOE réalise des tests sur l'ensemble des 
composants de l'application sur le plan fonctionnel et technique</t>
  </si>
  <si>
    <t>Les anomalies sont tracées et corrigées avant la validation du composant</t>
  </si>
  <si>
    <t>Les résultats des tests sont comparés aux attentes définies dans le dossier de spécifications</t>
  </si>
  <si>
    <t>Des tests unitaires sont effectués pour chaque composant avant son intégration</t>
  </si>
  <si>
    <t>Les critères de validation des composants sont basés sur les exigences du cahier des charges</t>
  </si>
  <si>
    <t>La MOE vérifie la conformité de chaque composant avec les spécifications fonctionnelles et techniques</t>
  </si>
  <si>
    <t>S’assurer que la MOE s'assure que chacun des composants de 
l'application fonctionne tel qu'il a été décrit dans le dossier de 
spécifications</t>
  </si>
  <si>
    <t>Les tests sont réévalués après chaque modification du code</t>
  </si>
  <si>
    <t>Les tests sont documentés et enregistrés dans un système de suivi des anomalies</t>
  </si>
  <si>
    <t>Un rapport de tests détaillant les résultats est produit à chaque phase</t>
  </si>
  <si>
    <t>Les tests sont réalisés à chaque étape du développement (unitaires, d’intégration, de validation)</t>
  </si>
  <si>
    <t>La MOE définit un plan de tests complet pour l’application</t>
  </si>
  <si>
    <t>S’assurer que la MOE réalise des tests</t>
  </si>
  <si>
    <t>Tests et recettes</t>
  </si>
  <si>
    <t>Les résultats sont validés avec les utilisateurs avant la mise en service</t>
  </si>
  <si>
    <t>Les tests de conversion sont documentés et reproductibles</t>
  </si>
  <si>
    <t>Les données migrées sont comparées aux sources pour garantir leur intégrité</t>
  </si>
  <si>
    <t>Des procédures de vérification sont définies pour valider la qualité des conversions</t>
  </si>
  <si>
    <t>Les programmes de conversion sont développés selon des standards précis</t>
  </si>
  <si>
    <t>S’assurer que les normes de développement et de vérification 
du programme de conversion sont respectées</t>
  </si>
  <si>
    <t>Les écarts sont analysés pour en comprendre les causes</t>
  </si>
  <si>
    <t>Le plan permet un suivi des charges réalisées vs prévues</t>
  </si>
  <si>
    <t>Des marges sont intégrées pour absorber les imprévus</t>
  </si>
  <si>
    <t>Les durées prévues sont cohérentes avec les ressources disponibles</t>
  </si>
  <si>
    <t>Les charges de travail sont évaluées pour chaque tâche identifiée</t>
  </si>
  <si>
    <t>S’assurer que le plan de mise en place définit les charges de 
travail correspondantes et la durée de travaux</t>
  </si>
  <si>
    <t>Le calendrier de mise en place est validé par toutes les parties</t>
  </si>
  <si>
    <t>Les dépendances entre tâches sont précisées</t>
  </si>
  <si>
    <t>Les responsabilités sont attribuées pour chaque action</t>
  </si>
  <si>
    <t>Chaque tâche est identifiée et ordonnée logiquement</t>
  </si>
  <si>
    <t>Le plan détaille les étapes de la mise en production</t>
  </si>
  <si>
    <t>S’assurer que le plan de mise en place définit la nature des 
travaux à réaliser et leur ordonnancement</t>
  </si>
  <si>
    <t>Les tests sont réalisés selon un calendrier précis</t>
  </si>
  <si>
    <t>Les anomalies détectées sont enregistrées et suivies</t>
  </si>
  <si>
    <t>Les jeux d’essai et résultats attendus sont précisés</t>
  </si>
  <si>
    <t>Il inclut les tests unitaires, d’intégration, de performance et d’acceptation</t>
  </si>
  <si>
    <t>Un plan de tests est rédigé et validé pour chaque projet</t>
  </si>
  <si>
    <t>S’assurer qu’il existe un programme général de tests formalisé</t>
  </si>
  <si>
    <t>Les corrections sont apportées avant validation finale</t>
  </si>
  <si>
    <t>Les observations sont consignées dans un rapport de revue</t>
  </si>
  <si>
    <t>Les documents sont relus à des étapes clés du projet</t>
  </si>
  <si>
    <t>Il s’assure de leur complétude, clarté et conformité aux normes</t>
  </si>
  <si>
    <t>Le responsable du service des études est chargé de la validation des documents produits</t>
  </si>
  <si>
    <t>S’assurer que la documentation est revue par le responsable du 
service des études</t>
  </si>
  <si>
    <t>Elle est validée avant la livraison</t>
  </si>
  <si>
    <t>Elle est versionnée, centralisée et accessible aux équipes concernées</t>
  </si>
  <si>
    <t>La documentation est mise à jour à chaque évolution du code</t>
  </si>
  <si>
    <t>Les fonctionnalités, paramètres, flux de données sont clairement décrits</t>
  </si>
  <si>
    <t>Chaque programme ou module est accompagné de sa documentation technique</t>
  </si>
  <si>
    <t>S’assurer que les développements sont bien documentés</t>
  </si>
  <si>
    <t>Les développeurs sont sensibilisés à leur importance</t>
  </si>
  <si>
    <t>Le respect de ces normes est contrôlé lors des revues techniques</t>
  </si>
  <si>
    <t>Des modèles de documents sont imposés pour assurer l’homogénéité</t>
  </si>
  <si>
    <t>Elles précisent les règles à suivre pour la rédaction des spécifications, du code et des manuels</t>
  </si>
  <si>
    <t>Les normes de documentation sont rédigées dans un référentiel validé</t>
  </si>
  <si>
    <t>S’assurer qu’il existe des normes de documentation et qu'elles sont sont appliquées par les 
développeurs</t>
  </si>
  <si>
    <t>Des échanges réguliers permettent de corriger les mauvaises pratiques</t>
  </si>
  <si>
    <t>Les erreurs ou non-conformités sont analysées et traitées</t>
  </si>
  <si>
    <t>Des évaluations ou audits internes confirment leur maîtrise</t>
  </si>
  <si>
    <t>Des supports ou guides sont disponibles pour les aider à l’appliquer</t>
  </si>
  <si>
    <t>Les développeurs sont formés à la méthode en vigueur</t>
  </si>
  <si>
    <t>S’assurer que cette méthode est parfaitement maîtrisée par les 
développeurs</t>
  </si>
  <si>
    <t>Elle est connue et utilisée de façon uniforme par toutes les équipes de développement</t>
  </si>
  <si>
    <t>Elle prévoit des revues de code et des points de contrôle</t>
  </si>
  <si>
    <t>Elle impose un processus de validation systématique des livrables</t>
  </si>
  <si>
    <t>Elle couvre les phases de spécification, conception, codage, tests et validation</t>
  </si>
  <si>
    <t>La méthode de développement est formalisée dans un document de référence</t>
  </si>
  <si>
    <t>S’assurer qu’il existe une méthode de développement et qu'elle  est correctement utilisée</t>
  </si>
  <si>
    <t>Développement, réalisation ou paramétrage</t>
  </si>
  <si>
    <t>Le refus ou report de validation donne lieu à un plan d’action correctif</t>
  </si>
  <si>
    <t>Le processus de validation est prévu dans le plan qualité projet</t>
  </si>
  <si>
    <t>Cette validation est accompagnée d’une synthèse des éléments examinés</t>
  </si>
  <si>
    <t>Le document de validation est signé par un responsable autorisé</t>
  </si>
  <si>
    <t>Une validation écrite est formalisée avant tout passage à la phase suivante</t>
  </si>
  <si>
    <t>S’assurer que la poursuite du projet a été approuvée par écrit 
par une personne compétente</t>
  </si>
  <si>
    <t>Les anomalies ou non-conformités détectées sont traitées dans un délai défini</t>
  </si>
  <si>
    <t>Les documents sont archivés avec leurs versions successives</t>
  </si>
  <si>
    <t>Les livrables de conception sont soumis à validation formelle</t>
  </si>
  <si>
    <t>Les comptes-rendus de revue identifient les points à corriger</t>
  </si>
  <si>
    <t>Des revues de conception sont organisées à des jalons précis du projet</t>
  </si>
  <si>
    <t>S’assurer que la conception détaillée a été revue</t>
  </si>
  <si>
    <t>Un tableau de responsabilités (RACI) est établi et validé</t>
  </si>
  <si>
    <t>Les contributions de chaque acteur sont formalisées dans les comptes-rendus</t>
  </si>
  <si>
    <t>Le responsable sécurité est associé aux décisions d’architecture</t>
  </si>
  <si>
    <t>Les administrateurs de données valident les règles de gestion</t>
  </si>
  <si>
    <t>Les représentants des utilisateurs participent aux revues de spécifications</t>
  </si>
  <si>
    <t xml:space="preserve">S’assurer que les acteurs concernés sont impliqués dans le 
projet (utilisateurs, administrateurs de données, responsable sécurité, 
…) </t>
  </si>
  <si>
    <t>Les exigences de traçabilité sont définies dès la phase de conception</t>
  </si>
  <si>
    <t>Les journaux sont analysés périodiquement dans une démarche de supervision</t>
  </si>
  <si>
    <t>Les pistes d’audit sont inaltérables et protégées contre les suppressions</t>
  </si>
  <si>
    <t>Les accès aux données critiques sont enregistrés et consultables</t>
  </si>
  <si>
    <t>Un journal d’événements est activé pour les actions sensibles</t>
  </si>
  <si>
    <t>S’assurer qu’il existe des pistes d'audit permettant de suivre la 
totalité des transactions</t>
  </si>
  <si>
    <t>Ses remarques et recommandations sont tracées et suivies</t>
  </si>
  <si>
    <t>Il est consulté en cas de modification d’architecture ou de sécurité</t>
  </si>
  <si>
    <t>Il valide les dispositifs de contrôle et de protection mis en œuvre</t>
  </si>
  <si>
    <t>Il intervient dans les phases de spécification et de validation</t>
  </si>
  <si>
    <t>Le RSSI ou référent sécurité participe aux comités de suivi du projet</t>
  </si>
  <si>
    <t>S’assurer que le responsable de la sécurité est impliqué dans le 
projet</t>
  </si>
  <si>
    <t>Les contrôles sont testés régulièrement et leur efficacité vérifiée</t>
  </si>
  <si>
    <t>Des plans de reprise ou de correction sont définis pour chaque point de défaillance</t>
  </si>
  <si>
    <t>Des alertes sont mises en place en cas de dysfonctionnement</t>
  </si>
  <si>
    <t>Des mécanismes de validation sont prévus avant et après les traitements sensibles</t>
  </si>
  <si>
    <t>Les points critiques sont identifiés et documentés</t>
  </si>
  <si>
    <t>S’assurer qu’il existe des contrôles adaptés à chaque point 
critique du système (préventifs et correctifs)</t>
  </si>
  <si>
    <t>Les spécifications sont validées formellement par les parties prenantes</t>
  </si>
  <si>
    <t>Les interfaces avec les systèmes existants sont précisément décrites</t>
  </si>
  <si>
    <t>Les contraintes de sécurité, performance et ergonomie sont spécifiées</t>
  </si>
  <si>
    <t>Les cas d’usage ou scénarios sont définis pour chaque fonctionnalité attendue</t>
  </si>
  <si>
    <t>Toutes les exigences du cahier des charges sont reprises dans les spécifications</t>
  </si>
  <si>
    <t>S’assurer que les spécifications détaillées sont exhaustives par 
rapport au cahier des charges</t>
  </si>
  <si>
    <t>Les écarts méthodologiques font l’objet d’un suivi et d’actions correctives</t>
  </si>
  <si>
    <t>Des relectures régulières valident l’application correcte de la méthode</t>
  </si>
  <si>
    <t>Les livrables produits respectent la structure attendue par la méthode</t>
  </si>
  <si>
    <t>Les outils associés à la méthode sont disponibles et utilisés</t>
  </si>
  <si>
    <t>Des formations ont été dispensées aux membres de l’équipe</t>
  </si>
  <si>
    <t>S’assurer que cette méthode est maîtrisée par l'équipe projet</t>
  </si>
  <si>
    <t>Elle est connue et validée par la direction projet</t>
  </si>
  <si>
    <t>Elle est conforme aux normes en vigueur (type Merise, UML, etc.)</t>
  </si>
  <si>
    <t>Elle est adaptée à la taille et à la complexité du projet</t>
  </si>
  <si>
    <t>La méthode couvre toutes les phases d’analyse et de conception</t>
  </si>
  <si>
    <t>La méthode est formalisée dans des documents de référence</t>
  </si>
  <si>
    <t>S’assurer qu’il existe une méthode d'analyse et de conception</t>
  </si>
  <si>
    <t>Conception détaillée</t>
  </si>
  <si>
    <t>La date et les conditions de poursuite sont clairement définies dans l’approbation</t>
  </si>
  <si>
    <t>La décision s’appuie sur les éléments d’analyse économique, technique et organisationnelle</t>
  </si>
  <si>
    <t>La validation est tracée dans un document officiel (PV, note de service, etc.)</t>
  </si>
  <si>
    <t>La personne signataire dispose d’un mandat ou d’une délégation de pouvoir</t>
  </si>
  <si>
    <t>Une décision formelle de lancement ou de poursuite a été prise</t>
  </si>
  <si>
    <t>Le choix de la solution a été validé par ce comité avec une trace écrite</t>
  </si>
  <si>
    <t>Un procès-verbal de présentation des solutions est disponible</t>
  </si>
  <si>
    <t>Le comité a examiné les risques, coûts, avantages et contraintes de chaque solution</t>
  </si>
  <si>
    <t>Un comparatif des options a été présenté au comité décisionnaire</t>
  </si>
  <si>
    <t>Les solutions envisagées ont été formalisées dans des documents de synthèse</t>
  </si>
  <si>
    <t>S’assurer que les différentes solutions possibles ont été 
présentées au comité adéquat</t>
  </si>
  <si>
    <t>La décision de poursuivre le projet repose sur l’avis éclairé du comité</t>
  </si>
  <si>
    <t>Les études ont été ajustées en fonction des retours du comité</t>
  </si>
  <si>
    <t>Les remarques et avis du comité sont tracés dans des comptes rendus</t>
  </si>
  <si>
    <t>Elles ont été soumises à validation par le comité de pilotage ou comité stratégique</t>
  </si>
  <si>
    <t>Les études de faisabilité sont documentées et accessibles</t>
  </si>
  <si>
    <t>S’assurer que les études de faisabilité ont été revues par les 
membres du comité adéquat</t>
  </si>
  <si>
    <t>La cohérence avec les orientations stratégiques de l’organisation est assurée</t>
  </si>
  <si>
    <t>Les objectifs de performance et de gouvernance sont pris en compte</t>
  </si>
  <si>
    <t>Les exigences de conformité légale ou réglementaire sont respectées</t>
  </si>
  <si>
    <t>Les principes d’auditabilité, de supervision et de surveillance sont intégrés</t>
  </si>
  <si>
    <t>La conception respecte les politiques et règles de contrôle interne de l’organisation</t>
  </si>
  <si>
    <t>S’assurer que la conception générale du futur système s'inscrit 
dans les objectifs généraux de contrôle en vigueur, dans 
l'environnement</t>
  </si>
  <si>
    <t>Des référentiels de sécurité (normes internes ou internationales) sont mentionnés</t>
  </si>
  <si>
    <t>Les obligations réglementaires de sécurité sont intégrées</t>
  </si>
  <si>
    <t>Les exigences de sécurité couvrent la confidentialité, l’intégrité et la disponibilité</t>
  </si>
  <si>
    <t>Les besoins en traçabilité, séparation des tâches et autorisations sont décrits</t>
  </si>
  <si>
    <t>Le cahier des charges contient des exigences explicites en matière de contrôle interne</t>
  </si>
  <si>
    <t>S’assurer que les aspects de contrôle interne et de sécurité ont 
été pris en compte dans le cahier des charges</t>
  </si>
  <si>
    <t>La solution retenue tient compte du niveau de maîtrise des risques</t>
  </si>
  <si>
    <t>Les risques ont été revus et validés par le comité projet ou de pilotage</t>
  </si>
  <si>
    <t>Des mesures de prévention ou de traitement ont été proposées pour chaque risque</t>
  </si>
  <si>
    <t>Les risques ont été évalués en termes de probabilité et d’impact</t>
  </si>
  <si>
    <t>Chaque scénario ou solution a fait l’objet d’une cartographie des risques</t>
  </si>
  <si>
    <t>S’assurer qu’une analyse des risques a été mise en place pour 
chaque alternative</t>
  </si>
  <si>
    <t>Les hypothèses économiques sont tracées et validées par la direction</t>
  </si>
  <si>
    <t>Les résultats économiques ont été pris en compte dans la décision finale</t>
  </si>
  <si>
    <t>Une analyse coût/bénéfice a été formalisée</t>
  </si>
  <si>
    <t>Les bénéfices qualitatifs et quantitatifs attendus ont été identifiés</t>
  </si>
  <si>
    <t>Les coûts globaux de mise en œuvre et d’exploitation ont été estimés</t>
  </si>
  <si>
    <t>S’assurer qu’une analyse économique (bénéfices attendus, 
coûts de développement, de formation, de maintenance, …) a été 
intégrée au choix de la solution</t>
  </si>
  <si>
    <t>Les contraintes techniques ont été documentées dans les livrables de conception</t>
  </si>
  <si>
    <t>La faisabilité opérationnelle et les impacts RH ont été étudiés</t>
  </si>
  <si>
    <t>Les contraintes réglementaires ou juridiques applicables ont été analysées</t>
  </si>
  <si>
    <t>Les besoins en compétences et en formation ont été identifiés</t>
  </si>
  <si>
    <t>Les besoins en équipements matériels et logiciels ont été évalués</t>
  </si>
  <si>
    <t>S’assurer que les contraintes liées aux technologies (besoins en 
matériels, en formation, en RH, contraintes juridiques, faisabilité 
opérationnelle, …) ont été prises en compte</t>
  </si>
  <si>
    <t>La solution retenue résulte d’une décision formalisée appuyée sur cette analyse</t>
  </si>
  <si>
    <t>Les scénarios ont été présentés aux parties prenantes pour avis ou validation</t>
  </si>
  <si>
    <t>Chaque scénario est accompagné d’une analyse de ses avantages et inconvénients</t>
  </si>
  <si>
    <t>Une comparaison des scénarios a été réalisée sur la base de critères objectifs</t>
  </si>
  <si>
    <t>Les différentes options technologiques ou organisationnelles ont été identifiées</t>
  </si>
  <si>
    <t xml:space="preserve">S’assurer qu’il existe une analyse des différents scénarios 
possibles en termes de solution retenue </t>
  </si>
  <si>
    <t>Conception générale et analyse</t>
  </si>
  <si>
    <t>Un plan d’action est mis en place pour corriger les écarts identifiés</t>
  </si>
  <si>
    <t>Un rapport d’audit est remis avec des recommandations concrètes</t>
  </si>
  <si>
    <t>Le périmètre de l’audit inclut les processus, livrables et organisation qualité</t>
  </si>
  <si>
    <t>L’audit est réalisé par un intervenant externe ou indépendant du projet</t>
  </si>
  <si>
    <t>Un audit qualité est planifié dans le calendrier général du projet</t>
  </si>
  <si>
    <t>S’assurer qu’il existe un audit de la qualité du projet par une 
personne extérieure</t>
  </si>
  <si>
    <t>Les livrables rejetés sont révisés et soumis à une nouvelle validation</t>
  </si>
  <si>
    <t>La validation est formalisée par un compte rendu ou une signature</t>
  </si>
  <si>
    <t>Les critères d’acceptation des livrables sont définis à l’avance</t>
  </si>
  <si>
    <t>Les rôles d’approbation sont attribués à des acteurs identifiés et responsables</t>
  </si>
  <si>
    <t>Les livrables sont approuvés selon un processus validé et documenté</t>
  </si>
  <si>
    <t>S’assurer qu’il existe un circuit d'approbation des livrables</t>
  </si>
  <si>
    <t>Les écarts récurrents font l’objet d’une analyse spécifique</t>
  </si>
  <si>
    <t>Les actions correctives sont validées par le groupe qualité</t>
  </si>
  <si>
    <t>Le suivi de la prise en compte est intégré au pilotage du projet</t>
  </si>
  <si>
    <t>Chaque remarque est associée à un responsable et à une échéance de traitement</t>
  </si>
  <si>
    <t>Les remarques issues des revues sont enregistrées dans un registre dédié</t>
  </si>
  <si>
    <t>S’assurer que les conclusions des revues d'assurance qualité 
sont prises en compte par l'équipe projet</t>
  </si>
  <si>
    <t>La procédure est évaluée et mise à jour selon les besoins</t>
  </si>
  <si>
    <t>Les écarts identifiés font l’objet d’un suivi formel</t>
  </si>
  <si>
    <t>Les comptes rendus de revue sont systématiquement rédigés et diffusés</t>
  </si>
  <si>
    <t>Les revues sont planifiées et les participants désignés à l’avance</t>
  </si>
  <si>
    <t>Une procédure décrit les types de revues, leurs objectifs et leur périodicité</t>
  </si>
  <si>
    <t>S’assurer qu’une procédure de suivi des revues d'assurance 
qualité est formalisée</t>
  </si>
  <si>
    <t>Ses recommandations ne peuvent être modifiées sans justification</t>
  </si>
  <si>
    <t>Il intervient à chaque étape critique sans conflit d’intérêt</t>
  </si>
  <si>
    <t>Ses missions sont définies dans une charte ou un organigramme officiel</t>
  </si>
  <si>
    <t>Il relève hiérarchiquement d’une entité indépendante du projet</t>
  </si>
  <si>
    <t>Le groupe assurance qualité est distinct des équipes de développement</t>
  </si>
  <si>
    <t>S’assurer que le groupe assurance qualité est indépendant des 
équipes de développement du projet</t>
  </si>
  <si>
    <t>Ils servent de référence pour le suivi et le contrôle qualité</t>
  </si>
  <si>
    <t>Ils sont repris dans les documents de spécification et de recette</t>
  </si>
  <si>
    <t>Ils sont validés par les parties prenantes métier et techniques</t>
  </si>
  <si>
    <t>Ils couvrent les aspects fonctionnels, techniques et de performance</t>
  </si>
  <si>
    <t>Les objectifs qualité sont définis dès les premières phases du projet</t>
  </si>
  <si>
    <t xml:space="preserve">S’assurer que les objectifs de qualité du produit sont 
formalisés </t>
  </si>
  <si>
    <t>Il est accessible à toutes les équipes concernées</t>
  </si>
  <si>
    <t>Il est mis à jour régulièrement pour intégrer les évolutions normatives</t>
  </si>
  <si>
    <t>Il est validé par la direction qualité ou la direction générale</t>
  </si>
  <si>
    <t>Il décrit les principes, processus et méthodes qualité appliqués</t>
  </si>
  <si>
    <t>Le manuel d’assurance qualité existe au niveau de l’organisation</t>
  </si>
  <si>
    <t>S’assurer qu’il existe un manuel d'assurance qualité de l'entité</t>
  </si>
  <si>
    <t>Le dispositif est mis à jour en fonction des retours d’expérience</t>
  </si>
  <si>
    <t>Le dispositif est communiqué à l’ensemble des parties prenantes</t>
  </si>
  <si>
    <t>Le dispositif est validé par les instances de gouvernance du projet</t>
  </si>
  <si>
    <t>Les responsabilités qualité sont clairement définies au sein du projet</t>
  </si>
  <si>
    <t>Le dispositif d’assurance qualité est formalisé dans un document officiel</t>
  </si>
  <si>
    <t>S’assurer qu’il existe un dispositif d'assurance qualité 
documenté</t>
  </si>
  <si>
    <t>Qualité</t>
  </si>
  <si>
    <t>Les résultats sont utilisés lors des revues de projet et instances de pilotage</t>
  </si>
  <si>
    <t>Ils permettent une consolidation des informations à l’échelle projet</t>
  </si>
  <si>
    <t>Les outils sont accessibles à tous les acteurs concernés</t>
  </si>
  <si>
    <t>Les indicateurs de coût et de délai sont extraits automatiquement</t>
  </si>
  <si>
    <t>Les outils permettent une remontée fiable et rapide des données d’avancement</t>
  </si>
  <si>
    <t>S’assurer que les outils de suivi des délais et des coûts sont 
adaptés</t>
  </si>
  <si>
    <t>La granularité est adaptée à la complexité du projet</t>
  </si>
  <si>
    <t>La réalisation des tâches est mesurable à chaque point de contrôle</t>
  </si>
  <si>
    <t>Les tâches ne sont ni trop générales ni trop fragmentées</t>
  </si>
  <si>
    <t>Chaque tâche est réalisable avec les ressources disponibles</t>
  </si>
  <si>
    <t>Les tâches sont de durée limitée, compatibles avec un suivi régulier</t>
  </si>
  <si>
    <t>S’assurer que les tâches identifiées constituent des unités 
gérables</t>
  </si>
  <si>
    <t>Les indicateurs de suivi (coûts, délais, qualité) sont définis dès le départ</t>
  </si>
  <si>
    <t>Les livrables sont clairement identifiés et liés à chaque phase</t>
  </si>
  <si>
    <t>Les jalons sont positionnés selon une logique métier et technique</t>
  </si>
  <si>
    <t>Les durées sont estimées de manière réaliste avec l’appui des experts</t>
  </si>
  <si>
    <t>Le plan intègre l’ensemble des phases, tâches et ressources mobilisées</t>
  </si>
  <si>
    <t>S’assurer que le plan général du projet est suffisamment précis</t>
  </si>
  <si>
    <t>L’outil est compatible avec les autres systèmes de gestion (temps, coûts, ressources)</t>
  </si>
  <si>
    <t>Les données de planification sont partagées avec l’équipe projet</t>
  </si>
  <si>
    <t>Les mises à jour sont réalisées par les chefs de projet à intervalles réguliers</t>
  </si>
  <si>
    <t>L’outil permet de visualiser les tâches, les dépendances et les jalons</t>
  </si>
  <si>
    <t>Un outil commun est utilisé pour planifier et suivre le projet</t>
  </si>
  <si>
    <t>S’assurer que la méthode repose sur un outil de planification</t>
  </si>
  <si>
    <t>Les résultats sont utilisés pour ajuster la planification si nécessaire</t>
  </si>
  <si>
    <t>Les écarts entre temps prévu et temps consommé sont mesurés</t>
  </si>
  <si>
    <t>Les données de temps sont collectées et analysées régulièrement</t>
  </si>
  <si>
    <t>Les collaborateurs renseignent leurs temps dans un outil ou un support prévu à cet effet</t>
  </si>
  <si>
    <t>Une procédure de déclaration du temps passé est définie</t>
  </si>
  <si>
    <t>S’assurer que la méthode repose sur un reporting des temps à 
travers une feuille de temps</t>
  </si>
  <si>
    <t>Les résultats des points de contrôle sont tracés et archivés</t>
  </si>
  <si>
    <t>Les instances responsables de validation des livrables sont identifiées</t>
  </si>
  <si>
    <t>Chaque livrable est associé à des critères d’acceptation formalisés</t>
  </si>
  <si>
    <t>Les points de contrôle sont inscrits dans le planning initial du projet</t>
  </si>
  <si>
    <t>Les livrables attendus sont définis pour chaque phase ou jalon</t>
  </si>
  <si>
    <t>S’assurer que la méthode repose sur une identification précise 
des points de contrôle et des livrables</t>
  </si>
  <si>
    <t>L’attribution des tâches fait l’objet d’un suivi et d’un reporting</t>
  </si>
  <si>
    <t>Les responsabilités sont validées par les hiérarchies concernées</t>
  </si>
  <si>
    <t>Les responsables de tâches sont informés de leurs engagements</t>
  </si>
  <si>
    <t>Les responsabilités sont notifiées par écrit (ex. : fiche de mission, email, outil collaboratif)</t>
  </si>
  <si>
    <t>Chaque tâche est assignée à un acteur identifié dans le plan de projet</t>
  </si>
  <si>
    <t>S’assurer que la méthode repose sur une attribution formelle 
des responsabilités par tâche</t>
  </si>
  <si>
    <t>Le découpage facilite le suivi opérationnel du projet</t>
  </si>
  <si>
    <t>Les dépendances entre les tâches sont identifiées</t>
  </si>
  <si>
    <t>Les tâches sont regroupées en phases et jalons logiques</t>
  </si>
  <si>
    <t>Chaque tâche est clairement définie avec un objectif et une durée estimée</t>
  </si>
  <si>
    <t>Le découpage en tâches est systématique dès la phase de planification</t>
  </si>
  <si>
    <t>S’assurer que la méthode repose sur un découpage des projets 
en tâches</t>
  </si>
  <si>
    <t>Des vérifications sont menées pour s’assurer de son application effective dans les projets en cours</t>
  </si>
  <si>
    <t>Des formations sont organisées pour garantir sa bonne appropriation</t>
  </si>
  <si>
    <t>Elle est diffusée à l’ensemble des chefs de projet concernés</t>
  </si>
  <si>
    <t>La méthode est validée par la direction ou l’entité responsable de la gouvernance SI</t>
  </si>
  <si>
    <t>S’assurer qu’il existe une méthode de conduite de projet et 
celle-ci est appliquée</t>
  </si>
  <si>
    <t>Méthodes et outils</t>
  </si>
  <si>
    <t>Le contenu du reporting est adapté au niveau de décision attendu</t>
  </si>
  <si>
    <t>Les tableaux de bord sont partagés avec la direction et les parties prenantes</t>
  </si>
  <si>
    <t>Les tableaux de bord intègrent les indicateurs, alertes et actions en cours</t>
  </si>
  <si>
    <t>Le reporting est réalisé à fréquence fixe (hebdomadaire, mensuelle, etc.)</t>
  </si>
  <si>
    <t>Un format standard de tableau de bord est utilisé par l’équipe projet</t>
  </si>
  <si>
    <t>S’assurer qu’il existe un formalisme de reporting (tableau de 
bord par exemple)</t>
  </si>
  <si>
    <t>Les indicateurs sont accessibles aux instances de pilotage</t>
  </si>
  <si>
    <t>Les écarts sont analysés pour proposer des actions correctives</t>
  </si>
  <si>
    <t>Les données des indicateurs sont collectées selon un processus fiable</t>
  </si>
  <si>
    <t>Les seuils d’alerte sont associés à chaque indicateur</t>
  </si>
  <si>
    <t>Les indicateurs de performance sont définis dès la phase de cadrage</t>
  </si>
  <si>
    <t>S’assurer qu’il existe des indicateurs de suivi du projet</t>
  </si>
  <si>
    <t>Les causes des évolutions sont identifiées pour éviter leur récurrence</t>
  </si>
  <si>
    <t>Les historiques de versions du périmètre et des plannings sont conservés</t>
  </si>
  <si>
    <t>Les décisions d’arbitrage sont formalisées et communiquées</t>
  </si>
  <si>
    <t>Chaque évolution est soumise à une analyse d’impact préalable</t>
  </si>
  <si>
    <t>Un registre des changements est mis à jour en temps réel</t>
  </si>
  <si>
    <t>S’assurer que la traçabilité des évolutions de périmètre, coût et 
délai est assurée</t>
  </si>
  <si>
    <t>Les participants aux revues sont les responsables des volets suivis</t>
  </si>
  <si>
    <t>Les risques, retards et écarts sont systématiquement abordés</t>
  </si>
  <si>
    <t>Les indicateurs clés du projet sont présentés à chaque revue</t>
  </si>
  <si>
    <t>Les comptes rendus des revues sont archivés avec les plans d’action associés</t>
  </si>
  <si>
    <t>Un calendrier formel des revues de projet est défini et respecté</t>
  </si>
  <si>
    <t xml:space="preserve">S’assurer qu’il existe une réunion périodique de revue du projet 
pour suivre son avancement </t>
  </si>
  <si>
    <t>Les exigences de maintenabilité sont prises en compte dès la conception</t>
  </si>
  <si>
    <t>Des points de coordination sont prévus avec l’équipe de production</t>
  </si>
  <si>
    <t>Les gestionnaires de production participent aux phases de validation et de mise en service</t>
  </si>
  <si>
    <t>Les impacts de production sont analysés lors des revues de projet</t>
  </si>
  <si>
    <t>La fonction exploitation est représentée dans les instances décisionnelles</t>
  </si>
  <si>
    <t>S’assurer que les gestionnaires de la production sont intégrés 
dans les structures de pilotage</t>
  </si>
  <si>
    <t>La présence des membres est suivie pour garantir la régularité et l’efficacité des comités</t>
  </si>
  <si>
    <t>Les niveaux hiérarchiques sont adaptés à la nature des arbitrages</t>
  </si>
  <si>
    <t>Les parties prenantes critiques (utilisateurs, production, sécurité) sont représentées</t>
  </si>
  <si>
    <t>Les profils des participants correspondent aux enjeux des décisions à prendre</t>
  </si>
  <si>
    <t>La composition des comités est validée au lancement du projet</t>
  </si>
  <si>
    <t>S’assurer que les participants aux différents comités sont 
représentatifs et ont le bon niveau de décision</t>
  </si>
  <si>
    <t>Des bilans périodiques des délégations sont réalisés pour retour d’expérience</t>
  </si>
  <si>
    <t>Les ajustements sont faits lorsque les objectifs ne sont pas atteints</t>
  </si>
  <si>
    <t>Les délégations permettent d’accélérer la prise de décision sans compromettre la qualité</t>
  </si>
  <si>
    <t>Des indicateurs permettent de mesurer l’efficacité des délégations dans le suivi du projet</t>
  </si>
  <si>
    <t>Les résultats attendus de chaque niveau de délégation sont précisés en amont</t>
  </si>
  <si>
    <t>S’assurer que les objectifs des délégations sont atteints</t>
  </si>
  <si>
    <t>Les écarts ou conflits liés à la délégation sont traités dans un processus d’arbitrage</t>
  </si>
  <si>
    <t>Des comptes rendus de décisions montrent l’application effective des délégations</t>
  </si>
  <si>
    <t>Les limites de responsabilité sont connues et respectées par les membres</t>
  </si>
  <si>
    <t>Les responsabilités en matière de décision sont précisées par domaine (budget, délai, périmètre)</t>
  </si>
  <si>
    <t>Les niveaux de délégation sont définis dans les documents de cadrage</t>
  </si>
  <si>
    <t>S’assurer que les différentes instances de pilotage connaissent 
leurs niveaux de délégation</t>
  </si>
  <si>
    <t>Le fonctionnement des instances est décrit dans une note de gouvernance de projet</t>
  </si>
  <si>
    <t>Les membres des instances de pilotage sont désignés formellement</t>
  </si>
  <si>
    <t>Les circuits décisionnels sont établis et communiqués</t>
  </si>
  <si>
    <t>Les rôles et responsabilités des acteurs sont décrits et partagés</t>
  </si>
  <si>
    <t>Une organisation claire du pilotage est formalisée dans un document validé</t>
  </si>
  <si>
    <t>S’assurer que la structure de pilotage est formalisée et connue 
de tous les acteurs</t>
  </si>
  <si>
    <t>Instances de pilotage</t>
  </si>
  <si>
    <t>Des rapports périodiques sont produits pour la direction de projet</t>
  </si>
  <si>
    <t>Le planning est ajusté en fonction de l’évolution du reste à faire</t>
  </si>
  <si>
    <t>Les écarts entre prévision et réalisation sont analysés</t>
  </si>
  <si>
    <t>Un outil ou un support de suivi permet de quantifier le reste à faire par activité</t>
  </si>
  <si>
    <t>Des points d’avancement réguliers sont organisés pour évaluer les tâches restantes</t>
  </si>
  <si>
    <t>S’assurer qu’une estimation périodique du reste à faire est 
effectuée</t>
  </si>
  <si>
    <t>Les alertes font l’objet d’un enregistrement et d’un retour d’expérience</t>
  </si>
  <si>
    <t>Les contacts et responsabilités sont listés pour chaque type de situation d’urgence</t>
  </si>
  <si>
    <t>Les délais de réaction sont précisés selon la nature de l’alerte</t>
  </si>
  <si>
    <t>Des indicateurs permettent de détecter les situations critiques nécessitant une alerte</t>
  </si>
  <si>
    <t>Une procédure d’escalade est définie et diffusée à tous les acteurs concernés</t>
  </si>
  <si>
    <t>S’assurer qu’il existe des procédures pour traiter les alertes 
urgentes</t>
  </si>
  <si>
    <t>Les marges d’incertitude sont intégrées dans les estimations initiales</t>
  </si>
  <si>
    <t>Les estimations sont revues et ajustées à chaque jalon du projet</t>
  </si>
  <si>
    <t>Les hypothèses utilisées pour les calculs sont explicitées</t>
  </si>
  <si>
    <t>Les estimations de charge sont basées sur des données historiques ou des retours d’expérience</t>
  </si>
  <si>
    <t>Une méthode structurée (par analogie, par expertise, par point de fonction) est choisie et documentée</t>
  </si>
  <si>
    <t>S’assurer qu’une méthode d'estimation des charges est 
appliquée</t>
  </si>
  <si>
    <t>Des actions correctives sont prévues en cas de non-respect des délais</t>
  </si>
  <si>
    <t>Les écarts de planning font l’objet d’un suivi avec analyse des causes</t>
  </si>
  <si>
    <t>Des engagements sont pris dans des documents de cadrage ou des contrats internes</t>
  </si>
  <si>
    <t>Les responsabilités de tenue des délais sont clairement attribuées</t>
  </si>
  <si>
    <t>Le planning général est validé formellement par les responsables d’équipes et les parties prenantes</t>
  </si>
  <si>
    <t>S’assurer que les acteurs se sont engagés à respecter le 
planning général du projet</t>
  </si>
  <si>
    <t>Des marges de sécurité sont intégrées dans les délais critiques</t>
  </si>
  <si>
    <t>Des mécanismes d’alerte en cas de dérive de planning sont en place</t>
  </si>
  <si>
    <t>Des points de synchronisation sont définis dans le planning global</t>
  </si>
  <si>
    <t>Les contraintes calendaires externes (règlementaires, métiers, saisonnalité) sont prises en compte</t>
  </si>
  <si>
    <t>Les risques de décalage entre les différents lots ou sous-projets sont identifiés</t>
  </si>
  <si>
    <t>S’assurer qu’il existe une évaluation des risques liés à la 
synchronisation des activités</t>
  </si>
  <si>
    <t>Une veille technologique est menée pour anticiper les évolutions du marché</t>
  </si>
  <si>
    <t>Des tests de faisabilité ou des prototypes sont réalisés pour valider les choix techniques</t>
  </si>
  <si>
    <t>Les dépendances vis-à-vis de fournisseurs ou technologies propriétaires sont analysées</t>
  </si>
  <si>
    <t>Les risques liés à l’interopérabilité, à la compatibilité ou à l’obsolescence sont identifiés</t>
  </si>
  <si>
    <t>Une étude des technologies envisagées est réalisée en amont du projet</t>
  </si>
  <si>
    <t>S’assurer qu’il existe une évaluation des risques liés à la 
technologie utilisée</t>
  </si>
  <si>
    <t>Un registre des risques est mis en place et régulièrement mis à jour</t>
  </si>
  <si>
    <t>Des mesures de prévention ou de mitigation sont prévues pour chaque risque majeur</t>
  </si>
  <si>
    <t>Les risques métier, organisationnels ou réglementaires sont identifiés</t>
  </si>
  <si>
    <t>Les spécificités du projet (taille, nouveauté, criticité) sont prises en compte</t>
  </si>
  <si>
    <t>Une analyse de risques initiale est formalisée lors du lancement du projet</t>
  </si>
  <si>
    <t>S’assurer qu’il existe une évaluation des risques liés à la nature 
du projet</t>
  </si>
  <si>
    <t>Les besoins en sous-traitance ou en assistance technique sont évalués et planifiés</t>
  </si>
  <si>
    <t>Les surcharges ou conflits d’affectation sont anticipés et arbitrés</t>
  </si>
  <si>
    <t>Les outils ou logiciels de gestion des ressources sont utilisés pour le suivi</t>
  </si>
  <si>
    <t>Les disponibilités des ressources sont prises en compte dans la planification</t>
  </si>
  <si>
    <t>Les ressources humaines nécessaires sont identifiées et affectées à chaque phase</t>
  </si>
  <si>
    <t>S’assurer que les plans intègrent une gestion optimale des 
ressources</t>
  </si>
  <si>
    <t>Des modalités de révision et de mise à jour du planning sont établies</t>
  </si>
  <si>
    <t>Le planning est partagé avec tous les acteurs concernés</t>
  </si>
  <si>
    <t>Les jalons majeurs sont définis et validés par la direction de projet</t>
  </si>
  <si>
    <t>Les interdépendances entre les différentes composantes du projet sont identifiées et planifiées</t>
  </si>
  <si>
    <t>Le planning directeur couvre l’ensemble des phases du projet, depuis l’étude jusqu’à la mise en production</t>
  </si>
  <si>
    <t>S’assurer qu’il existe un planning directeur commun à tout le 
projet</t>
  </si>
  <si>
    <t>Planification</t>
  </si>
  <si>
    <t>Archivage et accessibilité de l’étude d’opportunité dans le dossier de pilotage du projet</t>
  </si>
  <si>
    <t>Justification du choix retenu en regard des objectifs stratégiques de l’organisation</t>
  </si>
  <si>
    <t>Validation de l’étude par les instances décisionnelles (comité stratégique, direction générale)</t>
  </si>
  <si>
    <t>Analyse comparative des avantages, coûts, délais et risques associés à chaque option</t>
  </si>
  <si>
    <t>Existence d’un document d’étude d’opportunité présentant les différentes options de mise en œuvre</t>
  </si>
  <si>
    <t>S’assurer qu’une étude d'opportunité est validée</t>
  </si>
  <si>
    <t>Validation par le management de la capacité de l’équipe à exécuter les missions confiées</t>
  </si>
  <si>
    <t>Évaluation des ressources humaines mobilisées en lien avec les exigences du planning</t>
  </si>
  <si>
    <t>Suivi des plans de montée en compétence ou d’assistance externe (consultants, AMOA, etc.)</t>
  </si>
  <si>
    <t>Identification des écarts de compétences et planification des actions de formation ou de renfort</t>
  </si>
  <si>
    <t>Analyse des compétences requises pour chaque poste du projet</t>
  </si>
  <si>
    <t>S’assurer que les compétences du personnel sont en 
adéquation avec les tâches</t>
  </si>
  <si>
    <t>Actualisation de la répartition des tâches en fonction des évolutions du projet</t>
  </si>
  <si>
    <t>Communication des responsabilités au sein de l’équipe et aux parties prenantes externes</t>
  </si>
  <si>
    <t>Définition explicite des responsabilités de chaque membre dans un document de gouvernance</t>
  </si>
  <si>
    <t>Nomination formelle du chef de projet, des référents métiers, techniques et qualité</t>
  </si>
  <si>
    <t>Établissement d’un organigramme ou d’une fiche d’équipe projet précisant les rôles</t>
  </si>
  <si>
    <t>S’assurer que les acteurs de l'équipe projet et leurs 
responsabilités sont bien identifiés</t>
  </si>
  <si>
    <t>Suivi par la direction des indicateurs de performance et de risques associés au projet</t>
  </si>
  <si>
    <t>Communication officielle de la direction en faveur du projet auprès des parties prenantes</t>
  </si>
  <si>
    <t>Implication de la direction dans la validation des objectifs, budgets et jalons du projet</t>
  </si>
  <si>
    <t>Participation régulière de la direction aux revues de projet et décisions clés</t>
  </si>
  <si>
    <t>Désignation formelle d’un sponsor ou d’un comité de pilotage incluant la direction</t>
  </si>
  <si>
    <t>S’assurer que la direction est bien impliquée dans le projet</t>
  </si>
  <si>
    <t>Documentation des évolutions requises dans le SI pour accueillir la nouvelle solution</t>
  </si>
  <si>
    <t>Consultation des architectes SI pour validation de la cohérence globale</t>
  </si>
  <si>
    <t>Intégration des exigences d’interopérabilité et de compatibilité avec les systèmes en place</t>
  </si>
  <si>
    <t>Analyse d’impacts sur l’urbanisation et l’architecture cible du système d’information</t>
  </si>
  <si>
    <t>Évaluation des interactions entre le projet et les composants existants du SI</t>
  </si>
  <si>
    <t>S’assurer que le projet est cohérent avec le SI actuel ou futur</t>
  </si>
  <si>
    <t>Mise à jour du plan directeur si nécessaire pour intégrer les spécificités du projet</t>
  </si>
  <si>
    <t>Implication de la DSI dans la validation de la cohérence stratégique du projet</t>
  </si>
  <si>
    <t>Vérification que le projet contribue aux objectifs structurants du système d’information</t>
  </si>
  <si>
    <t>Référencement du projet dans les documents stratégiques de la DSI</t>
  </si>
  <si>
    <t>Analyse de la compatibilité du projet avec les orientations du plan directeur en vigueur</t>
  </si>
  <si>
    <t>S’assurer que le projet est cohérent avec le plan directeur 
informatique</t>
  </si>
  <si>
    <t>Validation des exigences et priorités par un comité ou une instance décisionnelle</t>
  </si>
  <si>
    <t>Définition claire des principes de gestion intégrés à la solution (flux, règles métier, responsabilités)</t>
  </si>
  <si>
    <t>Documentation des arbitrages réalisés entre différentes options ou scénarios</t>
  </si>
  <si>
    <t>Liste des exigences classées par ordre de priorité ou criticité</t>
  </si>
  <si>
    <t>Identification explicite des catégories d’utilisateurs et de leurs attentes spécifiques</t>
  </si>
  <si>
    <t>S’assurer que les exigences utilisateurs, les populations ciblées, 
les options et principes de gestion retenus sont précisés et priorisés</t>
  </si>
  <si>
    <t>Prise en compte des contraintes budgétaires, temporelles et réglementaires dans les choix proposés</t>
  </si>
  <si>
    <t>Validation des préconisations par les experts métiers et techniques</t>
  </si>
  <si>
    <t>Justification des choix techniques et fonctionnels dans le document de cadrage</t>
  </si>
  <si>
    <t>Évaluation de la faisabilité technique de la solution proposée</t>
  </si>
  <si>
    <t>Alignement des spécifications avec les exigences décrites dans le cahier des charges</t>
  </si>
  <si>
    <t>S’assurer que le cahier des charges préconise une solution 
fonctionnellement et techniquement pertinente au regard des besoins 
exprimés</t>
  </si>
  <si>
    <t>Validation du cahier des charges par les parties prenantes concernées</t>
  </si>
  <si>
    <t>Méthodologie structurée utilisée pour la collecte et la formalisation des besoins</t>
  </si>
  <si>
    <t>Traçabilité entre les besoins exprimés et les objectifs stratégiques du projet</t>
  </si>
  <si>
    <t>Description complète des besoins fonctionnels et non fonctionnels des utilisateurs</t>
  </si>
  <si>
    <t>Existence d’un cahier des charges rédigé et validé par la maîtrise d’ouvrage</t>
  </si>
  <si>
    <t>S’assurer que l'expression détaillée des besoins est formalisée 
dans un cahier des charges fait par la MOA</t>
  </si>
  <si>
    <t>Étude d'opportunité et expression des besoins</t>
  </si>
  <si>
    <t>Mise à jour du planning et des ressources en fonction des impacts identifiés</t>
  </si>
  <si>
    <t>Coordination avec les responsables des autres projets ou des infrastructures concernées</t>
  </si>
  <si>
    <t>Prise en compte des contraintes techniques de compatibilité ou d’intégration</t>
  </si>
  <si>
    <t>Évaluation des impacts sur les infrastructures existantes (réseau, hébergement, sécurité)</t>
  </si>
  <si>
    <t>Identification des interdépendances avec d’autres projets ou systèmes en cours</t>
  </si>
  <si>
    <t>S’assurer que les liens et impacts avec des projets connexes et 
les infrastructures (Datacenter, réseaux, etc.) sont pris en compte</t>
  </si>
  <si>
    <t>Document de synthèse des coûts validé et annexé au dossier de décision</t>
  </si>
  <si>
    <t>Utilisation d’un modèle de coûts validé par la direction financière ou de projet</t>
  </si>
  <si>
    <t>Inclusion des coûts indirects (formation, conduite du changement, transition) dans le chiffrage</t>
  </si>
  <si>
    <t>Évaluation des coûts récurrents d’exploitation, maintenance et support</t>
  </si>
  <si>
    <t>Estimation détaillée des coûts initiaux d’investissement et de mise en œuvre</t>
  </si>
  <si>
    <t>S’assurer que les coûts sont évalués</t>
  </si>
  <si>
    <t>Validation et communication de la structure organisationnelle du projet à l’ensemble des acteurs</t>
  </si>
  <si>
    <t>Mise en place d’une matrice RACI ou d’un autre outil de répartition des responsabilités</t>
  </si>
  <si>
    <t>Désignation des référents métiers, techniques, financiers et sécurité</t>
  </si>
  <si>
    <t>Clarifier et formaliser les rôles et responsabilités dès le début</t>
  </si>
  <si>
    <t xml:space="preserve"> Organigramme de projet</t>
  </si>
  <si>
    <t>Mettre en place des réunions de coordination régulières</t>
  </si>
  <si>
    <t>Confusion dans la prise de décision</t>
  </si>
  <si>
    <t>Risque de chevauchement des responsabilités</t>
  </si>
  <si>
    <t>Document de gouvernance</t>
  </si>
  <si>
    <t>Les rôles et responsabilités dans la gouvernance du projet sont-ils clairement définis ?</t>
  </si>
  <si>
    <t>Identification des rôles et responsabilités dans la gouvernance du projet</t>
  </si>
  <si>
    <t>Créer un registre central des parties prenantes et le mettre à jour fréquemment</t>
  </si>
  <si>
    <t xml:space="preserve"> Rapport de mise à jour</t>
  </si>
  <si>
    <t>Assurer une revue régulière avec toutes les parties prenantes</t>
  </si>
  <si>
    <t>Décisions biaisées</t>
  </si>
  <si>
    <t>Risque de négliger certaines parties prenantes cruciales</t>
  </si>
  <si>
    <t>Liste des parties prenantes</t>
  </si>
  <si>
    <t>La liste des parties prenantes internes et externes est-elle bien identifiée et régulièrement actualisée ?</t>
  </si>
  <si>
    <t>Liste des parties prenantes internes et externes identifiées et actualisées</t>
  </si>
  <si>
    <t>S’assurer que les principaux acteurs sont identifiés</t>
  </si>
  <si>
    <t>Valider les documents de cadrage avec toutes les parties prenantes</t>
  </si>
  <si>
    <t xml:space="preserve"> Cahier des charges</t>
  </si>
  <si>
    <t>Mettre en place un processus de révision périodique des documents</t>
  </si>
  <si>
    <t>Objectifs flous</t>
  </si>
  <si>
    <t>Risque de confusion sur les objectifs du projet</t>
  </si>
  <si>
    <t>Document de cadrage</t>
  </si>
  <si>
    <t>Les orientations sont-elles formalisées dans les documents de cadrage ou de conception générale ?</t>
  </si>
  <si>
    <t>Formalisation des orientations dans les documents de cadrage ou de conception générale</t>
  </si>
  <si>
    <t>Organiser des réunions de suivi pour réitérer les orientations</t>
  </si>
  <si>
    <t xml:space="preserve"> Compte-rendu des réunions</t>
  </si>
  <si>
    <t>Utiliser des supports de communication adaptés aux différentes parties</t>
  </si>
  <si>
    <t>Manque d’adhésion</t>
  </si>
  <si>
    <t>Risque de mauvaise compréhension ou résistance des parties prenantes</t>
  </si>
  <si>
    <t>Les orientations ont-elles été communiquées aux parties prenantes internes et externes ?</t>
  </si>
  <si>
    <t>Communication des orientations aux parties prenantes internes et externes</t>
  </si>
  <si>
    <t>Revoir les orientations du projet pour garantir l’alignement</t>
  </si>
  <si>
    <t>Mettre à jour la stratégie numérique si nécessaire</t>
  </si>
  <si>
    <t>Non-alignement stratégique, échec du projet</t>
  </si>
  <si>
    <t>Risque de déviation par rapport aux priorités stratégiques</t>
  </si>
  <si>
    <t>Document stratégique de l’organisation</t>
  </si>
  <si>
    <t>Les orientations du projet sont-elles cohérentes avec la stratégie numérique de l’organisation ?</t>
  </si>
  <si>
    <t>Cohérence des orientations avec la stratégie numérique de l’organisation</t>
  </si>
  <si>
    <t>Réévaluer les principes directeurs lors des révisions majeures</t>
  </si>
  <si>
    <t xml:space="preserve"> Spécification fonctionnelle</t>
  </si>
  <si>
    <t>S’assurer de l’harmonisation des modules dès la conception</t>
  </si>
  <si>
    <t>Détérioration de la performance, coûts supplémentaires</t>
  </si>
  <si>
    <t>Risque d’incompatibilité entre les modules</t>
  </si>
  <si>
    <t>Document de principes directeurs</t>
  </si>
  <si>
    <t>Les principes directeurs (modularité,sécurité) sont-ils définis ?</t>
  </si>
  <si>
    <t>Définition des principes directeurs (modularité, interopérabilité, sécurité, etc.)</t>
  </si>
  <si>
    <t>Mettre en place une validation systématique des documents d’architecture</t>
  </si>
  <si>
    <t xml:space="preserve"> Plan de conception technique</t>
  </si>
  <si>
    <t>Utiliser des outils de modélisation pour valider l’architecture</t>
  </si>
  <si>
    <t>Problèmes d’intégration</t>
  </si>
  <si>
    <t>Risque d’ambiguïté dans la conception</t>
  </si>
  <si>
    <t>Document d’architecture</t>
  </si>
  <si>
    <t>L’architecture fonctionnelle et technique du système cible est-elle clairement décrite ?</t>
  </si>
  <si>
    <t>Description claire de l’architecture fonctionnelle et technique du système cible</t>
  </si>
  <si>
    <t>S’assurer que les principales orientations du système cible ont 
été explicitées</t>
  </si>
  <si>
    <t>Assurer une communication régulière avec les parties métiers</t>
  </si>
  <si>
    <t xml:space="preserve"> Compte-rendu de réunion</t>
  </si>
  <si>
    <t>Organiser des ateliers pour clarifier les besoins des métiers</t>
  </si>
  <si>
    <t>Résistance au changement</t>
  </si>
  <si>
    <t>Risque de divergence entre les métiers et la direction</t>
  </si>
  <si>
    <t>Document de validation des métiers</t>
  </si>
  <si>
    <t>Les directions métiers ont-elles validé la nécessité du nouveau système ?</t>
  </si>
  <si>
    <t>Implication des directions métiers dans la validation de la nécessité du nouveau système</t>
  </si>
  <si>
    <t>Réaliser des simulations à différentes étapes du projet</t>
  </si>
  <si>
    <t xml:space="preserve"> Étude stratégique</t>
  </si>
  <si>
    <t>Analyser de manière plus approfondie l’efficacité des optimisations</t>
  </si>
  <si>
    <t>Coûts supplémentaires inutiles</t>
  </si>
  <si>
    <t>Risque de sous-estimer l’efficacité des optimisations seules</t>
  </si>
  <si>
    <t>Rapport d’évaluation des optimisations</t>
  </si>
  <si>
    <t>La preuve de l’insuffisance des optimisations seules pour répondre aux objectifs stratégiques a-t-elle été fournie ?</t>
  </si>
  <si>
    <t>Preuve de l’insuffisance des optimisations seules pour répondre aux objectifs stratégiques</t>
  </si>
  <si>
    <t>Comparer les résultats du “sans changement” avec les options</t>
  </si>
  <si>
    <t xml:space="preserve"> Étude d’impact</t>
  </si>
  <si>
    <t>Consulter des experts externes pour valider l’option “sans changement”</t>
  </si>
  <si>
    <t>Choix précipité du changement sans évaluer son utilité réelle</t>
  </si>
  <si>
    <t>Risque de négliger l’option “sans changement”</t>
  </si>
  <si>
    <t>Rapport d’analyse coûts-bénéfices</t>
  </si>
  <si>
    <t>Une analyse coûts-bénéfices incluant l’option “sans changement de système” a-t-elle été effectuée ?</t>
  </si>
  <si>
    <t>Analyse coûts-bénéfices incluant l’option “sans changement de système”</t>
  </si>
  <si>
    <t>Utiliser des scénarios détaillés pour prévoir les gains</t>
  </si>
  <si>
    <t xml:space="preserve"> Document de planification</t>
  </si>
  <si>
    <t>Valider les gains du système existant avant de changer</t>
  </si>
  <si>
    <t>Choix inapproprié du système</t>
  </si>
  <si>
    <t>Risque de sous-estimer les gains du système existant</t>
  </si>
  <si>
    <t>Rapport de comparaison des gains</t>
  </si>
  <si>
    <t>La comparaison entre les gains estimés par optimisation seule et ceux du nouveau système a-t-elle été réalisée ?</t>
  </si>
  <si>
    <t>Comparaison entre les gains estimés par optimisation seule et ceux attendus via le nouveau système</t>
  </si>
  <si>
    <t>Réaliser une étude d’optimisation avant tout changement majeur</t>
  </si>
  <si>
    <t xml:space="preserve"> Étude comparative</t>
  </si>
  <si>
    <t>Comparer l’optimisation avant et après changement de système</t>
  </si>
  <si>
    <t>Coûts plus élevés et inefficacité accrue</t>
  </si>
  <si>
    <t>Risque de mettre en œuvre un nouveau système sans optimisation préalable</t>
  </si>
  <si>
    <t>Rapport d’optimisation</t>
  </si>
  <si>
    <t>Une étude d’optimisation des processus a-t-elle été réalisée avant la décision de changement de système ?</t>
  </si>
  <si>
    <t>Existence d’une étude d’optimisation des processus avant la décision de changement de système</t>
  </si>
  <si>
    <t>S’assurer que le choix de recourir à un nouveau système est 
obtenu après optimisation des processus concernés et vérification 
que cette optimisation ne suffit pas à apporter par elle-même les gains 
de performance attendus</t>
  </si>
  <si>
    <t>Réaliser un audit externe de validation</t>
  </si>
  <si>
    <t>S’assurer de l’engagement des responsables métiers dès le début du projet</t>
  </si>
  <si>
    <t>Retards dans la mise en œuvre</t>
  </si>
  <si>
    <t>Risque d’oubli d’aspects importants dans l’évaluation</t>
  </si>
  <si>
    <t>Bilan critique</t>
  </si>
  <si>
    <t>Le bilan critique a-t-il été documenté et validé par les responsables métiers ?</t>
  </si>
  <si>
    <t>Documentation du bilan critique et validation par les responsables métiers concernés</t>
  </si>
  <si>
    <t>Réaliser des études comparatives avant et après optimisation</t>
  </si>
  <si>
    <t xml:space="preserve"> Plan d’optimisation</t>
  </si>
  <si>
    <t>Mettre en place une surveillance continue des gains réalisés</t>
  </si>
  <si>
    <t>Non optimisation des processus</t>
  </si>
  <si>
    <t>Risque de ne pas exploiter pleinement les gains potentiels</t>
  </si>
  <si>
    <t>Rapport d’amélioration des processus</t>
  </si>
  <si>
    <t>Les points d’amélioration et gains potentiels ont-ils été identifiés ?</t>
  </si>
  <si>
    <t>Identification des points d’amélioration et gains potentiels liés à l’évolution des processus</t>
  </si>
  <si>
    <t>Organiser des sessions régulières de recueil des retours</t>
  </si>
  <si>
    <t xml:space="preserve"> Résultats d’enquête utilisateurs</t>
  </si>
  <si>
    <t>Analyser les retours pour adapter les processus rapidement</t>
  </si>
  <si>
    <t>Insatisfaction des utilisateurs</t>
  </si>
  <si>
    <t>Risque d’ignorer des problèmes rencontrés par les utilisateurs</t>
  </si>
  <si>
    <t>Rapport de feedback</t>
  </si>
  <si>
    <t>Les retours des utilisateurs sur les processus en place ont-ils été recueillis ?</t>
  </si>
  <si>
    <t>Recueil des retours d’expérience des utilisateurs sur les processus en place</t>
  </si>
  <si>
    <t>Impliquer les employés dans l’analyse des processus</t>
  </si>
  <si>
    <t>Rapport d’audit des processus</t>
  </si>
  <si>
    <t>Mettre en place des outils de mesure de l’efficacité des processus</t>
  </si>
  <si>
    <t>Baisse de l’efficacité ou augmentation des coûts</t>
  </si>
  <si>
    <t>Risque de ne pas identifier des inefficacités importantes</t>
  </si>
  <si>
    <t xml:space="preserve"> Analyse de l’efficacité des processus</t>
  </si>
  <si>
    <t>Les dysfonctionnements,doublons ou inefficacités des processus existants ont-ils été identifiés ?</t>
  </si>
  <si>
    <t>Analyse des dysfonctionnements, doublons ou inefficacités dans les processus existants</t>
  </si>
  <si>
    <t>Mettre à jour régulièrement la cartographie</t>
  </si>
  <si>
    <t xml:space="preserve"> Étude d’impact des processus</t>
  </si>
  <si>
    <t>Organiser des sessions de validation avec les utilisateurs des processus</t>
  </si>
  <si>
    <t>Dysfonctionnements ou résistance au changement</t>
  </si>
  <si>
    <t>Risque de négliger des processus critiques</t>
  </si>
  <si>
    <t>Une cartographie détaillée des processus actuels impactés par le projet a-t-elle été réalisée ?</t>
  </si>
  <si>
    <t>Cartographie détaillée des processus actuels impactés par le projet</t>
  </si>
  <si>
    <t>S’assurer qu’un bilan critique des processus existants a été 
effectué</t>
  </si>
  <si>
    <t>Mettre en place un registre de décisions accessible</t>
  </si>
  <si>
    <t xml:space="preserve"> Document de traçabilité</t>
  </si>
  <si>
    <t>Documenter les raisons de chaque choix et décision prise</t>
  </si>
  <si>
    <t>Perte de confiance des parties prenantes</t>
  </si>
  <si>
    <t>Risque d’opacité dans le processus décisionnel</t>
  </si>
  <si>
    <t>Rapport de justification</t>
  </si>
  <si>
    <t>Existe-t-il une traçabilité des choix retenus et une justification comparative des options non retenues ?</t>
  </si>
  <si>
    <t>Traçabilité des choix retenus avec justification comparative des options non retenues</t>
  </si>
  <si>
    <t>Organiser des ateliers de validation avec les parties prenantes</t>
  </si>
  <si>
    <t>Impliquer les parties prenantes dès le début du projet</t>
  </si>
  <si>
    <t>Manque de soutien ou résistance au projet</t>
  </si>
  <si>
    <t>Risque de mauvaise adhésion au projet</t>
  </si>
  <si>
    <t>Les parties prenantes ont-elles validé les études préalables ?</t>
  </si>
  <si>
    <t>Implication des parties prenantes dans la validation des études préalables</t>
  </si>
  <si>
    <t>Prendre en compte les impacts à court</t>
  </si>
  <si>
    <t>Rapport d’analyse des impacts</t>
  </si>
  <si>
    <t>Réaliser une évaluation complète avec tous les départements</t>
  </si>
  <si>
    <t>Inadéquation du projet avec les capacités de l’organisation</t>
  </si>
  <si>
    <t>Risque de négliger des impacts importants</t>
  </si>
  <si>
    <t>Les impacts organisationnels, humains, techniques et financiers du projet ont-ils été identifiés et évalués ?</t>
  </si>
  <si>
    <t>Identification et évaluation des impacts organisationnels, humains, techniques et financiers du projet</t>
  </si>
  <si>
    <t>Ajouter des analyses de risques pour chaque option</t>
  </si>
  <si>
    <t>Étude d’opportunité</t>
  </si>
  <si>
    <t>Utiliser des critères d’évaluation multiples pour chaque option</t>
  </si>
  <si>
    <t>Choix non optimal</t>
  </si>
  <si>
    <t>Risque de sélection d’une option sous-optimale</t>
  </si>
  <si>
    <t xml:space="preserve"> Rapport comparatif</t>
  </si>
  <si>
    <t>L’étude d’opportunité présente-t-elle toutes les options possibles du projet ?</t>
  </si>
  <si>
    <t>Réalisation d’une étude d’opportunité mettant en évidence les différentes options possibles</t>
  </si>
  <si>
    <t>Réévaluer régulièrement les coûts et les bénéfices pendant le projet</t>
  </si>
  <si>
    <t>Étude de valeur</t>
  </si>
  <si>
    <t>Impliquer un auditeur externe pour valider les chiffres</t>
  </si>
  <si>
    <t>Surcoût ou sous-estimation des bénéfices du projet</t>
  </si>
  <si>
    <t>Risque de mauvaise estimation des coûts et bénéfices</t>
  </si>
  <si>
    <t>L’étude de la valeur documentée prend-elle en compte les enjeux,coûts et bénéfices du projet ?</t>
  </si>
  <si>
    <t>Existence d’une étude de la valeur documentée intégrant les enjeux, coûts et bénéfices du projet</t>
  </si>
  <si>
    <t>S’assurer qu’une étude de la valeur et des études d'opportunité 
et d'impacts ont été réalisées</t>
  </si>
  <si>
    <t>Objectifs et enjeux du projet</t>
  </si>
  <si>
    <t>Synthèse Numérique</t>
  </si>
  <si>
    <t>N°</t>
  </si>
  <si>
    <t>Total OUI</t>
  </si>
  <si>
    <t>Total NON</t>
  </si>
  <si>
    <t>Total PAS</t>
  </si>
  <si>
    <t>Total</t>
  </si>
  <si>
    <t>Score 1</t>
  </si>
  <si>
    <t>4.1</t>
  </si>
  <si>
    <t>4.2</t>
  </si>
  <si>
    <t>4.3</t>
  </si>
  <si>
    <t>4.4</t>
  </si>
  <si>
    <t>4.5</t>
  </si>
  <si>
    <t>Synthèse Graphique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</si>
</sst>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sz val="11"/>
      <color theme="1"/>
      <name val="Calibri"/>
      <family val="2"/>
      <scheme val="minor"/>
    </font>
    <font>
      <sz val="11"/>
      <color rgb="FF000000"/>
      <name val="&quot;Aptos Narrow&quot;"/>
    </font>
    <font>
      <sz val="11"/>
      <color theme="1"/>
      <name val="&quot;Aptos Narrow&quot;"/>
    </font>
    <font>
      <b/>
      <sz val="12"/>
      <color theme="1"/>
      <name val="Calibri"/>
      <family val="2"/>
      <scheme val="minor"/>
    </font>
    <font>
      <sz val="12"/>
      <color theme="1"/>
      <name val="Calibri"/>
      <family val="2"/>
      <scheme val="minor"/>
    </font>
    <font>
      <b/>
      <sz val="12"/>
      <name val="Calibri"/>
      <family val="2"/>
      <scheme val="minor"/>
    </font>
    <font>
      <sz val="12"/>
      <name val="Calibri"/>
      <family val="2"/>
      <scheme val="minor"/>
    </font>
    <font>
      <sz val="12"/>
      <color rgb="FF404040"/>
      <name val="Calibri "/>
    </font>
    <font>
      <sz val="11"/>
      <color theme="0"/>
      <name val="Calibri"/>
      <family val="2"/>
      <scheme val="minor"/>
    </font>
    <font>
      <sz val="11"/>
      <name val="Calibri"/>
      <family val="2"/>
      <scheme val="minor"/>
    </font>
    <font>
      <b/>
      <sz val="12"/>
      <name val="Calibri"/>
      <family val="2"/>
    </font>
    <font>
      <sz val="12"/>
      <name val="Calibri"/>
      <family val="2"/>
    </font>
    <font>
      <sz val="12"/>
      <name val="Aptos Narrow"/>
    </font>
    <font>
      <i/>
      <sz val="12"/>
      <name val="Calibri"/>
      <family val="2"/>
    </font>
    <font>
      <b/>
      <sz val="20"/>
      <color theme="1"/>
      <name val="Calibri"/>
      <family val="2"/>
      <scheme val="minor"/>
    </font>
  </fonts>
  <fills count="13">
    <fill>
      <patternFill patternType="none"/>
    </fill>
    <fill>
      <patternFill patternType="gray125"/>
    </fill>
    <fill>
      <patternFill patternType="solid">
        <fgColor rgb="FFFF3300"/>
        <bgColor rgb="FFFF3300"/>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theme="4"/>
        <bgColor theme="4"/>
      </patternFill>
    </fill>
    <fill>
      <patternFill patternType="solid">
        <fgColor theme="5"/>
        <bgColor theme="5"/>
      </patternFill>
    </fill>
    <fill>
      <patternFill patternType="solid">
        <fgColor rgb="FFCC0000"/>
        <bgColor rgb="FFCC0000"/>
      </patternFill>
    </fill>
    <fill>
      <patternFill patternType="solid">
        <fgColor rgb="FFFFC000"/>
        <bgColor rgb="FFFFC000"/>
      </patternFill>
    </fill>
    <fill>
      <patternFill patternType="solid">
        <fgColor theme="4"/>
      </patternFill>
    </fill>
    <fill>
      <patternFill patternType="solid">
        <fgColor theme="5"/>
      </patternFill>
    </fill>
    <fill>
      <patternFill patternType="solid">
        <fgColor theme="6" tint="0.39997558519241921"/>
        <bgColor indexed="65"/>
      </patternFill>
    </fill>
  </fills>
  <borders count="28">
    <border>
      <left/>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8">
    <xf numFmtId="0" fontId="0" fillId="0" borderId="0"/>
    <xf numFmtId="0" fontId="2" fillId="0" borderId="0"/>
    <xf numFmtId="0" fontId="9" fillId="0" borderId="13">
      <alignment horizontal="left" wrapText="1"/>
    </xf>
    <xf numFmtId="9" fontId="2" fillId="0" borderId="0" applyFont="0" applyFill="0" applyBorder="0" applyAlignment="0" applyProtection="0"/>
    <xf numFmtId="0" fontId="10" fillId="10" borderId="0" applyNumberFormat="0" applyBorder="0" applyAlignment="0" applyProtection="0"/>
    <xf numFmtId="0" fontId="10" fillId="11" borderId="0" applyNumberFormat="0" applyBorder="0" applyAlignment="0" applyProtection="0"/>
    <xf numFmtId="0" fontId="2" fillId="12" borderId="0" applyNumberFormat="0" applyBorder="0" applyAlignment="0" applyProtection="0"/>
    <xf numFmtId="0" fontId="2" fillId="0" borderId="13"/>
  </cellStyleXfs>
  <cellXfs count="191">
    <xf numFmtId="0" fontId="0" fillId="0" borderId="0" xfId="0"/>
    <xf numFmtId="0" fontId="2" fillId="0" borderId="0" xfId="1"/>
    <xf numFmtId="0" fontId="3" fillId="0" borderId="0" xfId="1" applyFont="1"/>
    <xf numFmtId="0" fontId="3" fillId="0" borderId="0" xfId="1" applyFont="1" applyAlignment="1">
      <alignment horizontal="center"/>
    </xf>
    <xf numFmtId="0" fontId="4" fillId="0" borderId="0" xfId="1" applyFont="1" applyAlignment="1">
      <alignment horizontal="center"/>
    </xf>
    <xf numFmtId="0" fontId="1" fillId="0" borderId="10" xfId="0" applyFont="1" applyBorder="1"/>
    <xf numFmtId="0" fontId="1" fillId="0" borderId="11" xfId="0" applyFont="1" applyBorder="1"/>
    <xf numFmtId="0" fontId="1" fillId="0" borderId="11" xfId="0" applyFont="1" applyBorder="1" applyAlignment="1">
      <alignment vertical="center"/>
    </xf>
    <xf numFmtId="0" fontId="5" fillId="0" borderId="12" xfId="0" applyFont="1" applyBorder="1"/>
    <xf numFmtId="0" fontId="5" fillId="0" borderId="13" xfId="0" applyFont="1" applyBorder="1"/>
    <xf numFmtId="0" fontId="5" fillId="0" borderId="10" xfId="0" applyFont="1" applyBorder="1"/>
    <xf numFmtId="0" fontId="5" fillId="0" borderId="11" xfId="0" applyFont="1" applyBorder="1"/>
    <xf numFmtId="0" fontId="0" fillId="0" borderId="14" xfId="0" applyBorder="1" applyAlignment="1">
      <alignment vertical="center"/>
    </xf>
    <xf numFmtId="0" fontId="0" fillId="0" borderId="13" xfId="0" applyBorder="1" applyAlignment="1">
      <alignment wrapText="1"/>
    </xf>
    <xf numFmtId="0" fontId="0" fillId="0" borderId="13" xfId="0" applyBorder="1"/>
    <xf numFmtId="0" fontId="0" fillId="0" borderId="14" xfId="0" applyBorder="1"/>
    <xf numFmtId="0" fontId="0" fillId="0" borderId="15" xfId="0" applyBorder="1" applyAlignment="1">
      <alignment vertical="center"/>
    </xf>
    <xf numFmtId="0" fontId="0" fillId="0" borderId="11" xfId="0" applyBorder="1" applyAlignment="1">
      <alignment vertical="center"/>
    </xf>
    <xf numFmtId="0" fontId="6" fillId="0" borderId="13" xfId="0" applyFont="1" applyBorder="1" applyAlignment="1">
      <alignment vertical="center"/>
    </xf>
    <xf numFmtId="0" fontId="0" fillId="0" borderId="14" xfId="0" applyBorder="1" applyAlignment="1">
      <alignment horizontal="center" vertical="center"/>
    </xf>
    <xf numFmtId="0" fontId="0" fillId="0" borderId="13" xfId="0" applyBorder="1" applyAlignment="1">
      <alignment vertical="center" wrapText="1"/>
    </xf>
    <xf numFmtId="0" fontId="0" fillId="0" borderId="13" xfId="0" applyBorder="1" applyAlignment="1">
      <alignment vertical="top"/>
    </xf>
    <xf numFmtId="0" fontId="6" fillId="0" borderId="13" xfId="0" applyFont="1" applyBorder="1"/>
    <xf numFmtId="0" fontId="6" fillId="0" borderId="12"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0" fillId="0" borderId="17" xfId="0" applyBorder="1"/>
    <xf numFmtId="0" fontId="0" fillId="0" borderId="17" xfId="0" applyBorder="1" applyAlignment="1">
      <alignment vertical="center"/>
    </xf>
    <xf numFmtId="0" fontId="0" fillId="0" borderId="22" xfId="0" applyBorder="1"/>
    <xf numFmtId="0" fontId="0" fillId="0" borderId="0" xfId="0" applyAlignment="1">
      <alignment vertical="center"/>
    </xf>
    <xf numFmtId="0" fontId="5" fillId="0" borderId="11" xfId="0" applyFont="1" applyBorder="1" applyAlignment="1">
      <alignment horizontal="center" vertical="center"/>
    </xf>
    <xf numFmtId="0" fontId="5" fillId="0" borderId="11" xfId="0" applyFont="1" applyBorder="1" applyAlignment="1">
      <alignment wrapText="1"/>
    </xf>
    <xf numFmtId="0" fontId="7" fillId="0" borderId="11" xfId="0" applyFont="1" applyBorder="1" applyAlignment="1">
      <alignment wrapText="1"/>
    </xf>
    <xf numFmtId="0" fontId="6" fillId="0" borderId="14" xfId="0" applyFont="1" applyBorder="1" applyAlignment="1">
      <alignment vertical="center"/>
    </xf>
    <xf numFmtId="0" fontId="0" fillId="0" borderId="0" xfId="0" applyAlignment="1">
      <alignment wrapText="1"/>
    </xf>
    <xf numFmtId="0" fontId="6" fillId="0" borderId="14" xfId="0" applyFont="1" applyBorder="1" applyAlignment="1">
      <alignment horizontal="center" vertical="center"/>
    </xf>
    <xf numFmtId="0" fontId="5" fillId="0" borderId="10" xfId="0" applyFont="1" applyBorder="1" applyAlignment="1">
      <alignment horizontal="center"/>
    </xf>
    <xf numFmtId="0" fontId="5" fillId="0" borderId="11" xfId="0" applyFont="1" applyBorder="1" applyAlignment="1">
      <alignment horizontal="center"/>
    </xf>
    <xf numFmtId="0" fontId="5" fillId="0" borderId="11" xfId="0" applyFont="1" applyBorder="1" applyAlignment="1">
      <alignment horizontal="center" wrapText="1"/>
    </xf>
    <xf numFmtId="0" fontId="7" fillId="0" borderId="11" xfId="0" applyFont="1" applyBorder="1" applyAlignment="1">
      <alignment horizontal="center" wrapText="1"/>
    </xf>
    <xf numFmtId="0" fontId="5" fillId="0" borderId="12" xfId="0" applyFont="1" applyBorder="1" applyAlignment="1">
      <alignment horizontal="center"/>
    </xf>
    <xf numFmtId="0" fontId="5" fillId="0" borderId="13" xfId="0" applyFont="1" applyBorder="1" applyAlignment="1">
      <alignment horizontal="center"/>
    </xf>
    <xf numFmtId="0" fontId="6" fillId="0" borderId="11" xfId="0" applyFont="1" applyBorder="1" applyAlignment="1">
      <alignment horizontal="center" vertical="center" wrapText="1"/>
    </xf>
    <xf numFmtId="20" fontId="8" fillId="0" borderId="11" xfId="0" applyNumberFormat="1" applyFont="1" applyBorder="1" applyAlignment="1">
      <alignment horizontal="center" vertical="center" wrapText="1"/>
    </xf>
    <xf numFmtId="0" fontId="6" fillId="0" borderId="14" xfId="0" applyFont="1" applyBorder="1"/>
    <xf numFmtId="0" fontId="6" fillId="0" borderId="16" xfId="0" applyFont="1" applyBorder="1" applyAlignment="1">
      <alignment horizontal="center" vertical="center"/>
    </xf>
    <xf numFmtId="0" fontId="6" fillId="0" borderId="12" xfId="0" applyFont="1" applyBorder="1" applyAlignment="1">
      <alignment horizontal="center" vertical="center"/>
    </xf>
    <xf numFmtId="0" fontId="6" fillId="0" borderId="17" xfId="0" applyFont="1" applyBorder="1" applyAlignment="1">
      <alignment horizontal="center" vertical="center"/>
    </xf>
    <xf numFmtId="0" fontId="6" fillId="0" borderId="10" xfId="0" applyFont="1" applyBorder="1" applyAlignment="1">
      <alignment horizontal="center" vertical="center"/>
    </xf>
    <xf numFmtId="0" fontId="6" fillId="0" borderId="15" xfId="0" applyFont="1" applyBorder="1" applyAlignment="1">
      <alignment horizontal="center" vertical="center"/>
    </xf>
    <xf numFmtId="0" fontId="6" fillId="0" borderId="11" xfId="0" applyFont="1" applyBorder="1" applyAlignment="1">
      <alignment horizontal="center" vertical="center"/>
    </xf>
    <xf numFmtId="0" fontId="6" fillId="0" borderId="16" xfId="0" applyFont="1" applyBorder="1" applyAlignment="1">
      <alignment horizontal="center"/>
    </xf>
    <xf numFmtId="0" fontId="6" fillId="0" borderId="12" xfId="0" applyFont="1" applyBorder="1" applyAlignment="1">
      <alignment horizontal="center"/>
    </xf>
    <xf numFmtId="0" fontId="6" fillId="0" borderId="17" xfId="0" applyFont="1" applyBorder="1" applyAlignment="1">
      <alignment horizontal="center"/>
    </xf>
    <xf numFmtId="0" fontId="6" fillId="0" borderId="10" xfId="0" applyFont="1" applyBorder="1" applyAlignment="1">
      <alignment horizontal="center"/>
    </xf>
    <xf numFmtId="0" fontId="6" fillId="0" borderId="15" xfId="0" applyFont="1" applyBorder="1" applyAlignment="1">
      <alignment horizontal="center"/>
    </xf>
    <xf numFmtId="0" fontId="6" fillId="0" borderId="11" xfId="0" applyFont="1" applyBorder="1" applyAlignment="1">
      <alignment horizontal="center"/>
    </xf>
    <xf numFmtId="0" fontId="0" fillId="0" borderId="15" xfId="0" applyBorder="1" applyAlignment="1">
      <alignment horizontal="center"/>
    </xf>
    <xf numFmtId="0" fontId="0" fillId="0" borderId="11" xfId="0" applyBorder="1" applyAlignment="1">
      <alignment horizontal="center"/>
    </xf>
    <xf numFmtId="0" fontId="0" fillId="0" borderId="15" xfId="0" applyBorder="1" applyAlignment="1">
      <alignment horizontal="center" vertical="center" wrapText="1"/>
    </xf>
    <xf numFmtId="0" fontId="0" fillId="0" borderId="11" xfId="0" applyBorder="1" applyAlignment="1">
      <alignment horizontal="center" vertical="center" wrapText="1"/>
    </xf>
    <xf numFmtId="0" fontId="0" fillId="0" borderId="15" xfId="0" applyBorder="1" applyAlignment="1">
      <alignment horizontal="center" vertical="top" wrapText="1"/>
    </xf>
    <xf numFmtId="0" fontId="0" fillId="0" borderId="18" xfId="0" applyBorder="1" applyAlignment="1">
      <alignment horizontal="center" vertical="top" wrapText="1"/>
    </xf>
    <xf numFmtId="0" fontId="0" fillId="0" borderId="11" xfId="0" applyBorder="1" applyAlignment="1">
      <alignment horizontal="center" vertical="top" wrapText="1"/>
    </xf>
    <xf numFmtId="0" fontId="0" fillId="0" borderId="15" xfId="0" applyBorder="1" applyAlignment="1">
      <alignment horizontal="center" wrapText="1"/>
    </xf>
    <xf numFmtId="0" fontId="0" fillId="0" borderId="11" xfId="0" applyBorder="1" applyAlignment="1">
      <alignment horizontal="center" wrapText="1"/>
    </xf>
    <xf numFmtId="0" fontId="0" fillId="0" borderId="15" xfId="0" applyBorder="1" applyAlignment="1">
      <alignment horizontal="center" vertical="center"/>
    </xf>
    <xf numFmtId="0" fontId="0" fillId="0" borderId="11" xfId="0" applyBorder="1" applyAlignment="1">
      <alignment horizontal="center" vertical="center"/>
    </xf>
    <xf numFmtId="0" fontId="0" fillId="0" borderId="18" xfId="0" applyBorder="1" applyAlignment="1">
      <alignment horizontal="center" vertical="center"/>
    </xf>
    <xf numFmtId="0" fontId="0" fillId="0" borderId="18" xfId="0" applyBorder="1" applyAlignment="1">
      <alignment horizontal="center" vertical="center" wrapText="1"/>
    </xf>
    <xf numFmtId="0" fontId="6" fillId="0" borderId="21"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xf>
    <xf numFmtId="0" fontId="6" fillId="0" borderId="18" xfId="0" applyFont="1" applyBorder="1" applyAlignment="1">
      <alignment horizontal="center"/>
    </xf>
    <xf numFmtId="0" fontId="6" fillId="0" borderId="20" xfId="0" applyFont="1" applyBorder="1" applyAlignment="1">
      <alignment horizontal="center"/>
    </xf>
    <xf numFmtId="0" fontId="6" fillId="0" borderId="19" xfId="0" applyFont="1" applyBorder="1" applyAlignment="1">
      <alignment horizontal="center"/>
    </xf>
    <xf numFmtId="20" fontId="6" fillId="0" borderId="15" xfId="0" applyNumberFormat="1" applyFont="1" applyBorder="1" applyAlignment="1">
      <alignment horizontal="center"/>
    </xf>
    <xf numFmtId="20" fontId="6" fillId="0" borderId="11" xfId="0" applyNumberFormat="1" applyFont="1" applyBorder="1" applyAlignment="1">
      <alignment horizontal="center"/>
    </xf>
    <xf numFmtId="20" fontId="6" fillId="0" borderId="16" xfId="0" applyNumberFormat="1" applyFont="1" applyBorder="1" applyAlignment="1">
      <alignment horizontal="center"/>
    </xf>
    <xf numFmtId="20" fontId="6" fillId="0" borderId="12" xfId="0" applyNumberFormat="1" applyFont="1" applyBorder="1" applyAlignment="1">
      <alignment horizontal="center"/>
    </xf>
    <xf numFmtId="20" fontId="6" fillId="0" borderId="17" xfId="0" applyNumberFormat="1" applyFont="1" applyBorder="1" applyAlignment="1">
      <alignment horizontal="center"/>
    </xf>
    <xf numFmtId="20" fontId="6" fillId="0" borderId="10" xfId="0" applyNumberFormat="1" applyFont="1" applyBorder="1" applyAlignment="1">
      <alignment horizontal="center"/>
    </xf>
    <xf numFmtId="0" fontId="6" fillId="0" borderId="15" xfId="0" applyFont="1" applyBorder="1" applyAlignment="1">
      <alignment horizontal="center" vertical="center" wrapText="1"/>
    </xf>
    <xf numFmtId="0" fontId="6" fillId="0" borderId="11"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1"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8" xfId="0" applyFont="1" applyBorder="1" applyAlignment="1">
      <alignment horizontal="center" vertical="center"/>
    </xf>
    <xf numFmtId="0" fontId="6" fillId="0" borderId="15" xfId="0" applyFont="1" applyBorder="1" applyAlignment="1">
      <alignment horizontal="center" wrapText="1"/>
    </xf>
    <xf numFmtId="0" fontId="6" fillId="0" borderId="11" xfId="0" applyFont="1" applyBorder="1" applyAlignment="1">
      <alignment horizontal="center" wrapText="1"/>
    </xf>
    <xf numFmtId="0" fontId="6" fillId="0" borderId="15" xfId="0" applyFont="1" applyBorder="1" applyAlignment="1">
      <alignment horizontal="center" vertical="top" wrapText="1"/>
    </xf>
    <xf numFmtId="0" fontId="6" fillId="0" borderId="18" xfId="0" applyFont="1" applyBorder="1" applyAlignment="1">
      <alignment horizontal="center" vertical="top" wrapText="1"/>
    </xf>
    <xf numFmtId="0" fontId="6" fillId="0" borderId="11" xfId="0" applyFont="1" applyBorder="1" applyAlignment="1">
      <alignment horizontal="center" vertical="top" wrapText="1"/>
    </xf>
    <xf numFmtId="0" fontId="8" fillId="0" borderId="15" xfId="0" applyFont="1" applyBorder="1" applyAlignment="1">
      <alignment horizontal="center" wrapText="1"/>
    </xf>
    <xf numFmtId="0" fontId="8" fillId="0" borderId="11" xfId="0" applyFont="1" applyBorder="1" applyAlignment="1">
      <alignment horizontal="center" wrapText="1"/>
    </xf>
    <xf numFmtId="0" fontId="8" fillId="0" borderId="15" xfId="2" applyFont="1" applyBorder="1" applyAlignment="1">
      <alignment horizontal="center" wrapText="1"/>
    </xf>
    <xf numFmtId="0" fontId="8" fillId="0" borderId="11" xfId="2" applyFont="1" applyBorder="1" applyAlignment="1">
      <alignment horizontal="center" wrapText="1"/>
    </xf>
    <xf numFmtId="20" fontId="8" fillId="0" borderId="15" xfId="0" applyNumberFormat="1" applyFont="1" applyBorder="1" applyAlignment="1">
      <alignment horizontal="center" vertical="center" wrapText="1"/>
    </xf>
    <xf numFmtId="20" fontId="8" fillId="0" borderId="11" xfId="0" applyNumberFormat="1" applyFont="1" applyBorder="1" applyAlignment="1">
      <alignment horizontal="center" vertical="center" wrapText="1"/>
    </xf>
    <xf numFmtId="0" fontId="8" fillId="0" borderId="4" xfId="1" applyFont="1" applyBorder="1" applyAlignment="1">
      <alignment horizontal="left"/>
    </xf>
    <xf numFmtId="0" fontId="8" fillId="0" borderId="3" xfId="1" applyFont="1" applyBorder="1"/>
    <xf numFmtId="0" fontId="8" fillId="6" borderId="3" xfId="1" applyFont="1" applyFill="1" applyBorder="1"/>
    <xf numFmtId="0" fontId="8" fillId="0" borderId="6" xfId="1" applyFont="1" applyBorder="1"/>
    <xf numFmtId="0" fontId="8" fillId="0" borderId="1" xfId="1" applyFont="1" applyBorder="1"/>
    <xf numFmtId="0" fontId="8" fillId="0" borderId="4" xfId="1" applyFont="1" applyBorder="1"/>
    <xf numFmtId="0" fontId="8" fillId="4" borderId="4" xfId="1" applyFont="1" applyFill="1" applyBorder="1"/>
    <xf numFmtId="0" fontId="8" fillId="5" borderId="4" xfId="1" applyFont="1" applyFill="1" applyBorder="1"/>
    <xf numFmtId="0" fontId="7" fillId="4" borderId="4" xfId="1" applyFont="1" applyFill="1" applyBorder="1"/>
    <xf numFmtId="0" fontId="8" fillId="8" borderId="4" xfId="1" applyFont="1" applyFill="1" applyBorder="1"/>
    <xf numFmtId="0" fontId="8" fillId="7" borderId="4" xfId="1" applyFont="1" applyFill="1" applyBorder="1"/>
    <xf numFmtId="0" fontId="8" fillId="0" borderId="4" xfId="1" applyFont="1" applyBorder="1" applyAlignment="1">
      <alignment horizontal="center"/>
    </xf>
    <xf numFmtId="0" fontId="8" fillId="6" borderId="4" xfId="1" applyFont="1" applyFill="1" applyBorder="1"/>
    <xf numFmtId="0" fontId="8" fillId="4" borderId="2" xfId="1" applyFont="1" applyFill="1" applyBorder="1"/>
    <xf numFmtId="0" fontId="8" fillId="4" borderId="1" xfId="1" applyFont="1" applyFill="1" applyBorder="1"/>
    <xf numFmtId="0" fontId="8" fillId="5" borderId="2" xfId="1" applyFont="1" applyFill="1" applyBorder="1"/>
    <xf numFmtId="0" fontId="8" fillId="0" borderId="3" xfId="1" applyFont="1" applyBorder="1" applyAlignment="1">
      <alignment horizontal="center"/>
    </xf>
    <xf numFmtId="0" fontId="8" fillId="0" borderId="7" xfId="1" applyFont="1" applyBorder="1"/>
    <xf numFmtId="0" fontId="7" fillId="0" borderId="1" xfId="1" applyFont="1" applyBorder="1"/>
    <xf numFmtId="0" fontId="8" fillId="0" borderId="2" xfId="1" applyFont="1" applyBorder="1" applyAlignment="1">
      <alignment horizontal="center"/>
    </xf>
    <xf numFmtId="0" fontId="8" fillId="0" borderId="5" xfId="1" applyFont="1" applyBorder="1"/>
    <xf numFmtId="0" fontId="8" fillId="2" borderId="5" xfId="1" applyFont="1" applyFill="1" applyBorder="1"/>
    <xf numFmtId="0" fontId="8" fillId="0" borderId="0" xfId="1" applyFont="1"/>
    <xf numFmtId="0" fontId="8" fillId="0" borderId="2" xfId="1" applyFont="1" applyBorder="1"/>
    <xf numFmtId="0" fontId="8" fillId="0" borderId="7" xfId="1" applyFont="1" applyBorder="1"/>
    <xf numFmtId="0" fontId="8" fillId="2" borderId="7" xfId="1" applyFont="1" applyFill="1" applyBorder="1"/>
    <xf numFmtId="0" fontId="8" fillId="3" borderId="7" xfId="1" applyFont="1" applyFill="1" applyBorder="1"/>
    <xf numFmtId="0" fontId="8" fillId="4" borderId="7" xfId="1" applyFont="1" applyFill="1" applyBorder="1"/>
    <xf numFmtId="0" fontId="8" fillId="0" borderId="7" xfId="1" applyFont="1" applyBorder="1" applyAlignment="1">
      <alignment horizontal="center"/>
    </xf>
    <xf numFmtId="0" fontId="8" fillId="5" borderId="7" xfId="1" applyFont="1" applyFill="1" applyBorder="1"/>
    <xf numFmtId="0" fontId="8" fillId="0" borderId="8" xfId="1" applyFont="1" applyBorder="1" applyAlignment="1">
      <alignment horizontal="center"/>
    </xf>
    <xf numFmtId="0" fontId="8" fillId="0" borderId="2" xfId="1" applyFont="1" applyBorder="1" applyAlignment="1">
      <alignment horizontal="center"/>
    </xf>
    <xf numFmtId="0" fontId="8" fillId="0" borderId="1" xfId="1" applyFont="1" applyBorder="1"/>
    <xf numFmtId="0" fontId="8" fillId="0" borderId="8" xfId="1" applyFont="1" applyBorder="1" applyAlignment="1">
      <alignment horizontal="center"/>
    </xf>
    <xf numFmtId="0" fontId="8" fillId="5" borderId="5" xfId="1" applyFont="1" applyFill="1" applyBorder="1"/>
    <xf numFmtId="0" fontId="8" fillId="5" borderId="1" xfId="1" applyFont="1" applyFill="1" applyBorder="1"/>
    <xf numFmtId="0" fontId="8" fillId="6" borderId="1" xfId="1" applyFont="1" applyFill="1" applyBorder="1"/>
    <xf numFmtId="0" fontId="8" fillId="2" borderId="1" xfId="1" applyFont="1" applyFill="1" applyBorder="1"/>
    <xf numFmtId="0" fontId="8" fillId="7" borderId="1" xfId="1" applyFont="1" applyFill="1" applyBorder="1"/>
    <xf numFmtId="0" fontId="7" fillId="0" borderId="1" xfId="1" applyFont="1" applyBorder="1" applyAlignment="1">
      <alignment wrapText="1"/>
    </xf>
    <xf numFmtId="0" fontId="8" fillId="0" borderId="4" xfId="1" applyFont="1" applyBorder="1" applyAlignment="1">
      <alignment horizontal="center" wrapText="1"/>
    </xf>
    <xf numFmtId="0" fontId="8" fillId="0" borderId="4" xfId="1" applyFont="1" applyBorder="1" applyAlignment="1">
      <alignment wrapText="1"/>
    </xf>
    <xf numFmtId="0" fontId="8" fillId="0" borderId="7" xfId="1" applyFont="1" applyBorder="1" applyAlignment="1">
      <alignment wrapText="1"/>
    </xf>
    <xf numFmtId="0" fontId="8" fillId="0" borderId="4" xfId="1" applyFont="1" applyBorder="1" applyAlignment="1">
      <alignment horizontal="center" vertical="top" wrapText="1"/>
    </xf>
    <xf numFmtId="0" fontId="8" fillId="0" borderId="3" xfId="1" applyFont="1" applyBorder="1" applyAlignment="1">
      <alignment horizontal="center" vertical="top" wrapText="1"/>
    </xf>
    <xf numFmtId="0" fontId="8" fillId="0" borderId="1" xfId="1" applyFont="1" applyBorder="1" applyAlignment="1">
      <alignment horizontal="center" vertical="top" wrapText="1"/>
    </xf>
    <xf numFmtId="0" fontId="8" fillId="0" borderId="3" xfId="1" applyFont="1" applyBorder="1" applyAlignment="1">
      <alignment horizontal="center" wrapText="1"/>
    </xf>
    <xf numFmtId="0" fontId="8" fillId="0" borderId="2" xfId="1" applyFont="1" applyBorder="1" applyAlignment="1">
      <alignment horizontal="center" wrapText="1"/>
    </xf>
    <xf numFmtId="0" fontId="8" fillId="0" borderId="3" xfId="1" applyFont="1" applyBorder="1" applyAlignment="1">
      <alignment wrapText="1"/>
    </xf>
    <xf numFmtId="0" fontId="8" fillId="0" borderId="4" xfId="1" applyFont="1" applyBorder="1" applyAlignment="1">
      <alignment horizontal="left" wrapText="1"/>
    </xf>
    <xf numFmtId="0" fontId="3" fillId="0" borderId="0" xfId="1" applyFont="1" applyAlignment="1">
      <alignment horizontal="center" wrapText="1"/>
    </xf>
    <xf numFmtId="0" fontId="2" fillId="0" borderId="0" xfId="1" applyAlignment="1">
      <alignment wrapText="1"/>
    </xf>
    <xf numFmtId="0" fontId="12" fillId="0" borderId="0" xfId="1" applyFont="1"/>
    <xf numFmtId="0" fontId="12" fillId="0" borderId="0" xfId="1" applyFont="1" applyAlignment="1">
      <alignment horizontal="left"/>
    </xf>
    <xf numFmtId="0" fontId="12" fillId="0" borderId="5" xfId="1" applyFont="1" applyBorder="1" applyAlignment="1">
      <alignment horizontal="center"/>
    </xf>
    <xf numFmtId="0" fontId="12" fillId="0" borderId="0" xfId="1" applyFont="1"/>
    <xf numFmtId="0" fontId="12" fillId="0" borderId="0" xfId="1" applyFont="1" applyAlignment="1">
      <alignment horizontal="center"/>
    </xf>
    <xf numFmtId="0" fontId="13" fillId="0" borderId="0" xfId="1" applyFont="1" applyAlignment="1">
      <alignment horizontal="center"/>
    </xf>
    <xf numFmtId="0" fontId="13" fillId="0" borderId="0" xfId="1" applyFont="1"/>
    <xf numFmtId="0" fontId="13" fillId="0" borderId="2" xfId="1" applyFont="1" applyBorder="1" applyAlignment="1">
      <alignment horizontal="left"/>
    </xf>
    <xf numFmtId="0" fontId="13" fillId="0" borderId="4" xfId="1" applyFont="1" applyBorder="1" applyAlignment="1">
      <alignment horizontal="center"/>
    </xf>
    <xf numFmtId="0" fontId="13" fillId="0" borderId="9" xfId="1" applyFont="1" applyBorder="1" applyAlignment="1">
      <alignment horizontal="left"/>
    </xf>
    <xf numFmtId="0" fontId="13" fillId="5" borderId="3" xfId="1" applyFont="1" applyFill="1" applyBorder="1" applyAlignment="1">
      <alignment horizontal="center"/>
    </xf>
    <xf numFmtId="0" fontId="13" fillId="0" borderId="9" xfId="1" applyFont="1" applyBorder="1" applyAlignment="1">
      <alignment horizontal="center"/>
    </xf>
    <xf numFmtId="0" fontId="13" fillId="0" borderId="0" xfId="1" applyFont="1" applyAlignment="1">
      <alignment horizontal="left"/>
    </xf>
    <xf numFmtId="0" fontId="8" fillId="0" borderId="0" xfId="1" applyFont="1"/>
    <xf numFmtId="0" fontId="14" fillId="0" borderId="2" xfId="1" applyFont="1" applyBorder="1"/>
    <xf numFmtId="0" fontId="14" fillId="0" borderId="7" xfId="1" applyFont="1" applyBorder="1"/>
    <xf numFmtId="0" fontId="14" fillId="0" borderId="9" xfId="1" applyFont="1" applyBorder="1"/>
    <xf numFmtId="0" fontId="14" fillId="0" borderId="4" xfId="1" applyFont="1" applyBorder="1"/>
    <xf numFmtId="0" fontId="13" fillId="9" borderId="3" xfId="1" applyFont="1" applyFill="1" applyBorder="1" applyAlignment="1">
      <alignment horizontal="center"/>
    </xf>
    <xf numFmtId="0" fontId="13" fillId="3" borderId="3" xfId="1" applyFont="1" applyFill="1" applyBorder="1" applyAlignment="1">
      <alignment horizontal="center"/>
    </xf>
    <xf numFmtId="0" fontId="15" fillId="0" borderId="0" xfId="1" applyFont="1" applyAlignment="1">
      <alignment horizontal="left"/>
    </xf>
    <xf numFmtId="0" fontId="13" fillId="0" borderId="0" xfId="1" applyFont="1" applyAlignment="1">
      <alignment horizontal="left"/>
    </xf>
    <xf numFmtId="0" fontId="11" fillId="0" borderId="0" xfId="0" applyFont="1" applyAlignment="1">
      <alignment wrapText="1"/>
    </xf>
    <xf numFmtId="0" fontId="8" fillId="0" borderId="12" xfId="2" applyFont="1" applyBorder="1" applyAlignment="1">
      <alignment horizontal="center" wrapText="1"/>
    </xf>
    <xf numFmtId="20" fontId="6" fillId="0" borderId="11" xfId="0" applyNumberFormat="1" applyFont="1" applyBorder="1" applyAlignment="1">
      <alignment horizontal="center" wrapText="1"/>
    </xf>
    <xf numFmtId="0" fontId="8" fillId="0" borderId="16" xfId="2" applyFont="1" applyBorder="1" applyAlignment="1">
      <alignment horizontal="center" wrapText="1"/>
    </xf>
    <xf numFmtId="20" fontId="6" fillId="0" borderId="15" xfId="0" applyNumberFormat="1" applyFont="1" applyBorder="1" applyAlignment="1">
      <alignment horizontal="center" wrapText="1"/>
    </xf>
    <xf numFmtId="0" fontId="8" fillId="0" borderId="11" xfId="2" applyFont="1" applyBorder="1" applyAlignment="1">
      <alignment horizontal="center" vertical="center" wrapText="1"/>
    </xf>
    <xf numFmtId="0" fontId="8" fillId="0" borderId="15" xfId="2" applyFont="1" applyBorder="1" applyAlignment="1">
      <alignment horizontal="center" vertical="center" wrapText="1"/>
    </xf>
    <xf numFmtId="0" fontId="0" fillId="0" borderId="0" xfId="0" applyAlignment="1">
      <alignment horizontal="center"/>
    </xf>
    <xf numFmtId="0" fontId="16" fillId="0" borderId="0" xfId="0" applyFont="1" applyAlignment="1">
      <alignment horizontal="center"/>
    </xf>
    <xf numFmtId="0" fontId="1" fillId="0" borderId="23" xfId="0" applyFont="1" applyBorder="1"/>
    <xf numFmtId="0" fontId="1" fillId="0" borderId="24" xfId="0" applyFont="1" applyBorder="1"/>
    <xf numFmtId="0" fontId="1" fillId="0" borderId="25" xfId="0" applyFont="1" applyBorder="1"/>
    <xf numFmtId="0" fontId="0" fillId="0" borderId="26" xfId="0" applyBorder="1"/>
    <xf numFmtId="9" fontId="0" fillId="0" borderId="27" xfId="3" applyFont="1" applyBorder="1"/>
    <xf numFmtId="0" fontId="0" fillId="0" borderId="13" xfId="7" applyFont="1"/>
    <xf numFmtId="0" fontId="2" fillId="12" borderId="13" xfId="6" applyBorder="1"/>
    <xf numFmtId="0" fontId="10" fillId="11" borderId="13" xfId="5" applyBorder="1"/>
    <xf numFmtId="0" fontId="10" fillId="10" borderId="13" xfId="4" applyBorder="1"/>
  </cellXfs>
  <cellStyles count="8">
    <cellStyle name="60 % - Accent3" xfId="6" builtinId="40"/>
    <cellStyle name="Accent1" xfId="4" builtinId="29"/>
    <cellStyle name="Accent2" xfId="5" builtinId="33"/>
    <cellStyle name="Normal" xfId="0" builtinId="0"/>
    <cellStyle name="Normal 2" xfId="1" xr:uid="{52A4FC57-4C73-49E4-A885-57595FE0368C}"/>
    <cellStyle name="Pourcentage" xfId="3" builtinId="5"/>
    <cellStyle name="Style 1" xfId="7" xr:uid="{E65D2965-9E39-49BD-B440-9C9ED176D745}"/>
    <cellStyle name="Style 3" xfId="2" xr:uid="{FE5A89A9-47AE-4CB2-9A06-9FDF4D70DC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Pourcentages</a:t>
            </a:r>
            <a:r>
              <a:rPr lang="fr-FR" baseline="0"/>
              <a:t> oui, non, pas</a:t>
            </a:r>
            <a:endParaRPr lang="fr-F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Synthèse!$C$11:$E$11</c:f>
              <c:numCache>
                <c:formatCode>General</c:formatCode>
                <c:ptCount val="3"/>
                <c:pt idx="0">
                  <c:v>612</c:v>
                </c:pt>
                <c:pt idx="1">
                  <c:v>481</c:v>
                </c:pt>
                <c:pt idx="2">
                  <c:v>123</c:v>
                </c:pt>
              </c:numCache>
            </c:numRef>
          </c:val>
          <c:extLst>
            <c:ext xmlns:c16="http://schemas.microsoft.com/office/drawing/2014/chart" uri="{C3380CC4-5D6E-409C-BE32-E72D297353CC}">
              <c16:uniqueId val="{00000000-E5D6-446F-A71C-CC8C7889D22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13887839020122486"/>
          <c:y val="0.91261519393409141"/>
          <c:w val="0.6583541119860018"/>
          <c:h val="5.9607028288130651E-2"/>
        </c:manualLayout>
      </c:layout>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250825</xdr:colOff>
      <xdr:row>17</xdr:row>
      <xdr:rowOff>123825</xdr:rowOff>
    </xdr:from>
    <xdr:to>
      <xdr:col>11</xdr:col>
      <xdr:colOff>250825</xdr:colOff>
      <xdr:row>32</xdr:row>
      <xdr:rowOff>104775</xdr:rowOff>
    </xdr:to>
    <xdr:graphicFrame macro="">
      <xdr:nvGraphicFramePr>
        <xdr:cNvPr id="6" name="Graphique 5">
          <a:extLst>
            <a:ext uri="{FF2B5EF4-FFF2-40B4-BE49-F238E27FC236}">
              <a16:creationId xmlns:a16="http://schemas.microsoft.com/office/drawing/2014/main" id="{08874CE4-CD57-416E-B6A8-EA3439E26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239C-CBB9-4AD2-8089-4F5FB00E1E36}">
  <dimension ref="A1:K1471"/>
  <sheetViews>
    <sheetView tabSelected="1" zoomScale="80" zoomScaleNormal="80" workbookViewId="0">
      <selection activeCell="C1" sqref="C1:C1048576"/>
    </sheetView>
  </sheetViews>
  <sheetFormatPr baseColWidth="10" defaultColWidth="13.7265625" defaultRowHeight="15" customHeight="1"/>
  <cols>
    <col min="1" max="1" width="25.6328125" style="1" customWidth="1"/>
    <col min="2" max="2" width="40.6328125" style="1" customWidth="1"/>
    <col min="3" max="3" width="72.6328125" style="150" customWidth="1"/>
    <col min="4" max="4" width="89.26953125" style="1" customWidth="1"/>
    <col min="5" max="5" width="64.36328125" style="1" customWidth="1"/>
    <col min="6" max="6" width="11.54296875" style="1" customWidth="1"/>
    <col min="7" max="7" width="66" style="1" customWidth="1"/>
    <col min="8" max="8" width="76.1796875" style="1" customWidth="1"/>
    <col min="9" max="9" width="18.90625" style="1" customWidth="1"/>
    <col min="10" max="10" width="64.6328125" style="1" customWidth="1"/>
    <col min="11" max="11" width="90.36328125" style="1" customWidth="1"/>
    <col min="12" max="26" width="11.54296875" style="1" customWidth="1"/>
    <col min="27" max="16384" width="13.7265625" style="1"/>
  </cols>
  <sheetData>
    <row r="1" spans="1:11" ht="14.25" customHeight="1">
      <c r="A1" s="117" t="s">
        <v>0</v>
      </c>
      <c r="B1" s="117" t="s">
        <v>1</v>
      </c>
      <c r="C1" s="138" t="s">
        <v>2</v>
      </c>
      <c r="D1" s="117" t="s">
        <v>3</v>
      </c>
      <c r="E1" s="117" t="s">
        <v>4</v>
      </c>
      <c r="F1" s="117" t="s">
        <v>5</v>
      </c>
      <c r="G1" s="117" t="s">
        <v>6</v>
      </c>
      <c r="H1" s="117" t="s">
        <v>7</v>
      </c>
      <c r="I1" s="117" t="s">
        <v>8</v>
      </c>
      <c r="J1" s="117" t="s">
        <v>9</v>
      </c>
      <c r="K1" s="117" t="s">
        <v>10</v>
      </c>
    </row>
    <row r="2" spans="1:11" ht="14.25" customHeight="1">
      <c r="A2" s="118" t="s">
        <v>11</v>
      </c>
      <c r="B2" s="115" t="s">
        <v>12</v>
      </c>
      <c r="C2" s="139" t="s">
        <v>13</v>
      </c>
      <c r="D2" s="110" t="s">
        <v>14</v>
      </c>
      <c r="E2" s="110" t="s">
        <v>15</v>
      </c>
      <c r="F2" s="110" t="s">
        <v>16</v>
      </c>
      <c r="G2" s="119" t="s">
        <v>17</v>
      </c>
      <c r="H2" s="102" t="s">
        <v>18</v>
      </c>
      <c r="I2" s="120" t="s">
        <v>19</v>
      </c>
      <c r="J2" s="102" t="s">
        <v>20</v>
      </c>
      <c r="K2" s="121" t="s">
        <v>21</v>
      </c>
    </row>
    <row r="3" spans="1:11" ht="14.25" customHeight="1">
      <c r="A3" s="122"/>
      <c r="B3" s="104"/>
      <c r="C3" s="140"/>
      <c r="D3" s="116"/>
      <c r="E3" s="116"/>
      <c r="F3" s="116"/>
      <c r="G3" s="123" t="s">
        <v>22</v>
      </c>
      <c r="H3" s="103" t="s">
        <v>23</v>
      </c>
      <c r="I3" s="124" t="s">
        <v>19</v>
      </c>
      <c r="J3" s="103" t="s">
        <v>24</v>
      </c>
      <c r="K3" s="121" t="s">
        <v>25</v>
      </c>
    </row>
    <row r="4" spans="1:11" ht="14.25" customHeight="1">
      <c r="A4" s="122"/>
      <c r="B4" s="104"/>
      <c r="C4" s="140"/>
      <c r="D4" s="110" t="s">
        <v>26</v>
      </c>
      <c r="E4" s="110" t="s">
        <v>27</v>
      </c>
      <c r="F4" s="110" t="s">
        <v>16</v>
      </c>
      <c r="G4" s="123" t="s">
        <v>17</v>
      </c>
      <c r="H4" s="103" t="s">
        <v>28</v>
      </c>
      <c r="I4" s="124" t="s">
        <v>19</v>
      </c>
      <c r="J4" s="103" t="s">
        <v>29</v>
      </c>
      <c r="K4" s="121" t="s">
        <v>30</v>
      </c>
    </row>
    <row r="5" spans="1:11" ht="14.25" customHeight="1">
      <c r="A5" s="122"/>
      <c r="B5" s="104"/>
      <c r="C5" s="140"/>
      <c r="D5" s="116"/>
      <c r="E5" s="116"/>
      <c r="F5" s="116"/>
      <c r="G5" s="123" t="s">
        <v>31</v>
      </c>
      <c r="H5" s="103" t="s">
        <v>32</v>
      </c>
      <c r="I5" s="125" t="s">
        <v>33</v>
      </c>
      <c r="J5" s="103" t="s">
        <v>34</v>
      </c>
      <c r="K5" s="121" t="s">
        <v>35</v>
      </c>
    </row>
    <row r="6" spans="1:11" ht="14.25" customHeight="1">
      <c r="A6" s="122"/>
      <c r="B6" s="104"/>
      <c r="C6" s="140"/>
      <c r="D6" s="110" t="s">
        <v>36</v>
      </c>
      <c r="E6" s="110" t="s">
        <v>37</v>
      </c>
      <c r="F6" s="110" t="s">
        <v>38</v>
      </c>
      <c r="G6" s="123" t="s">
        <v>39</v>
      </c>
      <c r="H6" s="103" t="s">
        <v>40</v>
      </c>
      <c r="I6" s="126" t="s">
        <v>41</v>
      </c>
      <c r="J6" s="103" t="s">
        <v>42</v>
      </c>
      <c r="K6" s="121" t="s">
        <v>43</v>
      </c>
    </row>
    <row r="7" spans="1:11" ht="14.25" customHeight="1">
      <c r="A7" s="122"/>
      <c r="B7" s="104"/>
      <c r="C7" s="140"/>
      <c r="D7" s="116"/>
      <c r="E7" s="116"/>
      <c r="F7" s="116"/>
      <c r="G7" s="123" t="s">
        <v>44</v>
      </c>
      <c r="H7" s="103" t="s">
        <v>45</v>
      </c>
      <c r="I7" s="124" t="s">
        <v>19</v>
      </c>
      <c r="J7" s="103" t="s">
        <v>46</v>
      </c>
      <c r="K7" s="121" t="s">
        <v>47</v>
      </c>
    </row>
    <row r="8" spans="1:11" ht="14.25" customHeight="1">
      <c r="A8" s="122"/>
      <c r="B8" s="104"/>
      <c r="C8" s="140"/>
      <c r="D8" s="110" t="s">
        <v>48</v>
      </c>
      <c r="E8" s="110" t="s">
        <v>49</v>
      </c>
      <c r="F8" s="110" t="s">
        <v>16</v>
      </c>
      <c r="G8" s="123" t="s">
        <v>50</v>
      </c>
      <c r="H8" s="103" t="s">
        <v>51</v>
      </c>
      <c r="I8" s="124" t="s">
        <v>19</v>
      </c>
      <c r="J8" s="103" t="s">
        <v>52</v>
      </c>
      <c r="K8" s="121" t="s">
        <v>53</v>
      </c>
    </row>
    <row r="9" spans="1:11" ht="14.25" customHeight="1">
      <c r="A9" s="122"/>
      <c r="B9" s="104"/>
      <c r="C9" s="140"/>
      <c r="D9" s="116"/>
      <c r="E9" s="116"/>
      <c r="F9" s="116"/>
      <c r="G9" s="123" t="s">
        <v>54</v>
      </c>
      <c r="H9" s="103" t="s">
        <v>55</v>
      </c>
      <c r="I9" s="124" t="s">
        <v>19</v>
      </c>
      <c r="J9" s="103" t="s">
        <v>56</v>
      </c>
      <c r="K9" s="121" t="s">
        <v>57</v>
      </c>
    </row>
    <row r="10" spans="1:11" ht="14.25" customHeight="1">
      <c r="A10" s="122"/>
      <c r="B10" s="104"/>
      <c r="C10" s="140"/>
      <c r="D10" s="110" t="s">
        <v>58</v>
      </c>
      <c r="E10" s="110" t="s">
        <v>59</v>
      </c>
      <c r="F10" s="110" t="s">
        <v>38</v>
      </c>
      <c r="G10" s="123" t="s">
        <v>60</v>
      </c>
      <c r="H10" s="103" t="s">
        <v>61</v>
      </c>
      <c r="I10" s="124" t="s">
        <v>19</v>
      </c>
      <c r="J10" s="103" t="s">
        <v>62</v>
      </c>
      <c r="K10" s="121" t="s">
        <v>63</v>
      </c>
    </row>
    <row r="11" spans="1:11" ht="14.25" customHeight="1">
      <c r="A11" s="122"/>
      <c r="B11" s="104"/>
      <c r="C11" s="141"/>
      <c r="D11" s="116"/>
      <c r="E11" s="116"/>
      <c r="F11" s="116"/>
      <c r="G11" s="123" t="s">
        <v>64</v>
      </c>
      <c r="H11" s="103" t="s">
        <v>65</v>
      </c>
      <c r="I11" s="124" t="s">
        <v>19</v>
      </c>
      <c r="J11" s="103" t="s">
        <v>66</v>
      </c>
      <c r="K11" s="121" t="s">
        <v>67</v>
      </c>
    </row>
    <row r="12" spans="1:11" ht="14.25" customHeight="1">
      <c r="A12" s="122"/>
      <c r="B12" s="104"/>
      <c r="C12" s="139" t="s">
        <v>68</v>
      </c>
      <c r="D12" s="110" t="s">
        <v>69</v>
      </c>
      <c r="E12" s="110" t="s">
        <v>70</v>
      </c>
      <c r="F12" s="110" t="s">
        <v>16</v>
      </c>
      <c r="G12" s="123" t="s">
        <v>71</v>
      </c>
      <c r="H12" s="103" t="s">
        <v>72</v>
      </c>
      <c r="I12" s="124" t="s">
        <v>19</v>
      </c>
      <c r="J12" s="103" t="s">
        <v>73</v>
      </c>
      <c r="K12" s="121" t="s">
        <v>74</v>
      </c>
    </row>
    <row r="13" spans="1:11" ht="14.25" customHeight="1">
      <c r="A13" s="122"/>
      <c r="B13" s="104"/>
      <c r="C13" s="140"/>
      <c r="D13" s="116"/>
      <c r="E13" s="116"/>
      <c r="F13" s="116"/>
      <c r="G13" s="123" t="s">
        <v>75</v>
      </c>
      <c r="H13" s="103" t="s">
        <v>76</v>
      </c>
      <c r="I13" s="124" t="s">
        <v>19</v>
      </c>
      <c r="J13" s="103" t="s">
        <v>77</v>
      </c>
      <c r="K13" s="121" t="s">
        <v>78</v>
      </c>
    </row>
    <row r="14" spans="1:11" ht="14.25" customHeight="1">
      <c r="A14" s="122"/>
      <c r="B14" s="104"/>
      <c r="C14" s="140"/>
      <c r="D14" s="110" t="s">
        <v>79</v>
      </c>
      <c r="E14" s="110" t="s">
        <v>80</v>
      </c>
      <c r="F14" s="115" t="s">
        <v>16</v>
      </c>
      <c r="G14" s="103" t="s">
        <v>81</v>
      </c>
      <c r="H14" s="103" t="s">
        <v>82</v>
      </c>
      <c r="I14" s="124" t="s">
        <v>19</v>
      </c>
      <c r="J14" s="103" t="s">
        <v>83</v>
      </c>
      <c r="K14" s="121" t="s">
        <v>84</v>
      </c>
    </row>
    <row r="15" spans="1:11" ht="14.25" customHeight="1">
      <c r="A15" s="122"/>
      <c r="B15" s="104"/>
      <c r="C15" s="140"/>
      <c r="D15" s="116"/>
      <c r="E15" s="116"/>
      <c r="F15" s="116"/>
      <c r="G15" s="103" t="s">
        <v>85</v>
      </c>
      <c r="H15" s="103" t="s">
        <v>86</v>
      </c>
      <c r="I15" s="124" t="s">
        <v>19</v>
      </c>
      <c r="J15" s="103" t="s">
        <v>87</v>
      </c>
      <c r="K15" s="121" t="s">
        <v>88</v>
      </c>
    </row>
    <row r="16" spans="1:11" ht="14.25" customHeight="1">
      <c r="A16" s="122"/>
      <c r="B16" s="104"/>
      <c r="C16" s="140"/>
      <c r="D16" s="110" t="s">
        <v>89</v>
      </c>
      <c r="E16" s="110" t="s">
        <v>90</v>
      </c>
      <c r="F16" s="110" t="s">
        <v>16</v>
      </c>
      <c r="G16" s="103" t="s">
        <v>91</v>
      </c>
      <c r="H16" s="103" t="s">
        <v>92</v>
      </c>
      <c r="I16" s="124" t="s">
        <v>19</v>
      </c>
      <c r="J16" s="103" t="s">
        <v>93</v>
      </c>
      <c r="K16" s="121" t="s">
        <v>94</v>
      </c>
    </row>
    <row r="17" spans="1:11" ht="14.25" customHeight="1">
      <c r="A17" s="122"/>
      <c r="B17" s="104"/>
      <c r="C17" s="140"/>
      <c r="D17" s="116"/>
      <c r="E17" s="116"/>
      <c r="F17" s="116"/>
      <c r="G17" s="103" t="s">
        <v>95</v>
      </c>
      <c r="H17" s="103" t="s">
        <v>96</v>
      </c>
      <c r="I17" s="125" t="s">
        <v>33</v>
      </c>
      <c r="J17" s="103" t="s">
        <v>97</v>
      </c>
      <c r="K17" s="121" t="s">
        <v>98</v>
      </c>
    </row>
    <row r="18" spans="1:11" ht="14.25" customHeight="1">
      <c r="A18" s="122"/>
      <c r="B18" s="104"/>
      <c r="C18" s="140"/>
      <c r="D18" s="110" t="s">
        <v>99</v>
      </c>
      <c r="E18" s="110" t="s">
        <v>100</v>
      </c>
      <c r="F18" s="115" t="s">
        <v>16</v>
      </c>
      <c r="G18" s="123" t="s">
        <v>101</v>
      </c>
      <c r="H18" s="103" t="s">
        <v>102</v>
      </c>
      <c r="I18" s="126" t="s">
        <v>41</v>
      </c>
      <c r="J18" s="103" t="s">
        <v>103</v>
      </c>
      <c r="K18" s="121" t="s">
        <v>104</v>
      </c>
    </row>
    <row r="19" spans="1:11" ht="14.25" customHeight="1">
      <c r="A19" s="122"/>
      <c r="B19" s="104"/>
      <c r="C19" s="140"/>
      <c r="D19" s="116"/>
      <c r="E19" s="116"/>
      <c r="F19" s="116"/>
      <c r="G19" s="123" t="s">
        <v>75</v>
      </c>
      <c r="H19" s="103" t="s">
        <v>105</v>
      </c>
      <c r="I19" s="126" t="s">
        <v>41</v>
      </c>
      <c r="J19" s="103" t="s">
        <v>106</v>
      </c>
      <c r="K19" s="121" t="s">
        <v>107</v>
      </c>
    </row>
    <row r="20" spans="1:11" ht="14.25" customHeight="1">
      <c r="A20" s="122"/>
      <c r="B20" s="104"/>
      <c r="C20" s="140"/>
      <c r="D20" s="110" t="s">
        <v>108</v>
      </c>
      <c r="E20" s="110" t="s">
        <v>109</v>
      </c>
      <c r="F20" s="110" t="s">
        <v>16</v>
      </c>
      <c r="G20" s="123" t="s">
        <v>110</v>
      </c>
      <c r="H20" s="103" t="s">
        <v>111</v>
      </c>
      <c r="I20" s="126" t="s">
        <v>41</v>
      </c>
      <c r="J20" s="103" t="s">
        <v>112</v>
      </c>
      <c r="K20" s="121" t="s">
        <v>113</v>
      </c>
    </row>
    <row r="21" spans="1:11" ht="14.25" customHeight="1">
      <c r="A21" s="122"/>
      <c r="B21" s="104"/>
      <c r="C21" s="141"/>
      <c r="D21" s="116"/>
      <c r="E21" s="116"/>
      <c r="F21" s="116"/>
      <c r="G21" s="123" t="s">
        <v>114</v>
      </c>
      <c r="H21" s="103" t="s">
        <v>115</v>
      </c>
      <c r="I21" s="124" t="s">
        <v>19</v>
      </c>
      <c r="J21" s="103" t="s">
        <v>116</v>
      </c>
      <c r="K21" s="121" t="s">
        <v>117</v>
      </c>
    </row>
    <row r="22" spans="1:11" ht="14.25" customHeight="1">
      <c r="A22" s="122"/>
      <c r="B22" s="104"/>
      <c r="C22" s="139" t="s">
        <v>118</v>
      </c>
      <c r="D22" s="110" t="s">
        <v>119</v>
      </c>
      <c r="E22" s="110" t="s">
        <v>120</v>
      </c>
      <c r="F22" s="110" t="s">
        <v>38</v>
      </c>
      <c r="G22" s="123" t="s">
        <v>121</v>
      </c>
      <c r="H22" s="103" t="s">
        <v>122</v>
      </c>
      <c r="I22" s="124" t="s">
        <v>19</v>
      </c>
      <c r="J22" s="103" t="s">
        <v>123</v>
      </c>
      <c r="K22" s="121" t="s">
        <v>124</v>
      </c>
    </row>
    <row r="23" spans="1:11" ht="14.25" customHeight="1">
      <c r="A23" s="122"/>
      <c r="B23" s="104"/>
      <c r="C23" s="140"/>
      <c r="D23" s="116"/>
      <c r="E23" s="116"/>
      <c r="F23" s="116"/>
      <c r="G23" s="123" t="s">
        <v>125</v>
      </c>
      <c r="H23" s="103" t="s">
        <v>126</v>
      </c>
      <c r="I23" s="124" t="s">
        <v>19</v>
      </c>
      <c r="J23" s="103" t="s">
        <v>127</v>
      </c>
      <c r="K23" s="121" t="s">
        <v>128</v>
      </c>
    </row>
    <row r="24" spans="1:11" ht="14.25" customHeight="1">
      <c r="A24" s="122"/>
      <c r="B24" s="104"/>
      <c r="C24" s="140"/>
      <c r="D24" s="110" t="s">
        <v>129</v>
      </c>
      <c r="E24" s="110" t="s">
        <v>130</v>
      </c>
      <c r="F24" s="110" t="s">
        <v>38</v>
      </c>
      <c r="G24" s="123" t="s">
        <v>131</v>
      </c>
      <c r="H24" s="103" t="s">
        <v>132</v>
      </c>
      <c r="I24" s="124" t="s">
        <v>19</v>
      </c>
      <c r="J24" s="103" t="s">
        <v>133</v>
      </c>
      <c r="K24" s="121" t="s">
        <v>134</v>
      </c>
    </row>
    <row r="25" spans="1:11" ht="14.25" customHeight="1">
      <c r="A25" s="122"/>
      <c r="B25" s="104"/>
      <c r="C25" s="140"/>
      <c r="D25" s="116"/>
      <c r="E25" s="116"/>
      <c r="F25" s="116"/>
      <c r="G25" s="123" t="s">
        <v>135</v>
      </c>
      <c r="H25" s="103" t="s">
        <v>136</v>
      </c>
      <c r="I25" s="124" t="s">
        <v>19</v>
      </c>
      <c r="J25" s="103" t="s">
        <v>133</v>
      </c>
      <c r="K25" s="121" t="s">
        <v>137</v>
      </c>
    </row>
    <row r="26" spans="1:11" ht="14.25" customHeight="1">
      <c r="A26" s="122"/>
      <c r="B26" s="104"/>
      <c r="C26" s="140"/>
      <c r="D26" s="110" t="s">
        <v>138</v>
      </c>
      <c r="E26" s="110" t="s">
        <v>139</v>
      </c>
      <c r="F26" s="110" t="s">
        <v>16</v>
      </c>
      <c r="G26" s="123" t="s">
        <v>140</v>
      </c>
      <c r="H26" s="103" t="s">
        <v>141</v>
      </c>
      <c r="I26" s="124" t="s">
        <v>19</v>
      </c>
      <c r="J26" s="103" t="s">
        <v>142</v>
      </c>
      <c r="K26" s="121" t="s">
        <v>143</v>
      </c>
    </row>
    <row r="27" spans="1:11" ht="14.25" customHeight="1">
      <c r="A27" s="122"/>
      <c r="B27" s="104"/>
      <c r="C27" s="140"/>
      <c r="D27" s="116"/>
      <c r="E27" s="116"/>
      <c r="F27" s="116"/>
      <c r="G27" s="123" t="s">
        <v>144</v>
      </c>
      <c r="H27" s="103" t="s">
        <v>145</v>
      </c>
      <c r="I27" s="124" t="s">
        <v>19</v>
      </c>
      <c r="J27" s="103" t="s">
        <v>146</v>
      </c>
      <c r="K27" s="121" t="s">
        <v>147</v>
      </c>
    </row>
    <row r="28" spans="1:11" ht="14.25" customHeight="1">
      <c r="A28" s="122"/>
      <c r="B28" s="104"/>
      <c r="C28" s="140"/>
      <c r="D28" s="110" t="s">
        <v>148</v>
      </c>
      <c r="E28" s="110" t="s">
        <v>149</v>
      </c>
      <c r="F28" s="110" t="s">
        <v>16</v>
      </c>
      <c r="G28" s="123" t="s">
        <v>150</v>
      </c>
      <c r="H28" s="103" t="s">
        <v>151</v>
      </c>
      <c r="I28" s="124" t="s">
        <v>19</v>
      </c>
      <c r="J28" s="103" t="s">
        <v>152</v>
      </c>
      <c r="K28" s="121" t="s">
        <v>153</v>
      </c>
    </row>
    <row r="29" spans="1:11" ht="14.25" customHeight="1">
      <c r="A29" s="122"/>
      <c r="B29" s="104"/>
      <c r="C29" s="140"/>
      <c r="D29" s="116"/>
      <c r="E29" s="116"/>
      <c r="F29" s="116"/>
      <c r="G29" s="123" t="s">
        <v>154</v>
      </c>
      <c r="H29" s="103" t="s">
        <v>155</v>
      </c>
      <c r="I29" s="124" t="s">
        <v>19</v>
      </c>
      <c r="J29" s="103" t="s">
        <v>156</v>
      </c>
      <c r="K29" s="121" t="s">
        <v>157</v>
      </c>
    </row>
    <row r="30" spans="1:11" ht="14.25" customHeight="1">
      <c r="A30" s="122"/>
      <c r="B30" s="104"/>
      <c r="C30" s="140"/>
      <c r="D30" s="110" t="s">
        <v>158</v>
      </c>
      <c r="E30" s="110" t="s">
        <v>159</v>
      </c>
      <c r="F30" s="110" t="s">
        <v>16</v>
      </c>
      <c r="G30" s="123" t="s">
        <v>160</v>
      </c>
      <c r="H30" s="103" t="s">
        <v>161</v>
      </c>
      <c r="I30" s="124" t="s">
        <v>19</v>
      </c>
      <c r="J30" s="103" t="s">
        <v>162</v>
      </c>
      <c r="K30" s="121" t="s">
        <v>163</v>
      </c>
    </row>
    <row r="31" spans="1:11" ht="14.25" customHeight="1">
      <c r="A31" s="122"/>
      <c r="B31" s="104"/>
      <c r="C31" s="141"/>
      <c r="D31" s="116"/>
      <c r="E31" s="116"/>
      <c r="F31" s="116"/>
      <c r="G31" s="123" t="s">
        <v>164</v>
      </c>
      <c r="H31" s="103" t="s">
        <v>165</v>
      </c>
      <c r="I31" s="124" t="s">
        <v>19</v>
      </c>
      <c r="J31" s="103" t="s">
        <v>166</v>
      </c>
      <c r="K31" s="121" t="s">
        <v>167</v>
      </c>
    </row>
    <row r="32" spans="1:11" ht="14.25" customHeight="1">
      <c r="A32" s="122"/>
      <c r="B32" s="104"/>
      <c r="C32" s="139" t="s">
        <v>168</v>
      </c>
      <c r="D32" s="110" t="s">
        <v>169</v>
      </c>
      <c r="E32" s="110" t="s">
        <v>170</v>
      </c>
      <c r="F32" s="110" t="s">
        <v>16</v>
      </c>
      <c r="G32" s="123" t="s">
        <v>171</v>
      </c>
      <c r="H32" s="103" t="s">
        <v>172</v>
      </c>
      <c r="I32" s="124" t="s">
        <v>19</v>
      </c>
      <c r="J32" s="103" t="s">
        <v>173</v>
      </c>
      <c r="K32" s="121" t="s">
        <v>174</v>
      </c>
    </row>
    <row r="33" spans="1:11" ht="14.25" customHeight="1">
      <c r="A33" s="122"/>
      <c r="B33" s="104"/>
      <c r="C33" s="140"/>
      <c r="D33" s="116"/>
      <c r="E33" s="116"/>
      <c r="F33" s="116"/>
      <c r="G33" s="123" t="s">
        <v>175</v>
      </c>
      <c r="H33" s="103" t="s">
        <v>176</v>
      </c>
      <c r="I33" s="124" t="s">
        <v>19</v>
      </c>
      <c r="J33" s="103" t="s">
        <v>177</v>
      </c>
      <c r="K33" s="121" t="s">
        <v>178</v>
      </c>
    </row>
    <row r="34" spans="1:11" ht="14.25" customHeight="1">
      <c r="A34" s="122"/>
      <c r="B34" s="104"/>
      <c r="C34" s="140"/>
      <c r="D34" s="110" t="s">
        <v>179</v>
      </c>
      <c r="E34" s="110" t="s">
        <v>180</v>
      </c>
      <c r="F34" s="110" t="s">
        <v>16</v>
      </c>
      <c r="G34" s="123" t="s">
        <v>181</v>
      </c>
      <c r="H34" s="103" t="s">
        <v>182</v>
      </c>
      <c r="I34" s="124" t="s">
        <v>19</v>
      </c>
      <c r="J34" s="103" t="s">
        <v>183</v>
      </c>
      <c r="K34" s="121" t="s">
        <v>184</v>
      </c>
    </row>
    <row r="35" spans="1:11" ht="14.25" customHeight="1">
      <c r="A35" s="122"/>
      <c r="B35" s="104"/>
      <c r="C35" s="140"/>
      <c r="D35" s="116"/>
      <c r="E35" s="116"/>
      <c r="F35" s="116"/>
      <c r="G35" s="123" t="s">
        <v>185</v>
      </c>
      <c r="H35" s="103" t="s">
        <v>186</v>
      </c>
      <c r="I35" s="124" t="s">
        <v>19</v>
      </c>
      <c r="J35" s="103" t="s">
        <v>187</v>
      </c>
      <c r="K35" s="121" t="s">
        <v>188</v>
      </c>
    </row>
    <row r="36" spans="1:11" ht="14.25" customHeight="1">
      <c r="A36" s="122"/>
      <c r="B36" s="104"/>
      <c r="C36" s="140"/>
      <c r="D36" s="110" t="s">
        <v>189</v>
      </c>
      <c r="E36" s="110" t="s">
        <v>190</v>
      </c>
      <c r="F36" s="110" t="s">
        <v>16</v>
      </c>
      <c r="G36" s="123" t="s">
        <v>85</v>
      </c>
      <c r="H36" s="103" t="s">
        <v>191</v>
      </c>
      <c r="I36" s="124" t="s">
        <v>19</v>
      </c>
      <c r="J36" s="103" t="s">
        <v>192</v>
      </c>
      <c r="K36" s="121" t="s">
        <v>193</v>
      </c>
    </row>
    <row r="37" spans="1:11" ht="14.25" customHeight="1">
      <c r="A37" s="122"/>
      <c r="B37" s="104"/>
      <c r="C37" s="140"/>
      <c r="D37" s="116"/>
      <c r="E37" s="116"/>
      <c r="F37" s="116"/>
      <c r="G37" s="123" t="s">
        <v>194</v>
      </c>
      <c r="H37" s="103" t="s">
        <v>195</v>
      </c>
      <c r="I37" s="124" t="s">
        <v>19</v>
      </c>
      <c r="J37" s="103" t="s">
        <v>196</v>
      </c>
      <c r="K37" s="121" t="s">
        <v>197</v>
      </c>
    </row>
    <row r="38" spans="1:11" ht="14.25" customHeight="1">
      <c r="A38" s="122"/>
      <c r="B38" s="104"/>
      <c r="C38" s="140"/>
      <c r="D38" s="110" t="s">
        <v>198</v>
      </c>
      <c r="E38" s="110" t="s">
        <v>199</v>
      </c>
      <c r="F38" s="110" t="s">
        <v>200</v>
      </c>
      <c r="G38" s="123" t="s">
        <v>201</v>
      </c>
      <c r="H38" s="103" t="s">
        <v>202</v>
      </c>
      <c r="I38" s="126" t="s">
        <v>41</v>
      </c>
      <c r="J38" s="103" t="s">
        <v>203</v>
      </c>
      <c r="K38" s="121" t="s">
        <v>204</v>
      </c>
    </row>
    <row r="39" spans="1:11" ht="14.25" customHeight="1">
      <c r="A39" s="122"/>
      <c r="B39" s="104"/>
      <c r="C39" s="140"/>
      <c r="D39" s="116"/>
      <c r="E39" s="116"/>
      <c r="F39" s="116"/>
      <c r="G39" s="123" t="s">
        <v>205</v>
      </c>
      <c r="H39" s="103" t="s">
        <v>206</v>
      </c>
      <c r="I39" s="126" t="s">
        <v>41</v>
      </c>
      <c r="J39" s="103" t="s">
        <v>207</v>
      </c>
      <c r="K39" s="121" t="s">
        <v>208</v>
      </c>
    </row>
    <row r="40" spans="1:11" ht="14.25" customHeight="1">
      <c r="A40" s="122"/>
      <c r="B40" s="104"/>
      <c r="C40" s="140"/>
      <c r="D40" s="110" t="s">
        <v>209</v>
      </c>
      <c r="E40" s="110" t="s">
        <v>210</v>
      </c>
      <c r="F40" s="110" t="s">
        <v>16</v>
      </c>
      <c r="G40" s="123" t="s">
        <v>211</v>
      </c>
      <c r="H40" s="103" t="s">
        <v>212</v>
      </c>
      <c r="I40" s="126" t="s">
        <v>41</v>
      </c>
      <c r="J40" s="103" t="s">
        <v>213</v>
      </c>
      <c r="K40" s="121" t="s">
        <v>214</v>
      </c>
    </row>
    <row r="41" spans="1:11" ht="14.25" customHeight="1">
      <c r="A41" s="122"/>
      <c r="B41" s="104"/>
      <c r="C41" s="141"/>
      <c r="D41" s="116"/>
      <c r="E41" s="116"/>
      <c r="F41" s="116"/>
      <c r="G41" s="123" t="s">
        <v>215</v>
      </c>
      <c r="H41" s="103" t="s">
        <v>216</v>
      </c>
      <c r="I41" s="126" t="s">
        <v>41</v>
      </c>
      <c r="J41" s="103" t="s">
        <v>217</v>
      </c>
      <c r="K41" s="121" t="s">
        <v>218</v>
      </c>
    </row>
    <row r="42" spans="1:11" ht="14.25" customHeight="1">
      <c r="A42" s="122"/>
      <c r="B42" s="104"/>
      <c r="C42" s="142" t="s">
        <v>219</v>
      </c>
      <c r="D42" s="110" t="s">
        <v>220</v>
      </c>
      <c r="E42" s="110" t="s">
        <v>221</v>
      </c>
      <c r="F42" s="110" t="s">
        <v>16</v>
      </c>
      <c r="G42" s="123" t="s">
        <v>222</v>
      </c>
      <c r="H42" s="103" t="s">
        <v>223</v>
      </c>
      <c r="I42" s="126" t="s">
        <v>41</v>
      </c>
      <c r="J42" s="103" t="s">
        <v>224</v>
      </c>
      <c r="K42" s="121" t="s">
        <v>225</v>
      </c>
    </row>
    <row r="43" spans="1:11" ht="14.25" customHeight="1">
      <c r="A43" s="122"/>
      <c r="B43" s="104"/>
      <c r="C43" s="140"/>
      <c r="D43" s="116"/>
      <c r="E43" s="116"/>
      <c r="F43" s="116"/>
      <c r="G43" s="123" t="s">
        <v>226</v>
      </c>
      <c r="H43" s="103" t="s">
        <v>227</v>
      </c>
      <c r="I43" s="126" t="s">
        <v>41</v>
      </c>
      <c r="J43" s="103" t="s">
        <v>228</v>
      </c>
      <c r="K43" s="121" t="s">
        <v>229</v>
      </c>
    </row>
    <row r="44" spans="1:11" ht="14.25" customHeight="1">
      <c r="A44" s="122"/>
      <c r="B44" s="104"/>
      <c r="C44" s="140"/>
      <c r="D44" s="110" t="s">
        <v>230</v>
      </c>
      <c r="E44" s="110" t="s">
        <v>231</v>
      </c>
      <c r="F44" s="110" t="s">
        <v>38</v>
      </c>
      <c r="G44" s="123" t="s">
        <v>232</v>
      </c>
      <c r="H44" s="103" t="s">
        <v>233</v>
      </c>
      <c r="I44" s="125" t="s">
        <v>33</v>
      </c>
      <c r="J44" s="103" t="s">
        <v>234</v>
      </c>
      <c r="K44" s="121" t="s">
        <v>235</v>
      </c>
    </row>
    <row r="45" spans="1:11" ht="14.25" customHeight="1">
      <c r="A45" s="122"/>
      <c r="B45" s="104"/>
      <c r="C45" s="140"/>
      <c r="D45" s="116"/>
      <c r="E45" s="116"/>
      <c r="F45" s="116"/>
      <c r="G45" s="123" t="s">
        <v>236</v>
      </c>
      <c r="H45" s="103" t="s">
        <v>237</v>
      </c>
      <c r="I45" s="125" t="s">
        <v>33</v>
      </c>
      <c r="J45" s="103" t="s">
        <v>238</v>
      </c>
      <c r="K45" s="121" t="s">
        <v>239</v>
      </c>
    </row>
    <row r="46" spans="1:11" ht="14.25" customHeight="1">
      <c r="A46" s="122"/>
      <c r="B46" s="104"/>
      <c r="C46" s="140"/>
      <c r="D46" s="110" t="s">
        <v>240</v>
      </c>
      <c r="E46" s="110" t="s">
        <v>241</v>
      </c>
      <c r="F46" s="110" t="s">
        <v>16</v>
      </c>
      <c r="G46" s="123" t="s">
        <v>242</v>
      </c>
      <c r="H46" s="103" t="s">
        <v>243</v>
      </c>
      <c r="I46" s="125" t="s">
        <v>33</v>
      </c>
      <c r="J46" s="103" t="s">
        <v>244</v>
      </c>
      <c r="K46" s="121" t="s">
        <v>245</v>
      </c>
    </row>
    <row r="47" spans="1:11" ht="14.25" customHeight="1">
      <c r="A47" s="122"/>
      <c r="B47" s="104"/>
      <c r="C47" s="140"/>
      <c r="D47" s="116"/>
      <c r="E47" s="116"/>
      <c r="F47" s="116"/>
      <c r="G47" s="123" t="s">
        <v>246</v>
      </c>
      <c r="H47" s="103" t="s">
        <v>247</v>
      </c>
      <c r="I47" s="125" t="s">
        <v>33</v>
      </c>
      <c r="J47" s="103" t="s">
        <v>248</v>
      </c>
      <c r="K47" s="121" t="s">
        <v>249</v>
      </c>
    </row>
    <row r="48" spans="1:11" ht="14.25" customHeight="1">
      <c r="A48" s="122"/>
      <c r="B48" s="104"/>
      <c r="C48" s="140"/>
      <c r="D48" s="110" t="s">
        <v>250</v>
      </c>
      <c r="E48" s="110" t="s">
        <v>251</v>
      </c>
      <c r="F48" s="110" t="s">
        <v>16</v>
      </c>
      <c r="G48" s="123" t="s">
        <v>252</v>
      </c>
      <c r="H48" s="103" t="s">
        <v>253</v>
      </c>
      <c r="I48" s="124" t="s">
        <v>19</v>
      </c>
      <c r="J48" s="103" t="s">
        <v>254</v>
      </c>
      <c r="K48" s="121" t="s">
        <v>255</v>
      </c>
    </row>
    <row r="49" spans="1:11" ht="14.25" customHeight="1">
      <c r="A49" s="122"/>
      <c r="B49" s="104"/>
      <c r="C49" s="140"/>
      <c r="D49" s="116"/>
      <c r="E49" s="116"/>
      <c r="F49" s="116"/>
      <c r="G49" s="123" t="s">
        <v>256</v>
      </c>
      <c r="H49" s="103" t="s">
        <v>257</v>
      </c>
      <c r="I49" s="124" t="s">
        <v>19</v>
      </c>
      <c r="J49" s="103" t="s">
        <v>258</v>
      </c>
      <c r="K49" s="121" t="s">
        <v>259</v>
      </c>
    </row>
    <row r="50" spans="1:11" ht="14.25" customHeight="1">
      <c r="A50" s="122"/>
      <c r="B50" s="116"/>
      <c r="C50" s="140"/>
      <c r="D50" s="110" t="s">
        <v>260</v>
      </c>
      <c r="E50" s="110" t="s">
        <v>261</v>
      </c>
      <c r="F50" s="110" t="s">
        <v>16</v>
      </c>
      <c r="G50" s="123" t="s">
        <v>262</v>
      </c>
      <c r="H50" s="103" t="s">
        <v>263</v>
      </c>
      <c r="I50" s="124" t="s">
        <v>19</v>
      </c>
      <c r="J50" s="103" t="s">
        <v>264</v>
      </c>
      <c r="K50" s="121" t="s">
        <v>265</v>
      </c>
    </row>
    <row r="51" spans="1:11" ht="14.25" customHeight="1">
      <c r="A51" s="122"/>
      <c r="B51" s="127"/>
      <c r="C51" s="141"/>
      <c r="D51" s="116"/>
      <c r="E51" s="116"/>
      <c r="F51" s="116"/>
      <c r="G51" s="123" t="s">
        <v>266</v>
      </c>
      <c r="H51" s="103" t="s">
        <v>267</v>
      </c>
      <c r="I51" s="124" t="s">
        <v>19</v>
      </c>
      <c r="J51" s="103" t="s">
        <v>268</v>
      </c>
      <c r="K51" s="121" t="s">
        <v>269</v>
      </c>
    </row>
    <row r="52" spans="1:11" ht="14.25" customHeight="1">
      <c r="A52" s="122"/>
      <c r="B52" s="110" t="s">
        <v>270</v>
      </c>
      <c r="C52" s="143" t="s">
        <v>271</v>
      </c>
      <c r="D52" s="110" t="s">
        <v>272</v>
      </c>
      <c r="E52" s="110" t="s">
        <v>273</v>
      </c>
      <c r="F52" s="110" t="s">
        <v>38</v>
      </c>
      <c r="G52" s="123" t="s">
        <v>274</v>
      </c>
      <c r="H52" s="103" t="s">
        <v>275</v>
      </c>
      <c r="I52" s="124" t="s">
        <v>19</v>
      </c>
      <c r="J52" s="103" t="s">
        <v>276</v>
      </c>
      <c r="K52" s="121" t="s">
        <v>277</v>
      </c>
    </row>
    <row r="53" spans="1:11" ht="14.25" customHeight="1">
      <c r="A53" s="122"/>
      <c r="B53" s="104"/>
      <c r="C53" s="140"/>
      <c r="D53" s="116"/>
      <c r="E53" s="116"/>
      <c r="F53" s="116"/>
      <c r="G53" s="123" t="s">
        <v>278</v>
      </c>
      <c r="H53" s="103" t="s">
        <v>279</v>
      </c>
      <c r="I53" s="124" t="s">
        <v>19</v>
      </c>
      <c r="J53" s="103" t="s">
        <v>280</v>
      </c>
      <c r="K53" s="121" t="s">
        <v>281</v>
      </c>
    </row>
    <row r="54" spans="1:11" ht="14.25" customHeight="1">
      <c r="A54" s="122"/>
      <c r="B54" s="104"/>
      <c r="C54" s="140"/>
      <c r="D54" s="110" t="s">
        <v>282</v>
      </c>
      <c r="E54" s="110" t="s">
        <v>283</v>
      </c>
      <c r="F54" s="110" t="s">
        <v>38</v>
      </c>
      <c r="G54" s="123" t="s">
        <v>284</v>
      </c>
      <c r="H54" s="103" t="s">
        <v>285</v>
      </c>
      <c r="I54" s="124" t="s">
        <v>19</v>
      </c>
      <c r="J54" s="103" t="s">
        <v>286</v>
      </c>
      <c r="K54" s="121" t="s">
        <v>287</v>
      </c>
    </row>
    <row r="55" spans="1:11" ht="14.25" customHeight="1">
      <c r="A55" s="122"/>
      <c r="B55" s="104"/>
      <c r="C55" s="140"/>
      <c r="D55" s="116"/>
      <c r="E55" s="116"/>
      <c r="F55" s="116"/>
      <c r="G55" s="123" t="s">
        <v>288</v>
      </c>
      <c r="H55" s="103" t="s">
        <v>289</v>
      </c>
      <c r="I55" s="124" t="s">
        <v>19</v>
      </c>
      <c r="J55" s="103" t="s">
        <v>290</v>
      </c>
      <c r="K55" s="121" t="s">
        <v>291</v>
      </c>
    </row>
    <row r="56" spans="1:11" ht="14.25" customHeight="1">
      <c r="A56" s="122"/>
      <c r="B56" s="104"/>
      <c r="C56" s="140"/>
      <c r="D56" s="110" t="s">
        <v>292</v>
      </c>
      <c r="E56" s="110" t="s">
        <v>293</v>
      </c>
      <c r="F56" s="110" t="s">
        <v>38</v>
      </c>
      <c r="G56" s="123" t="s">
        <v>294</v>
      </c>
      <c r="H56" s="103" t="s">
        <v>295</v>
      </c>
      <c r="I56" s="124" t="s">
        <v>19</v>
      </c>
      <c r="J56" s="103" t="s">
        <v>296</v>
      </c>
      <c r="K56" s="121" t="s">
        <v>297</v>
      </c>
    </row>
    <row r="57" spans="1:11" ht="14.25" customHeight="1">
      <c r="A57" s="122"/>
      <c r="B57" s="104"/>
      <c r="C57" s="140"/>
      <c r="D57" s="116"/>
      <c r="E57" s="116"/>
      <c r="F57" s="116"/>
      <c r="G57" s="123" t="s">
        <v>298</v>
      </c>
      <c r="H57" s="103" t="s">
        <v>299</v>
      </c>
      <c r="I57" s="124" t="s">
        <v>19</v>
      </c>
      <c r="J57" s="103" t="s">
        <v>300</v>
      </c>
      <c r="K57" s="121" t="s">
        <v>301</v>
      </c>
    </row>
    <row r="58" spans="1:11" ht="14.25" customHeight="1">
      <c r="A58" s="122"/>
      <c r="B58" s="104"/>
      <c r="C58" s="140"/>
      <c r="D58" s="110" t="s">
        <v>302</v>
      </c>
      <c r="E58" s="110" t="s">
        <v>303</v>
      </c>
      <c r="F58" s="110" t="s">
        <v>16</v>
      </c>
      <c r="G58" s="123" t="s">
        <v>304</v>
      </c>
      <c r="H58" s="103" t="s">
        <v>305</v>
      </c>
      <c r="I58" s="124" t="s">
        <v>19</v>
      </c>
      <c r="J58" s="103" t="s">
        <v>306</v>
      </c>
      <c r="K58" s="121" t="s">
        <v>307</v>
      </c>
    </row>
    <row r="59" spans="1:11" ht="14.25" customHeight="1">
      <c r="A59" s="122"/>
      <c r="B59" s="104"/>
      <c r="C59" s="140"/>
      <c r="D59" s="116"/>
      <c r="E59" s="116"/>
      <c r="F59" s="116"/>
      <c r="G59" s="123" t="s">
        <v>308</v>
      </c>
      <c r="H59" s="103" t="s">
        <v>309</v>
      </c>
      <c r="I59" s="124" t="s">
        <v>19</v>
      </c>
      <c r="J59" s="103" t="s">
        <v>310</v>
      </c>
      <c r="K59" s="121" t="s">
        <v>311</v>
      </c>
    </row>
    <row r="60" spans="1:11" ht="14.25" customHeight="1">
      <c r="A60" s="122"/>
      <c r="B60" s="104"/>
      <c r="C60" s="141"/>
      <c r="D60" s="110" t="s">
        <v>312</v>
      </c>
      <c r="E60" s="110" t="s">
        <v>313</v>
      </c>
      <c r="F60" s="110" t="s">
        <v>38</v>
      </c>
      <c r="G60" s="123" t="s">
        <v>314</v>
      </c>
      <c r="H60" s="103" t="s">
        <v>315</v>
      </c>
      <c r="I60" s="124" t="s">
        <v>19</v>
      </c>
      <c r="J60" s="103" t="s">
        <v>316</v>
      </c>
      <c r="K60" s="121" t="s">
        <v>317</v>
      </c>
    </row>
    <row r="61" spans="1:11" ht="14.25" customHeight="1">
      <c r="A61" s="122"/>
      <c r="B61" s="104"/>
      <c r="C61" s="144"/>
      <c r="D61" s="116"/>
      <c r="E61" s="116"/>
      <c r="F61" s="116"/>
      <c r="G61" s="123" t="s">
        <v>318</v>
      </c>
      <c r="H61" s="103" t="s">
        <v>319</v>
      </c>
      <c r="I61" s="124" t="s">
        <v>19</v>
      </c>
      <c r="J61" s="103" t="s">
        <v>320</v>
      </c>
      <c r="K61" s="121" t="s">
        <v>321</v>
      </c>
    </row>
    <row r="62" spans="1:11" ht="14.25" customHeight="1">
      <c r="A62" s="122"/>
      <c r="B62" s="104"/>
      <c r="C62" s="142" t="s">
        <v>322</v>
      </c>
      <c r="D62" s="110" t="s">
        <v>323</v>
      </c>
      <c r="E62" s="110" t="s">
        <v>324</v>
      </c>
      <c r="F62" s="110" t="s">
        <v>16</v>
      </c>
      <c r="G62" s="123" t="s">
        <v>325</v>
      </c>
      <c r="H62" s="103" t="s">
        <v>326</v>
      </c>
      <c r="I62" s="124" t="s">
        <v>19</v>
      </c>
      <c r="J62" s="103" t="s">
        <v>327</v>
      </c>
      <c r="K62" s="121" t="s">
        <v>328</v>
      </c>
    </row>
    <row r="63" spans="1:11" ht="14.25" customHeight="1">
      <c r="A63" s="122"/>
      <c r="B63" s="104"/>
      <c r="C63" s="140"/>
      <c r="D63" s="116"/>
      <c r="E63" s="116"/>
      <c r="F63" s="116"/>
      <c r="G63" s="123" t="s">
        <v>329</v>
      </c>
      <c r="H63" s="103" t="s">
        <v>330</v>
      </c>
      <c r="I63" s="124" t="s">
        <v>19</v>
      </c>
      <c r="J63" s="103" t="s">
        <v>331</v>
      </c>
      <c r="K63" s="121" t="s">
        <v>332</v>
      </c>
    </row>
    <row r="64" spans="1:11" ht="14.25" customHeight="1">
      <c r="A64" s="122"/>
      <c r="B64" s="104"/>
      <c r="C64" s="140"/>
      <c r="D64" s="110" t="s">
        <v>333</v>
      </c>
      <c r="E64" s="110" t="s">
        <v>334</v>
      </c>
      <c r="F64" s="110" t="s">
        <v>38</v>
      </c>
      <c r="G64" s="123" t="s">
        <v>335</v>
      </c>
      <c r="H64" s="103" t="s">
        <v>336</v>
      </c>
      <c r="I64" s="124" t="s">
        <v>19</v>
      </c>
      <c r="J64" s="103" t="s">
        <v>337</v>
      </c>
      <c r="K64" s="121" t="s">
        <v>338</v>
      </c>
    </row>
    <row r="65" spans="1:11" ht="14.25" customHeight="1">
      <c r="A65" s="122"/>
      <c r="B65" s="104"/>
      <c r="C65" s="140"/>
      <c r="D65" s="116"/>
      <c r="E65" s="116"/>
      <c r="F65" s="116"/>
      <c r="G65" s="123" t="s">
        <v>339</v>
      </c>
      <c r="H65" s="103" t="s">
        <v>340</v>
      </c>
      <c r="I65" s="124" t="s">
        <v>19</v>
      </c>
      <c r="J65" s="103" t="s">
        <v>341</v>
      </c>
      <c r="K65" s="121" t="s">
        <v>342</v>
      </c>
    </row>
    <row r="66" spans="1:11" ht="14.25" customHeight="1">
      <c r="A66" s="122"/>
      <c r="B66" s="104"/>
      <c r="C66" s="140"/>
      <c r="D66" s="110" t="s">
        <v>343</v>
      </c>
      <c r="E66" s="110" t="s">
        <v>344</v>
      </c>
      <c r="F66" s="110" t="s">
        <v>16</v>
      </c>
      <c r="G66" s="123" t="s">
        <v>345</v>
      </c>
      <c r="H66" s="103" t="s">
        <v>346</v>
      </c>
      <c r="I66" s="124" t="s">
        <v>19</v>
      </c>
      <c r="J66" s="103" t="s">
        <v>347</v>
      </c>
      <c r="K66" s="121" t="s">
        <v>348</v>
      </c>
    </row>
    <row r="67" spans="1:11" ht="14.25" customHeight="1">
      <c r="A67" s="122"/>
      <c r="B67" s="104"/>
      <c r="C67" s="140"/>
      <c r="D67" s="116"/>
      <c r="E67" s="116"/>
      <c r="F67" s="116"/>
      <c r="G67" s="123" t="s">
        <v>349</v>
      </c>
      <c r="H67" s="103" t="s">
        <v>350</v>
      </c>
      <c r="I67" s="124" t="s">
        <v>19</v>
      </c>
      <c r="J67" s="103" t="s">
        <v>351</v>
      </c>
      <c r="K67" s="121" t="s">
        <v>352</v>
      </c>
    </row>
    <row r="68" spans="1:11" ht="14.25" customHeight="1">
      <c r="A68" s="122"/>
      <c r="B68" s="104"/>
      <c r="C68" s="140"/>
      <c r="D68" s="110" t="s">
        <v>353</v>
      </c>
      <c r="E68" s="110" t="s">
        <v>354</v>
      </c>
      <c r="F68" s="110" t="s">
        <v>16</v>
      </c>
      <c r="G68" s="123" t="s">
        <v>355</v>
      </c>
      <c r="H68" s="103" t="s">
        <v>356</v>
      </c>
      <c r="I68" s="124" t="s">
        <v>19</v>
      </c>
      <c r="J68" s="103" t="s">
        <v>357</v>
      </c>
      <c r="K68" s="121" t="s">
        <v>358</v>
      </c>
    </row>
    <row r="69" spans="1:11" ht="14.25" customHeight="1">
      <c r="A69" s="122"/>
      <c r="B69" s="104"/>
      <c r="C69" s="140"/>
      <c r="D69" s="116"/>
      <c r="E69" s="116"/>
      <c r="F69" s="116"/>
      <c r="G69" s="123" t="s">
        <v>359</v>
      </c>
      <c r="H69" s="103" t="s">
        <v>360</v>
      </c>
      <c r="I69" s="124" t="s">
        <v>19</v>
      </c>
      <c r="J69" s="103" t="s">
        <v>361</v>
      </c>
      <c r="K69" s="121" t="s">
        <v>362</v>
      </c>
    </row>
    <row r="70" spans="1:11" ht="14.25" customHeight="1">
      <c r="A70" s="122"/>
      <c r="B70" s="104"/>
      <c r="C70" s="141"/>
      <c r="D70" s="110" t="s">
        <v>363</v>
      </c>
      <c r="E70" s="110" t="s">
        <v>364</v>
      </c>
      <c r="F70" s="110" t="s">
        <v>16</v>
      </c>
      <c r="G70" s="123" t="s">
        <v>365</v>
      </c>
      <c r="H70" s="103" t="s">
        <v>366</v>
      </c>
      <c r="I70" s="124" t="s">
        <v>19</v>
      </c>
      <c r="J70" s="103" t="s">
        <v>367</v>
      </c>
      <c r="K70" s="102" t="s">
        <v>368</v>
      </c>
    </row>
    <row r="71" spans="1:11" ht="14.25" customHeight="1">
      <c r="A71" s="122"/>
      <c r="B71" s="104"/>
      <c r="C71" s="144"/>
      <c r="D71" s="116"/>
      <c r="E71" s="116"/>
      <c r="F71" s="116"/>
      <c r="G71" s="123" t="s">
        <v>369</v>
      </c>
      <c r="H71" s="103" t="s">
        <v>370</v>
      </c>
      <c r="I71" s="124" t="s">
        <v>19</v>
      </c>
      <c r="J71" s="103" t="s">
        <v>371</v>
      </c>
      <c r="K71" s="121" t="s">
        <v>372</v>
      </c>
    </row>
    <row r="72" spans="1:11" ht="14.25" customHeight="1">
      <c r="A72" s="122"/>
      <c r="B72" s="104"/>
      <c r="C72" s="145" t="s">
        <v>373</v>
      </c>
      <c r="D72" s="110" t="s">
        <v>374</v>
      </c>
      <c r="E72" s="110" t="s">
        <v>375</v>
      </c>
      <c r="F72" s="110" t="s">
        <v>16</v>
      </c>
      <c r="G72" s="123" t="s">
        <v>376</v>
      </c>
      <c r="H72" s="103" t="s">
        <v>377</v>
      </c>
      <c r="I72" s="124" t="s">
        <v>19</v>
      </c>
      <c r="J72" s="103" t="s">
        <v>378</v>
      </c>
      <c r="K72" s="121" t="s">
        <v>379</v>
      </c>
    </row>
    <row r="73" spans="1:11" ht="14.25" customHeight="1">
      <c r="A73" s="122"/>
      <c r="B73" s="104"/>
      <c r="C73" s="140"/>
      <c r="D73" s="116"/>
      <c r="E73" s="116"/>
      <c r="F73" s="116"/>
      <c r="G73" s="123" t="s">
        <v>380</v>
      </c>
      <c r="H73" s="103" t="s">
        <v>381</v>
      </c>
      <c r="I73" s="124" t="s">
        <v>19</v>
      </c>
      <c r="J73" s="103" t="s">
        <v>382</v>
      </c>
      <c r="K73" s="121" t="s">
        <v>383</v>
      </c>
    </row>
    <row r="74" spans="1:11" ht="14.25" customHeight="1">
      <c r="A74" s="122"/>
      <c r="B74" s="104"/>
      <c r="C74" s="140"/>
      <c r="D74" s="110" t="s">
        <v>384</v>
      </c>
      <c r="E74" s="110" t="s">
        <v>385</v>
      </c>
      <c r="F74" s="110" t="s">
        <v>16</v>
      </c>
      <c r="G74" s="123" t="s">
        <v>386</v>
      </c>
      <c r="H74" s="103" t="s">
        <v>387</v>
      </c>
      <c r="I74" s="124" t="s">
        <v>19</v>
      </c>
      <c r="J74" s="103" t="s">
        <v>388</v>
      </c>
      <c r="K74" s="121" t="s">
        <v>389</v>
      </c>
    </row>
    <row r="75" spans="1:11" ht="14.25" customHeight="1">
      <c r="A75" s="122"/>
      <c r="B75" s="104"/>
      <c r="C75" s="140"/>
      <c r="D75" s="116"/>
      <c r="E75" s="116"/>
      <c r="F75" s="116"/>
      <c r="G75" s="123" t="s">
        <v>390</v>
      </c>
      <c r="H75" s="103" t="s">
        <v>391</v>
      </c>
      <c r="I75" s="124" t="s">
        <v>19</v>
      </c>
      <c r="J75" s="103" t="s">
        <v>392</v>
      </c>
      <c r="K75" s="121" t="s">
        <v>393</v>
      </c>
    </row>
    <row r="76" spans="1:11" ht="14.25" customHeight="1">
      <c r="A76" s="122"/>
      <c r="B76" s="104"/>
      <c r="C76" s="140"/>
      <c r="D76" s="110" t="s">
        <v>394</v>
      </c>
      <c r="E76" s="110" t="s">
        <v>395</v>
      </c>
      <c r="F76" s="110" t="s">
        <v>16</v>
      </c>
      <c r="G76" s="123" t="s">
        <v>396</v>
      </c>
      <c r="H76" s="103" t="s">
        <v>397</v>
      </c>
      <c r="I76" s="124" t="s">
        <v>19</v>
      </c>
      <c r="J76" s="103" t="s">
        <v>398</v>
      </c>
      <c r="K76" s="121" t="s">
        <v>399</v>
      </c>
    </row>
    <row r="77" spans="1:11" ht="14.25" customHeight="1">
      <c r="A77" s="122"/>
      <c r="B77" s="104"/>
      <c r="C77" s="140"/>
      <c r="D77" s="116"/>
      <c r="E77" s="116"/>
      <c r="F77" s="116"/>
      <c r="G77" s="123" t="s">
        <v>400</v>
      </c>
      <c r="H77" s="103" t="s">
        <v>401</v>
      </c>
      <c r="I77" s="124" t="s">
        <v>19</v>
      </c>
      <c r="J77" s="103" t="s">
        <v>402</v>
      </c>
      <c r="K77" s="121" t="s">
        <v>403</v>
      </c>
    </row>
    <row r="78" spans="1:11" ht="14.25" customHeight="1">
      <c r="A78" s="122"/>
      <c r="B78" s="104"/>
      <c r="C78" s="140"/>
      <c r="D78" s="110" t="s">
        <v>404</v>
      </c>
      <c r="E78" s="110" t="s">
        <v>405</v>
      </c>
      <c r="F78" s="110" t="s">
        <v>16</v>
      </c>
      <c r="G78" s="123" t="s">
        <v>406</v>
      </c>
      <c r="H78" s="103" t="s">
        <v>407</v>
      </c>
      <c r="I78" s="124" t="s">
        <v>19</v>
      </c>
      <c r="J78" s="103" t="s">
        <v>408</v>
      </c>
      <c r="K78" s="121" t="s">
        <v>409</v>
      </c>
    </row>
    <row r="79" spans="1:11" ht="14.25" customHeight="1">
      <c r="A79" s="122"/>
      <c r="B79" s="104"/>
      <c r="C79" s="140"/>
      <c r="D79" s="116"/>
      <c r="E79" s="116"/>
      <c r="F79" s="116"/>
      <c r="G79" s="123" t="s">
        <v>410</v>
      </c>
      <c r="H79" s="103" t="s">
        <v>411</v>
      </c>
      <c r="I79" s="126" t="s">
        <v>41</v>
      </c>
      <c r="J79" s="103" t="s">
        <v>412</v>
      </c>
      <c r="K79" s="121" t="s">
        <v>413</v>
      </c>
    </row>
    <row r="80" spans="1:11" ht="14.25" customHeight="1">
      <c r="A80" s="122"/>
      <c r="B80" s="104"/>
      <c r="C80" s="140"/>
      <c r="D80" s="110" t="s">
        <v>414</v>
      </c>
      <c r="E80" s="110" t="s">
        <v>415</v>
      </c>
      <c r="F80" s="110" t="s">
        <v>16</v>
      </c>
      <c r="G80" s="123" t="s">
        <v>416</v>
      </c>
      <c r="H80" s="103" t="s">
        <v>417</v>
      </c>
      <c r="I80" s="126" t="s">
        <v>41</v>
      </c>
      <c r="J80" s="103" t="s">
        <v>418</v>
      </c>
      <c r="K80" s="121" t="s">
        <v>419</v>
      </c>
    </row>
    <row r="81" spans="1:11" ht="14.25" customHeight="1">
      <c r="A81" s="122"/>
      <c r="B81" s="104"/>
      <c r="C81" s="141"/>
      <c r="D81" s="116"/>
      <c r="E81" s="116"/>
      <c r="F81" s="116"/>
      <c r="G81" s="123" t="s">
        <v>420</v>
      </c>
      <c r="H81" s="103" t="s">
        <v>421</v>
      </c>
      <c r="I81" s="126" t="s">
        <v>41</v>
      </c>
      <c r="J81" s="103" t="s">
        <v>422</v>
      </c>
      <c r="K81" s="121" t="s">
        <v>423</v>
      </c>
    </row>
    <row r="82" spans="1:11" ht="14.25" customHeight="1">
      <c r="A82" s="122"/>
      <c r="B82" s="104"/>
      <c r="C82" s="139" t="s">
        <v>424</v>
      </c>
      <c r="D82" s="110" t="s">
        <v>425</v>
      </c>
      <c r="E82" s="110" t="s">
        <v>426</v>
      </c>
      <c r="F82" s="110" t="s">
        <v>16</v>
      </c>
      <c r="G82" s="123" t="s">
        <v>427</v>
      </c>
      <c r="H82" s="103" t="s">
        <v>428</v>
      </c>
      <c r="I82" s="126" t="s">
        <v>41</v>
      </c>
      <c r="J82" s="103" t="s">
        <v>429</v>
      </c>
      <c r="K82" s="121" t="s">
        <v>430</v>
      </c>
    </row>
    <row r="83" spans="1:11" ht="14.25" customHeight="1">
      <c r="A83" s="122"/>
      <c r="B83" s="104"/>
      <c r="C83" s="140"/>
      <c r="D83" s="116"/>
      <c r="E83" s="116"/>
      <c r="F83" s="116"/>
      <c r="G83" s="123" t="s">
        <v>431</v>
      </c>
      <c r="H83" s="103" t="s">
        <v>432</v>
      </c>
      <c r="I83" s="126" t="s">
        <v>41</v>
      </c>
      <c r="J83" s="103" t="s">
        <v>433</v>
      </c>
      <c r="K83" s="121" t="s">
        <v>434</v>
      </c>
    </row>
    <row r="84" spans="1:11" ht="14.25" customHeight="1">
      <c r="A84" s="122"/>
      <c r="B84" s="104"/>
      <c r="C84" s="140"/>
      <c r="D84" s="110" t="s">
        <v>435</v>
      </c>
      <c r="E84" s="110" t="s">
        <v>436</v>
      </c>
      <c r="F84" s="110" t="s">
        <v>38</v>
      </c>
      <c r="G84" s="123" t="s">
        <v>437</v>
      </c>
      <c r="H84" s="103" t="s">
        <v>438</v>
      </c>
      <c r="I84" s="126" t="s">
        <v>41</v>
      </c>
      <c r="J84" s="103" t="s">
        <v>439</v>
      </c>
      <c r="K84" s="121" t="s">
        <v>440</v>
      </c>
    </row>
    <row r="85" spans="1:11" ht="14.25" customHeight="1">
      <c r="A85" s="122"/>
      <c r="B85" s="104"/>
      <c r="C85" s="140"/>
      <c r="D85" s="116"/>
      <c r="E85" s="116"/>
      <c r="F85" s="116"/>
      <c r="G85" s="123" t="s">
        <v>441</v>
      </c>
      <c r="H85" s="103" t="s">
        <v>442</v>
      </c>
      <c r="I85" s="126" t="s">
        <v>41</v>
      </c>
      <c r="J85" s="103" t="s">
        <v>443</v>
      </c>
      <c r="K85" s="121" t="s">
        <v>444</v>
      </c>
    </row>
    <row r="86" spans="1:11" ht="14.25" customHeight="1">
      <c r="A86" s="122"/>
      <c r="B86" s="104"/>
      <c r="C86" s="140"/>
      <c r="D86" s="110" t="s">
        <v>445</v>
      </c>
      <c r="E86" s="110" t="s">
        <v>446</v>
      </c>
      <c r="F86" s="110" t="s">
        <v>16</v>
      </c>
      <c r="G86" s="123" t="s">
        <v>447</v>
      </c>
      <c r="H86" s="103" t="s">
        <v>448</v>
      </c>
      <c r="I86" s="126" t="s">
        <v>41</v>
      </c>
      <c r="J86" s="103" t="s">
        <v>449</v>
      </c>
      <c r="K86" s="121" t="s">
        <v>450</v>
      </c>
    </row>
    <row r="87" spans="1:11" ht="14.25" customHeight="1">
      <c r="A87" s="122"/>
      <c r="B87" s="104"/>
      <c r="C87" s="140"/>
      <c r="D87" s="116"/>
      <c r="E87" s="116"/>
      <c r="F87" s="116"/>
      <c r="G87" s="123" t="s">
        <v>451</v>
      </c>
      <c r="H87" s="103" t="s">
        <v>452</v>
      </c>
      <c r="I87" s="126" t="s">
        <v>41</v>
      </c>
      <c r="J87" s="103" t="s">
        <v>453</v>
      </c>
      <c r="K87" s="121" t="s">
        <v>454</v>
      </c>
    </row>
    <row r="88" spans="1:11" ht="14.25" customHeight="1">
      <c r="A88" s="122"/>
      <c r="B88" s="104"/>
      <c r="C88" s="140"/>
      <c r="D88" s="110" t="s">
        <v>455</v>
      </c>
      <c r="E88" s="110" t="s">
        <v>456</v>
      </c>
      <c r="F88" s="110" t="s">
        <v>16</v>
      </c>
      <c r="G88" s="123" t="s">
        <v>457</v>
      </c>
      <c r="H88" s="103" t="s">
        <v>458</v>
      </c>
      <c r="I88" s="126" t="s">
        <v>41</v>
      </c>
      <c r="J88" s="103" t="s">
        <v>459</v>
      </c>
      <c r="K88" s="121" t="s">
        <v>460</v>
      </c>
    </row>
    <row r="89" spans="1:11" ht="14.25" customHeight="1">
      <c r="A89" s="122"/>
      <c r="B89" s="104"/>
      <c r="C89" s="140"/>
      <c r="D89" s="116"/>
      <c r="E89" s="116"/>
      <c r="F89" s="116"/>
      <c r="G89" s="123" t="s">
        <v>461</v>
      </c>
      <c r="H89" s="103" t="s">
        <v>462</v>
      </c>
      <c r="I89" s="126" t="s">
        <v>41</v>
      </c>
      <c r="J89" s="103" t="s">
        <v>463</v>
      </c>
      <c r="K89" s="121" t="s">
        <v>464</v>
      </c>
    </row>
    <row r="90" spans="1:11" ht="14.25" customHeight="1">
      <c r="A90" s="122"/>
      <c r="B90" s="104"/>
      <c r="C90" s="140"/>
      <c r="D90" s="110" t="s">
        <v>465</v>
      </c>
      <c r="E90" s="110" t="s">
        <v>466</v>
      </c>
      <c r="F90" s="110" t="s">
        <v>16</v>
      </c>
      <c r="G90" s="123" t="s">
        <v>467</v>
      </c>
      <c r="H90" s="103" t="s">
        <v>468</v>
      </c>
      <c r="I90" s="126" t="s">
        <v>41</v>
      </c>
      <c r="J90" s="103" t="s">
        <v>469</v>
      </c>
      <c r="K90" s="121" t="s">
        <v>470</v>
      </c>
    </row>
    <row r="91" spans="1:11" ht="14.25" customHeight="1">
      <c r="A91" s="122"/>
      <c r="B91" s="104"/>
      <c r="C91" s="141"/>
      <c r="D91" s="116"/>
      <c r="E91" s="116"/>
      <c r="F91" s="116"/>
      <c r="G91" s="123" t="s">
        <v>471</v>
      </c>
      <c r="H91" s="103" t="s">
        <v>472</v>
      </c>
      <c r="I91" s="126" t="s">
        <v>41</v>
      </c>
      <c r="J91" s="103" t="s">
        <v>473</v>
      </c>
      <c r="K91" s="121" t="s">
        <v>474</v>
      </c>
    </row>
    <row r="92" spans="1:11" ht="14.25" customHeight="1">
      <c r="A92" s="122"/>
      <c r="B92" s="104"/>
      <c r="C92" s="139" t="s">
        <v>475</v>
      </c>
      <c r="D92" s="110" t="s">
        <v>476</v>
      </c>
      <c r="E92" s="110" t="s">
        <v>477</v>
      </c>
      <c r="F92" s="110" t="s">
        <v>16</v>
      </c>
      <c r="G92" s="123" t="s">
        <v>478</v>
      </c>
      <c r="H92" s="103" t="s">
        <v>479</v>
      </c>
      <c r="I92" s="126" t="s">
        <v>41</v>
      </c>
      <c r="J92" s="103" t="s">
        <v>480</v>
      </c>
      <c r="K92" s="121" t="s">
        <v>481</v>
      </c>
    </row>
    <row r="93" spans="1:11" ht="14.25" customHeight="1">
      <c r="A93" s="122"/>
      <c r="B93" s="104"/>
      <c r="C93" s="140"/>
      <c r="D93" s="116"/>
      <c r="E93" s="116"/>
      <c r="F93" s="116"/>
      <c r="G93" s="123" t="s">
        <v>482</v>
      </c>
      <c r="H93" s="103" t="s">
        <v>483</v>
      </c>
      <c r="I93" s="126" t="s">
        <v>41</v>
      </c>
      <c r="J93" s="103" t="s">
        <v>484</v>
      </c>
      <c r="K93" s="121" t="s">
        <v>485</v>
      </c>
    </row>
    <row r="94" spans="1:11" ht="14.25" customHeight="1">
      <c r="A94" s="122"/>
      <c r="B94" s="104"/>
      <c r="C94" s="140"/>
      <c r="D94" s="110" t="s">
        <v>486</v>
      </c>
      <c r="E94" s="110" t="s">
        <v>487</v>
      </c>
      <c r="F94" s="110" t="s">
        <v>16</v>
      </c>
      <c r="G94" s="123" t="s">
        <v>488</v>
      </c>
      <c r="H94" s="103" t="s">
        <v>489</v>
      </c>
      <c r="I94" s="126" t="s">
        <v>41</v>
      </c>
      <c r="J94" s="103" t="s">
        <v>490</v>
      </c>
      <c r="K94" s="121" t="s">
        <v>491</v>
      </c>
    </row>
    <row r="95" spans="1:11" ht="14.25" customHeight="1">
      <c r="A95" s="122"/>
      <c r="B95" s="104"/>
      <c r="C95" s="140"/>
      <c r="D95" s="116"/>
      <c r="E95" s="116"/>
      <c r="F95" s="116"/>
      <c r="G95" s="123" t="s">
        <v>492</v>
      </c>
      <c r="H95" s="103" t="s">
        <v>493</v>
      </c>
      <c r="I95" s="126" t="s">
        <v>41</v>
      </c>
      <c r="J95" s="103" t="s">
        <v>494</v>
      </c>
      <c r="K95" s="121" t="s">
        <v>495</v>
      </c>
    </row>
    <row r="96" spans="1:11" ht="14.25" customHeight="1">
      <c r="A96" s="122"/>
      <c r="B96" s="104"/>
      <c r="C96" s="140"/>
      <c r="D96" s="110" t="s">
        <v>496</v>
      </c>
      <c r="E96" s="110" t="s">
        <v>497</v>
      </c>
      <c r="F96" s="110" t="s">
        <v>16</v>
      </c>
      <c r="G96" s="123" t="s">
        <v>498</v>
      </c>
      <c r="H96" s="103" t="s">
        <v>499</v>
      </c>
      <c r="I96" s="126" t="s">
        <v>41</v>
      </c>
      <c r="J96" s="103" t="s">
        <v>500</v>
      </c>
      <c r="K96" s="102" t="s">
        <v>501</v>
      </c>
    </row>
    <row r="97" spans="1:11" ht="14.25" customHeight="1">
      <c r="A97" s="122"/>
      <c r="B97" s="104"/>
      <c r="C97" s="140"/>
      <c r="D97" s="116"/>
      <c r="E97" s="116"/>
      <c r="F97" s="116"/>
      <c r="G97" s="123" t="s">
        <v>502</v>
      </c>
      <c r="H97" s="103" t="s">
        <v>503</v>
      </c>
      <c r="I97" s="126" t="s">
        <v>41</v>
      </c>
      <c r="J97" s="103" t="s">
        <v>504</v>
      </c>
      <c r="K97" s="103" t="s">
        <v>505</v>
      </c>
    </row>
    <row r="98" spans="1:11" ht="14.25" customHeight="1">
      <c r="A98" s="122"/>
      <c r="B98" s="104"/>
      <c r="C98" s="140"/>
      <c r="D98" s="110" t="s">
        <v>506</v>
      </c>
      <c r="E98" s="110" t="s">
        <v>507</v>
      </c>
      <c r="F98" s="110" t="s">
        <v>200</v>
      </c>
      <c r="G98" s="123" t="s">
        <v>508</v>
      </c>
      <c r="H98" s="103" t="s">
        <v>509</v>
      </c>
      <c r="I98" s="126" t="s">
        <v>41</v>
      </c>
      <c r="J98" s="103" t="s">
        <v>510</v>
      </c>
      <c r="K98" s="103" t="s">
        <v>511</v>
      </c>
    </row>
    <row r="99" spans="1:11" ht="14.25" customHeight="1">
      <c r="A99" s="122"/>
      <c r="B99" s="104"/>
      <c r="C99" s="140"/>
      <c r="D99" s="116"/>
      <c r="E99" s="116"/>
      <c r="F99" s="116"/>
      <c r="G99" s="123" t="s">
        <v>512</v>
      </c>
      <c r="H99" s="103" t="s">
        <v>513</v>
      </c>
      <c r="I99" s="126" t="s">
        <v>41</v>
      </c>
      <c r="J99" s="103" t="s">
        <v>514</v>
      </c>
      <c r="K99" s="103" t="s">
        <v>515</v>
      </c>
    </row>
    <row r="100" spans="1:11" ht="14.25" customHeight="1">
      <c r="A100" s="122"/>
      <c r="B100" s="104"/>
      <c r="C100" s="140"/>
      <c r="D100" s="110" t="s">
        <v>516</v>
      </c>
      <c r="E100" s="110" t="s">
        <v>517</v>
      </c>
      <c r="F100" s="110" t="s">
        <v>38</v>
      </c>
      <c r="G100" s="123" t="s">
        <v>518</v>
      </c>
      <c r="H100" s="103" t="s">
        <v>519</v>
      </c>
      <c r="I100" s="126" t="s">
        <v>41</v>
      </c>
      <c r="J100" s="103" t="s">
        <v>520</v>
      </c>
      <c r="K100" s="103" t="s">
        <v>521</v>
      </c>
    </row>
    <row r="101" spans="1:11" ht="14.25" customHeight="1">
      <c r="A101" s="122"/>
      <c r="B101" s="104"/>
      <c r="C101" s="141"/>
      <c r="D101" s="116"/>
      <c r="E101" s="116"/>
      <c r="F101" s="116"/>
      <c r="G101" s="123" t="s">
        <v>522</v>
      </c>
      <c r="H101" s="103" t="s">
        <v>523</v>
      </c>
      <c r="I101" s="126" t="s">
        <v>41</v>
      </c>
      <c r="J101" s="103" t="s">
        <v>524</v>
      </c>
      <c r="K101" s="103" t="s">
        <v>525</v>
      </c>
    </row>
    <row r="102" spans="1:11" ht="14.25" customHeight="1">
      <c r="A102" s="122"/>
      <c r="B102" s="104"/>
      <c r="C102" s="139" t="s">
        <v>526</v>
      </c>
      <c r="D102" s="110" t="s">
        <v>527</v>
      </c>
      <c r="E102" s="110" t="s">
        <v>528</v>
      </c>
      <c r="F102" s="110" t="s">
        <v>16</v>
      </c>
      <c r="G102" s="123" t="s">
        <v>529</v>
      </c>
      <c r="H102" s="103" t="s">
        <v>530</v>
      </c>
      <c r="I102" s="128" t="s">
        <v>19</v>
      </c>
      <c r="J102" s="103" t="s">
        <v>531</v>
      </c>
      <c r="K102" s="103" t="s">
        <v>532</v>
      </c>
    </row>
    <row r="103" spans="1:11" ht="14.25" customHeight="1">
      <c r="A103" s="122"/>
      <c r="B103" s="104"/>
      <c r="C103" s="140"/>
      <c r="D103" s="116"/>
      <c r="E103" s="116"/>
      <c r="F103" s="116"/>
      <c r="G103" s="123" t="s">
        <v>533</v>
      </c>
      <c r="H103" s="103" t="s">
        <v>534</v>
      </c>
      <c r="I103" s="128" t="s">
        <v>19</v>
      </c>
      <c r="J103" s="103" t="s">
        <v>535</v>
      </c>
      <c r="K103" s="103" t="s">
        <v>536</v>
      </c>
    </row>
    <row r="104" spans="1:11" ht="14.25" customHeight="1">
      <c r="A104" s="122"/>
      <c r="B104" s="104"/>
      <c r="C104" s="140"/>
      <c r="D104" s="110" t="s">
        <v>537</v>
      </c>
      <c r="E104" s="110" t="s">
        <v>538</v>
      </c>
      <c r="F104" s="110" t="s">
        <v>16</v>
      </c>
      <c r="G104" s="123" t="s">
        <v>539</v>
      </c>
      <c r="H104" s="103" t="s">
        <v>540</v>
      </c>
      <c r="I104" s="128" t="s">
        <v>19</v>
      </c>
      <c r="J104" s="103" t="s">
        <v>541</v>
      </c>
      <c r="K104" s="103" t="s">
        <v>542</v>
      </c>
    </row>
    <row r="105" spans="1:11" ht="14.25" customHeight="1">
      <c r="A105" s="122"/>
      <c r="B105" s="104"/>
      <c r="C105" s="140"/>
      <c r="D105" s="116"/>
      <c r="E105" s="116"/>
      <c r="F105" s="116"/>
      <c r="G105" s="123" t="s">
        <v>543</v>
      </c>
      <c r="H105" s="103" t="s">
        <v>544</v>
      </c>
      <c r="I105" s="128" t="s">
        <v>19</v>
      </c>
      <c r="J105" s="103" t="s">
        <v>545</v>
      </c>
      <c r="K105" s="103" t="s">
        <v>546</v>
      </c>
    </row>
    <row r="106" spans="1:11" ht="14.25" customHeight="1">
      <c r="A106" s="122"/>
      <c r="B106" s="104"/>
      <c r="C106" s="140"/>
      <c r="D106" s="110" t="s">
        <v>547</v>
      </c>
      <c r="E106" s="110" t="s">
        <v>548</v>
      </c>
      <c r="F106" s="110" t="s">
        <v>38</v>
      </c>
      <c r="G106" s="123" t="s">
        <v>549</v>
      </c>
      <c r="H106" s="103" t="s">
        <v>550</v>
      </c>
      <c r="I106" s="128" t="s">
        <v>19</v>
      </c>
      <c r="J106" s="103" t="s">
        <v>551</v>
      </c>
      <c r="K106" s="103" t="s">
        <v>552</v>
      </c>
    </row>
    <row r="107" spans="1:11" ht="14.25" customHeight="1">
      <c r="A107" s="122"/>
      <c r="B107" s="104"/>
      <c r="C107" s="140"/>
      <c r="D107" s="116"/>
      <c r="E107" s="116"/>
      <c r="F107" s="116"/>
      <c r="G107" s="123" t="s">
        <v>553</v>
      </c>
      <c r="H107" s="103" t="s">
        <v>554</v>
      </c>
      <c r="I107" s="128" t="s">
        <v>19</v>
      </c>
      <c r="J107" s="103" t="s">
        <v>555</v>
      </c>
      <c r="K107" s="103" t="s">
        <v>556</v>
      </c>
    </row>
    <row r="108" spans="1:11" ht="14.25" customHeight="1">
      <c r="A108" s="122"/>
      <c r="B108" s="104"/>
      <c r="C108" s="140"/>
      <c r="D108" s="110" t="s">
        <v>557</v>
      </c>
      <c r="E108" s="110" t="s">
        <v>558</v>
      </c>
      <c r="F108" s="110" t="s">
        <v>16</v>
      </c>
      <c r="G108" s="123" t="s">
        <v>559</v>
      </c>
      <c r="H108" s="103" t="s">
        <v>560</v>
      </c>
      <c r="I108" s="128" t="s">
        <v>19</v>
      </c>
      <c r="J108" s="103" t="s">
        <v>561</v>
      </c>
      <c r="K108" s="103" t="s">
        <v>562</v>
      </c>
    </row>
    <row r="109" spans="1:11" ht="14.25" customHeight="1">
      <c r="A109" s="122"/>
      <c r="B109" s="104"/>
      <c r="C109" s="140"/>
      <c r="D109" s="116"/>
      <c r="E109" s="116"/>
      <c r="F109" s="116"/>
      <c r="G109" s="123" t="s">
        <v>563</v>
      </c>
      <c r="H109" s="103" t="s">
        <v>564</v>
      </c>
      <c r="I109" s="128" t="s">
        <v>19</v>
      </c>
      <c r="J109" s="103" t="s">
        <v>565</v>
      </c>
      <c r="K109" s="103" t="s">
        <v>566</v>
      </c>
    </row>
    <row r="110" spans="1:11" ht="14.25" customHeight="1">
      <c r="A110" s="122"/>
      <c r="B110" s="116"/>
      <c r="C110" s="140"/>
      <c r="D110" s="110" t="s">
        <v>567</v>
      </c>
      <c r="E110" s="110" t="s">
        <v>568</v>
      </c>
      <c r="F110" s="110" t="s">
        <v>16</v>
      </c>
      <c r="G110" s="123" t="s">
        <v>569</v>
      </c>
      <c r="H110" s="103" t="s">
        <v>570</v>
      </c>
      <c r="I110" s="128" t="s">
        <v>19</v>
      </c>
      <c r="J110" s="103" t="s">
        <v>571</v>
      </c>
      <c r="K110" s="103" t="s">
        <v>572</v>
      </c>
    </row>
    <row r="111" spans="1:11" ht="14.25" customHeight="1">
      <c r="A111" s="122"/>
      <c r="B111" s="129"/>
      <c r="C111" s="141"/>
      <c r="D111" s="116"/>
      <c r="E111" s="116"/>
      <c r="F111" s="116"/>
      <c r="G111" s="123" t="s">
        <v>573</v>
      </c>
      <c r="H111" s="103" t="s">
        <v>574</v>
      </c>
      <c r="I111" s="128" t="s">
        <v>19</v>
      </c>
      <c r="J111" s="103" t="s">
        <v>575</v>
      </c>
      <c r="K111" s="103" t="s">
        <v>576</v>
      </c>
    </row>
    <row r="112" spans="1:11" ht="14.25" customHeight="1">
      <c r="A112" s="122"/>
      <c r="B112" s="115" t="s">
        <v>577</v>
      </c>
      <c r="C112" s="139" t="s">
        <v>578</v>
      </c>
      <c r="D112" s="110" t="s">
        <v>579</v>
      </c>
      <c r="E112" s="110" t="s">
        <v>580</v>
      </c>
      <c r="F112" s="110" t="s">
        <v>16</v>
      </c>
      <c r="G112" s="123" t="s">
        <v>581</v>
      </c>
      <c r="H112" s="103" t="s">
        <v>582</v>
      </c>
      <c r="I112" s="128" t="s">
        <v>19</v>
      </c>
      <c r="J112" s="103" t="s">
        <v>583</v>
      </c>
      <c r="K112" s="103" t="s">
        <v>584</v>
      </c>
    </row>
    <row r="113" spans="1:11" ht="14.25" customHeight="1">
      <c r="A113" s="122"/>
      <c r="B113" s="104"/>
      <c r="C113" s="140"/>
      <c r="D113" s="116"/>
      <c r="E113" s="116"/>
      <c r="F113" s="116"/>
      <c r="G113" s="123" t="s">
        <v>585</v>
      </c>
      <c r="H113" s="103" t="s">
        <v>586</v>
      </c>
      <c r="I113" s="128" t="s">
        <v>19</v>
      </c>
      <c r="J113" s="103" t="s">
        <v>587</v>
      </c>
      <c r="K113" s="103" t="s">
        <v>588</v>
      </c>
    </row>
    <row r="114" spans="1:11" ht="14.25" customHeight="1">
      <c r="A114" s="122"/>
      <c r="B114" s="104"/>
      <c r="C114" s="140"/>
      <c r="D114" s="110" t="s">
        <v>589</v>
      </c>
      <c r="E114" s="110" t="s">
        <v>590</v>
      </c>
      <c r="F114" s="110" t="s">
        <v>16</v>
      </c>
      <c r="G114" s="123" t="s">
        <v>591</v>
      </c>
      <c r="H114" s="103" t="s">
        <v>592</v>
      </c>
      <c r="I114" s="125" t="s">
        <v>33</v>
      </c>
      <c r="J114" s="103" t="s">
        <v>593</v>
      </c>
      <c r="K114" s="103" t="s">
        <v>594</v>
      </c>
    </row>
    <row r="115" spans="1:11" ht="14.25" customHeight="1">
      <c r="A115" s="122"/>
      <c r="B115" s="104"/>
      <c r="C115" s="140"/>
      <c r="D115" s="116"/>
      <c r="E115" s="116"/>
      <c r="F115" s="116"/>
      <c r="G115" s="123" t="s">
        <v>595</v>
      </c>
      <c r="H115" s="103" t="s">
        <v>596</v>
      </c>
      <c r="I115" s="125" t="s">
        <v>33</v>
      </c>
      <c r="J115" s="103" t="s">
        <v>597</v>
      </c>
      <c r="K115" s="103" t="s">
        <v>598</v>
      </c>
    </row>
    <row r="116" spans="1:11" ht="14.25" customHeight="1">
      <c r="A116" s="122"/>
      <c r="B116" s="104"/>
      <c r="C116" s="140"/>
      <c r="D116" s="110" t="s">
        <v>599</v>
      </c>
      <c r="E116" s="110" t="s">
        <v>600</v>
      </c>
      <c r="F116" s="110" t="s">
        <v>16</v>
      </c>
      <c r="G116" s="123" t="s">
        <v>601</v>
      </c>
      <c r="H116" s="103" t="s">
        <v>602</v>
      </c>
      <c r="I116" s="125" t="s">
        <v>33</v>
      </c>
      <c r="J116" s="103" t="s">
        <v>603</v>
      </c>
      <c r="K116" s="103" t="s">
        <v>604</v>
      </c>
    </row>
    <row r="117" spans="1:11" ht="14.25" customHeight="1">
      <c r="A117" s="122"/>
      <c r="B117" s="104"/>
      <c r="C117" s="140"/>
      <c r="D117" s="116"/>
      <c r="E117" s="116"/>
      <c r="F117" s="116"/>
      <c r="G117" s="123" t="s">
        <v>605</v>
      </c>
      <c r="H117" s="103" t="s">
        <v>606</v>
      </c>
      <c r="I117" s="128" t="s">
        <v>19</v>
      </c>
      <c r="J117" s="103" t="s">
        <v>607</v>
      </c>
      <c r="K117" s="103" t="s">
        <v>608</v>
      </c>
    </row>
    <row r="118" spans="1:11" ht="14.25" customHeight="1">
      <c r="A118" s="122"/>
      <c r="B118" s="104"/>
      <c r="C118" s="140"/>
      <c r="D118" s="110" t="s">
        <v>609</v>
      </c>
      <c r="E118" s="110" t="s">
        <v>610</v>
      </c>
      <c r="F118" s="110" t="s">
        <v>16</v>
      </c>
      <c r="G118" s="123" t="s">
        <v>611</v>
      </c>
      <c r="H118" s="103" t="s">
        <v>612</v>
      </c>
      <c r="I118" s="128" t="s">
        <v>19</v>
      </c>
      <c r="J118" s="103" t="s">
        <v>613</v>
      </c>
      <c r="K118" s="103" t="s">
        <v>614</v>
      </c>
    </row>
    <row r="119" spans="1:11" ht="14.25" customHeight="1">
      <c r="A119" s="122"/>
      <c r="B119" s="104"/>
      <c r="C119" s="140"/>
      <c r="D119" s="116"/>
      <c r="E119" s="116"/>
      <c r="F119" s="116"/>
      <c r="G119" s="123" t="s">
        <v>615</v>
      </c>
      <c r="H119" s="103" t="s">
        <v>616</v>
      </c>
      <c r="I119" s="128" t="s">
        <v>19</v>
      </c>
      <c r="J119" s="103" t="s">
        <v>617</v>
      </c>
      <c r="K119" s="103" t="s">
        <v>618</v>
      </c>
    </row>
    <row r="120" spans="1:11" ht="14.25" customHeight="1">
      <c r="A120" s="122"/>
      <c r="B120" s="104"/>
      <c r="C120" s="140"/>
      <c r="D120" s="110" t="s">
        <v>619</v>
      </c>
      <c r="E120" s="110" t="s">
        <v>620</v>
      </c>
      <c r="F120" s="110" t="s">
        <v>16</v>
      </c>
      <c r="G120" s="123" t="s">
        <v>621</v>
      </c>
      <c r="H120" s="103" t="s">
        <v>622</v>
      </c>
      <c r="I120" s="128" t="s">
        <v>19</v>
      </c>
      <c r="J120" s="103" t="s">
        <v>623</v>
      </c>
      <c r="K120" s="103" t="s">
        <v>624</v>
      </c>
    </row>
    <row r="121" spans="1:11" ht="14.25" customHeight="1">
      <c r="A121" s="122"/>
      <c r="B121" s="104"/>
      <c r="C121" s="141"/>
      <c r="D121" s="116"/>
      <c r="E121" s="116"/>
      <c r="F121" s="116"/>
      <c r="G121" s="123" t="s">
        <v>625</v>
      </c>
      <c r="H121" s="103" t="s">
        <v>626</v>
      </c>
      <c r="I121" s="128" t="s">
        <v>19</v>
      </c>
      <c r="J121" s="103" t="s">
        <v>627</v>
      </c>
      <c r="K121" s="103" t="s">
        <v>628</v>
      </c>
    </row>
    <row r="122" spans="1:11" ht="14.25" customHeight="1">
      <c r="A122" s="122"/>
      <c r="B122" s="104"/>
      <c r="C122" s="139" t="s">
        <v>629</v>
      </c>
      <c r="D122" s="110" t="s">
        <v>630</v>
      </c>
      <c r="E122" s="110" t="s">
        <v>631</v>
      </c>
      <c r="F122" s="110" t="s">
        <v>16</v>
      </c>
      <c r="G122" s="123" t="s">
        <v>632</v>
      </c>
      <c r="H122" s="103" t="s">
        <v>633</v>
      </c>
      <c r="I122" s="128" t="s">
        <v>19</v>
      </c>
      <c r="J122" s="103" t="s">
        <v>634</v>
      </c>
      <c r="K122" s="103" t="s">
        <v>635</v>
      </c>
    </row>
    <row r="123" spans="1:11" ht="14.25" customHeight="1">
      <c r="A123" s="122"/>
      <c r="B123" s="104"/>
      <c r="C123" s="140"/>
      <c r="D123" s="116"/>
      <c r="E123" s="116"/>
      <c r="F123" s="116"/>
      <c r="G123" s="123" t="s">
        <v>636</v>
      </c>
      <c r="H123" s="103" t="s">
        <v>637</v>
      </c>
      <c r="I123" s="128" t="s">
        <v>19</v>
      </c>
      <c r="J123" s="103" t="s">
        <v>638</v>
      </c>
      <c r="K123" s="103" t="s">
        <v>639</v>
      </c>
    </row>
    <row r="124" spans="1:11" ht="14.25" customHeight="1">
      <c r="A124" s="122"/>
      <c r="B124" s="104"/>
      <c r="C124" s="140"/>
      <c r="D124" s="110" t="s">
        <v>640</v>
      </c>
      <c r="E124" s="110" t="s">
        <v>641</v>
      </c>
      <c r="F124" s="110" t="s">
        <v>200</v>
      </c>
      <c r="G124" s="123" t="s">
        <v>642</v>
      </c>
      <c r="H124" s="103" t="s">
        <v>643</v>
      </c>
      <c r="I124" s="128" t="s">
        <v>19</v>
      </c>
      <c r="J124" s="103" t="s">
        <v>644</v>
      </c>
      <c r="K124" s="103" t="s">
        <v>645</v>
      </c>
    </row>
    <row r="125" spans="1:11" ht="14.25" customHeight="1">
      <c r="A125" s="122"/>
      <c r="B125" s="104"/>
      <c r="C125" s="140"/>
      <c r="D125" s="116"/>
      <c r="E125" s="116"/>
      <c r="F125" s="116"/>
      <c r="G125" s="123" t="s">
        <v>646</v>
      </c>
      <c r="H125" s="103" t="s">
        <v>647</v>
      </c>
      <c r="I125" s="128" t="s">
        <v>19</v>
      </c>
      <c r="J125" s="103" t="s">
        <v>648</v>
      </c>
      <c r="K125" s="103" t="s">
        <v>649</v>
      </c>
    </row>
    <row r="126" spans="1:11" ht="14.25" customHeight="1">
      <c r="A126" s="122"/>
      <c r="B126" s="104"/>
      <c r="C126" s="140"/>
      <c r="D126" s="110" t="s">
        <v>650</v>
      </c>
      <c r="E126" s="110" t="s">
        <v>651</v>
      </c>
      <c r="F126" s="110" t="s">
        <v>200</v>
      </c>
      <c r="G126" s="123" t="s">
        <v>652</v>
      </c>
      <c r="H126" s="103" t="s">
        <v>653</v>
      </c>
      <c r="I126" s="128" t="s">
        <v>19</v>
      </c>
      <c r="J126" s="103" t="s">
        <v>654</v>
      </c>
      <c r="K126" s="103" t="s">
        <v>655</v>
      </c>
    </row>
    <row r="127" spans="1:11" ht="14.25" customHeight="1">
      <c r="A127" s="122"/>
      <c r="B127" s="104"/>
      <c r="C127" s="140"/>
      <c r="D127" s="116"/>
      <c r="E127" s="116"/>
      <c r="F127" s="116"/>
      <c r="G127" s="123" t="s">
        <v>656</v>
      </c>
      <c r="H127" s="103" t="s">
        <v>657</v>
      </c>
      <c r="I127" s="128" t="s">
        <v>19</v>
      </c>
      <c r="J127" s="103" t="s">
        <v>658</v>
      </c>
      <c r="K127" s="103" t="s">
        <v>659</v>
      </c>
    </row>
    <row r="128" spans="1:11" ht="14.25" customHeight="1">
      <c r="A128" s="122"/>
      <c r="B128" s="104"/>
      <c r="C128" s="140"/>
      <c r="D128" s="110" t="s">
        <v>660</v>
      </c>
      <c r="E128" s="110" t="s">
        <v>661</v>
      </c>
      <c r="F128" s="110" t="s">
        <v>16</v>
      </c>
      <c r="G128" s="123" t="s">
        <v>662</v>
      </c>
      <c r="H128" s="103" t="s">
        <v>663</v>
      </c>
      <c r="I128" s="128" t="s">
        <v>19</v>
      </c>
      <c r="J128" s="103" t="s">
        <v>664</v>
      </c>
      <c r="K128" s="103" t="s">
        <v>665</v>
      </c>
    </row>
    <row r="129" spans="1:11" ht="14.25" customHeight="1">
      <c r="A129" s="122"/>
      <c r="B129" s="104"/>
      <c r="C129" s="140"/>
      <c r="D129" s="116"/>
      <c r="E129" s="116"/>
      <c r="F129" s="116"/>
      <c r="G129" s="123" t="s">
        <v>666</v>
      </c>
      <c r="H129" s="103" t="s">
        <v>667</v>
      </c>
      <c r="I129" s="128" t="s">
        <v>19</v>
      </c>
      <c r="J129" s="103" t="s">
        <v>668</v>
      </c>
      <c r="K129" s="103" t="s">
        <v>669</v>
      </c>
    </row>
    <row r="130" spans="1:11" ht="14.25" customHeight="1">
      <c r="A130" s="122"/>
      <c r="B130" s="104"/>
      <c r="C130" s="140"/>
      <c r="D130" s="110" t="s">
        <v>670</v>
      </c>
      <c r="E130" s="110" t="s">
        <v>671</v>
      </c>
      <c r="F130" s="110" t="s">
        <v>16</v>
      </c>
      <c r="G130" s="123" t="s">
        <v>672</v>
      </c>
      <c r="H130" s="103" t="s">
        <v>673</v>
      </c>
      <c r="I130" s="128" t="s">
        <v>19</v>
      </c>
      <c r="J130" s="103" t="s">
        <v>674</v>
      </c>
      <c r="K130" s="103" t="s">
        <v>675</v>
      </c>
    </row>
    <row r="131" spans="1:11" ht="14.25" customHeight="1">
      <c r="A131" s="122"/>
      <c r="B131" s="104"/>
      <c r="C131" s="141"/>
      <c r="D131" s="116"/>
      <c r="E131" s="116"/>
      <c r="F131" s="116"/>
      <c r="G131" s="123" t="s">
        <v>676</v>
      </c>
      <c r="H131" s="103" t="s">
        <v>677</v>
      </c>
      <c r="I131" s="128" t="s">
        <v>19</v>
      </c>
      <c r="J131" s="103" t="s">
        <v>678</v>
      </c>
      <c r="K131" s="103" t="s">
        <v>679</v>
      </c>
    </row>
    <row r="132" spans="1:11" ht="14.25" customHeight="1">
      <c r="A132" s="122"/>
      <c r="B132" s="104"/>
      <c r="C132" s="139" t="s">
        <v>680</v>
      </c>
      <c r="D132" s="110" t="s">
        <v>681</v>
      </c>
      <c r="E132" s="110" t="s">
        <v>682</v>
      </c>
      <c r="F132" s="110" t="s">
        <v>16</v>
      </c>
      <c r="G132" s="123" t="s">
        <v>683</v>
      </c>
      <c r="H132" s="103" t="s">
        <v>684</v>
      </c>
      <c r="I132" s="128" t="s">
        <v>19</v>
      </c>
      <c r="J132" s="103" t="s">
        <v>685</v>
      </c>
      <c r="K132" s="103" t="s">
        <v>686</v>
      </c>
    </row>
    <row r="133" spans="1:11" ht="14.25" customHeight="1">
      <c r="A133" s="122"/>
      <c r="B133" s="104"/>
      <c r="C133" s="140"/>
      <c r="D133" s="116"/>
      <c r="E133" s="116"/>
      <c r="F133" s="116"/>
      <c r="G133" s="123" t="s">
        <v>687</v>
      </c>
      <c r="H133" s="103" t="s">
        <v>688</v>
      </c>
      <c r="I133" s="128" t="s">
        <v>19</v>
      </c>
      <c r="J133" s="103" t="s">
        <v>689</v>
      </c>
      <c r="K133" s="103" t="s">
        <v>690</v>
      </c>
    </row>
    <row r="134" spans="1:11" ht="14.25" customHeight="1">
      <c r="A134" s="122"/>
      <c r="B134" s="104"/>
      <c r="C134" s="140"/>
      <c r="D134" s="110" t="s">
        <v>691</v>
      </c>
      <c r="E134" s="110" t="s">
        <v>692</v>
      </c>
      <c r="F134" s="110" t="s">
        <v>16</v>
      </c>
      <c r="G134" s="123" t="s">
        <v>693</v>
      </c>
      <c r="H134" s="103" t="s">
        <v>694</v>
      </c>
      <c r="I134" s="128" t="s">
        <v>19</v>
      </c>
      <c r="J134" s="103" t="s">
        <v>695</v>
      </c>
      <c r="K134" s="103" t="s">
        <v>696</v>
      </c>
    </row>
    <row r="135" spans="1:11" ht="14.25" customHeight="1">
      <c r="A135" s="122"/>
      <c r="B135" s="104"/>
      <c r="C135" s="140"/>
      <c r="D135" s="116"/>
      <c r="E135" s="116"/>
      <c r="F135" s="116"/>
      <c r="G135" s="123" t="s">
        <v>697</v>
      </c>
      <c r="H135" s="103" t="s">
        <v>698</v>
      </c>
      <c r="I135" s="128" t="s">
        <v>19</v>
      </c>
      <c r="J135" s="103" t="s">
        <v>699</v>
      </c>
      <c r="K135" s="103" t="s">
        <v>700</v>
      </c>
    </row>
    <row r="136" spans="1:11" ht="14.25" customHeight="1">
      <c r="A136" s="122"/>
      <c r="B136" s="104"/>
      <c r="C136" s="140"/>
      <c r="D136" s="110" t="s">
        <v>701</v>
      </c>
      <c r="E136" s="110" t="s">
        <v>702</v>
      </c>
      <c r="F136" s="110" t="s">
        <v>38</v>
      </c>
      <c r="G136" s="123" t="s">
        <v>703</v>
      </c>
      <c r="H136" s="103" t="s">
        <v>704</v>
      </c>
      <c r="I136" s="128" t="s">
        <v>19</v>
      </c>
      <c r="J136" s="103" t="s">
        <v>705</v>
      </c>
      <c r="K136" s="103" t="s">
        <v>706</v>
      </c>
    </row>
    <row r="137" spans="1:11" ht="14.25" customHeight="1">
      <c r="A137" s="122"/>
      <c r="B137" s="104"/>
      <c r="C137" s="140"/>
      <c r="D137" s="116"/>
      <c r="E137" s="116"/>
      <c r="F137" s="116"/>
      <c r="G137" s="123" t="s">
        <v>707</v>
      </c>
      <c r="H137" s="103" t="s">
        <v>708</v>
      </c>
      <c r="I137" s="128" t="s">
        <v>19</v>
      </c>
      <c r="J137" s="103" t="s">
        <v>709</v>
      </c>
      <c r="K137" s="103" t="s">
        <v>710</v>
      </c>
    </row>
    <row r="138" spans="1:11" ht="14.25" customHeight="1">
      <c r="A138" s="122"/>
      <c r="B138" s="104"/>
      <c r="C138" s="140"/>
      <c r="D138" s="110" t="s">
        <v>711</v>
      </c>
      <c r="E138" s="110" t="s">
        <v>712</v>
      </c>
      <c r="F138" s="110" t="s">
        <v>38</v>
      </c>
      <c r="G138" s="123" t="s">
        <v>713</v>
      </c>
      <c r="H138" s="103" t="s">
        <v>714</v>
      </c>
      <c r="I138" s="128" t="s">
        <v>19</v>
      </c>
      <c r="J138" s="103" t="s">
        <v>715</v>
      </c>
      <c r="K138" s="103" t="s">
        <v>716</v>
      </c>
    </row>
    <row r="139" spans="1:11" ht="14.25" customHeight="1">
      <c r="A139" s="122"/>
      <c r="B139" s="104"/>
      <c r="C139" s="140"/>
      <c r="D139" s="116"/>
      <c r="E139" s="116"/>
      <c r="F139" s="116"/>
      <c r="G139" s="123" t="s">
        <v>717</v>
      </c>
      <c r="H139" s="103" t="s">
        <v>718</v>
      </c>
      <c r="I139" s="128" t="s">
        <v>19</v>
      </c>
      <c r="J139" s="103" t="s">
        <v>719</v>
      </c>
      <c r="K139" s="103" t="s">
        <v>720</v>
      </c>
    </row>
    <row r="140" spans="1:11" ht="14.25" customHeight="1">
      <c r="A140" s="122"/>
      <c r="B140" s="104"/>
      <c r="C140" s="140"/>
      <c r="D140" s="110" t="s">
        <v>721</v>
      </c>
      <c r="E140" s="110" t="s">
        <v>722</v>
      </c>
      <c r="F140" s="110" t="s">
        <v>38</v>
      </c>
      <c r="G140" s="123" t="s">
        <v>723</v>
      </c>
      <c r="H140" s="103" t="s">
        <v>724</v>
      </c>
      <c r="I140" s="128" t="s">
        <v>19</v>
      </c>
      <c r="J140" s="103" t="s">
        <v>725</v>
      </c>
      <c r="K140" s="103" t="s">
        <v>726</v>
      </c>
    </row>
    <row r="141" spans="1:11" ht="14.25" customHeight="1">
      <c r="A141" s="122"/>
      <c r="B141" s="104"/>
      <c r="C141" s="141"/>
      <c r="D141" s="116"/>
      <c r="E141" s="116"/>
      <c r="F141" s="116"/>
      <c r="G141" s="123" t="s">
        <v>727</v>
      </c>
      <c r="H141" s="103" t="s">
        <v>728</v>
      </c>
      <c r="I141" s="128" t="s">
        <v>19</v>
      </c>
      <c r="J141" s="103" t="s">
        <v>729</v>
      </c>
      <c r="K141" s="103" t="s">
        <v>730</v>
      </c>
    </row>
    <row r="142" spans="1:11" ht="14.25" customHeight="1">
      <c r="A142" s="122"/>
      <c r="B142" s="104"/>
      <c r="C142" s="139" t="s">
        <v>731</v>
      </c>
      <c r="D142" s="110" t="s">
        <v>732</v>
      </c>
      <c r="E142" s="110" t="s">
        <v>733</v>
      </c>
      <c r="F142" s="110" t="s">
        <v>38</v>
      </c>
      <c r="G142" s="123" t="s">
        <v>734</v>
      </c>
      <c r="H142" s="103" t="s">
        <v>735</v>
      </c>
      <c r="I142" s="128" t="s">
        <v>19</v>
      </c>
      <c r="J142" s="103" t="s">
        <v>736</v>
      </c>
      <c r="K142" s="103" t="s">
        <v>737</v>
      </c>
    </row>
    <row r="143" spans="1:11" ht="14.25" customHeight="1">
      <c r="A143" s="122"/>
      <c r="B143" s="104"/>
      <c r="C143" s="140"/>
      <c r="D143" s="116"/>
      <c r="E143" s="116"/>
      <c r="F143" s="116"/>
      <c r="G143" s="123" t="s">
        <v>738</v>
      </c>
      <c r="H143" s="103" t="s">
        <v>739</v>
      </c>
      <c r="I143" s="128" t="s">
        <v>19</v>
      </c>
      <c r="J143" s="103" t="s">
        <v>740</v>
      </c>
      <c r="K143" s="103" t="s">
        <v>741</v>
      </c>
    </row>
    <row r="144" spans="1:11" ht="14.25" customHeight="1">
      <c r="A144" s="122"/>
      <c r="B144" s="104"/>
      <c r="C144" s="140"/>
      <c r="D144" s="110" t="s">
        <v>742</v>
      </c>
      <c r="E144" s="110" t="s">
        <v>743</v>
      </c>
      <c r="F144" s="110" t="s">
        <v>16</v>
      </c>
      <c r="G144" s="123" t="s">
        <v>744</v>
      </c>
      <c r="H144" s="103" t="s">
        <v>745</v>
      </c>
      <c r="I144" s="128" t="s">
        <v>19</v>
      </c>
      <c r="J144" s="103" t="s">
        <v>746</v>
      </c>
      <c r="K144" s="103" t="s">
        <v>747</v>
      </c>
    </row>
    <row r="145" spans="1:11" ht="14.25" customHeight="1">
      <c r="A145" s="122"/>
      <c r="B145" s="104"/>
      <c r="C145" s="140"/>
      <c r="D145" s="116"/>
      <c r="E145" s="116"/>
      <c r="F145" s="116"/>
      <c r="G145" s="123" t="s">
        <v>748</v>
      </c>
      <c r="H145" s="103" t="s">
        <v>749</v>
      </c>
      <c r="I145" s="128" t="s">
        <v>19</v>
      </c>
      <c r="J145" s="103" t="s">
        <v>750</v>
      </c>
      <c r="K145" s="103" t="s">
        <v>751</v>
      </c>
    </row>
    <row r="146" spans="1:11" ht="14.25" customHeight="1">
      <c r="A146" s="122"/>
      <c r="B146" s="104"/>
      <c r="C146" s="140"/>
      <c r="D146" s="110" t="s">
        <v>752</v>
      </c>
      <c r="E146" s="110" t="s">
        <v>753</v>
      </c>
      <c r="F146" s="110" t="s">
        <v>38</v>
      </c>
      <c r="G146" s="123" t="s">
        <v>754</v>
      </c>
      <c r="H146" s="103" t="s">
        <v>755</v>
      </c>
      <c r="I146" s="128" t="s">
        <v>19</v>
      </c>
      <c r="J146" s="103" t="s">
        <v>756</v>
      </c>
      <c r="K146" s="103" t="s">
        <v>757</v>
      </c>
    </row>
    <row r="147" spans="1:11" ht="14.25" customHeight="1">
      <c r="A147" s="122"/>
      <c r="B147" s="104"/>
      <c r="C147" s="140"/>
      <c r="D147" s="116"/>
      <c r="E147" s="116"/>
      <c r="F147" s="116"/>
      <c r="G147" s="123" t="s">
        <v>758</v>
      </c>
      <c r="H147" s="103" t="s">
        <v>759</v>
      </c>
      <c r="I147" s="128" t="s">
        <v>19</v>
      </c>
      <c r="J147" s="103" t="s">
        <v>760</v>
      </c>
      <c r="K147" s="103" t="s">
        <v>761</v>
      </c>
    </row>
    <row r="148" spans="1:11" ht="14.25" customHeight="1">
      <c r="A148" s="122"/>
      <c r="B148" s="104"/>
      <c r="C148" s="140"/>
      <c r="D148" s="110" t="s">
        <v>762</v>
      </c>
      <c r="E148" s="110" t="s">
        <v>763</v>
      </c>
      <c r="F148" s="110" t="s">
        <v>38</v>
      </c>
      <c r="G148" s="123" t="s">
        <v>764</v>
      </c>
      <c r="H148" s="103" t="s">
        <v>765</v>
      </c>
      <c r="I148" s="128" t="s">
        <v>19</v>
      </c>
      <c r="J148" s="103" t="s">
        <v>766</v>
      </c>
      <c r="K148" s="103" t="s">
        <v>767</v>
      </c>
    </row>
    <row r="149" spans="1:11" ht="14.25" customHeight="1">
      <c r="A149" s="122"/>
      <c r="B149" s="104"/>
      <c r="C149" s="140"/>
      <c r="D149" s="116"/>
      <c r="E149" s="116"/>
      <c r="F149" s="116"/>
      <c r="G149" s="123" t="s">
        <v>768</v>
      </c>
      <c r="H149" s="103" t="s">
        <v>769</v>
      </c>
      <c r="I149" s="128" t="s">
        <v>19</v>
      </c>
      <c r="J149" s="103" t="s">
        <v>770</v>
      </c>
      <c r="K149" s="103" t="s">
        <v>771</v>
      </c>
    </row>
    <row r="150" spans="1:11" ht="14.25" customHeight="1">
      <c r="A150" s="122"/>
      <c r="B150" s="104"/>
      <c r="C150" s="140"/>
      <c r="D150" s="110" t="s">
        <v>772</v>
      </c>
      <c r="E150" s="110" t="s">
        <v>773</v>
      </c>
      <c r="F150" s="110" t="s">
        <v>200</v>
      </c>
      <c r="G150" s="123" t="s">
        <v>774</v>
      </c>
      <c r="H150" s="103" t="s">
        <v>775</v>
      </c>
      <c r="I150" s="128" t="s">
        <v>19</v>
      </c>
      <c r="J150" s="103" t="s">
        <v>776</v>
      </c>
      <c r="K150" s="103" t="s">
        <v>777</v>
      </c>
    </row>
    <row r="151" spans="1:11" ht="14.25" customHeight="1">
      <c r="A151" s="122"/>
      <c r="B151" s="104"/>
      <c r="C151" s="141"/>
      <c r="D151" s="116"/>
      <c r="E151" s="116"/>
      <c r="F151" s="116"/>
      <c r="G151" s="123" t="s">
        <v>778</v>
      </c>
      <c r="H151" s="103" t="s">
        <v>779</v>
      </c>
      <c r="I151" s="128" t="s">
        <v>19</v>
      </c>
      <c r="J151" s="103" t="s">
        <v>780</v>
      </c>
      <c r="K151" s="103" t="s">
        <v>781</v>
      </c>
    </row>
    <row r="152" spans="1:11" ht="14.25" customHeight="1">
      <c r="A152" s="122"/>
      <c r="B152" s="104"/>
      <c r="C152" s="139" t="s">
        <v>782</v>
      </c>
      <c r="D152" s="110" t="s">
        <v>783</v>
      </c>
      <c r="E152" s="110" t="s">
        <v>784</v>
      </c>
      <c r="F152" s="110" t="s">
        <v>16</v>
      </c>
      <c r="G152" s="123" t="s">
        <v>785</v>
      </c>
      <c r="H152" s="103" t="s">
        <v>786</v>
      </c>
      <c r="I152" s="128" t="s">
        <v>19</v>
      </c>
      <c r="J152" s="103" t="s">
        <v>786</v>
      </c>
      <c r="K152" s="103" t="s">
        <v>787</v>
      </c>
    </row>
    <row r="153" spans="1:11" ht="14.25" customHeight="1">
      <c r="A153" s="122"/>
      <c r="B153" s="104"/>
      <c r="C153" s="140"/>
      <c r="D153" s="116"/>
      <c r="E153" s="116"/>
      <c r="F153" s="116"/>
      <c r="G153" s="123" t="s">
        <v>788</v>
      </c>
      <c r="H153" s="103" t="s">
        <v>789</v>
      </c>
      <c r="I153" s="128" t="s">
        <v>19</v>
      </c>
      <c r="J153" s="103" t="s">
        <v>789</v>
      </c>
      <c r="K153" s="103" t="s">
        <v>790</v>
      </c>
    </row>
    <row r="154" spans="1:11" ht="14.25" customHeight="1">
      <c r="A154" s="122"/>
      <c r="B154" s="104"/>
      <c r="C154" s="140"/>
      <c r="D154" s="110" t="s">
        <v>791</v>
      </c>
      <c r="E154" s="110" t="s">
        <v>792</v>
      </c>
      <c r="F154" s="110" t="s">
        <v>16</v>
      </c>
      <c r="G154" s="123" t="s">
        <v>793</v>
      </c>
      <c r="H154" s="103" t="s">
        <v>794</v>
      </c>
      <c r="I154" s="128" t="s">
        <v>19</v>
      </c>
      <c r="J154" s="103" t="s">
        <v>794</v>
      </c>
      <c r="K154" s="103" t="s">
        <v>795</v>
      </c>
    </row>
    <row r="155" spans="1:11" ht="14.25" customHeight="1">
      <c r="A155" s="122"/>
      <c r="B155" s="104"/>
      <c r="C155" s="140"/>
      <c r="D155" s="116"/>
      <c r="E155" s="116"/>
      <c r="F155" s="116"/>
      <c r="G155" s="123" t="s">
        <v>796</v>
      </c>
      <c r="H155" s="103" t="s">
        <v>797</v>
      </c>
      <c r="I155" s="128" t="s">
        <v>19</v>
      </c>
      <c r="J155" s="103" t="s">
        <v>797</v>
      </c>
      <c r="K155" s="103" t="s">
        <v>798</v>
      </c>
    </row>
    <row r="156" spans="1:11" ht="14.25" customHeight="1">
      <c r="A156" s="122"/>
      <c r="B156" s="104"/>
      <c r="C156" s="140"/>
      <c r="D156" s="110" t="s">
        <v>799</v>
      </c>
      <c r="E156" s="110" t="s">
        <v>800</v>
      </c>
      <c r="F156" s="110" t="s">
        <v>16</v>
      </c>
      <c r="G156" s="123" t="s">
        <v>801</v>
      </c>
      <c r="H156" s="103" t="s">
        <v>802</v>
      </c>
      <c r="I156" s="128" t="s">
        <v>19</v>
      </c>
      <c r="J156" s="103" t="s">
        <v>802</v>
      </c>
      <c r="K156" s="103" t="s">
        <v>803</v>
      </c>
    </row>
    <row r="157" spans="1:11" ht="14.25" customHeight="1">
      <c r="A157" s="122"/>
      <c r="B157" s="104"/>
      <c r="C157" s="140"/>
      <c r="D157" s="116"/>
      <c r="E157" s="116"/>
      <c r="F157" s="116"/>
      <c r="G157" s="123" t="s">
        <v>804</v>
      </c>
      <c r="H157" s="103" t="s">
        <v>805</v>
      </c>
      <c r="I157" s="128" t="s">
        <v>19</v>
      </c>
      <c r="J157" s="103" t="s">
        <v>805</v>
      </c>
      <c r="K157" s="103" t="s">
        <v>806</v>
      </c>
    </row>
    <row r="158" spans="1:11" ht="14.25" customHeight="1">
      <c r="A158" s="122"/>
      <c r="B158" s="104"/>
      <c r="C158" s="140"/>
      <c r="D158" s="110" t="s">
        <v>807</v>
      </c>
      <c r="E158" s="110" t="s">
        <v>808</v>
      </c>
      <c r="F158" s="110" t="s">
        <v>16</v>
      </c>
      <c r="G158" s="123" t="s">
        <v>809</v>
      </c>
      <c r="H158" s="103" t="s">
        <v>810</v>
      </c>
      <c r="I158" s="128" t="s">
        <v>19</v>
      </c>
      <c r="J158" s="103" t="s">
        <v>810</v>
      </c>
      <c r="K158" s="103" t="s">
        <v>811</v>
      </c>
    </row>
    <row r="159" spans="1:11" ht="14.25" customHeight="1">
      <c r="A159" s="122"/>
      <c r="B159" s="104"/>
      <c r="C159" s="140"/>
      <c r="D159" s="116"/>
      <c r="E159" s="116"/>
      <c r="F159" s="116"/>
      <c r="G159" s="123" t="s">
        <v>812</v>
      </c>
      <c r="H159" s="103" t="s">
        <v>813</v>
      </c>
      <c r="I159" s="128" t="s">
        <v>19</v>
      </c>
      <c r="J159" s="103" t="s">
        <v>813</v>
      </c>
      <c r="K159" s="103" t="s">
        <v>814</v>
      </c>
    </row>
    <row r="160" spans="1:11" ht="14.25" customHeight="1">
      <c r="A160" s="122"/>
      <c r="B160" s="104"/>
      <c r="C160" s="140"/>
      <c r="D160" s="110" t="s">
        <v>815</v>
      </c>
      <c r="E160" s="110" t="s">
        <v>816</v>
      </c>
      <c r="F160" s="110" t="s">
        <v>16</v>
      </c>
      <c r="G160" s="123" t="s">
        <v>817</v>
      </c>
      <c r="H160" s="103" t="s">
        <v>818</v>
      </c>
      <c r="I160" s="128" t="s">
        <v>19</v>
      </c>
      <c r="J160" s="103" t="s">
        <v>818</v>
      </c>
      <c r="K160" s="103" t="s">
        <v>819</v>
      </c>
    </row>
    <row r="161" spans="1:11" ht="14.25" customHeight="1">
      <c r="A161" s="122"/>
      <c r="B161" s="104"/>
      <c r="C161" s="141"/>
      <c r="D161" s="116"/>
      <c r="E161" s="116"/>
      <c r="F161" s="116"/>
      <c r="G161" s="123" t="s">
        <v>820</v>
      </c>
      <c r="H161" s="103" t="s">
        <v>821</v>
      </c>
      <c r="I161" s="128" t="s">
        <v>19</v>
      </c>
      <c r="J161" s="103" t="s">
        <v>821</v>
      </c>
      <c r="K161" s="103" t="s">
        <v>822</v>
      </c>
    </row>
    <row r="162" spans="1:11" ht="14.25" customHeight="1">
      <c r="A162" s="122"/>
      <c r="B162" s="104"/>
      <c r="C162" s="139" t="s">
        <v>823</v>
      </c>
      <c r="D162" s="110" t="s">
        <v>824</v>
      </c>
      <c r="E162" s="110" t="s">
        <v>825</v>
      </c>
      <c r="F162" s="110" t="s">
        <v>38</v>
      </c>
      <c r="G162" s="123" t="s">
        <v>826</v>
      </c>
      <c r="H162" s="103" t="s">
        <v>827</v>
      </c>
      <c r="I162" s="128" t="s">
        <v>19</v>
      </c>
      <c r="J162" s="103" t="s">
        <v>827</v>
      </c>
      <c r="K162" s="103" t="s">
        <v>828</v>
      </c>
    </row>
    <row r="163" spans="1:11" ht="14.25" customHeight="1">
      <c r="A163" s="122"/>
      <c r="B163" s="104"/>
      <c r="C163" s="140"/>
      <c r="D163" s="116"/>
      <c r="E163" s="116"/>
      <c r="F163" s="116"/>
      <c r="G163" s="123" t="s">
        <v>829</v>
      </c>
      <c r="H163" s="103" t="s">
        <v>830</v>
      </c>
      <c r="I163" s="128" t="s">
        <v>19</v>
      </c>
      <c r="J163" s="103" t="s">
        <v>830</v>
      </c>
      <c r="K163" s="103" t="s">
        <v>831</v>
      </c>
    </row>
    <row r="164" spans="1:11" ht="14.25" customHeight="1">
      <c r="A164" s="122"/>
      <c r="B164" s="104"/>
      <c r="C164" s="140"/>
      <c r="D164" s="110" t="s">
        <v>832</v>
      </c>
      <c r="E164" s="110" t="s">
        <v>833</v>
      </c>
      <c r="F164" s="110" t="s">
        <v>16</v>
      </c>
      <c r="G164" s="123" t="s">
        <v>834</v>
      </c>
      <c r="H164" s="103" t="s">
        <v>835</v>
      </c>
      <c r="I164" s="128" t="s">
        <v>19</v>
      </c>
      <c r="J164" s="103" t="s">
        <v>835</v>
      </c>
      <c r="K164" s="103" t="s">
        <v>836</v>
      </c>
    </row>
    <row r="165" spans="1:11" ht="14.25" customHeight="1">
      <c r="A165" s="122"/>
      <c r="B165" s="104"/>
      <c r="C165" s="140"/>
      <c r="D165" s="116"/>
      <c r="E165" s="116"/>
      <c r="F165" s="116"/>
      <c r="G165" s="123" t="s">
        <v>837</v>
      </c>
      <c r="H165" s="103" t="s">
        <v>838</v>
      </c>
      <c r="I165" s="128" t="s">
        <v>19</v>
      </c>
      <c r="J165" s="103" t="s">
        <v>838</v>
      </c>
      <c r="K165" s="103" t="s">
        <v>839</v>
      </c>
    </row>
    <row r="166" spans="1:11" ht="14.25" customHeight="1">
      <c r="A166" s="122"/>
      <c r="B166" s="104"/>
      <c r="C166" s="140"/>
      <c r="D166" s="110" t="s">
        <v>840</v>
      </c>
      <c r="E166" s="110" t="s">
        <v>841</v>
      </c>
      <c r="F166" s="110" t="s">
        <v>16</v>
      </c>
      <c r="G166" s="123" t="s">
        <v>842</v>
      </c>
      <c r="H166" s="103" t="s">
        <v>843</v>
      </c>
      <c r="I166" s="128" t="s">
        <v>19</v>
      </c>
      <c r="J166" s="103" t="s">
        <v>843</v>
      </c>
      <c r="K166" s="103" t="s">
        <v>844</v>
      </c>
    </row>
    <row r="167" spans="1:11" ht="14.25" customHeight="1">
      <c r="A167" s="122"/>
      <c r="B167" s="104"/>
      <c r="C167" s="140"/>
      <c r="D167" s="116"/>
      <c r="E167" s="116"/>
      <c r="F167" s="116"/>
      <c r="G167" s="123" t="s">
        <v>845</v>
      </c>
      <c r="H167" s="103" t="s">
        <v>846</v>
      </c>
      <c r="I167" s="128" t="s">
        <v>19</v>
      </c>
      <c r="J167" s="103" t="s">
        <v>846</v>
      </c>
      <c r="K167" s="103" t="s">
        <v>847</v>
      </c>
    </row>
    <row r="168" spans="1:11" ht="14.25" customHeight="1">
      <c r="A168" s="122"/>
      <c r="B168" s="104"/>
      <c r="C168" s="140"/>
      <c r="D168" s="110" t="s">
        <v>848</v>
      </c>
      <c r="E168" s="110" t="s">
        <v>849</v>
      </c>
      <c r="F168" s="110" t="s">
        <v>16</v>
      </c>
      <c r="G168" s="123" t="s">
        <v>850</v>
      </c>
      <c r="H168" s="103" t="s">
        <v>851</v>
      </c>
      <c r="I168" s="128" t="s">
        <v>19</v>
      </c>
      <c r="J168" s="103" t="s">
        <v>851</v>
      </c>
      <c r="K168" s="103" t="s">
        <v>852</v>
      </c>
    </row>
    <row r="169" spans="1:11" ht="14.25" customHeight="1">
      <c r="A169" s="122"/>
      <c r="B169" s="104"/>
      <c r="C169" s="140"/>
      <c r="D169" s="116"/>
      <c r="E169" s="116"/>
      <c r="F169" s="116"/>
      <c r="G169" s="123" t="s">
        <v>853</v>
      </c>
      <c r="H169" s="103" t="s">
        <v>854</v>
      </c>
      <c r="I169" s="128" t="s">
        <v>19</v>
      </c>
      <c r="J169" s="103" t="s">
        <v>854</v>
      </c>
      <c r="K169" s="103" t="s">
        <v>855</v>
      </c>
    </row>
    <row r="170" spans="1:11" ht="14.25" customHeight="1">
      <c r="A170" s="122"/>
      <c r="B170" s="116"/>
      <c r="C170" s="140"/>
      <c r="D170" s="110" t="s">
        <v>856</v>
      </c>
      <c r="E170" s="110" t="s">
        <v>857</v>
      </c>
      <c r="F170" s="110" t="s">
        <v>16</v>
      </c>
      <c r="G170" s="123" t="s">
        <v>858</v>
      </c>
      <c r="H170" s="103" t="s">
        <v>859</v>
      </c>
      <c r="I170" s="128" t="s">
        <v>19</v>
      </c>
      <c r="J170" s="103" t="s">
        <v>859</v>
      </c>
      <c r="K170" s="103" t="s">
        <v>860</v>
      </c>
    </row>
    <row r="171" spans="1:11" ht="14.25" customHeight="1">
      <c r="A171" s="122"/>
      <c r="B171" s="130"/>
      <c r="C171" s="141"/>
      <c r="D171" s="116"/>
      <c r="E171" s="116"/>
      <c r="F171" s="116"/>
      <c r="G171" s="123" t="s">
        <v>861</v>
      </c>
      <c r="H171" s="103" t="s">
        <v>862</v>
      </c>
      <c r="I171" s="128" t="s">
        <v>19</v>
      </c>
      <c r="J171" s="103" t="s">
        <v>862</v>
      </c>
      <c r="K171" s="103" t="s">
        <v>863</v>
      </c>
    </row>
    <row r="172" spans="1:11" ht="14.25" customHeight="1">
      <c r="A172" s="122"/>
      <c r="B172" s="115" t="s">
        <v>864</v>
      </c>
      <c r="C172" s="139" t="s">
        <v>865</v>
      </c>
      <c r="D172" s="110" t="s">
        <v>866</v>
      </c>
      <c r="E172" s="110" t="s">
        <v>867</v>
      </c>
      <c r="F172" s="110" t="s">
        <v>16</v>
      </c>
      <c r="G172" s="123" t="s">
        <v>868</v>
      </c>
      <c r="H172" s="103" t="s">
        <v>869</v>
      </c>
      <c r="I172" s="128" t="s">
        <v>19</v>
      </c>
      <c r="J172" s="103" t="s">
        <v>869</v>
      </c>
      <c r="K172" s="103" t="s">
        <v>870</v>
      </c>
    </row>
    <row r="173" spans="1:11" ht="14.25" customHeight="1">
      <c r="A173" s="122"/>
      <c r="B173" s="104"/>
      <c r="C173" s="140"/>
      <c r="D173" s="116"/>
      <c r="E173" s="116"/>
      <c r="F173" s="116"/>
      <c r="G173" s="123" t="s">
        <v>871</v>
      </c>
      <c r="H173" s="103" t="s">
        <v>872</v>
      </c>
      <c r="I173" s="128" t="s">
        <v>19</v>
      </c>
      <c r="J173" s="103" t="s">
        <v>872</v>
      </c>
      <c r="K173" s="103" t="s">
        <v>873</v>
      </c>
    </row>
    <row r="174" spans="1:11" ht="14.25" customHeight="1">
      <c r="A174" s="122"/>
      <c r="B174" s="104"/>
      <c r="C174" s="140"/>
      <c r="D174" s="110" t="s">
        <v>874</v>
      </c>
      <c r="E174" s="110" t="s">
        <v>875</v>
      </c>
      <c r="F174" s="110" t="s">
        <v>16</v>
      </c>
      <c r="G174" s="123" t="s">
        <v>876</v>
      </c>
      <c r="H174" s="103" t="s">
        <v>877</v>
      </c>
      <c r="I174" s="128" t="s">
        <v>19</v>
      </c>
      <c r="J174" s="103" t="s">
        <v>877</v>
      </c>
      <c r="K174" s="103" t="s">
        <v>878</v>
      </c>
    </row>
    <row r="175" spans="1:11" ht="14.25" customHeight="1">
      <c r="A175" s="122"/>
      <c r="B175" s="104"/>
      <c r="C175" s="140"/>
      <c r="D175" s="116"/>
      <c r="E175" s="116"/>
      <c r="F175" s="116"/>
      <c r="G175" s="123" t="s">
        <v>879</v>
      </c>
      <c r="H175" s="103" t="s">
        <v>880</v>
      </c>
      <c r="I175" s="128" t="s">
        <v>19</v>
      </c>
      <c r="J175" s="103" t="s">
        <v>880</v>
      </c>
      <c r="K175" s="103" t="s">
        <v>881</v>
      </c>
    </row>
    <row r="176" spans="1:11" ht="14.25" customHeight="1">
      <c r="A176" s="122"/>
      <c r="B176" s="104"/>
      <c r="C176" s="140"/>
      <c r="D176" s="110" t="s">
        <v>882</v>
      </c>
      <c r="E176" s="110" t="s">
        <v>883</v>
      </c>
      <c r="F176" s="110" t="s">
        <v>16</v>
      </c>
      <c r="G176" s="123" t="s">
        <v>884</v>
      </c>
      <c r="H176" s="103" t="s">
        <v>885</v>
      </c>
      <c r="I176" s="128" t="s">
        <v>19</v>
      </c>
      <c r="J176" s="103" t="s">
        <v>885</v>
      </c>
      <c r="K176" s="103" t="s">
        <v>886</v>
      </c>
    </row>
    <row r="177" spans="1:11" ht="14.25" customHeight="1">
      <c r="A177" s="122"/>
      <c r="B177" s="104"/>
      <c r="C177" s="140"/>
      <c r="D177" s="116"/>
      <c r="E177" s="116"/>
      <c r="F177" s="116"/>
      <c r="G177" s="123" t="s">
        <v>887</v>
      </c>
      <c r="H177" s="103" t="s">
        <v>888</v>
      </c>
      <c r="I177" s="128" t="s">
        <v>19</v>
      </c>
      <c r="J177" s="103" t="s">
        <v>888</v>
      </c>
      <c r="K177" s="103" t="s">
        <v>889</v>
      </c>
    </row>
    <row r="178" spans="1:11" ht="14.25" customHeight="1">
      <c r="A178" s="122"/>
      <c r="B178" s="104"/>
      <c r="C178" s="140"/>
      <c r="D178" s="110" t="s">
        <v>890</v>
      </c>
      <c r="E178" s="110" t="s">
        <v>891</v>
      </c>
      <c r="F178" s="110" t="s">
        <v>16</v>
      </c>
      <c r="G178" s="123" t="s">
        <v>892</v>
      </c>
      <c r="H178" s="103" t="s">
        <v>893</v>
      </c>
      <c r="I178" s="128" t="s">
        <v>19</v>
      </c>
      <c r="J178" s="103" t="s">
        <v>893</v>
      </c>
      <c r="K178" s="103" t="s">
        <v>894</v>
      </c>
    </row>
    <row r="179" spans="1:11" ht="14.25" customHeight="1">
      <c r="A179" s="122"/>
      <c r="B179" s="104"/>
      <c r="C179" s="140"/>
      <c r="D179" s="116"/>
      <c r="E179" s="116"/>
      <c r="F179" s="116"/>
      <c r="G179" s="123" t="s">
        <v>895</v>
      </c>
      <c r="H179" s="103" t="s">
        <v>896</v>
      </c>
      <c r="I179" s="128" t="s">
        <v>19</v>
      </c>
      <c r="J179" s="103" t="s">
        <v>896</v>
      </c>
      <c r="K179" s="103" t="s">
        <v>897</v>
      </c>
    </row>
    <row r="180" spans="1:11" ht="14.25" customHeight="1">
      <c r="A180" s="122"/>
      <c r="B180" s="104"/>
      <c r="C180" s="140"/>
      <c r="D180" s="110" t="s">
        <v>898</v>
      </c>
      <c r="E180" s="110" t="s">
        <v>899</v>
      </c>
      <c r="F180" s="110" t="s">
        <v>16</v>
      </c>
      <c r="G180" s="123" t="s">
        <v>900</v>
      </c>
      <c r="H180" s="103" t="s">
        <v>901</v>
      </c>
      <c r="I180" s="128" t="s">
        <v>19</v>
      </c>
      <c r="J180" s="103" t="s">
        <v>901</v>
      </c>
      <c r="K180" s="103" t="s">
        <v>902</v>
      </c>
    </row>
    <row r="181" spans="1:11" ht="14.25" customHeight="1">
      <c r="A181" s="122"/>
      <c r="B181" s="104"/>
      <c r="C181" s="141"/>
      <c r="D181" s="116"/>
      <c r="E181" s="116"/>
      <c r="F181" s="116"/>
      <c r="G181" s="123" t="s">
        <v>903</v>
      </c>
      <c r="H181" s="103" t="s">
        <v>904</v>
      </c>
      <c r="I181" s="128" t="s">
        <v>19</v>
      </c>
      <c r="J181" s="103" t="s">
        <v>904</v>
      </c>
      <c r="K181" s="103" t="s">
        <v>905</v>
      </c>
    </row>
    <row r="182" spans="1:11" ht="14.25" customHeight="1">
      <c r="A182" s="122"/>
      <c r="B182" s="104"/>
      <c r="C182" s="139" t="s">
        <v>906</v>
      </c>
      <c r="D182" s="110" t="s">
        <v>907</v>
      </c>
      <c r="E182" s="110" t="s">
        <v>908</v>
      </c>
      <c r="F182" s="110" t="s">
        <v>16</v>
      </c>
      <c r="G182" s="123" t="s">
        <v>909</v>
      </c>
      <c r="H182" s="103" t="s">
        <v>910</v>
      </c>
      <c r="I182" s="128" t="s">
        <v>19</v>
      </c>
      <c r="J182" s="103" t="s">
        <v>911</v>
      </c>
      <c r="K182" s="103" t="s">
        <v>912</v>
      </c>
    </row>
    <row r="183" spans="1:11" ht="14.25" customHeight="1">
      <c r="A183" s="122"/>
      <c r="B183" s="104"/>
      <c r="C183" s="140"/>
      <c r="D183" s="116"/>
      <c r="E183" s="116"/>
      <c r="F183" s="116"/>
      <c r="G183" s="123" t="s">
        <v>913</v>
      </c>
      <c r="H183" s="103" t="s">
        <v>914</v>
      </c>
      <c r="I183" s="128" t="s">
        <v>19</v>
      </c>
      <c r="J183" s="103" t="s">
        <v>915</v>
      </c>
      <c r="K183" s="103" t="s">
        <v>916</v>
      </c>
    </row>
    <row r="184" spans="1:11" ht="14.25" customHeight="1">
      <c r="A184" s="122"/>
      <c r="B184" s="104"/>
      <c r="C184" s="140"/>
      <c r="D184" s="110" t="s">
        <v>917</v>
      </c>
      <c r="E184" s="110" t="s">
        <v>918</v>
      </c>
      <c r="F184" s="110" t="s">
        <v>38</v>
      </c>
      <c r="G184" s="123" t="s">
        <v>919</v>
      </c>
      <c r="H184" s="103" t="s">
        <v>920</v>
      </c>
      <c r="I184" s="128" t="s">
        <v>19</v>
      </c>
      <c r="J184" s="103" t="s">
        <v>921</v>
      </c>
      <c r="K184" s="103" t="s">
        <v>922</v>
      </c>
    </row>
    <row r="185" spans="1:11" ht="14.25" customHeight="1">
      <c r="A185" s="122"/>
      <c r="B185" s="104"/>
      <c r="C185" s="140"/>
      <c r="D185" s="116"/>
      <c r="E185" s="116"/>
      <c r="F185" s="116"/>
      <c r="G185" s="123" t="s">
        <v>923</v>
      </c>
      <c r="H185" s="103" t="s">
        <v>924</v>
      </c>
      <c r="I185" s="128" t="s">
        <v>19</v>
      </c>
      <c r="J185" s="103" t="s">
        <v>925</v>
      </c>
      <c r="K185" s="103" t="s">
        <v>926</v>
      </c>
    </row>
    <row r="186" spans="1:11" ht="14.25" customHeight="1">
      <c r="A186" s="122"/>
      <c r="B186" s="104"/>
      <c r="C186" s="140"/>
      <c r="D186" s="110" t="s">
        <v>927</v>
      </c>
      <c r="E186" s="110" t="s">
        <v>928</v>
      </c>
      <c r="F186" s="110" t="s">
        <v>16</v>
      </c>
      <c r="G186" s="123" t="s">
        <v>929</v>
      </c>
      <c r="H186" s="103" t="s">
        <v>930</v>
      </c>
      <c r="I186" s="128" t="s">
        <v>19</v>
      </c>
      <c r="J186" s="103" t="s">
        <v>931</v>
      </c>
      <c r="K186" s="103" t="s">
        <v>932</v>
      </c>
    </row>
    <row r="187" spans="1:11" ht="14.25" customHeight="1">
      <c r="A187" s="122"/>
      <c r="B187" s="104"/>
      <c r="C187" s="140"/>
      <c r="D187" s="116"/>
      <c r="E187" s="116"/>
      <c r="F187" s="116"/>
      <c r="G187" s="123" t="s">
        <v>933</v>
      </c>
      <c r="H187" s="103" t="s">
        <v>934</v>
      </c>
      <c r="I187" s="128" t="s">
        <v>19</v>
      </c>
      <c r="J187" s="103" t="s">
        <v>935</v>
      </c>
      <c r="K187" s="103" t="s">
        <v>936</v>
      </c>
    </row>
    <row r="188" spans="1:11" ht="14.25" customHeight="1">
      <c r="A188" s="122"/>
      <c r="B188" s="104"/>
      <c r="C188" s="140"/>
      <c r="D188" s="110" t="s">
        <v>937</v>
      </c>
      <c r="E188" s="110" t="s">
        <v>938</v>
      </c>
      <c r="F188" s="110" t="s">
        <v>38</v>
      </c>
      <c r="G188" s="123" t="s">
        <v>939</v>
      </c>
      <c r="H188" s="103" t="s">
        <v>940</v>
      </c>
      <c r="I188" s="128" t="s">
        <v>19</v>
      </c>
      <c r="J188" s="103" t="s">
        <v>941</v>
      </c>
      <c r="K188" s="103" t="s">
        <v>942</v>
      </c>
    </row>
    <row r="189" spans="1:11" ht="14.25" customHeight="1">
      <c r="A189" s="122"/>
      <c r="B189" s="104"/>
      <c r="C189" s="140"/>
      <c r="D189" s="116"/>
      <c r="E189" s="116"/>
      <c r="F189" s="116"/>
      <c r="G189" s="123" t="s">
        <v>943</v>
      </c>
      <c r="H189" s="103" t="s">
        <v>944</v>
      </c>
      <c r="I189" s="128" t="s">
        <v>19</v>
      </c>
      <c r="J189" s="103" t="s">
        <v>945</v>
      </c>
      <c r="K189" s="103" t="s">
        <v>946</v>
      </c>
    </row>
    <row r="190" spans="1:11" ht="14.25" customHeight="1">
      <c r="A190" s="122"/>
      <c r="B190" s="104"/>
      <c r="C190" s="140"/>
      <c r="D190" s="110" t="s">
        <v>947</v>
      </c>
      <c r="E190" s="110" t="s">
        <v>948</v>
      </c>
      <c r="F190" s="110" t="s">
        <v>16</v>
      </c>
      <c r="G190" s="123" t="s">
        <v>949</v>
      </c>
      <c r="H190" s="103" t="s">
        <v>950</v>
      </c>
      <c r="I190" s="128" t="s">
        <v>19</v>
      </c>
      <c r="J190" s="103" t="s">
        <v>951</v>
      </c>
      <c r="K190" s="103" t="s">
        <v>952</v>
      </c>
    </row>
    <row r="191" spans="1:11" ht="14.25" customHeight="1">
      <c r="A191" s="122"/>
      <c r="B191" s="104"/>
      <c r="C191" s="141"/>
      <c r="D191" s="116"/>
      <c r="E191" s="116"/>
      <c r="F191" s="116"/>
      <c r="G191" s="123" t="s">
        <v>953</v>
      </c>
      <c r="H191" s="103" t="s">
        <v>954</v>
      </c>
      <c r="I191" s="128" t="s">
        <v>19</v>
      </c>
      <c r="J191" s="103" t="s">
        <v>955</v>
      </c>
      <c r="K191" s="103" t="s">
        <v>956</v>
      </c>
    </row>
    <row r="192" spans="1:11" ht="14.25" customHeight="1">
      <c r="A192" s="122"/>
      <c r="B192" s="104"/>
      <c r="C192" s="139" t="s">
        <v>957</v>
      </c>
      <c r="D192" s="110" t="s">
        <v>958</v>
      </c>
      <c r="E192" s="110" t="s">
        <v>959</v>
      </c>
      <c r="F192" s="110" t="s">
        <v>16</v>
      </c>
      <c r="G192" s="123" t="s">
        <v>960</v>
      </c>
      <c r="H192" s="103" t="s">
        <v>961</v>
      </c>
      <c r="I192" s="128" t="s">
        <v>19</v>
      </c>
      <c r="J192" s="103" t="s">
        <v>962</v>
      </c>
      <c r="K192" s="103" t="s">
        <v>963</v>
      </c>
    </row>
    <row r="193" spans="1:11" ht="14.25" customHeight="1">
      <c r="A193" s="122"/>
      <c r="B193" s="104"/>
      <c r="C193" s="140"/>
      <c r="D193" s="116"/>
      <c r="E193" s="116"/>
      <c r="F193" s="116"/>
      <c r="G193" s="123" t="s">
        <v>964</v>
      </c>
      <c r="H193" s="103" t="s">
        <v>965</v>
      </c>
      <c r="I193" s="128" t="s">
        <v>19</v>
      </c>
      <c r="J193" s="103" t="s">
        <v>966</v>
      </c>
      <c r="K193" s="103" t="s">
        <v>967</v>
      </c>
    </row>
    <row r="194" spans="1:11" ht="14.25" customHeight="1">
      <c r="A194" s="122"/>
      <c r="B194" s="104"/>
      <c r="C194" s="140"/>
      <c r="D194" s="110" t="s">
        <v>968</v>
      </c>
      <c r="E194" s="110" t="s">
        <v>969</v>
      </c>
      <c r="F194" s="110" t="s">
        <v>16</v>
      </c>
      <c r="G194" s="123" t="s">
        <v>970</v>
      </c>
      <c r="H194" s="103" t="s">
        <v>971</v>
      </c>
      <c r="I194" s="128" t="s">
        <v>19</v>
      </c>
      <c r="J194" s="103" t="s">
        <v>972</v>
      </c>
      <c r="K194" s="103" t="s">
        <v>973</v>
      </c>
    </row>
    <row r="195" spans="1:11" ht="14.25" customHeight="1">
      <c r="A195" s="122"/>
      <c r="B195" s="104"/>
      <c r="C195" s="140"/>
      <c r="D195" s="116"/>
      <c r="E195" s="116"/>
      <c r="F195" s="116"/>
      <c r="G195" s="123" t="s">
        <v>974</v>
      </c>
      <c r="H195" s="103" t="s">
        <v>975</v>
      </c>
      <c r="I195" s="128" t="s">
        <v>19</v>
      </c>
      <c r="J195" s="103" t="s">
        <v>976</v>
      </c>
      <c r="K195" s="103" t="s">
        <v>977</v>
      </c>
    </row>
    <row r="196" spans="1:11" ht="14.25" customHeight="1">
      <c r="A196" s="122"/>
      <c r="B196" s="104"/>
      <c r="C196" s="140"/>
      <c r="D196" s="110" t="s">
        <v>978</v>
      </c>
      <c r="E196" s="110" t="s">
        <v>979</v>
      </c>
      <c r="F196" s="110" t="s">
        <v>38</v>
      </c>
      <c r="G196" s="123" t="s">
        <v>980</v>
      </c>
      <c r="H196" s="103" t="s">
        <v>981</v>
      </c>
      <c r="I196" s="128" t="s">
        <v>19</v>
      </c>
      <c r="J196" s="103" t="s">
        <v>982</v>
      </c>
      <c r="K196" s="103" t="s">
        <v>983</v>
      </c>
    </row>
    <row r="197" spans="1:11" ht="14.25" customHeight="1">
      <c r="A197" s="122"/>
      <c r="B197" s="104"/>
      <c r="C197" s="140"/>
      <c r="D197" s="116"/>
      <c r="E197" s="116"/>
      <c r="F197" s="116"/>
      <c r="G197" s="123" t="s">
        <v>984</v>
      </c>
      <c r="H197" s="103" t="s">
        <v>985</v>
      </c>
      <c r="I197" s="128" t="s">
        <v>19</v>
      </c>
      <c r="J197" s="103" t="s">
        <v>986</v>
      </c>
      <c r="K197" s="103" t="s">
        <v>987</v>
      </c>
    </row>
    <row r="198" spans="1:11" ht="14.25" customHeight="1">
      <c r="A198" s="122"/>
      <c r="B198" s="104"/>
      <c r="C198" s="140"/>
      <c r="D198" s="110" t="s">
        <v>988</v>
      </c>
      <c r="E198" s="110" t="s">
        <v>989</v>
      </c>
      <c r="F198" s="110" t="s">
        <v>38</v>
      </c>
      <c r="G198" s="123" t="s">
        <v>990</v>
      </c>
      <c r="H198" s="103" t="s">
        <v>991</v>
      </c>
      <c r="I198" s="128" t="s">
        <v>19</v>
      </c>
      <c r="J198" s="103" t="s">
        <v>992</v>
      </c>
      <c r="K198" s="103" t="s">
        <v>993</v>
      </c>
    </row>
    <row r="199" spans="1:11" ht="14.25" customHeight="1">
      <c r="A199" s="122"/>
      <c r="B199" s="104"/>
      <c r="C199" s="140"/>
      <c r="D199" s="116"/>
      <c r="E199" s="116"/>
      <c r="F199" s="116"/>
      <c r="G199" s="123" t="s">
        <v>994</v>
      </c>
      <c r="H199" s="103" t="s">
        <v>995</v>
      </c>
      <c r="I199" s="128" t="s">
        <v>19</v>
      </c>
      <c r="J199" s="103" t="s">
        <v>996</v>
      </c>
      <c r="K199" s="103" t="s">
        <v>997</v>
      </c>
    </row>
    <row r="200" spans="1:11" ht="14.25" customHeight="1">
      <c r="A200" s="122"/>
      <c r="B200" s="104"/>
      <c r="C200" s="140"/>
      <c r="D200" s="110" t="s">
        <v>998</v>
      </c>
      <c r="E200" s="110" t="s">
        <v>999</v>
      </c>
      <c r="F200" s="110" t="s">
        <v>16</v>
      </c>
      <c r="G200" s="123" t="s">
        <v>1000</v>
      </c>
      <c r="H200" s="103" t="s">
        <v>1001</v>
      </c>
      <c r="I200" s="128" t="s">
        <v>19</v>
      </c>
      <c r="J200" s="103" t="s">
        <v>1002</v>
      </c>
      <c r="K200" s="103" t="s">
        <v>1003</v>
      </c>
    </row>
    <row r="201" spans="1:11" ht="14.25" customHeight="1">
      <c r="A201" s="122"/>
      <c r="B201" s="104"/>
      <c r="C201" s="141"/>
      <c r="D201" s="116"/>
      <c r="E201" s="116"/>
      <c r="F201" s="116"/>
      <c r="G201" s="123" t="s">
        <v>1004</v>
      </c>
      <c r="H201" s="103" t="s">
        <v>1005</v>
      </c>
      <c r="I201" s="128" t="s">
        <v>19</v>
      </c>
      <c r="J201" s="103" t="s">
        <v>1006</v>
      </c>
      <c r="K201" s="103" t="s">
        <v>1007</v>
      </c>
    </row>
    <row r="202" spans="1:11" ht="14.25" customHeight="1">
      <c r="A202" s="122"/>
      <c r="B202" s="104"/>
      <c r="C202" s="139" t="s">
        <v>1008</v>
      </c>
      <c r="D202" s="110" t="s">
        <v>1009</v>
      </c>
      <c r="E202" s="110" t="s">
        <v>1010</v>
      </c>
      <c r="F202" s="110" t="s">
        <v>16</v>
      </c>
      <c r="G202" s="123" t="s">
        <v>1011</v>
      </c>
      <c r="H202" s="103" t="s">
        <v>1012</v>
      </c>
      <c r="I202" s="128" t="s">
        <v>19</v>
      </c>
      <c r="J202" s="103" t="s">
        <v>1013</v>
      </c>
      <c r="K202" s="103" t="s">
        <v>1014</v>
      </c>
    </row>
    <row r="203" spans="1:11" ht="14.25" customHeight="1">
      <c r="A203" s="122"/>
      <c r="B203" s="104"/>
      <c r="C203" s="140"/>
      <c r="D203" s="116"/>
      <c r="E203" s="116"/>
      <c r="F203" s="116"/>
      <c r="G203" s="123" t="s">
        <v>1015</v>
      </c>
      <c r="H203" s="103" t="s">
        <v>1016</v>
      </c>
      <c r="I203" s="128" t="s">
        <v>19</v>
      </c>
      <c r="J203" s="103" t="s">
        <v>1017</v>
      </c>
      <c r="K203" s="103" t="s">
        <v>1018</v>
      </c>
    </row>
    <row r="204" spans="1:11" ht="14.25" customHeight="1">
      <c r="A204" s="122"/>
      <c r="B204" s="104"/>
      <c r="C204" s="140"/>
      <c r="D204" s="110" t="s">
        <v>1019</v>
      </c>
      <c r="E204" s="110" t="s">
        <v>1020</v>
      </c>
      <c r="F204" s="110" t="s">
        <v>16</v>
      </c>
      <c r="G204" s="123" t="s">
        <v>1021</v>
      </c>
      <c r="H204" s="103" t="s">
        <v>1022</v>
      </c>
      <c r="I204" s="128" t="s">
        <v>19</v>
      </c>
      <c r="J204" s="103" t="s">
        <v>1023</v>
      </c>
      <c r="K204" s="103" t="s">
        <v>1024</v>
      </c>
    </row>
    <row r="205" spans="1:11" ht="14.25" customHeight="1">
      <c r="A205" s="122"/>
      <c r="B205" s="104"/>
      <c r="C205" s="140"/>
      <c r="D205" s="116"/>
      <c r="E205" s="116"/>
      <c r="F205" s="116"/>
      <c r="G205" s="123" t="s">
        <v>1025</v>
      </c>
      <c r="H205" s="103" t="s">
        <v>1026</v>
      </c>
      <c r="I205" s="128" t="s">
        <v>19</v>
      </c>
      <c r="J205" s="103" t="s">
        <v>1027</v>
      </c>
      <c r="K205" s="103" t="s">
        <v>1028</v>
      </c>
    </row>
    <row r="206" spans="1:11" ht="14.25" customHeight="1">
      <c r="A206" s="122"/>
      <c r="B206" s="104"/>
      <c r="C206" s="140"/>
      <c r="D206" s="110" t="s">
        <v>1029</v>
      </c>
      <c r="E206" s="110" t="s">
        <v>1030</v>
      </c>
      <c r="F206" s="110" t="s">
        <v>38</v>
      </c>
      <c r="G206" s="123" t="s">
        <v>1031</v>
      </c>
      <c r="H206" s="103" t="s">
        <v>1032</v>
      </c>
      <c r="I206" s="128" t="s">
        <v>19</v>
      </c>
      <c r="J206" s="103" t="s">
        <v>1033</v>
      </c>
      <c r="K206" s="103" t="s">
        <v>1034</v>
      </c>
    </row>
    <row r="207" spans="1:11" ht="14.25" customHeight="1">
      <c r="A207" s="122"/>
      <c r="B207" s="104"/>
      <c r="C207" s="140"/>
      <c r="D207" s="116"/>
      <c r="E207" s="116"/>
      <c r="F207" s="116"/>
      <c r="G207" s="123" t="s">
        <v>1035</v>
      </c>
      <c r="H207" s="103" t="s">
        <v>1036</v>
      </c>
      <c r="I207" s="128" t="s">
        <v>19</v>
      </c>
      <c r="J207" s="103" t="s">
        <v>1037</v>
      </c>
      <c r="K207" s="103" t="s">
        <v>1038</v>
      </c>
    </row>
    <row r="208" spans="1:11" ht="14.25" customHeight="1">
      <c r="A208" s="122"/>
      <c r="B208" s="104"/>
      <c r="C208" s="140"/>
      <c r="D208" s="110" t="s">
        <v>1039</v>
      </c>
      <c r="E208" s="110" t="s">
        <v>1040</v>
      </c>
      <c r="F208" s="110" t="s">
        <v>38</v>
      </c>
      <c r="G208" s="123" t="s">
        <v>1041</v>
      </c>
      <c r="H208" s="103" t="s">
        <v>1042</v>
      </c>
      <c r="I208" s="128" t="s">
        <v>19</v>
      </c>
      <c r="J208" s="103" t="s">
        <v>1043</v>
      </c>
      <c r="K208" s="103" t="s">
        <v>1044</v>
      </c>
    </row>
    <row r="209" spans="1:11" ht="14.25" customHeight="1">
      <c r="A209" s="122"/>
      <c r="B209" s="104"/>
      <c r="C209" s="140"/>
      <c r="D209" s="116"/>
      <c r="E209" s="116"/>
      <c r="F209" s="116"/>
      <c r="G209" s="123" t="s">
        <v>1045</v>
      </c>
      <c r="H209" s="103" t="s">
        <v>1046</v>
      </c>
      <c r="I209" s="128" t="s">
        <v>19</v>
      </c>
      <c r="J209" s="103" t="s">
        <v>1047</v>
      </c>
      <c r="K209" s="103" t="s">
        <v>1048</v>
      </c>
    </row>
    <row r="210" spans="1:11" ht="14.25" customHeight="1">
      <c r="A210" s="122"/>
      <c r="B210" s="104"/>
      <c r="C210" s="140"/>
      <c r="D210" s="110" t="s">
        <v>1049</v>
      </c>
      <c r="E210" s="110" t="s">
        <v>1050</v>
      </c>
      <c r="F210" s="110" t="s">
        <v>16</v>
      </c>
      <c r="G210" s="123" t="s">
        <v>1051</v>
      </c>
      <c r="H210" s="103" t="s">
        <v>1052</v>
      </c>
      <c r="I210" s="128" t="s">
        <v>19</v>
      </c>
      <c r="J210" s="103" t="s">
        <v>1053</v>
      </c>
      <c r="K210" s="103" t="s">
        <v>1054</v>
      </c>
    </row>
    <row r="211" spans="1:11" ht="14.25" customHeight="1">
      <c r="A211" s="122"/>
      <c r="B211" s="104"/>
      <c r="C211" s="141"/>
      <c r="D211" s="116"/>
      <c r="E211" s="116"/>
      <c r="F211" s="116"/>
      <c r="G211" s="123" t="s">
        <v>1055</v>
      </c>
      <c r="H211" s="103" t="s">
        <v>1056</v>
      </c>
      <c r="I211" s="128" t="s">
        <v>19</v>
      </c>
      <c r="J211" s="103" t="s">
        <v>1057</v>
      </c>
      <c r="K211" s="103" t="s">
        <v>1058</v>
      </c>
    </row>
    <row r="212" spans="1:11" ht="14.25" customHeight="1">
      <c r="A212" s="122"/>
      <c r="B212" s="104"/>
      <c r="C212" s="139" t="s">
        <v>1059</v>
      </c>
      <c r="D212" s="110" t="s">
        <v>1060</v>
      </c>
      <c r="E212" s="110" t="s">
        <v>1061</v>
      </c>
      <c r="F212" s="110" t="s">
        <v>200</v>
      </c>
      <c r="G212" s="123" t="s">
        <v>1062</v>
      </c>
      <c r="H212" s="103" t="s">
        <v>1063</v>
      </c>
      <c r="I212" s="128" t="s">
        <v>19</v>
      </c>
      <c r="J212" s="103" t="s">
        <v>1064</v>
      </c>
      <c r="K212" s="103" t="s">
        <v>1065</v>
      </c>
    </row>
    <row r="213" spans="1:11" ht="14.25" customHeight="1">
      <c r="A213" s="122"/>
      <c r="B213" s="104"/>
      <c r="C213" s="140"/>
      <c r="D213" s="116"/>
      <c r="E213" s="116"/>
      <c r="F213" s="116"/>
      <c r="G213" s="123" t="s">
        <v>1066</v>
      </c>
      <c r="H213" s="103"/>
      <c r="I213" s="128" t="s">
        <v>19</v>
      </c>
      <c r="J213" s="103"/>
      <c r="K213" s="103"/>
    </row>
    <row r="214" spans="1:11" ht="14.25" customHeight="1">
      <c r="A214" s="122"/>
      <c r="B214" s="104"/>
      <c r="C214" s="140"/>
      <c r="D214" s="110" t="s">
        <v>1067</v>
      </c>
      <c r="E214" s="110" t="s">
        <v>1068</v>
      </c>
      <c r="F214" s="110" t="s">
        <v>16</v>
      </c>
      <c r="G214" s="123" t="s">
        <v>1069</v>
      </c>
      <c r="H214" s="103" t="s">
        <v>1070</v>
      </c>
      <c r="I214" s="128" t="s">
        <v>19</v>
      </c>
      <c r="J214" s="103" t="s">
        <v>1071</v>
      </c>
      <c r="K214" s="103" t="s">
        <v>1072</v>
      </c>
    </row>
    <row r="215" spans="1:11" ht="14.25" customHeight="1">
      <c r="A215" s="122"/>
      <c r="B215" s="104"/>
      <c r="C215" s="140"/>
      <c r="D215" s="116"/>
      <c r="E215" s="116"/>
      <c r="F215" s="116"/>
      <c r="G215" s="123" t="s">
        <v>1073</v>
      </c>
      <c r="H215" s="103" t="s">
        <v>1074</v>
      </c>
      <c r="I215" s="128" t="s">
        <v>19</v>
      </c>
      <c r="J215" s="103" t="s">
        <v>1075</v>
      </c>
      <c r="K215" s="103" t="s">
        <v>1076</v>
      </c>
    </row>
    <row r="216" spans="1:11" ht="14.25" customHeight="1">
      <c r="A216" s="122"/>
      <c r="B216" s="104"/>
      <c r="C216" s="140"/>
      <c r="D216" s="110" t="s">
        <v>1077</v>
      </c>
      <c r="E216" s="110" t="s">
        <v>1078</v>
      </c>
      <c r="F216" s="110" t="s">
        <v>38</v>
      </c>
      <c r="G216" s="123" t="s">
        <v>1079</v>
      </c>
      <c r="H216" s="103" t="s">
        <v>1080</v>
      </c>
      <c r="I216" s="128" t="s">
        <v>19</v>
      </c>
      <c r="J216" s="103" t="s">
        <v>1081</v>
      </c>
      <c r="K216" s="103" t="s">
        <v>1082</v>
      </c>
    </row>
    <row r="217" spans="1:11" ht="14.25" customHeight="1">
      <c r="A217" s="122"/>
      <c r="B217" s="104"/>
      <c r="C217" s="140"/>
      <c r="D217" s="116"/>
      <c r="E217" s="116"/>
      <c r="F217" s="116"/>
      <c r="G217" s="123" t="s">
        <v>1083</v>
      </c>
      <c r="H217" s="103" t="s">
        <v>1084</v>
      </c>
      <c r="I217" s="128" t="s">
        <v>19</v>
      </c>
      <c r="J217" s="103" t="s">
        <v>1085</v>
      </c>
      <c r="K217" s="103" t="s">
        <v>1086</v>
      </c>
    </row>
    <row r="218" spans="1:11" ht="14.25" customHeight="1">
      <c r="A218" s="122"/>
      <c r="B218" s="104"/>
      <c r="C218" s="140"/>
      <c r="D218" s="110" t="s">
        <v>1087</v>
      </c>
      <c r="E218" s="110" t="s">
        <v>1088</v>
      </c>
      <c r="F218" s="110" t="s">
        <v>16</v>
      </c>
      <c r="G218" s="123" t="s">
        <v>1089</v>
      </c>
      <c r="H218" s="103" t="s">
        <v>1090</v>
      </c>
      <c r="I218" s="128" t="s">
        <v>19</v>
      </c>
      <c r="J218" s="103" t="s">
        <v>1091</v>
      </c>
      <c r="K218" s="103" t="s">
        <v>1092</v>
      </c>
    </row>
    <row r="219" spans="1:11" ht="14.25" customHeight="1">
      <c r="A219" s="122"/>
      <c r="B219" s="104"/>
      <c r="C219" s="140"/>
      <c r="D219" s="116"/>
      <c r="E219" s="116"/>
      <c r="F219" s="116"/>
      <c r="G219" s="123" t="s">
        <v>1093</v>
      </c>
      <c r="H219" s="103" t="s">
        <v>1094</v>
      </c>
      <c r="I219" s="128" t="s">
        <v>19</v>
      </c>
      <c r="J219" s="103" t="s">
        <v>1095</v>
      </c>
      <c r="K219" s="103" t="s">
        <v>1096</v>
      </c>
    </row>
    <row r="220" spans="1:11" ht="14.25" customHeight="1">
      <c r="A220" s="131"/>
      <c r="B220" s="116"/>
      <c r="C220" s="140"/>
      <c r="D220" s="110" t="s">
        <v>1097</v>
      </c>
      <c r="E220" s="110" t="s">
        <v>1098</v>
      </c>
      <c r="F220" s="110" t="s">
        <v>16</v>
      </c>
      <c r="G220" s="123" t="s">
        <v>1099</v>
      </c>
      <c r="H220" s="103" t="s">
        <v>1100</v>
      </c>
      <c r="I220" s="128" t="s">
        <v>19</v>
      </c>
      <c r="J220" s="103" t="s">
        <v>1101</v>
      </c>
      <c r="K220" s="103" t="s">
        <v>1102</v>
      </c>
    </row>
    <row r="221" spans="1:11" ht="14.25" customHeight="1">
      <c r="A221" s="130"/>
      <c r="B221" s="130"/>
      <c r="C221" s="141"/>
      <c r="D221" s="116"/>
      <c r="E221" s="116"/>
      <c r="F221" s="116"/>
      <c r="G221" s="123" t="s">
        <v>1103</v>
      </c>
      <c r="H221" s="103" t="s">
        <v>1104</v>
      </c>
      <c r="I221" s="128" t="s">
        <v>19</v>
      </c>
      <c r="J221" s="103" t="s">
        <v>1105</v>
      </c>
      <c r="K221" s="103" t="s">
        <v>1106</v>
      </c>
    </row>
    <row r="222" spans="1:11" ht="14.25" customHeight="1">
      <c r="A222" s="132" t="s">
        <v>1107</v>
      </c>
      <c r="B222" s="115" t="s">
        <v>1108</v>
      </c>
      <c r="C222" s="139" t="s">
        <v>1109</v>
      </c>
      <c r="D222" s="110" t="s">
        <v>1110</v>
      </c>
      <c r="E222" s="110" t="s">
        <v>1111</v>
      </c>
      <c r="F222" s="110" t="s">
        <v>16</v>
      </c>
      <c r="G222" s="123" t="s">
        <v>1112</v>
      </c>
      <c r="H222" s="103" t="s">
        <v>1113</v>
      </c>
      <c r="I222" s="128" t="s">
        <v>19</v>
      </c>
      <c r="J222" s="103" t="s">
        <v>1114</v>
      </c>
      <c r="K222" s="103" t="s">
        <v>1115</v>
      </c>
    </row>
    <row r="223" spans="1:11" ht="14.25" customHeight="1">
      <c r="A223" s="122"/>
      <c r="B223" s="104"/>
      <c r="C223" s="140"/>
      <c r="D223" s="116"/>
      <c r="E223" s="116"/>
      <c r="F223" s="116"/>
      <c r="G223" s="123" t="s">
        <v>1116</v>
      </c>
      <c r="H223" s="103" t="s">
        <v>1117</v>
      </c>
      <c r="I223" s="128" t="s">
        <v>19</v>
      </c>
      <c r="J223" s="103" t="s">
        <v>1118</v>
      </c>
      <c r="K223" s="103" t="s">
        <v>1119</v>
      </c>
    </row>
    <row r="224" spans="1:11" ht="14.25" customHeight="1">
      <c r="A224" s="122"/>
      <c r="B224" s="104"/>
      <c r="C224" s="140"/>
      <c r="D224" s="110" t="s">
        <v>1120</v>
      </c>
      <c r="E224" s="110" t="s">
        <v>1121</v>
      </c>
      <c r="F224" s="110" t="s">
        <v>16</v>
      </c>
      <c r="G224" s="123" t="s">
        <v>1122</v>
      </c>
      <c r="H224" s="103" t="s">
        <v>1123</v>
      </c>
      <c r="I224" s="128" t="s">
        <v>19</v>
      </c>
      <c r="J224" s="103" t="s">
        <v>1124</v>
      </c>
      <c r="K224" s="103" t="s">
        <v>1125</v>
      </c>
    </row>
    <row r="225" spans="1:11" ht="14.25" customHeight="1">
      <c r="A225" s="122"/>
      <c r="B225" s="104"/>
      <c r="C225" s="140"/>
      <c r="D225" s="116"/>
      <c r="E225" s="116"/>
      <c r="F225" s="116"/>
      <c r="G225" s="123" t="s">
        <v>1126</v>
      </c>
      <c r="H225" s="103" t="s">
        <v>1127</v>
      </c>
      <c r="I225" s="128" t="s">
        <v>19</v>
      </c>
      <c r="J225" s="103" t="s">
        <v>1128</v>
      </c>
      <c r="K225" s="103" t="s">
        <v>1129</v>
      </c>
    </row>
    <row r="226" spans="1:11" ht="14.25" customHeight="1">
      <c r="A226" s="122"/>
      <c r="B226" s="104"/>
      <c r="C226" s="140"/>
      <c r="D226" s="110" t="s">
        <v>1130</v>
      </c>
      <c r="E226" s="110" t="s">
        <v>1131</v>
      </c>
      <c r="F226" s="110" t="s">
        <v>38</v>
      </c>
      <c r="G226" s="123" t="s">
        <v>1132</v>
      </c>
      <c r="H226" s="103" t="s">
        <v>1133</v>
      </c>
      <c r="I226" s="128" t="s">
        <v>19</v>
      </c>
      <c r="J226" s="103" t="s">
        <v>1134</v>
      </c>
      <c r="K226" s="103" t="s">
        <v>1135</v>
      </c>
    </row>
    <row r="227" spans="1:11" ht="14.25" customHeight="1">
      <c r="A227" s="122"/>
      <c r="B227" s="104"/>
      <c r="C227" s="140"/>
      <c r="D227" s="116"/>
      <c r="E227" s="116"/>
      <c r="F227" s="116"/>
      <c r="G227" s="123" t="s">
        <v>1136</v>
      </c>
      <c r="H227" s="103" t="s">
        <v>1137</v>
      </c>
      <c r="I227" s="125" t="s">
        <v>33</v>
      </c>
      <c r="J227" s="103" t="s">
        <v>1138</v>
      </c>
      <c r="K227" s="103" t="s">
        <v>1139</v>
      </c>
    </row>
    <row r="228" spans="1:11" ht="14.25" customHeight="1">
      <c r="A228" s="122"/>
      <c r="B228" s="104"/>
      <c r="C228" s="140"/>
      <c r="D228" s="110" t="s">
        <v>1140</v>
      </c>
      <c r="E228" s="110" t="s">
        <v>1141</v>
      </c>
      <c r="F228" s="110" t="s">
        <v>38</v>
      </c>
      <c r="G228" s="123" t="s">
        <v>1142</v>
      </c>
      <c r="H228" s="103" t="s">
        <v>1143</v>
      </c>
      <c r="I228" s="125" t="s">
        <v>33</v>
      </c>
      <c r="J228" s="103" t="s">
        <v>1144</v>
      </c>
      <c r="K228" s="103" t="s">
        <v>1145</v>
      </c>
    </row>
    <row r="229" spans="1:11" ht="14.25" customHeight="1">
      <c r="A229" s="122"/>
      <c r="B229" s="104"/>
      <c r="C229" s="140"/>
      <c r="D229" s="116"/>
      <c r="E229" s="116"/>
      <c r="F229" s="116"/>
      <c r="G229" s="123" t="s">
        <v>1146</v>
      </c>
      <c r="H229" s="103" t="s">
        <v>1147</v>
      </c>
      <c r="I229" s="125" t="s">
        <v>33</v>
      </c>
      <c r="J229" s="103" t="s">
        <v>1148</v>
      </c>
      <c r="K229" s="103" t="s">
        <v>1149</v>
      </c>
    </row>
    <row r="230" spans="1:11" ht="14.25" customHeight="1">
      <c r="A230" s="122"/>
      <c r="B230" s="104"/>
      <c r="C230" s="140"/>
      <c r="D230" s="110" t="s">
        <v>1150</v>
      </c>
      <c r="E230" s="110" t="s">
        <v>1151</v>
      </c>
      <c r="F230" s="110" t="s">
        <v>38</v>
      </c>
      <c r="G230" s="123" t="s">
        <v>1152</v>
      </c>
      <c r="H230" s="103" t="s">
        <v>1153</v>
      </c>
      <c r="I230" s="125" t="s">
        <v>33</v>
      </c>
      <c r="J230" s="103" t="s">
        <v>1154</v>
      </c>
      <c r="K230" s="103" t="s">
        <v>1155</v>
      </c>
    </row>
    <row r="231" spans="1:11" ht="14.25" customHeight="1">
      <c r="A231" s="122"/>
      <c r="B231" s="104"/>
      <c r="C231" s="141"/>
      <c r="D231" s="116"/>
      <c r="E231" s="116"/>
      <c r="F231" s="116"/>
      <c r="G231" s="123" t="s">
        <v>1156</v>
      </c>
      <c r="H231" s="103" t="s">
        <v>1157</v>
      </c>
      <c r="I231" s="125" t="s">
        <v>33</v>
      </c>
      <c r="J231" s="103" t="s">
        <v>1158</v>
      </c>
      <c r="K231" s="103" t="s">
        <v>1159</v>
      </c>
    </row>
    <row r="232" spans="1:11" ht="14.25" customHeight="1">
      <c r="A232" s="122"/>
      <c r="B232" s="104"/>
      <c r="C232" s="139" t="s">
        <v>1160</v>
      </c>
      <c r="D232" s="110" t="s">
        <v>1161</v>
      </c>
      <c r="E232" s="110" t="s">
        <v>1162</v>
      </c>
      <c r="F232" s="110" t="s">
        <v>38</v>
      </c>
      <c r="G232" s="123" t="s">
        <v>1163</v>
      </c>
      <c r="H232" s="103" t="s">
        <v>1164</v>
      </c>
      <c r="I232" s="125" t="s">
        <v>33</v>
      </c>
      <c r="J232" s="103" t="s">
        <v>1165</v>
      </c>
      <c r="K232" s="103" t="s">
        <v>1166</v>
      </c>
    </row>
    <row r="233" spans="1:11" ht="14.25" customHeight="1">
      <c r="A233" s="122"/>
      <c r="B233" s="104"/>
      <c r="C233" s="140"/>
      <c r="D233" s="116"/>
      <c r="E233" s="116"/>
      <c r="F233" s="116"/>
      <c r="G233" s="123" t="s">
        <v>1167</v>
      </c>
      <c r="H233" s="103" t="s">
        <v>1168</v>
      </c>
      <c r="I233" s="125" t="s">
        <v>33</v>
      </c>
      <c r="J233" s="103" t="s">
        <v>1169</v>
      </c>
      <c r="K233" s="103" t="s">
        <v>1170</v>
      </c>
    </row>
    <row r="234" spans="1:11" ht="14.25" customHeight="1">
      <c r="A234" s="122"/>
      <c r="B234" s="104"/>
      <c r="C234" s="140"/>
      <c r="D234" s="110" t="s">
        <v>1171</v>
      </c>
      <c r="E234" s="110" t="s">
        <v>1172</v>
      </c>
      <c r="F234" s="110" t="s">
        <v>16</v>
      </c>
      <c r="G234" s="123" t="s">
        <v>1173</v>
      </c>
      <c r="H234" s="103" t="s">
        <v>1174</v>
      </c>
      <c r="I234" s="125" t="s">
        <v>33</v>
      </c>
      <c r="J234" s="103" t="s">
        <v>1175</v>
      </c>
      <c r="K234" s="103" t="s">
        <v>1176</v>
      </c>
    </row>
    <row r="235" spans="1:11" ht="14.25" customHeight="1">
      <c r="A235" s="122"/>
      <c r="B235" s="104"/>
      <c r="C235" s="140"/>
      <c r="D235" s="116"/>
      <c r="E235" s="116"/>
      <c r="F235" s="116"/>
      <c r="G235" s="123" t="s">
        <v>1177</v>
      </c>
      <c r="H235" s="103" t="s">
        <v>1178</v>
      </c>
      <c r="I235" s="125" t="s">
        <v>33</v>
      </c>
      <c r="J235" s="103" t="s">
        <v>1179</v>
      </c>
      <c r="K235" s="103" t="s">
        <v>1180</v>
      </c>
    </row>
    <row r="236" spans="1:11" ht="14.25" customHeight="1">
      <c r="A236" s="122"/>
      <c r="B236" s="104"/>
      <c r="C236" s="140"/>
      <c r="D236" s="110" t="s">
        <v>1181</v>
      </c>
      <c r="E236" s="110" t="s">
        <v>1182</v>
      </c>
      <c r="F236" s="110" t="s">
        <v>38</v>
      </c>
      <c r="G236" s="123" t="s">
        <v>1183</v>
      </c>
      <c r="H236" s="103" t="s">
        <v>1184</v>
      </c>
      <c r="I236" s="125" t="s">
        <v>33</v>
      </c>
      <c r="J236" s="103" t="s">
        <v>1185</v>
      </c>
      <c r="K236" s="103" t="s">
        <v>1186</v>
      </c>
    </row>
    <row r="237" spans="1:11" ht="14.25" customHeight="1">
      <c r="A237" s="122"/>
      <c r="B237" s="104"/>
      <c r="C237" s="140"/>
      <c r="D237" s="116"/>
      <c r="E237" s="116"/>
      <c r="F237" s="116"/>
      <c r="G237" s="123" t="s">
        <v>1187</v>
      </c>
      <c r="H237" s="103" t="s">
        <v>1188</v>
      </c>
      <c r="I237" s="125" t="s">
        <v>33</v>
      </c>
      <c r="J237" s="103" t="s">
        <v>1189</v>
      </c>
      <c r="K237" s="103" t="s">
        <v>1190</v>
      </c>
    </row>
    <row r="238" spans="1:11" ht="14.25" customHeight="1">
      <c r="A238" s="122"/>
      <c r="B238" s="104"/>
      <c r="C238" s="140"/>
      <c r="D238" s="110" t="s">
        <v>1191</v>
      </c>
      <c r="E238" s="110" t="s">
        <v>1192</v>
      </c>
      <c r="F238" s="110" t="s">
        <v>16</v>
      </c>
      <c r="G238" s="123" t="s">
        <v>1193</v>
      </c>
      <c r="H238" s="103" t="s">
        <v>1194</v>
      </c>
      <c r="I238" s="125" t="s">
        <v>33</v>
      </c>
      <c r="J238" s="103" t="s">
        <v>1195</v>
      </c>
      <c r="K238" s="103" t="s">
        <v>1196</v>
      </c>
    </row>
    <row r="239" spans="1:11" ht="14.25" customHeight="1">
      <c r="A239" s="122"/>
      <c r="B239" s="104"/>
      <c r="C239" s="140"/>
      <c r="D239" s="116"/>
      <c r="E239" s="116"/>
      <c r="F239" s="116"/>
      <c r="G239" s="123" t="s">
        <v>1197</v>
      </c>
      <c r="H239" s="103" t="s">
        <v>1198</v>
      </c>
      <c r="I239" s="125" t="s">
        <v>33</v>
      </c>
      <c r="J239" s="103" t="s">
        <v>1199</v>
      </c>
      <c r="K239" s="103" t="s">
        <v>1200</v>
      </c>
    </row>
    <row r="240" spans="1:11" ht="14.25" customHeight="1">
      <c r="A240" s="122"/>
      <c r="B240" s="104"/>
      <c r="C240" s="140"/>
      <c r="D240" s="110" t="s">
        <v>1201</v>
      </c>
      <c r="E240" s="110" t="s">
        <v>1202</v>
      </c>
      <c r="F240" s="110" t="s">
        <v>16</v>
      </c>
      <c r="G240" s="123" t="s">
        <v>1203</v>
      </c>
      <c r="H240" s="103" t="s">
        <v>1204</v>
      </c>
      <c r="I240" s="126" t="s">
        <v>41</v>
      </c>
      <c r="J240" s="103" t="s">
        <v>1205</v>
      </c>
      <c r="K240" s="103" t="s">
        <v>1206</v>
      </c>
    </row>
    <row r="241" spans="1:11" ht="14.25" customHeight="1">
      <c r="A241" s="122"/>
      <c r="B241" s="104"/>
      <c r="C241" s="141"/>
      <c r="D241" s="116"/>
      <c r="E241" s="116"/>
      <c r="F241" s="116"/>
      <c r="G241" s="123" t="s">
        <v>1207</v>
      </c>
      <c r="H241" s="103" t="s">
        <v>1208</v>
      </c>
      <c r="I241" s="126" t="s">
        <v>41</v>
      </c>
      <c r="J241" s="103" t="s">
        <v>1209</v>
      </c>
      <c r="K241" s="103" t="s">
        <v>1210</v>
      </c>
    </row>
    <row r="242" spans="1:11" ht="14.25" customHeight="1">
      <c r="A242" s="122"/>
      <c r="B242" s="104"/>
      <c r="C242" s="139" t="s">
        <v>1211</v>
      </c>
      <c r="D242" s="110" t="s">
        <v>1212</v>
      </c>
      <c r="E242" s="110" t="s">
        <v>1213</v>
      </c>
      <c r="F242" s="110" t="s">
        <v>16</v>
      </c>
      <c r="G242" s="123" t="s">
        <v>1214</v>
      </c>
      <c r="H242" s="103" t="s">
        <v>1215</v>
      </c>
      <c r="I242" s="126" t="s">
        <v>41</v>
      </c>
      <c r="J242" s="103" t="s">
        <v>1216</v>
      </c>
      <c r="K242" s="103" t="s">
        <v>1217</v>
      </c>
    </row>
    <row r="243" spans="1:11" ht="14.25" customHeight="1">
      <c r="A243" s="122"/>
      <c r="B243" s="104"/>
      <c r="C243" s="140"/>
      <c r="D243" s="116"/>
      <c r="E243" s="116"/>
      <c r="F243" s="116"/>
      <c r="G243" s="123" t="s">
        <v>1218</v>
      </c>
      <c r="H243" s="103" t="s">
        <v>1219</v>
      </c>
      <c r="I243" s="126" t="s">
        <v>41</v>
      </c>
      <c r="J243" s="103" t="s">
        <v>1220</v>
      </c>
      <c r="K243" s="103" t="s">
        <v>1221</v>
      </c>
    </row>
    <row r="244" spans="1:11" ht="14.25" customHeight="1">
      <c r="A244" s="122"/>
      <c r="B244" s="104"/>
      <c r="C244" s="140"/>
      <c r="D244" s="110" t="s">
        <v>1222</v>
      </c>
      <c r="E244" s="110" t="s">
        <v>1223</v>
      </c>
      <c r="F244" s="110" t="s">
        <v>16</v>
      </c>
      <c r="G244" s="123" t="s">
        <v>1224</v>
      </c>
      <c r="H244" s="103" t="s">
        <v>1225</v>
      </c>
      <c r="I244" s="126" t="s">
        <v>41</v>
      </c>
      <c r="J244" s="103" t="s">
        <v>1226</v>
      </c>
      <c r="K244" s="103" t="s">
        <v>1227</v>
      </c>
    </row>
    <row r="245" spans="1:11" ht="14.25" customHeight="1">
      <c r="A245" s="122"/>
      <c r="B245" s="104"/>
      <c r="C245" s="140"/>
      <c r="D245" s="116"/>
      <c r="E245" s="116"/>
      <c r="F245" s="116"/>
      <c r="G245" s="123" t="s">
        <v>1228</v>
      </c>
      <c r="H245" s="103" t="s">
        <v>1229</v>
      </c>
      <c r="I245" s="126" t="s">
        <v>41</v>
      </c>
      <c r="J245" s="103" t="s">
        <v>1230</v>
      </c>
      <c r="K245" s="103" t="s">
        <v>1231</v>
      </c>
    </row>
    <row r="246" spans="1:11" ht="14.25" customHeight="1">
      <c r="A246" s="122"/>
      <c r="B246" s="104"/>
      <c r="C246" s="140"/>
      <c r="D246" s="110" t="s">
        <v>1232</v>
      </c>
      <c r="E246" s="110" t="s">
        <v>1233</v>
      </c>
      <c r="F246" s="110" t="s">
        <v>16</v>
      </c>
      <c r="G246" s="123" t="s">
        <v>1234</v>
      </c>
      <c r="H246" s="103" t="s">
        <v>1235</v>
      </c>
      <c r="I246" s="126" t="s">
        <v>41</v>
      </c>
      <c r="J246" s="103" t="s">
        <v>1236</v>
      </c>
      <c r="K246" s="103" t="s">
        <v>1237</v>
      </c>
    </row>
    <row r="247" spans="1:11" ht="14.25" customHeight="1">
      <c r="A247" s="122"/>
      <c r="B247" s="104"/>
      <c r="C247" s="140"/>
      <c r="D247" s="116"/>
      <c r="E247" s="116"/>
      <c r="F247" s="116"/>
      <c r="G247" s="123" t="s">
        <v>1238</v>
      </c>
      <c r="H247" s="103" t="s">
        <v>1239</v>
      </c>
      <c r="I247" s="126" t="s">
        <v>41</v>
      </c>
      <c r="J247" s="103" t="s">
        <v>1240</v>
      </c>
      <c r="K247" s="103" t="s">
        <v>1241</v>
      </c>
    </row>
    <row r="248" spans="1:11" ht="14.25" customHeight="1">
      <c r="A248" s="122"/>
      <c r="B248" s="104"/>
      <c r="C248" s="140"/>
      <c r="D248" s="110" t="s">
        <v>1242</v>
      </c>
      <c r="E248" s="110" t="s">
        <v>1243</v>
      </c>
      <c r="F248" s="110" t="s">
        <v>38</v>
      </c>
      <c r="G248" s="123" t="s">
        <v>1244</v>
      </c>
      <c r="H248" s="103" t="s">
        <v>1245</v>
      </c>
      <c r="I248" s="126" t="s">
        <v>41</v>
      </c>
      <c r="J248" s="103" t="s">
        <v>1246</v>
      </c>
      <c r="K248" s="103" t="s">
        <v>1247</v>
      </c>
    </row>
    <row r="249" spans="1:11" ht="14.25" customHeight="1">
      <c r="A249" s="122"/>
      <c r="B249" s="104"/>
      <c r="C249" s="140"/>
      <c r="D249" s="116"/>
      <c r="E249" s="116"/>
      <c r="F249" s="116"/>
      <c r="G249" s="123" t="s">
        <v>1248</v>
      </c>
      <c r="H249" s="103" t="s">
        <v>1249</v>
      </c>
      <c r="I249" s="126" t="s">
        <v>41</v>
      </c>
      <c r="J249" s="103" t="s">
        <v>1250</v>
      </c>
      <c r="K249" s="103" t="s">
        <v>1251</v>
      </c>
    </row>
    <row r="250" spans="1:11" ht="14.25" customHeight="1">
      <c r="A250" s="122"/>
      <c r="B250" s="104"/>
      <c r="C250" s="140"/>
      <c r="D250" s="110" t="s">
        <v>1252</v>
      </c>
      <c r="E250" s="110" t="s">
        <v>1253</v>
      </c>
      <c r="F250" s="110" t="s">
        <v>200</v>
      </c>
      <c r="G250" s="123" t="s">
        <v>1254</v>
      </c>
      <c r="H250" s="103" t="s">
        <v>1255</v>
      </c>
      <c r="I250" s="126" t="s">
        <v>41</v>
      </c>
      <c r="J250" s="103" t="s">
        <v>1256</v>
      </c>
      <c r="K250" s="103" t="s">
        <v>1257</v>
      </c>
    </row>
    <row r="251" spans="1:11" ht="14.25" customHeight="1">
      <c r="A251" s="122"/>
      <c r="B251" s="104"/>
      <c r="C251" s="141"/>
      <c r="D251" s="116"/>
      <c r="E251" s="116"/>
      <c r="F251" s="116"/>
      <c r="G251" s="123" t="s">
        <v>1258</v>
      </c>
      <c r="H251" s="103" t="s">
        <v>1259</v>
      </c>
      <c r="I251" s="126" t="s">
        <v>41</v>
      </c>
      <c r="J251" s="103" t="s">
        <v>1260</v>
      </c>
      <c r="K251" s="103" t="s">
        <v>1261</v>
      </c>
    </row>
    <row r="252" spans="1:11" ht="14.25" customHeight="1">
      <c r="A252" s="122"/>
      <c r="B252" s="104"/>
      <c r="C252" s="139" t="s">
        <v>1262</v>
      </c>
      <c r="D252" s="110" t="s">
        <v>1263</v>
      </c>
      <c r="E252" s="110" t="s">
        <v>1264</v>
      </c>
      <c r="F252" s="110" t="s">
        <v>16</v>
      </c>
      <c r="G252" s="123" t="s">
        <v>1265</v>
      </c>
      <c r="H252" s="103" t="s">
        <v>1266</v>
      </c>
      <c r="I252" s="126" t="s">
        <v>41</v>
      </c>
      <c r="J252" s="103" t="s">
        <v>1267</v>
      </c>
      <c r="K252" s="103" t="s">
        <v>1268</v>
      </c>
    </row>
    <row r="253" spans="1:11" ht="14.25" customHeight="1">
      <c r="A253" s="122"/>
      <c r="B253" s="104"/>
      <c r="C253" s="140"/>
      <c r="D253" s="116"/>
      <c r="E253" s="116"/>
      <c r="F253" s="116"/>
      <c r="G253" s="123" t="s">
        <v>1269</v>
      </c>
      <c r="H253" s="103" t="s">
        <v>1249</v>
      </c>
      <c r="I253" s="126" t="s">
        <v>41</v>
      </c>
      <c r="J253" s="103" t="s">
        <v>1270</v>
      </c>
      <c r="K253" s="103" t="s">
        <v>1271</v>
      </c>
    </row>
    <row r="254" spans="1:11" ht="14.25" customHeight="1">
      <c r="A254" s="122"/>
      <c r="B254" s="104"/>
      <c r="C254" s="140"/>
      <c r="D254" s="110" t="s">
        <v>1272</v>
      </c>
      <c r="E254" s="110" t="s">
        <v>1273</v>
      </c>
      <c r="F254" s="110" t="s">
        <v>16</v>
      </c>
      <c r="G254" s="123" t="s">
        <v>1274</v>
      </c>
      <c r="H254" s="103" t="s">
        <v>1275</v>
      </c>
      <c r="I254" s="126" t="s">
        <v>41</v>
      </c>
      <c r="J254" s="103" t="s">
        <v>1276</v>
      </c>
      <c r="K254" s="103" t="s">
        <v>1277</v>
      </c>
    </row>
    <row r="255" spans="1:11" ht="14.25" customHeight="1">
      <c r="A255" s="122"/>
      <c r="B255" s="104"/>
      <c r="C255" s="140"/>
      <c r="D255" s="116"/>
      <c r="E255" s="116"/>
      <c r="F255" s="116"/>
      <c r="G255" s="123" t="s">
        <v>1278</v>
      </c>
      <c r="H255" s="103" t="s">
        <v>1279</v>
      </c>
      <c r="I255" s="126" t="s">
        <v>41</v>
      </c>
      <c r="J255" s="103" t="s">
        <v>1280</v>
      </c>
      <c r="K255" s="103" t="s">
        <v>1281</v>
      </c>
    </row>
    <row r="256" spans="1:11" ht="14.25" customHeight="1">
      <c r="A256" s="122"/>
      <c r="B256" s="104"/>
      <c r="C256" s="140"/>
      <c r="D256" s="110" t="s">
        <v>1282</v>
      </c>
      <c r="E256" s="110" t="s">
        <v>1283</v>
      </c>
      <c r="F256" s="110" t="s">
        <v>16</v>
      </c>
      <c r="G256" s="123" t="s">
        <v>1284</v>
      </c>
      <c r="H256" s="103" t="s">
        <v>1285</v>
      </c>
      <c r="I256" s="126" t="s">
        <v>41</v>
      </c>
      <c r="J256" s="103" t="s">
        <v>1286</v>
      </c>
      <c r="K256" s="103" t="s">
        <v>1287</v>
      </c>
    </row>
    <row r="257" spans="1:11" ht="14.25" customHeight="1">
      <c r="A257" s="122"/>
      <c r="B257" s="104"/>
      <c r="C257" s="140"/>
      <c r="D257" s="116"/>
      <c r="E257" s="116"/>
      <c r="F257" s="116"/>
      <c r="G257" s="123" t="s">
        <v>1288</v>
      </c>
      <c r="H257" s="103" t="s">
        <v>1289</v>
      </c>
      <c r="I257" s="126" t="s">
        <v>41</v>
      </c>
      <c r="J257" s="103" t="s">
        <v>1290</v>
      </c>
      <c r="K257" s="103" t="s">
        <v>1291</v>
      </c>
    </row>
    <row r="258" spans="1:11" ht="14.25" customHeight="1">
      <c r="A258" s="122"/>
      <c r="B258" s="104"/>
      <c r="C258" s="140"/>
      <c r="D258" s="110" t="s">
        <v>1292</v>
      </c>
      <c r="E258" s="110" t="s">
        <v>1293</v>
      </c>
      <c r="F258" s="110" t="s">
        <v>38</v>
      </c>
      <c r="G258" s="123" t="s">
        <v>1294</v>
      </c>
      <c r="H258" s="103" t="s">
        <v>1295</v>
      </c>
      <c r="I258" s="133" t="s">
        <v>19</v>
      </c>
      <c r="J258" s="103" t="s">
        <v>1296</v>
      </c>
      <c r="K258" s="103" t="s">
        <v>1297</v>
      </c>
    </row>
    <row r="259" spans="1:11" ht="14.25" customHeight="1">
      <c r="A259" s="122"/>
      <c r="B259" s="104"/>
      <c r="C259" s="140"/>
      <c r="D259" s="116"/>
      <c r="E259" s="116"/>
      <c r="F259" s="116"/>
      <c r="G259" s="123" t="s">
        <v>1298</v>
      </c>
      <c r="H259" s="103" t="s">
        <v>1299</v>
      </c>
      <c r="I259" s="128" t="s">
        <v>19</v>
      </c>
      <c r="J259" s="103" t="s">
        <v>1300</v>
      </c>
      <c r="K259" s="103" t="s">
        <v>1301</v>
      </c>
    </row>
    <row r="260" spans="1:11" ht="14.25" customHeight="1">
      <c r="A260" s="122"/>
      <c r="B260" s="104"/>
      <c r="C260" s="140"/>
      <c r="D260" s="110" t="s">
        <v>1302</v>
      </c>
      <c r="E260" s="110" t="s">
        <v>1303</v>
      </c>
      <c r="F260" s="110" t="s">
        <v>16</v>
      </c>
      <c r="G260" s="123" t="s">
        <v>1304</v>
      </c>
      <c r="H260" s="103" t="s">
        <v>1305</v>
      </c>
      <c r="I260" s="128" t="s">
        <v>19</v>
      </c>
      <c r="J260" s="103" t="s">
        <v>1306</v>
      </c>
      <c r="K260" s="103" t="s">
        <v>1307</v>
      </c>
    </row>
    <row r="261" spans="1:11" ht="14.25" customHeight="1">
      <c r="A261" s="122"/>
      <c r="B261" s="104"/>
      <c r="C261" s="141"/>
      <c r="D261" s="116"/>
      <c r="E261" s="116"/>
      <c r="F261" s="116"/>
      <c r="G261" s="123" t="s">
        <v>1308</v>
      </c>
      <c r="H261" s="103" t="s">
        <v>1309</v>
      </c>
      <c r="I261" s="133" t="s">
        <v>19</v>
      </c>
      <c r="J261" s="103" t="s">
        <v>1310</v>
      </c>
      <c r="K261" s="103" t="s">
        <v>1311</v>
      </c>
    </row>
    <row r="262" spans="1:11" ht="14.25" customHeight="1">
      <c r="A262" s="122"/>
      <c r="B262" s="104"/>
      <c r="C262" s="139" t="s">
        <v>1312</v>
      </c>
      <c r="D262" s="110" t="s">
        <v>1313</v>
      </c>
      <c r="E262" s="110" t="s">
        <v>1314</v>
      </c>
      <c r="F262" s="110" t="s">
        <v>16</v>
      </c>
      <c r="G262" s="123" t="s">
        <v>1315</v>
      </c>
      <c r="H262" s="103" t="s">
        <v>1316</v>
      </c>
      <c r="I262" s="128" t="s">
        <v>19</v>
      </c>
      <c r="J262" s="103" t="s">
        <v>1317</v>
      </c>
      <c r="K262" s="103" t="s">
        <v>1318</v>
      </c>
    </row>
    <row r="263" spans="1:11" ht="14.25" customHeight="1">
      <c r="A263" s="122"/>
      <c r="B263" s="104"/>
      <c r="C263" s="140"/>
      <c r="D263" s="116"/>
      <c r="E263" s="116"/>
      <c r="F263" s="116"/>
      <c r="G263" s="123" t="s">
        <v>1319</v>
      </c>
      <c r="H263" s="103" t="s">
        <v>1320</v>
      </c>
      <c r="I263" s="128" t="s">
        <v>19</v>
      </c>
      <c r="J263" s="103" t="s">
        <v>1321</v>
      </c>
      <c r="K263" s="103" t="s">
        <v>1322</v>
      </c>
    </row>
    <row r="264" spans="1:11" ht="14.25" customHeight="1">
      <c r="A264" s="122"/>
      <c r="B264" s="104"/>
      <c r="C264" s="140"/>
      <c r="D264" s="110" t="s">
        <v>1323</v>
      </c>
      <c r="E264" s="110" t="s">
        <v>1324</v>
      </c>
      <c r="F264" s="110" t="s">
        <v>16</v>
      </c>
      <c r="G264" s="123" t="s">
        <v>1325</v>
      </c>
      <c r="H264" s="103" t="s">
        <v>1326</v>
      </c>
      <c r="I264" s="113" t="s">
        <v>41</v>
      </c>
      <c r="J264" s="103" t="s">
        <v>1327</v>
      </c>
      <c r="K264" s="103" t="s">
        <v>1328</v>
      </c>
    </row>
    <row r="265" spans="1:11" ht="14.25" customHeight="1">
      <c r="A265" s="122"/>
      <c r="B265" s="104"/>
      <c r="C265" s="140"/>
      <c r="D265" s="116"/>
      <c r="E265" s="116"/>
      <c r="F265" s="116"/>
      <c r="G265" s="123" t="s">
        <v>1329</v>
      </c>
      <c r="H265" s="103" t="s">
        <v>1330</v>
      </c>
      <c r="I265" s="113" t="s">
        <v>41</v>
      </c>
      <c r="J265" s="103" t="s">
        <v>1331</v>
      </c>
      <c r="K265" s="103" t="s">
        <v>1332</v>
      </c>
    </row>
    <row r="266" spans="1:11" ht="14.25" customHeight="1">
      <c r="A266" s="122"/>
      <c r="B266" s="104"/>
      <c r="C266" s="140"/>
      <c r="D266" s="110" t="s">
        <v>1333</v>
      </c>
      <c r="E266" s="110" t="s">
        <v>1334</v>
      </c>
      <c r="F266" s="110" t="s">
        <v>38</v>
      </c>
      <c r="G266" s="123" t="s">
        <v>1335</v>
      </c>
      <c r="H266" s="103" t="s">
        <v>1336</v>
      </c>
      <c r="I266" s="113" t="s">
        <v>41</v>
      </c>
      <c r="J266" s="103" t="s">
        <v>1337</v>
      </c>
      <c r="K266" s="103" t="s">
        <v>1338</v>
      </c>
    </row>
    <row r="267" spans="1:11" ht="14.25" customHeight="1">
      <c r="A267" s="122"/>
      <c r="B267" s="104"/>
      <c r="C267" s="140"/>
      <c r="D267" s="116"/>
      <c r="E267" s="116"/>
      <c r="F267" s="116"/>
      <c r="G267" s="123" t="s">
        <v>1339</v>
      </c>
      <c r="H267" s="103" t="s">
        <v>1340</v>
      </c>
      <c r="I267" s="113" t="s">
        <v>41</v>
      </c>
      <c r="J267" s="103" t="s">
        <v>1341</v>
      </c>
      <c r="K267" s="103" t="s">
        <v>1342</v>
      </c>
    </row>
    <row r="268" spans="1:11" ht="14.25" customHeight="1">
      <c r="A268" s="122"/>
      <c r="B268" s="104"/>
      <c r="C268" s="140"/>
      <c r="D268" s="110" t="s">
        <v>1343</v>
      </c>
      <c r="E268" s="110" t="s">
        <v>1344</v>
      </c>
      <c r="F268" s="110" t="s">
        <v>38</v>
      </c>
      <c r="G268" s="123" t="s">
        <v>1345</v>
      </c>
      <c r="H268" s="103" t="s">
        <v>1346</v>
      </c>
      <c r="I268" s="113" t="s">
        <v>41</v>
      </c>
      <c r="J268" s="103" t="s">
        <v>1347</v>
      </c>
      <c r="K268" s="103" t="s">
        <v>1348</v>
      </c>
    </row>
    <row r="269" spans="1:11" ht="14.25" customHeight="1">
      <c r="A269" s="122"/>
      <c r="B269" s="104"/>
      <c r="C269" s="140"/>
      <c r="D269" s="116"/>
      <c r="E269" s="116"/>
      <c r="F269" s="116"/>
      <c r="G269" s="123" t="s">
        <v>1349</v>
      </c>
      <c r="H269" s="103" t="s">
        <v>1350</v>
      </c>
      <c r="I269" s="113" t="s">
        <v>41</v>
      </c>
      <c r="J269" s="103" t="s">
        <v>1351</v>
      </c>
      <c r="K269" s="103" t="s">
        <v>1352</v>
      </c>
    </row>
    <row r="270" spans="1:11" ht="14.25" customHeight="1">
      <c r="A270" s="122"/>
      <c r="B270" s="104"/>
      <c r="C270" s="140"/>
      <c r="D270" s="110" t="s">
        <v>1353</v>
      </c>
      <c r="E270" s="110" t="s">
        <v>1354</v>
      </c>
      <c r="F270" s="110" t="s">
        <v>38</v>
      </c>
      <c r="G270" s="123" t="s">
        <v>1355</v>
      </c>
      <c r="H270" s="103" t="s">
        <v>1356</v>
      </c>
      <c r="I270" s="113" t="s">
        <v>41</v>
      </c>
      <c r="J270" s="103" t="s">
        <v>1357</v>
      </c>
      <c r="K270" s="103" t="s">
        <v>1358</v>
      </c>
    </row>
    <row r="271" spans="1:11" ht="14.25" customHeight="1">
      <c r="A271" s="122"/>
      <c r="B271" s="104"/>
      <c r="C271" s="141"/>
      <c r="D271" s="116"/>
      <c r="E271" s="116"/>
      <c r="F271" s="116"/>
      <c r="G271" s="123" t="s">
        <v>1359</v>
      </c>
      <c r="H271" s="103" t="s">
        <v>1360</v>
      </c>
      <c r="I271" s="113" t="s">
        <v>41</v>
      </c>
      <c r="J271" s="103" t="s">
        <v>1361</v>
      </c>
      <c r="K271" s="103" t="s">
        <v>1362</v>
      </c>
    </row>
    <row r="272" spans="1:11" ht="14.25" customHeight="1">
      <c r="A272" s="122"/>
      <c r="B272" s="104"/>
      <c r="C272" s="139" t="s">
        <v>1363</v>
      </c>
      <c r="D272" s="110" t="s">
        <v>1364</v>
      </c>
      <c r="E272" s="110" t="s">
        <v>1365</v>
      </c>
      <c r="F272" s="110" t="s">
        <v>38</v>
      </c>
      <c r="G272" s="123" t="s">
        <v>1366</v>
      </c>
      <c r="H272" s="103" t="s">
        <v>1367</v>
      </c>
      <c r="I272" s="113" t="s">
        <v>41</v>
      </c>
      <c r="J272" s="103" t="s">
        <v>1368</v>
      </c>
      <c r="K272" s="103" t="s">
        <v>1369</v>
      </c>
    </row>
    <row r="273" spans="1:11" ht="14.25" customHeight="1">
      <c r="A273" s="122"/>
      <c r="B273" s="104"/>
      <c r="C273" s="140"/>
      <c r="D273" s="116"/>
      <c r="E273" s="116"/>
      <c r="F273" s="116"/>
      <c r="G273" s="123" t="s">
        <v>1370</v>
      </c>
      <c r="H273" s="103" t="s">
        <v>1371</v>
      </c>
      <c r="I273" s="113" t="s">
        <v>41</v>
      </c>
      <c r="J273" s="103" t="s">
        <v>1371</v>
      </c>
      <c r="K273" s="103" t="s">
        <v>1372</v>
      </c>
    </row>
    <row r="274" spans="1:11" ht="14.25" customHeight="1">
      <c r="A274" s="122"/>
      <c r="B274" s="104"/>
      <c r="C274" s="140"/>
      <c r="D274" s="110" t="s">
        <v>1373</v>
      </c>
      <c r="E274" s="110" t="s">
        <v>1374</v>
      </c>
      <c r="F274" s="110" t="s">
        <v>16</v>
      </c>
      <c r="G274" s="123" t="s">
        <v>1375</v>
      </c>
      <c r="H274" s="103" t="s">
        <v>1376</v>
      </c>
      <c r="I274" s="113" t="s">
        <v>41</v>
      </c>
      <c r="J274" s="103" t="s">
        <v>1377</v>
      </c>
      <c r="K274" s="103" t="s">
        <v>1378</v>
      </c>
    </row>
    <row r="275" spans="1:11" ht="14.25" customHeight="1">
      <c r="A275" s="122"/>
      <c r="B275" s="104"/>
      <c r="C275" s="140"/>
      <c r="D275" s="116"/>
      <c r="E275" s="116"/>
      <c r="F275" s="116"/>
      <c r="G275" s="123" t="s">
        <v>1379</v>
      </c>
      <c r="H275" s="103" t="s">
        <v>1380</v>
      </c>
      <c r="I275" s="113" t="s">
        <v>41</v>
      </c>
      <c r="J275" s="103" t="s">
        <v>1376</v>
      </c>
      <c r="K275" s="103" t="s">
        <v>1381</v>
      </c>
    </row>
    <row r="276" spans="1:11" ht="14.25" customHeight="1">
      <c r="A276" s="122"/>
      <c r="B276" s="104"/>
      <c r="C276" s="140"/>
      <c r="D276" s="110" t="s">
        <v>1382</v>
      </c>
      <c r="E276" s="110" t="s">
        <v>1383</v>
      </c>
      <c r="F276" s="110" t="s">
        <v>16</v>
      </c>
      <c r="G276" s="123" t="s">
        <v>1384</v>
      </c>
      <c r="H276" s="103" t="s">
        <v>1385</v>
      </c>
      <c r="I276" s="113" t="s">
        <v>41</v>
      </c>
      <c r="J276" s="103" t="s">
        <v>1386</v>
      </c>
      <c r="K276" s="103" t="s">
        <v>1387</v>
      </c>
    </row>
    <row r="277" spans="1:11" ht="14.25" customHeight="1">
      <c r="A277" s="122"/>
      <c r="B277" s="104"/>
      <c r="C277" s="140"/>
      <c r="D277" s="116"/>
      <c r="E277" s="116"/>
      <c r="F277" s="116"/>
      <c r="G277" s="123" t="s">
        <v>1388</v>
      </c>
      <c r="H277" s="103" t="s">
        <v>1389</v>
      </c>
      <c r="I277" s="113" t="s">
        <v>41</v>
      </c>
      <c r="J277" s="103" t="s">
        <v>1380</v>
      </c>
      <c r="K277" s="103" t="s">
        <v>1390</v>
      </c>
    </row>
    <row r="278" spans="1:11" ht="14.25" customHeight="1">
      <c r="A278" s="122"/>
      <c r="B278" s="104"/>
      <c r="C278" s="140"/>
      <c r="D278" s="110" t="s">
        <v>1391</v>
      </c>
      <c r="E278" s="110" t="s">
        <v>1392</v>
      </c>
      <c r="F278" s="110" t="s">
        <v>16</v>
      </c>
      <c r="G278" s="123" t="s">
        <v>1393</v>
      </c>
      <c r="H278" s="103" t="s">
        <v>1394</v>
      </c>
      <c r="I278" s="113" t="s">
        <v>41</v>
      </c>
      <c r="J278" s="103" t="s">
        <v>1395</v>
      </c>
      <c r="K278" s="103" t="s">
        <v>1396</v>
      </c>
    </row>
    <row r="279" spans="1:11" ht="14.25" customHeight="1">
      <c r="A279" s="122"/>
      <c r="B279" s="104"/>
      <c r="C279" s="140"/>
      <c r="D279" s="116"/>
      <c r="E279" s="116"/>
      <c r="F279" s="116"/>
      <c r="G279" s="123" t="s">
        <v>154</v>
      </c>
      <c r="H279" s="103" t="s">
        <v>1397</v>
      </c>
      <c r="I279" s="113" t="s">
        <v>41</v>
      </c>
      <c r="J279" s="103" t="s">
        <v>1385</v>
      </c>
      <c r="K279" s="103" t="s">
        <v>1398</v>
      </c>
    </row>
    <row r="280" spans="1:11" ht="14.25" customHeight="1">
      <c r="A280" s="122"/>
      <c r="B280" s="116"/>
      <c r="C280" s="140"/>
      <c r="D280" s="110" t="s">
        <v>1399</v>
      </c>
      <c r="E280" s="110" t="s">
        <v>1400</v>
      </c>
      <c r="F280" s="110" t="s">
        <v>16</v>
      </c>
      <c r="G280" s="123" t="s">
        <v>1401</v>
      </c>
      <c r="H280" s="103" t="s">
        <v>1402</v>
      </c>
      <c r="I280" s="113" t="s">
        <v>41</v>
      </c>
      <c r="J280" s="103" t="s">
        <v>1403</v>
      </c>
      <c r="K280" s="103" t="s">
        <v>1404</v>
      </c>
    </row>
    <row r="281" spans="1:11" ht="14.25" customHeight="1">
      <c r="A281" s="122"/>
      <c r="B281" s="130"/>
      <c r="C281" s="141"/>
      <c r="D281" s="116"/>
      <c r="E281" s="116"/>
      <c r="F281" s="116"/>
      <c r="G281" s="123" t="s">
        <v>1405</v>
      </c>
      <c r="H281" s="103" t="s">
        <v>1406</v>
      </c>
      <c r="I281" s="113" t="s">
        <v>41</v>
      </c>
      <c r="J281" s="103" t="s">
        <v>1389</v>
      </c>
      <c r="K281" s="103" t="s">
        <v>1407</v>
      </c>
    </row>
    <row r="282" spans="1:11" ht="14.25" customHeight="1">
      <c r="A282" s="122"/>
      <c r="B282" s="115" t="s">
        <v>1408</v>
      </c>
      <c r="C282" s="139" t="s">
        <v>1409</v>
      </c>
      <c r="D282" s="110" t="s">
        <v>1410</v>
      </c>
      <c r="E282" s="110" t="s">
        <v>1411</v>
      </c>
      <c r="F282" s="110" t="s">
        <v>16</v>
      </c>
      <c r="G282" s="123" t="s">
        <v>1412</v>
      </c>
      <c r="H282" s="103" t="s">
        <v>1413</v>
      </c>
      <c r="I282" s="113" t="s">
        <v>41</v>
      </c>
      <c r="J282" s="103" t="s">
        <v>1414</v>
      </c>
      <c r="K282" s="103" t="s">
        <v>1415</v>
      </c>
    </row>
    <row r="283" spans="1:11" ht="14.25" customHeight="1">
      <c r="A283" s="122"/>
      <c r="B283" s="104"/>
      <c r="C283" s="140"/>
      <c r="D283" s="116"/>
      <c r="E283" s="116"/>
      <c r="F283" s="116"/>
      <c r="G283" s="123" t="s">
        <v>1416</v>
      </c>
      <c r="H283" s="103" t="s">
        <v>1417</v>
      </c>
      <c r="I283" s="113" t="s">
        <v>41</v>
      </c>
      <c r="J283" s="103" t="s">
        <v>1394</v>
      </c>
      <c r="K283" s="103" t="s">
        <v>1415</v>
      </c>
    </row>
    <row r="284" spans="1:11" ht="14.25" customHeight="1">
      <c r="A284" s="122"/>
      <c r="B284" s="104"/>
      <c r="C284" s="140"/>
      <c r="D284" s="110" t="s">
        <v>1418</v>
      </c>
      <c r="E284" s="110" t="s">
        <v>1419</v>
      </c>
      <c r="F284" s="110" t="s">
        <v>16</v>
      </c>
      <c r="G284" s="123" t="s">
        <v>1420</v>
      </c>
      <c r="H284" s="103" t="s">
        <v>1421</v>
      </c>
      <c r="I284" s="113" t="s">
        <v>41</v>
      </c>
      <c r="J284" s="103" t="s">
        <v>1422</v>
      </c>
      <c r="K284" s="103" t="s">
        <v>1423</v>
      </c>
    </row>
    <row r="285" spans="1:11" ht="14.25" customHeight="1">
      <c r="A285" s="122"/>
      <c r="B285" s="104"/>
      <c r="C285" s="140"/>
      <c r="D285" s="116"/>
      <c r="E285" s="116"/>
      <c r="F285" s="116"/>
      <c r="G285" s="123" t="s">
        <v>1424</v>
      </c>
      <c r="H285" s="103" t="s">
        <v>1425</v>
      </c>
      <c r="I285" s="113" t="s">
        <v>41</v>
      </c>
      <c r="J285" s="103" t="s">
        <v>1397</v>
      </c>
      <c r="K285" s="103" t="s">
        <v>1426</v>
      </c>
    </row>
    <row r="286" spans="1:11" ht="14.25" customHeight="1">
      <c r="A286" s="122"/>
      <c r="B286" s="104"/>
      <c r="C286" s="140"/>
      <c r="D286" s="110" t="s">
        <v>1427</v>
      </c>
      <c r="E286" s="110" t="s">
        <v>1428</v>
      </c>
      <c r="F286" s="110" t="s">
        <v>16</v>
      </c>
      <c r="G286" s="123" t="s">
        <v>1429</v>
      </c>
      <c r="H286" s="103" t="s">
        <v>1430</v>
      </c>
      <c r="I286" s="134" t="s">
        <v>19</v>
      </c>
      <c r="J286" s="103" t="s">
        <v>1431</v>
      </c>
      <c r="K286" s="103" t="s">
        <v>1432</v>
      </c>
    </row>
    <row r="287" spans="1:11" ht="14.25" customHeight="1">
      <c r="A287" s="122"/>
      <c r="B287" s="104"/>
      <c r="C287" s="140"/>
      <c r="D287" s="116"/>
      <c r="E287" s="116"/>
      <c r="F287" s="116"/>
      <c r="G287" s="123" t="s">
        <v>1433</v>
      </c>
      <c r="H287" s="103" t="s">
        <v>1434</v>
      </c>
      <c r="I287" s="134" t="s">
        <v>19</v>
      </c>
      <c r="J287" s="103" t="s">
        <v>1402</v>
      </c>
      <c r="K287" s="103" t="s">
        <v>1435</v>
      </c>
    </row>
    <row r="288" spans="1:11" ht="14.25" customHeight="1">
      <c r="A288" s="122"/>
      <c r="B288" s="104"/>
      <c r="C288" s="140"/>
      <c r="D288" s="110" t="s">
        <v>1436</v>
      </c>
      <c r="E288" s="110" t="s">
        <v>1437</v>
      </c>
      <c r="F288" s="110" t="s">
        <v>16</v>
      </c>
      <c r="G288" s="123" t="s">
        <v>1438</v>
      </c>
      <c r="H288" s="103" t="s">
        <v>1439</v>
      </c>
      <c r="I288" s="134" t="s">
        <v>19</v>
      </c>
      <c r="J288" s="103" t="s">
        <v>1439</v>
      </c>
      <c r="K288" s="103" t="s">
        <v>1440</v>
      </c>
    </row>
    <row r="289" spans="1:11" ht="14.25" customHeight="1">
      <c r="A289" s="122"/>
      <c r="B289" s="104"/>
      <c r="C289" s="140"/>
      <c r="D289" s="116"/>
      <c r="E289" s="116"/>
      <c r="F289" s="116"/>
      <c r="G289" s="123" t="s">
        <v>1441</v>
      </c>
      <c r="H289" s="103" t="s">
        <v>1442</v>
      </c>
      <c r="I289" s="134" t="s">
        <v>19</v>
      </c>
      <c r="J289" s="103" t="s">
        <v>1442</v>
      </c>
      <c r="K289" s="103" t="s">
        <v>1443</v>
      </c>
    </row>
    <row r="290" spans="1:11" ht="14.25" customHeight="1">
      <c r="A290" s="122"/>
      <c r="B290" s="104"/>
      <c r="C290" s="140"/>
      <c r="D290" s="110" t="s">
        <v>1444</v>
      </c>
      <c r="E290" s="110" t="s">
        <v>1445</v>
      </c>
      <c r="F290" s="110" t="s">
        <v>16</v>
      </c>
      <c r="G290" s="123" t="s">
        <v>1446</v>
      </c>
      <c r="H290" s="103" t="s">
        <v>1447</v>
      </c>
      <c r="I290" s="134" t="s">
        <v>19</v>
      </c>
      <c r="J290" s="103" t="s">
        <v>1447</v>
      </c>
      <c r="K290" s="103" t="s">
        <v>1448</v>
      </c>
    </row>
    <row r="291" spans="1:11" ht="14.25" customHeight="1">
      <c r="A291" s="122"/>
      <c r="B291" s="104"/>
      <c r="C291" s="141"/>
      <c r="D291" s="116"/>
      <c r="E291" s="116"/>
      <c r="F291" s="116"/>
      <c r="G291" s="123" t="s">
        <v>1449</v>
      </c>
      <c r="H291" s="103" t="s">
        <v>1450</v>
      </c>
      <c r="I291" s="134" t="s">
        <v>19</v>
      </c>
      <c r="J291" s="103" t="s">
        <v>1450</v>
      </c>
      <c r="K291" s="103" t="s">
        <v>1451</v>
      </c>
    </row>
    <row r="292" spans="1:11" ht="14.25" customHeight="1">
      <c r="A292" s="122"/>
      <c r="B292" s="104"/>
      <c r="C292" s="139" t="s">
        <v>1452</v>
      </c>
      <c r="D292" s="110" t="s">
        <v>1453</v>
      </c>
      <c r="E292" s="110" t="s">
        <v>1454</v>
      </c>
      <c r="F292" s="110" t="s">
        <v>16</v>
      </c>
      <c r="G292" s="123" t="s">
        <v>1455</v>
      </c>
      <c r="H292" s="103" t="s">
        <v>1456</v>
      </c>
      <c r="I292" s="134" t="s">
        <v>19</v>
      </c>
      <c r="J292" s="103" t="s">
        <v>1456</v>
      </c>
      <c r="K292" s="103" t="s">
        <v>1457</v>
      </c>
    </row>
    <row r="293" spans="1:11" ht="14.25" customHeight="1">
      <c r="A293" s="122"/>
      <c r="B293" s="104"/>
      <c r="C293" s="140"/>
      <c r="D293" s="116"/>
      <c r="E293" s="116"/>
      <c r="F293" s="116"/>
      <c r="G293" s="123" t="s">
        <v>1458</v>
      </c>
      <c r="H293" s="103" t="s">
        <v>1459</v>
      </c>
      <c r="I293" s="134" t="s">
        <v>19</v>
      </c>
      <c r="J293" s="103" t="s">
        <v>1459</v>
      </c>
      <c r="K293" s="103" t="s">
        <v>1460</v>
      </c>
    </row>
    <row r="294" spans="1:11" ht="14.25" customHeight="1">
      <c r="A294" s="122"/>
      <c r="B294" s="104"/>
      <c r="C294" s="140"/>
      <c r="D294" s="110" t="s">
        <v>1461</v>
      </c>
      <c r="E294" s="110" t="s">
        <v>1462</v>
      </c>
      <c r="F294" s="110" t="s">
        <v>16</v>
      </c>
      <c r="G294" s="123" t="s">
        <v>1463</v>
      </c>
      <c r="H294" s="103" t="s">
        <v>1464</v>
      </c>
      <c r="I294" s="134" t="s">
        <v>19</v>
      </c>
      <c r="J294" s="103" t="s">
        <v>1464</v>
      </c>
      <c r="K294" s="103" t="s">
        <v>1465</v>
      </c>
    </row>
    <row r="295" spans="1:11" ht="14.25" customHeight="1">
      <c r="A295" s="122"/>
      <c r="B295" s="104"/>
      <c r="C295" s="140"/>
      <c r="D295" s="116"/>
      <c r="E295" s="116"/>
      <c r="F295" s="116"/>
      <c r="G295" s="123" t="s">
        <v>1466</v>
      </c>
      <c r="H295" s="103" t="s">
        <v>1467</v>
      </c>
      <c r="I295" s="134" t="s">
        <v>19</v>
      </c>
      <c r="J295" s="103" t="s">
        <v>1467</v>
      </c>
      <c r="K295" s="103" t="s">
        <v>1468</v>
      </c>
    </row>
    <row r="296" spans="1:11" ht="14.25" customHeight="1">
      <c r="A296" s="122"/>
      <c r="B296" s="104"/>
      <c r="C296" s="140"/>
      <c r="D296" s="110" t="s">
        <v>1469</v>
      </c>
      <c r="E296" s="110" t="s">
        <v>1470</v>
      </c>
      <c r="F296" s="110" t="s">
        <v>16</v>
      </c>
      <c r="G296" s="123" t="s">
        <v>1471</v>
      </c>
      <c r="H296" s="103" t="s">
        <v>1472</v>
      </c>
      <c r="I296" s="134" t="s">
        <v>19</v>
      </c>
      <c r="J296" s="103" t="s">
        <v>1472</v>
      </c>
      <c r="K296" s="103" t="s">
        <v>1473</v>
      </c>
    </row>
    <row r="297" spans="1:11" ht="14.25" customHeight="1">
      <c r="A297" s="122"/>
      <c r="B297" s="104"/>
      <c r="C297" s="140"/>
      <c r="D297" s="116"/>
      <c r="E297" s="116"/>
      <c r="F297" s="116"/>
      <c r="G297" s="123" t="s">
        <v>1474</v>
      </c>
      <c r="H297" s="103" t="s">
        <v>1475</v>
      </c>
      <c r="I297" s="134" t="s">
        <v>19</v>
      </c>
      <c r="J297" s="103" t="s">
        <v>1475</v>
      </c>
      <c r="K297" s="103" t="s">
        <v>1476</v>
      </c>
    </row>
    <row r="298" spans="1:11" ht="14.25" customHeight="1">
      <c r="A298" s="122"/>
      <c r="B298" s="104"/>
      <c r="C298" s="140"/>
      <c r="D298" s="110" t="s">
        <v>1477</v>
      </c>
      <c r="E298" s="110" t="s">
        <v>1478</v>
      </c>
      <c r="F298" s="110" t="s">
        <v>16</v>
      </c>
      <c r="G298" s="123" t="s">
        <v>1479</v>
      </c>
      <c r="H298" s="103" t="s">
        <v>1480</v>
      </c>
      <c r="I298" s="134" t="s">
        <v>19</v>
      </c>
      <c r="J298" s="103" t="s">
        <v>1480</v>
      </c>
      <c r="K298" s="103" t="s">
        <v>1481</v>
      </c>
    </row>
    <row r="299" spans="1:11" ht="14.25" customHeight="1">
      <c r="A299" s="122"/>
      <c r="B299" s="104"/>
      <c r="C299" s="140"/>
      <c r="D299" s="116"/>
      <c r="E299" s="116"/>
      <c r="F299" s="116"/>
      <c r="G299" s="123" t="s">
        <v>1482</v>
      </c>
      <c r="H299" s="103" t="s">
        <v>1483</v>
      </c>
      <c r="I299" s="134" t="s">
        <v>19</v>
      </c>
      <c r="J299" s="103" t="s">
        <v>1483</v>
      </c>
      <c r="K299" s="103" t="s">
        <v>1484</v>
      </c>
    </row>
    <row r="300" spans="1:11" ht="14.25" customHeight="1">
      <c r="A300" s="122"/>
      <c r="B300" s="104"/>
      <c r="C300" s="140"/>
      <c r="D300" s="110" t="s">
        <v>1485</v>
      </c>
      <c r="E300" s="110" t="s">
        <v>1486</v>
      </c>
      <c r="F300" s="110" t="s">
        <v>16</v>
      </c>
      <c r="G300" s="123" t="s">
        <v>1487</v>
      </c>
      <c r="H300" s="103" t="s">
        <v>1488</v>
      </c>
      <c r="I300" s="134" t="s">
        <v>19</v>
      </c>
      <c r="J300" s="103" t="s">
        <v>1488</v>
      </c>
      <c r="K300" s="103" t="s">
        <v>1489</v>
      </c>
    </row>
    <row r="301" spans="1:11" ht="14.25" customHeight="1">
      <c r="A301" s="122"/>
      <c r="B301" s="104"/>
      <c r="C301" s="141"/>
      <c r="D301" s="116"/>
      <c r="E301" s="116"/>
      <c r="F301" s="116"/>
      <c r="G301" s="123" t="s">
        <v>1490</v>
      </c>
      <c r="H301" s="103" t="s">
        <v>1491</v>
      </c>
      <c r="I301" s="134" t="s">
        <v>19</v>
      </c>
      <c r="J301" s="103" t="s">
        <v>1491</v>
      </c>
      <c r="K301" s="103" t="s">
        <v>1492</v>
      </c>
    </row>
    <row r="302" spans="1:11" ht="14.25" customHeight="1">
      <c r="A302" s="122"/>
      <c r="B302" s="104"/>
      <c r="C302" s="139" t="s">
        <v>1493</v>
      </c>
      <c r="D302" s="110" t="s">
        <v>1494</v>
      </c>
      <c r="E302" s="110" t="s">
        <v>1495</v>
      </c>
      <c r="F302" s="110" t="s">
        <v>38</v>
      </c>
      <c r="G302" s="123" t="s">
        <v>1496</v>
      </c>
      <c r="H302" s="103" t="s">
        <v>1497</v>
      </c>
      <c r="I302" s="134" t="s">
        <v>19</v>
      </c>
      <c r="J302" s="103" t="s">
        <v>1497</v>
      </c>
      <c r="K302" s="103" t="s">
        <v>1498</v>
      </c>
    </row>
    <row r="303" spans="1:11" ht="14.25" customHeight="1">
      <c r="A303" s="122"/>
      <c r="B303" s="104"/>
      <c r="C303" s="140"/>
      <c r="D303" s="116"/>
      <c r="E303" s="116"/>
      <c r="F303" s="116"/>
      <c r="G303" s="123" t="s">
        <v>1499</v>
      </c>
      <c r="H303" s="103" t="s">
        <v>1500</v>
      </c>
      <c r="I303" s="134" t="s">
        <v>19</v>
      </c>
      <c r="J303" s="103" t="s">
        <v>1500</v>
      </c>
      <c r="K303" s="103" t="s">
        <v>1501</v>
      </c>
    </row>
    <row r="304" spans="1:11" ht="14.25" customHeight="1">
      <c r="A304" s="122"/>
      <c r="B304" s="104"/>
      <c r="C304" s="140"/>
      <c r="D304" s="110" t="s">
        <v>1502</v>
      </c>
      <c r="E304" s="110" t="s">
        <v>1503</v>
      </c>
      <c r="F304" s="110" t="s">
        <v>16</v>
      </c>
      <c r="G304" s="123" t="s">
        <v>1504</v>
      </c>
      <c r="H304" s="103" t="s">
        <v>1505</v>
      </c>
      <c r="I304" s="134" t="s">
        <v>19</v>
      </c>
      <c r="J304" s="103" t="s">
        <v>1505</v>
      </c>
      <c r="K304" s="103" t="s">
        <v>1506</v>
      </c>
    </row>
    <row r="305" spans="1:11" ht="14.25" customHeight="1">
      <c r="A305" s="122"/>
      <c r="B305" s="104"/>
      <c r="C305" s="140"/>
      <c r="D305" s="116"/>
      <c r="E305" s="116"/>
      <c r="F305" s="116"/>
      <c r="G305" s="123" t="s">
        <v>1507</v>
      </c>
      <c r="H305" s="103" t="s">
        <v>1508</v>
      </c>
      <c r="I305" s="134" t="s">
        <v>19</v>
      </c>
      <c r="J305" s="103" t="s">
        <v>1508</v>
      </c>
      <c r="K305" s="103" t="s">
        <v>1509</v>
      </c>
    </row>
    <row r="306" spans="1:11" ht="14.25" customHeight="1">
      <c r="A306" s="122"/>
      <c r="B306" s="104"/>
      <c r="C306" s="140"/>
      <c r="D306" s="110" t="s">
        <v>1510</v>
      </c>
      <c r="E306" s="110" t="s">
        <v>1511</v>
      </c>
      <c r="F306" s="110" t="s">
        <v>38</v>
      </c>
      <c r="G306" s="123" t="s">
        <v>1512</v>
      </c>
      <c r="H306" s="103" t="s">
        <v>1513</v>
      </c>
      <c r="I306" s="134" t="s">
        <v>19</v>
      </c>
      <c r="J306" s="103" t="s">
        <v>1513</v>
      </c>
      <c r="K306" s="103" t="s">
        <v>1514</v>
      </c>
    </row>
    <row r="307" spans="1:11" ht="14.25" customHeight="1">
      <c r="A307" s="122"/>
      <c r="B307" s="104"/>
      <c r="C307" s="140"/>
      <c r="D307" s="116"/>
      <c r="E307" s="116"/>
      <c r="F307" s="116"/>
      <c r="G307" s="123" t="s">
        <v>1515</v>
      </c>
      <c r="H307" s="103" t="s">
        <v>1516</v>
      </c>
      <c r="I307" s="134" t="s">
        <v>19</v>
      </c>
      <c r="J307" s="103" t="s">
        <v>1516</v>
      </c>
      <c r="K307" s="103" t="s">
        <v>1517</v>
      </c>
    </row>
    <row r="308" spans="1:11" ht="14.25" customHeight="1">
      <c r="A308" s="122"/>
      <c r="B308" s="104"/>
      <c r="C308" s="140"/>
      <c r="D308" s="110" t="s">
        <v>1518</v>
      </c>
      <c r="E308" s="110" t="s">
        <v>1519</v>
      </c>
      <c r="F308" s="110" t="s">
        <v>38</v>
      </c>
      <c r="G308" s="123" t="s">
        <v>1520</v>
      </c>
      <c r="H308" s="103" t="s">
        <v>1521</v>
      </c>
      <c r="I308" s="134" t="s">
        <v>19</v>
      </c>
      <c r="J308" s="103" t="s">
        <v>1521</v>
      </c>
      <c r="K308" s="103" t="s">
        <v>1522</v>
      </c>
    </row>
    <row r="309" spans="1:11" ht="14.25" customHeight="1">
      <c r="A309" s="122"/>
      <c r="B309" s="104"/>
      <c r="C309" s="140"/>
      <c r="D309" s="116"/>
      <c r="E309" s="116"/>
      <c r="F309" s="116"/>
      <c r="G309" s="123" t="s">
        <v>1523</v>
      </c>
      <c r="H309" s="103" t="s">
        <v>1524</v>
      </c>
      <c r="I309" s="134" t="s">
        <v>19</v>
      </c>
      <c r="J309" s="103" t="s">
        <v>1524</v>
      </c>
      <c r="K309" s="103" t="s">
        <v>1525</v>
      </c>
    </row>
    <row r="310" spans="1:11" ht="14.25" customHeight="1">
      <c r="A310" s="122"/>
      <c r="B310" s="104"/>
      <c r="C310" s="140"/>
      <c r="D310" s="110" t="s">
        <v>1526</v>
      </c>
      <c r="E310" s="110" t="s">
        <v>1527</v>
      </c>
      <c r="F310" s="110" t="s">
        <v>16</v>
      </c>
      <c r="G310" s="123" t="s">
        <v>1528</v>
      </c>
      <c r="H310" s="103" t="s">
        <v>1529</v>
      </c>
      <c r="I310" s="134" t="s">
        <v>19</v>
      </c>
      <c r="J310" s="103" t="s">
        <v>1529</v>
      </c>
      <c r="K310" s="103" t="s">
        <v>1530</v>
      </c>
    </row>
    <row r="311" spans="1:11" ht="14.25" customHeight="1">
      <c r="A311" s="122"/>
      <c r="B311" s="104"/>
      <c r="C311" s="141"/>
      <c r="D311" s="116"/>
      <c r="E311" s="116"/>
      <c r="F311" s="116"/>
      <c r="G311" s="123" t="s">
        <v>1531</v>
      </c>
      <c r="H311" s="103" t="s">
        <v>1532</v>
      </c>
      <c r="I311" s="134" t="s">
        <v>19</v>
      </c>
      <c r="J311" s="103" t="s">
        <v>1532</v>
      </c>
      <c r="K311" s="103" t="s">
        <v>1533</v>
      </c>
    </row>
    <row r="312" spans="1:11" ht="14.25" customHeight="1">
      <c r="A312" s="122"/>
      <c r="B312" s="104"/>
      <c r="C312" s="139" t="s">
        <v>1534</v>
      </c>
      <c r="D312" s="110" t="s">
        <v>1535</v>
      </c>
      <c r="E312" s="110" t="s">
        <v>1536</v>
      </c>
      <c r="F312" s="110" t="s">
        <v>16</v>
      </c>
      <c r="G312" s="123" t="s">
        <v>1537</v>
      </c>
      <c r="H312" s="103" t="s">
        <v>1538</v>
      </c>
      <c r="I312" s="134" t="s">
        <v>19</v>
      </c>
      <c r="J312" s="103" t="s">
        <v>1538</v>
      </c>
      <c r="K312" s="103" t="s">
        <v>1539</v>
      </c>
    </row>
    <row r="313" spans="1:11" ht="14.25" customHeight="1">
      <c r="A313" s="122"/>
      <c r="B313" s="104"/>
      <c r="C313" s="140"/>
      <c r="D313" s="116"/>
      <c r="E313" s="116"/>
      <c r="F313" s="116"/>
      <c r="G313" s="123" t="s">
        <v>1540</v>
      </c>
      <c r="H313" s="103" t="s">
        <v>1541</v>
      </c>
      <c r="I313" s="134" t="s">
        <v>19</v>
      </c>
      <c r="J313" s="103" t="s">
        <v>1541</v>
      </c>
      <c r="K313" s="103" t="s">
        <v>1542</v>
      </c>
    </row>
    <row r="314" spans="1:11" ht="14.25" customHeight="1">
      <c r="A314" s="122"/>
      <c r="B314" s="104"/>
      <c r="C314" s="140"/>
      <c r="D314" s="110" t="s">
        <v>1543</v>
      </c>
      <c r="E314" s="110" t="s">
        <v>1544</v>
      </c>
      <c r="F314" s="110" t="s">
        <v>16</v>
      </c>
      <c r="G314" s="123" t="s">
        <v>1545</v>
      </c>
      <c r="H314" s="103" t="s">
        <v>1546</v>
      </c>
      <c r="I314" s="134" t="s">
        <v>19</v>
      </c>
      <c r="J314" s="103" t="s">
        <v>1546</v>
      </c>
      <c r="K314" s="103" t="s">
        <v>1547</v>
      </c>
    </row>
    <row r="315" spans="1:11" ht="14.25" customHeight="1">
      <c r="A315" s="122"/>
      <c r="B315" s="104"/>
      <c r="C315" s="140"/>
      <c r="D315" s="116"/>
      <c r="E315" s="116"/>
      <c r="F315" s="116"/>
      <c r="G315" s="123" t="s">
        <v>1548</v>
      </c>
      <c r="H315" s="103" t="s">
        <v>1549</v>
      </c>
      <c r="I315" s="134" t="s">
        <v>19</v>
      </c>
      <c r="J315" s="103" t="s">
        <v>1549</v>
      </c>
      <c r="K315" s="103" t="s">
        <v>1550</v>
      </c>
    </row>
    <row r="316" spans="1:11" ht="14.25" customHeight="1">
      <c r="A316" s="122"/>
      <c r="B316" s="104"/>
      <c r="C316" s="140"/>
      <c r="D316" s="110" t="s">
        <v>1551</v>
      </c>
      <c r="E316" s="110" t="s">
        <v>1552</v>
      </c>
      <c r="F316" s="110" t="s">
        <v>16</v>
      </c>
      <c r="G316" s="123" t="s">
        <v>1553</v>
      </c>
      <c r="H316" s="103" t="s">
        <v>1554</v>
      </c>
      <c r="I316" s="134" t="s">
        <v>19</v>
      </c>
      <c r="J316" s="103" t="s">
        <v>1554</v>
      </c>
      <c r="K316" s="103" t="s">
        <v>1555</v>
      </c>
    </row>
    <row r="317" spans="1:11" ht="14.25" customHeight="1">
      <c r="A317" s="122"/>
      <c r="B317" s="104"/>
      <c r="C317" s="140"/>
      <c r="D317" s="116"/>
      <c r="E317" s="116"/>
      <c r="F317" s="116"/>
      <c r="G317" s="123" t="s">
        <v>1556</v>
      </c>
      <c r="H317" s="103" t="s">
        <v>1557</v>
      </c>
      <c r="I317" s="134" t="s">
        <v>19</v>
      </c>
      <c r="J317" s="103" t="s">
        <v>1558</v>
      </c>
      <c r="K317" s="103" t="s">
        <v>1559</v>
      </c>
    </row>
    <row r="318" spans="1:11" ht="14.25" customHeight="1">
      <c r="A318" s="122"/>
      <c r="B318" s="104"/>
      <c r="C318" s="140"/>
      <c r="D318" s="110" t="s">
        <v>1560</v>
      </c>
      <c r="E318" s="110" t="s">
        <v>1561</v>
      </c>
      <c r="F318" s="110" t="s">
        <v>16</v>
      </c>
      <c r="G318" s="123" t="s">
        <v>1562</v>
      </c>
      <c r="H318" s="103" t="s">
        <v>1563</v>
      </c>
      <c r="I318" s="134" t="s">
        <v>19</v>
      </c>
      <c r="J318" s="103" t="s">
        <v>1564</v>
      </c>
      <c r="K318" s="103" t="s">
        <v>1565</v>
      </c>
    </row>
    <row r="319" spans="1:11" ht="14.25" customHeight="1">
      <c r="A319" s="122"/>
      <c r="B319" s="104"/>
      <c r="C319" s="140"/>
      <c r="D319" s="116"/>
      <c r="E319" s="116"/>
      <c r="F319" s="116"/>
      <c r="G319" s="123" t="s">
        <v>1566</v>
      </c>
      <c r="H319" s="103" t="s">
        <v>1567</v>
      </c>
      <c r="I319" s="134" t="s">
        <v>19</v>
      </c>
      <c r="J319" s="103" t="s">
        <v>1568</v>
      </c>
      <c r="K319" s="103" t="s">
        <v>1569</v>
      </c>
    </row>
    <row r="320" spans="1:11" ht="14.25" customHeight="1">
      <c r="A320" s="122"/>
      <c r="B320" s="104"/>
      <c r="C320" s="140"/>
      <c r="D320" s="110" t="s">
        <v>1570</v>
      </c>
      <c r="E320" s="110" t="s">
        <v>1571</v>
      </c>
      <c r="F320" s="110" t="s">
        <v>16</v>
      </c>
      <c r="G320" s="123" t="s">
        <v>1572</v>
      </c>
      <c r="H320" s="103" t="s">
        <v>1573</v>
      </c>
      <c r="I320" s="134" t="s">
        <v>19</v>
      </c>
      <c r="J320" s="103" t="s">
        <v>1574</v>
      </c>
      <c r="K320" s="103" t="s">
        <v>1575</v>
      </c>
    </row>
    <row r="321" spans="1:11" ht="14.25" customHeight="1">
      <c r="A321" s="122"/>
      <c r="B321" s="104"/>
      <c r="C321" s="141"/>
      <c r="D321" s="116"/>
      <c r="E321" s="116"/>
      <c r="F321" s="116"/>
      <c r="G321" s="123" t="s">
        <v>1576</v>
      </c>
      <c r="H321" s="103" t="s">
        <v>1577</v>
      </c>
      <c r="I321" s="134" t="s">
        <v>19</v>
      </c>
      <c r="J321" s="103" t="s">
        <v>1578</v>
      </c>
      <c r="K321" s="103" t="s">
        <v>1579</v>
      </c>
    </row>
    <row r="322" spans="1:11" ht="14.25" customHeight="1">
      <c r="A322" s="122"/>
      <c r="B322" s="104"/>
      <c r="C322" s="139" t="s">
        <v>1580</v>
      </c>
      <c r="D322" s="110" t="s">
        <v>1581</v>
      </c>
      <c r="E322" s="110" t="s">
        <v>1582</v>
      </c>
      <c r="F322" s="110" t="s">
        <v>38</v>
      </c>
      <c r="G322" s="123" t="s">
        <v>1583</v>
      </c>
      <c r="H322" s="103" t="s">
        <v>1584</v>
      </c>
      <c r="I322" s="134" t="s">
        <v>19</v>
      </c>
      <c r="J322" s="103" t="s">
        <v>1585</v>
      </c>
      <c r="K322" s="103" t="s">
        <v>1586</v>
      </c>
    </row>
    <row r="323" spans="1:11" ht="14.25" customHeight="1">
      <c r="A323" s="122"/>
      <c r="B323" s="104"/>
      <c r="C323" s="140"/>
      <c r="D323" s="116"/>
      <c r="E323" s="116"/>
      <c r="F323" s="116"/>
      <c r="G323" s="123" t="s">
        <v>1587</v>
      </c>
      <c r="H323" s="103" t="s">
        <v>1588</v>
      </c>
      <c r="I323" s="134" t="s">
        <v>19</v>
      </c>
      <c r="J323" s="103" t="s">
        <v>1589</v>
      </c>
      <c r="K323" s="103" t="s">
        <v>1590</v>
      </c>
    </row>
    <row r="324" spans="1:11" ht="14.25" customHeight="1">
      <c r="A324" s="122"/>
      <c r="B324" s="104"/>
      <c r="C324" s="140"/>
      <c r="D324" s="110" t="s">
        <v>1591</v>
      </c>
      <c r="E324" s="110" t="s">
        <v>1592</v>
      </c>
      <c r="F324" s="110" t="s">
        <v>38</v>
      </c>
      <c r="G324" s="123" t="s">
        <v>1593</v>
      </c>
      <c r="H324" s="103" t="s">
        <v>1594</v>
      </c>
      <c r="I324" s="134" t="s">
        <v>19</v>
      </c>
      <c r="J324" s="103" t="s">
        <v>1595</v>
      </c>
      <c r="K324" s="103" t="s">
        <v>1596</v>
      </c>
    </row>
    <row r="325" spans="1:11" ht="14.25" customHeight="1">
      <c r="A325" s="122"/>
      <c r="B325" s="104"/>
      <c r="C325" s="140"/>
      <c r="D325" s="116"/>
      <c r="E325" s="116"/>
      <c r="F325" s="116"/>
      <c r="G325" s="123" t="s">
        <v>1597</v>
      </c>
      <c r="H325" s="103" t="s">
        <v>1598</v>
      </c>
      <c r="I325" s="134" t="s">
        <v>19</v>
      </c>
      <c r="J325" s="103" t="s">
        <v>1599</v>
      </c>
      <c r="K325" s="103" t="s">
        <v>1600</v>
      </c>
    </row>
    <row r="326" spans="1:11" ht="14.25" customHeight="1">
      <c r="A326" s="122"/>
      <c r="B326" s="104"/>
      <c r="C326" s="140"/>
      <c r="D326" s="110" t="s">
        <v>1601</v>
      </c>
      <c r="E326" s="110" t="s">
        <v>1602</v>
      </c>
      <c r="F326" s="110" t="s">
        <v>38</v>
      </c>
      <c r="G326" s="123" t="s">
        <v>1603</v>
      </c>
      <c r="H326" s="103" t="s">
        <v>1604</v>
      </c>
      <c r="I326" s="134" t="s">
        <v>19</v>
      </c>
      <c r="J326" s="103" t="s">
        <v>1605</v>
      </c>
      <c r="K326" s="103" t="s">
        <v>1606</v>
      </c>
    </row>
    <row r="327" spans="1:11" ht="14.25" customHeight="1">
      <c r="A327" s="122"/>
      <c r="B327" s="104"/>
      <c r="C327" s="140"/>
      <c r="D327" s="116"/>
      <c r="E327" s="116"/>
      <c r="F327" s="116"/>
      <c r="G327" s="123" t="s">
        <v>1607</v>
      </c>
      <c r="H327" s="103" t="s">
        <v>1608</v>
      </c>
      <c r="I327" s="134" t="s">
        <v>19</v>
      </c>
      <c r="J327" s="103" t="s">
        <v>1609</v>
      </c>
      <c r="K327" s="103" t="s">
        <v>1610</v>
      </c>
    </row>
    <row r="328" spans="1:11" ht="14.25" customHeight="1">
      <c r="A328" s="122"/>
      <c r="B328" s="104"/>
      <c r="C328" s="140"/>
      <c r="D328" s="110" t="s">
        <v>1611</v>
      </c>
      <c r="E328" s="110" t="s">
        <v>1612</v>
      </c>
      <c r="F328" s="110" t="s">
        <v>16</v>
      </c>
      <c r="G328" s="123" t="s">
        <v>1613</v>
      </c>
      <c r="H328" s="103" t="s">
        <v>1614</v>
      </c>
      <c r="I328" s="134" t="s">
        <v>19</v>
      </c>
      <c r="J328" s="103" t="s">
        <v>1615</v>
      </c>
      <c r="K328" s="103" t="s">
        <v>1616</v>
      </c>
    </row>
    <row r="329" spans="1:11" ht="14.25" customHeight="1">
      <c r="A329" s="122"/>
      <c r="B329" s="104"/>
      <c r="C329" s="140"/>
      <c r="D329" s="116"/>
      <c r="E329" s="116"/>
      <c r="F329" s="116"/>
      <c r="G329" s="123" t="s">
        <v>1617</v>
      </c>
      <c r="H329" s="103" t="s">
        <v>1618</v>
      </c>
      <c r="I329" s="134" t="s">
        <v>19</v>
      </c>
      <c r="J329" s="103" t="s">
        <v>1619</v>
      </c>
      <c r="K329" s="103" t="s">
        <v>1620</v>
      </c>
    </row>
    <row r="330" spans="1:11" ht="14.25" customHeight="1">
      <c r="A330" s="122"/>
      <c r="B330" s="116"/>
      <c r="C330" s="140"/>
      <c r="D330" s="110" t="s">
        <v>1621</v>
      </c>
      <c r="E330" s="110" t="s">
        <v>1622</v>
      </c>
      <c r="F330" s="110" t="s">
        <v>16</v>
      </c>
      <c r="G330" s="123" t="s">
        <v>1623</v>
      </c>
      <c r="H330" s="103" t="s">
        <v>1624</v>
      </c>
      <c r="I330" s="134" t="s">
        <v>19</v>
      </c>
      <c r="J330" s="103" t="s">
        <v>1625</v>
      </c>
      <c r="K330" s="103" t="s">
        <v>1626</v>
      </c>
    </row>
    <row r="331" spans="1:11" ht="14.25" customHeight="1">
      <c r="A331" s="122"/>
      <c r="B331" s="130"/>
      <c r="C331" s="141"/>
      <c r="D331" s="116"/>
      <c r="E331" s="116"/>
      <c r="F331" s="116"/>
      <c r="G331" s="123" t="s">
        <v>1627</v>
      </c>
      <c r="H331" s="103" t="s">
        <v>1628</v>
      </c>
      <c r="I331" s="134" t="s">
        <v>19</v>
      </c>
      <c r="J331" s="103" t="s">
        <v>1629</v>
      </c>
      <c r="K331" s="103" t="s">
        <v>1630</v>
      </c>
    </row>
    <row r="332" spans="1:11" ht="14.25" customHeight="1">
      <c r="A332" s="122"/>
      <c r="B332" s="115" t="s">
        <v>1631</v>
      </c>
      <c r="C332" s="139" t="s">
        <v>1632</v>
      </c>
      <c r="D332" s="110" t="s">
        <v>1633</v>
      </c>
      <c r="E332" s="110" t="s">
        <v>1634</v>
      </c>
      <c r="F332" s="110" t="s">
        <v>16</v>
      </c>
      <c r="G332" s="123" t="s">
        <v>1635</v>
      </c>
      <c r="H332" s="103" t="s">
        <v>1636</v>
      </c>
      <c r="I332" s="134" t="s">
        <v>19</v>
      </c>
      <c r="J332" s="103" t="s">
        <v>1637</v>
      </c>
      <c r="K332" s="103" t="s">
        <v>1638</v>
      </c>
    </row>
    <row r="333" spans="1:11" ht="14.25" customHeight="1">
      <c r="A333" s="122"/>
      <c r="B333" s="104"/>
      <c r="C333" s="140"/>
      <c r="D333" s="116"/>
      <c r="E333" s="116"/>
      <c r="F333" s="116"/>
      <c r="G333" s="123" t="s">
        <v>1639</v>
      </c>
      <c r="H333" s="103" t="s">
        <v>1640</v>
      </c>
      <c r="I333" s="134" t="s">
        <v>19</v>
      </c>
      <c r="J333" s="103" t="s">
        <v>1641</v>
      </c>
      <c r="K333" s="103" t="s">
        <v>1642</v>
      </c>
    </row>
    <row r="334" spans="1:11" ht="14.25" customHeight="1">
      <c r="A334" s="122"/>
      <c r="B334" s="104"/>
      <c r="C334" s="140"/>
      <c r="D334" s="110" t="s">
        <v>1643</v>
      </c>
      <c r="E334" s="110" t="s">
        <v>1644</v>
      </c>
      <c r="F334" s="110" t="s">
        <v>38</v>
      </c>
      <c r="G334" s="123" t="s">
        <v>1645</v>
      </c>
      <c r="H334" s="103" t="s">
        <v>1646</v>
      </c>
      <c r="I334" s="134" t="s">
        <v>19</v>
      </c>
      <c r="J334" s="103" t="s">
        <v>1647</v>
      </c>
      <c r="K334" s="103" t="s">
        <v>1648</v>
      </c>
    </row>
    <row r="335" spans="1:11" ht="14.25" customHeight="1">
      <c r="A335" s="122"/>
      <c r="B335" s="104"/>
      <c r="C335" s="140"/>
      <c r="D335" s="116"/>
      <c r="E335" s="116"/>
      <c r="F335" s="116"/>
      <c r="G335" s="123" t="s">
        <v>1649</v>
      </c>
      <c r="H335" s="103" t="s">
        <v>1650</v>
      </c>
      <c r="I335" s="134" t="s">
        <v>19</v>
      </c>
      <c r="J335" s="103" t="s">
        <v>1651</v>
      </c>
      <c r="K335" s="103" t="s">
        <v>1652</v>
      </c>
    </row>
    <row r="336" spans="1:11" ht="14.25" customHeight="1">
      <c r="A336" s="122"/>
      <c r="B336" s="104"/>
      <c r="C336" s="140"/>
      <c r="D336" s="110" t="s">
        <v>1653</v>
      </c>
      <c r="E336" s="110" t="s">
        <v>1654</v>
      </c>
      <c r="F336" s="110" t="s">
        <v>16</v>
      </c>
      <c r="G336" s="123" t="s">
        <v>1655</v>
      </c>
      <c r="H336" s="103" t="s">
        <v>1656</v>
      </c>
      <c r="I336" s="134" t="s">
        <v>19</v>
      </c>
      <c r="J336" s="103" t="s">
        <v>1657</v>
      </c>
      <c r="K336" s="103" t="s">
        <v>1658</v>
      </c>
    </row>
    <row r="337" spans="1:11" ht="14.25" customHeight="1">
      <c r="A337" s="122"/>
      <c r="B337" s="104"/>
      <c r="C337" s="140"/>
      <c r="D337" s="116"/>
      <c r="E337" s="116"/>
      <c r="F337" s="116"/>
      <c r="G337" s="123" t="s">
        <v>1659</v>
      </c>
      <c r="H337" s="103" t="s">
        <v>1660</v>
      </c>
      <c r="I337" s="134" t="s">
        <v>19</v>
      </c>
      <c r="J337" s="103" t="s">
        <v>1661</v>
      </c>
      <c r="K337" s="103" t="s">
        <v>1662</v>
      </c>
    </row>
    <row r="338" spans="1:11" ht="14.25" customHeight="1">
      <c r="A338" s="122"/>
      <c r="B338" s="104"/>
      <c r="C338" s="140"/>
      <c r="D338" s="110" t="s">
        <v>1663</v>
      </c>
      <c r="E338" s="110" t="s">
        <v>1664</v>
      </c>
      <c r="F338" s="110" t="s">
        <v>38</v>
      </c>
      <c r="G338" s="123" t="s">
        <v>1665</v>
      </c>
      <c r="H338" s="103" t="s">
        <v>1666</v>
      </c>
      <c r="I338" s="134" t="s">
        <v>19</v>
      </c>
      <c r="J338" s="103" t="s">
        <v>1667</v>
      </c>
      <c r="K338" s="103" t="s">
        <v>1668</v>
      </c>
    </row>
    <row r="339" spans="1:11" ht="14.25" customHeight="1">
      <c r="A339" s="122"/>
      <c r="B339" s="104"/>
      <c r="C339" s="140"/>
      <c r="D339" s="116"/>
      <c r="E339" s="116"/>
      <c r="F339" s="116"/>
      <c r="G339" s="123" t="s">
        <v>1669</v>
      </c>
      <c r="H339" s="103" t="s">
        <v>1670</v>
      </c>
      <c r="I339" s="135" t="s">
        <v>33</v>
      </c>
      <c r="J339" s="103" t="s">
        <v>1671</v>
      </c>
      <c r="K339" s="103" t="s">
        <v>1672</v>
      </c>
    </row>
    <row r="340" spans="1:11" ht="14.25" customHeight="1">
      <c r="A340" s="122"/>
      <c r="B340" s="104"/>
      <c r="C340" s="140"/>
      <c r="D340" s="110" t="s">
        <v>1673</v>
      </c>
      <c r="E340" s="110" t="s">
        <v>1673</v>
      </c>
      <c r="F340" s="110" t="s">
        <v>16</v>
      </c>
      <c r="G340" s="123" t="s">
        <v>1674</v>
      </c>
      <c r="H340" s="103" t="s">
        <v>1675</v>
      </c>
      <c r="I340" s="135" t="s">
        <v>33</v>
      </c>
      <c r="J340" s="103" t="s">
        <v>1676</v>
      </c>
      <c r="K340" s="103" t="s">
        <v>1677</v>
      </c>
    </row>
    <row r="341" spans="1:11" ht="14.25" customHeight="1">
      <c r="A341" s="122"/>
      <c r="B341" s="104"/>
      <c r="C341" s="141"/>
      <c r="D341" s="116"/>
      <c r="E341" s="116"/>
      <c r="F341" s="116"/>
      <c r="G341" s="123" t="s">
        <v>1678</v>
      </c>
      <c r="H341" s="103" t="s">
        <v>1679</v>
      </c>
      <c r="I341" s="135" t="s">
        <v>33</v>
      </c>
      <c r="J341" s="103" t="s">
        <v>1680</v>
      </c>
      <c r="K341" s="103" t="s">
        <v>1681</v>
      </c>
    </row>
    <row r="342" spans="1:11" ht="14.25" customHeight="1">
      <c r="A342" s="122"/>
      <c r="B342" s="104"/>
      <c r="C342" s="139" t="s">
        <v>1682</v>
      </c>
      <c r="D342" s="110" t="s">
        <v>1683</v>
      </c>
      <c r="E342" s="110" t="s">
        <v>1684</v>
      </c>
      <c r="F342" s="110" t="s">
        <v>200</v>
      </c>
      <c r="G342" s="123" t="s">
        <v>1685</v>
      </c>
      <c r="H342" s="103" t="s">
        <v>1686</v>
      </c>
      <c r="I342" s="135" t="s">
        <v>33</v>
      </c>
      <c r="J342" s="103" t="s">
        <v>1687</v>
      </c>
      <c r="K342" s="103" t="s">
        <v>1688</v>
      </c>
    </row>
    <row r="343" spans="1:11" ht="14.25" customHeight="1">
      <c r="A343" s="122"/>
      <c r="B343" s="104"/>
      <c r="C343" s="140"/>
      <c r="D343" s="116"/>
      <c r="E343" s="116"/>
      <c r="F343" s="116"/>
      <c r="G343" s="123" t="s">
        <v>1689</v>
      </c>
      <c r="H343" s="103" t="s">
        <v>1690</v>
      </c>
      <c r="I343" s="135" t="s">
        <v>33</v>
      </c>
      <c r="J343" s="103" t="s">
        <v>1691</v>
      </c>
      <c r="K343" s="103" t="s">
        <v>1692</v>
      </c>
    </row>
    <row r="344" spans="1:11" ht="14.25" customHeight="1">
      <c r="A344" s="122"/>
      <c r="B344" s="104"/>
      <c r="C344" s="140"/>
      <c r="D344" s="110" t="s">
        <v>1693</v>
      </c>
      <c r="E344" s="110" t="s">
        <v>1694</v>
      </c>
      <c r="F344" s="110" t="s">
        <v>16</v>
      </c>
      <c r="G344" s="123" t="s">
        <v>1695</v>
      </c>
      <c r="H344" s="103" t="s">
        <v>1696</v>
      </c>
      <c r="I344" s="135" t="s">
        <v>33</v>
      </c>
      <c r="J344" s="103" t="s">
        <v>1697</v>
      </c>
      <c r="K344" s="103" t="s">
        <v>1698</v>
      </c>
    </row>
    <row r="345" spans="1:11" ht="14.25" customHeight="1">
      <c r="A345" s="122"/>
      <c r="B345" s="104"/>
      <c r="C345" s="140"/>
      <c r="D345" s="116"/>
      <c r="E345" s="116"/>
      <c r="F345" s="116"/>
      <c r="G345" s="123" t="s">
        <v>1699</v>
      </c>
      <c r="H345" s="103" t="s">
        <v>1700</v>
      </c>
      <c r="I345" s="113" t="s">
        <v>41</v>
      </c>
      <c r="J345" s="103" t="s">
        <v>1701</v>
      </c>
      <c r="K345" s="103" t="s">
        <v>1702</v>
      </c>
    </row>
    <row r="346" spans="1:11" ht="14.25" customHeight="1">
      <c r="A346" s="122"/>
      <c r="B346" s="104"/>
      <c r="C346" s="140"/>
      <c r="D346" s="110" t="s">
        <v>1703</v>
      </c>
      <c r="E346" s="110" t="s">
        <v>1704</v>
      </c>
      <c r="F346" s="110" t="s">
        <v>16</v>
      </c>
      <c r="G346" s="123" t="s">
        <v>335</v>
      </c>
      <c r="H346" s="103" t="s">
        <v>1705</v>
      </c>
      <c r="I346" s="113" t="s">
        <v>41</v>
      </c>
      <c r="J346" s="103" t="s">
        <v>1706</v>
      </c>
      <c r="K346" s="103" t="s">
        <v>1707</v>
      </c>
    </row>
    <row r="347" spans="1:11" ht="14.25" customHeight="1">
      <c r="A347" s="122"/>
      <c r="B347" s="104"/>
      <c r="C347" s="140"/>
      <c r="D347" s="116"/>
      <c r="E347" s="116"/>
      <c r="F347" s="116"/>
      <c r="G347" s="123" t="s">
        <v>1708</v>
      </c>
      <c r="H347" s="103" t="s">
        <v>1709</v>
      </c>
      <c r="I347" s="113" t="s">
        <v>41</v>
      </c>
      <c r="J347" s="103" t="s">
        <v>1710</v>
      </c>
      <c r="K347" s="103" t="s">
        <v>1711</v>
      </c>
    </row>
    <row r="348" spans="1:11" ht="14.25" customHeight="1">
      <c r="A348" s="122"/>
      <c r="B348" s="104"/>
      <c r="C348" s="140"/>
      <c r="D348" s="110" t="s">
        <v>1712</v>
      </c>
      <c r="E348" s="110" t="s">
        <v>1713</v>
      </c>
      <c r="F348" s="110" t="s">
        <v>200</v>
      </c>
      <c r="G348" s="123" t="s">
        <v>1714</v>
      </c>
      <c r="H348" s="103" t="s">
        <v>1715</v>
      </c>
      <c r="I348" s="113" t="s">
        <v>41</v>
      </c>
      <c r="J348" s="103" t="s">
        <v>1716</v>
      </c>
      <c r="K348" s="103" t="s">
        <v>1717</v>
      </c>
    </row>
    <row r="349" spans="1:11" ht="14.25" customHeight="1">
      <c r="A349" s="122"/>
      <c r="B349" s="104"/>
      <c r="C349" s="140"/>
      <c r="D349" s="116"/>
      <c r="E349" s="116"/>
      <c r="F349" s="116"/>
      <c r="G349" s="123" t="s">
        <v>1718</v>
      </c>
      <c r="H349" s="103" t="s">
        <v>1719</v>
      </c>
      <c r="I349" s="113" t="s">
        <v>41</v>
      </c>
      <c r="J349" s="103" t="s">
        <v>1720</v>
      </c>
      <c r="K349" s="103" t="s">
        <v>1721</v>
      </c>
    </row>
    <row r="350" spans="1:11" ht="14.25" customHeight="1">
      <c r="A350" s="122"/>
      <c r="B350" s="104"/>
      <c r="C350" s="140"/>
      <c r="D350" s="110" t="s">
        <v>1722</v>
      </c>
      <c r="E350" s="110" t="s">
        <v>1723</v>
      </c>
      <c r="F350" s="110" t="s">
        <v>16</v>
      </c>
      <c r="G350" s="123" t="s">
        <v>1724</v>
      </c>
      <c r="H350" s="103" t="s">
        <v>1725</v>
      </c>
      <c r="I350" s="113" t="s">
        <v>41</v>
      </c>
      <c r="J350" s="103" t="s">
        <v>1726</v>
      </c>
      <c r="K350" s="103" t="s">
        <v>1727</v>
      </c>
    </row>
    <row r="351" spans="1:11" ht="14.25" customHeight="1">
      <c r="A351" s="122"/>
      <c r="B351" s="104"/>
      <c r="C351" s="141"/>
      <c r="D351" s="116"/>
      <c r="E351" s="116"/>
      <c r="F351" s="116"/>
      <c r="G351" s="123" t="s">
        <v>1728</v>
      </c>
      <c r="H351" s="103" t="s">
        <v>1729</v>
      </c>
      <c r="I351" s="113" t="s">
        <v>41</v>
      </c>
      <c r="J351" s="103" t="s">
        <v>1730</v>
      </c>
      <c r="K351" s="103" t="s">
        <v>1731</v>
      </c>
    </row>
    <row r="352" spans="1:11" ht="14.25" customHeight="1">
      <c r="A352" s="122"/>
      <c r="B352" s="104"/>
      <c r="C352" s="139" t="s">
        <v>1732</v>
      </c>
      <c r="D352" s="110" t="s">
        <v>1733</v>
      </c>
      <c r="E352" s="110" t="s">
        <v>1734</v>
      </c>
      <c r="F352" s="110" t="s">
        <v>16</v>
      </c>
      <c r="G352" s="123" t="s">
        <v>1735</v>
      </c>
      <c r="H352" s="103" t="s">
        <v>1736</v>
      </c>
      <c r="I352" s="113" t="s">
        <v>41</v>
      </c>
      <c r="J352" s="103" t="s">
        <v>1737</v>
      </c>
      <c r="K352" s="103" t="s">
        <v>1738</v>
      </c>
    </row>
    <row r="353" spans="1:11" ht="14.25" customHeight="1">
      <c r="A353" s="122"/>
      <c r="B353" s="104"/>
      <c r="C353" s="140"/>
      <c r="D353" s="116"/>
      <c r="E353" s="116"/>
      <c r="F353" s="116"/>
      <c r="G353" s="123" t="s">
        <v>1739</v>
      </c>
      <c r="H353" s="103" t="s">
        <v>1740</v>
      </c>
      <c r="I353" s="113" t="s">
        <v>41</v>
      </c>
      <c r="J353" s="103" t="s">
        <v>1741</v>
      </c>
      <c r="K353" s="103" t="s">
        <v>1742</v>
      </c>
    </row>
    <row r="354" spans="1:11" ht="14.25" customHeight="1">
      <c r="A354" s="122"/>
      <c r="B354" s="104"/>
      <c r="C354" s="140"/>
      <c r="D354" s="110" t="s">
        <v>1743</v>
      </c>
      <c r="E354" s="110" t="s">
        <v>1744</v>
      </c>
      <c r="F354" s="110" t="s">
        <v>16</v>
      </c>
      <c r="G354" s="123" t="s">
        <v>1745</v>
      </c>
      <c r="H354" s="103" t="s">
        <v>1746</v>
      </c>
      <c r="I354" s="113" t="s">
        <v>41</v>
      </c>
      <c r="J354" s="103" t="s">
        <v>1747</v>
      </c>
      <c r="K354" s="103" t="s">
        <v>1748</v>
      </c>
    </row>
    <row r="355" spans="1:11" ht="14.25" customHeight="1">
      <c r="A355" s="122"/>
      <c r="B355" s="104"/>
      <c r="C355" s="140"/>
      <c r="D355" s="116"/>
      <c r="E355" s="116"/>
      <c r="F355" s="116"/>
      <c r="G355" s="123" t="s">
        <v>1749</v>
      </c>
      <c r="H355" s="103" t="s">
        <v>1750</v>
      </c>
      <c r="I355" s="113" t="s">
        <v>41</v>
      </c>
      <c r="J355" s="103" t="s">
        <v>1751</v>
      </c>
      <c r="K355" s="103" t="s">
        <v>1752</v>
      </c>
    </row>
    <row r="356" spans="1:11" ht="14.25" customHeight="1">
      <c r="A356" s="122"/>
      <c r="B356" s="104"/>
      <c r="C356" s="140"/>
      <c r="D356" s="110" t="s">
        <v>1753</v>
      </c>
      <c r="E356" s="110" t="s">
        <v>1754</v>
      </c>
      <c r="F356" s="110" t="s">
        <v>38</v>
      </c>
      <c r="G356" s="123" t="s">
        <v>1755</v>
      </c>
      <c r="H356" s="103" t="s">
        <v>1756</v>
      </c>
      <c r="I356" s="113" t="s">
        <v>41</v>
      </c>
      <c r="J356" s="103" t="s">
        <v>1757</v>
      </c>
      <c r="K356" s="103" t="s">
        <v>1758</v>
      </c>
    </row>
    <row r="357" spans="1:11" ht="14.25" customHeight="1">
      <c r="A357" s="122"/>
      <c r="B357" s="104"/>
      <c r="C357" s="140"/>
      <c r="D357" s="116"/>
      <c r="E357" s="116"/>
      <c r="F357" s="116"/>
      <c r="G357" s="123" t="s">
        <v>1669</v>
      </c>
      <c r="H357" s="103" t="s">
        <v>1759</v>
      </c>
      <c r="I357" s="113" t="s">
        <v>41</v>
      </c>
      <c r="J357" s="103" t="s">
        <v>1760</v>
      </c>
      <c r="K357" s="103" t="s">
        <v>1761</v>
      </c>
    </row>
    <row r="358" spans="1:11" ht="14.25" customHeight="1">
      <c r="A358" s="122"/>
      <c r="B358" s="104"/>
      <c r="C358" s="140"/>
      <c r="D358" s="110" t="s">
        <v>1762</v>
      </c>
      <c r="E358" s="110" t="s">
        <v>1763</v>
      </c>
      <c r="F358" s="110" t="s">
        <v>16</v>
      </c>
      <c r="G358" s="123" t="s">
        <v>1764</v>
      </c>
      <c r="H358" s="103" t="s">
        <v>1765</v>
      </c>
      <c r="I358" s="113" t="s">
        <v>41</v>
      </c>
      <c r="J358" s="103" t="s">
        <v>1766</v>
      </c>
      <c r="K358" s="103" t="s">
        <v>1767</v>
      </c>
    </row>
    <row r="359" spans="1:11" ht="14.25" customHeight="1">
      <c r="A359" s="122"/>
      <c r="B359" s="104"/>
      <c r="C359" s="140"/>
      <c r="D359" s="116"/>
      <c r="E359" s="116"/>
      <c r="F359" s="116"/>
      <c r="G359" s="123" t="s">
        <v>1768</v>
      </c>
      <c r="H359" s="103" t="s">
        <v>1769</v>
      </c>
      <c r="I359" s="113" t="s">
        <v>41</v>
      </c>
      <c r="J359" s="103" t="s">
        <v>1770</v>
      </c>
      <c r="K359" s="103" t="s">
        <v>1771</v>
      </c>
    </row>
    <row r="360" spans="1:11" ht="14.25" customHeight="1">
      <c r="A360" s="122"/>
      <c r="B360" s="104"/>
      <c r="C360" s="140"/>
      <c r="D360" s="110" t="s">
        <v>1772</v>
      </c>
      <c r="E360" s="110" t="s">
        <v>1773</v>
      </c>
      <c r="F360" s="110" t="s">
        <v>16</v>
      </c>
      <c r="G360" s="123" t="s">
        <v>1774</v>
      </c>
      <c r="H360" s="103" t="s">
        <v>1775</v>
      </c>
      <c r="I360" s="113" t="s">
        <v>41</v>
      </c>
      <c r="J360" s="103" t="s">
        <v>1776</v>
      </c>
      <c r="K360" s="103" t="s">
        <v>1777</v>
      </c>
    </row>
    <row r="361" spans="1:11" ht="14.25" customHeight="1">
      <c r="A361" s="122"/>
      <c r="B361" s="104"/>
      <c r="C361" s="141"/>
      <c r="D361" s="116"/>
      <c r="E361" s="116"/>
      <c r="F361" s="116"/>
      <c r="G361" s="123" t="s">
        <v>1778</v>
      </c>
      <c r="H361" s="103" t="s">
        <v>1779</v>
      </c>
      <c r="I361" s="113" t="s">
        <v>41</v>
      </c>
      <c r="J361" s="103" t="s">
        <v>1780</v>
      </c>
      <c r="K361" s="103" t="s">
        <v>1781</v>
      </c>
    </row>
    <row r="362" spans="1:11" ht="14.25" customHeight="1">
      <c r="A362" s="122"/>
      <c r="B362" s="104"/>
      <c r="C362" s="139" t="s">
        <v>1782</v>
      </c>
      <c r="D362" s="110" t="s">
        <v>1783</v>
      </c>
      <c r="E362" s="110" t="s">
        <v>1784</v>
      </c>
      <c r="F362" s="110" t="s">
        <v>200</v>
      </c>
      <c r="G362" s="123" t="s">
        <v>1785</v>
      </c>
      <c r="H362" s="103" t="s">
        <v>1786</v>
      </c>
      <c r="I362" s="113" t="s">
        <v>41</v>
      </c>
      <c r="J362" s="103" t="s">
        <v>1787</v>
      </c>
      <c r="K362" s="103" t="s">
        <v>1788</v>
      </c>
    </row>
    <row r="363" spans="1:11" ht="14.25" customHeight="1">
      <c r="A363" s="122"/>
      <c r="B363" s="104"/>
      <c r="C363" s="140"/>
      <c r="D363" s="116"/>
      <c r="E363" s="116"/>
      <c r="F363" s="116"/>
      <c r="G363" s="123" t="s">
        <v>1789</v>
      </c>
      <c r="H363" s="103" t="s">
        <v>1790</v>
      </c>
      <c r="I363" s="113" t="s">
        <v>41</v>
      </c>
      <c r="J363" s="103" t="s">
        <v>1791</v>
      </c>
      <c r="K363" s="103" t="s">
        <v>1792</v>
      </c>
    </row>
    <row r="364" spans="1:11" ht="14.25" customHeight="1">
      <c r="A364" s="122"/>
      <c r="B364" s="104"/>
      <c r="C364" s="140"/>
      <c r="D364" s="110" t="s">
        <v>1793</v>
      </c>
      <c r="E364" s="110" t="s">
        <v>1794</v>
      </c>
      <c r="F364" s="110" t="s">
        <v>16</v>
      </c>
      <c r="G364" s="123" t="s">
        <v>1795</v>
      </c>
      <c r="H364" s="103" t="s">
        <v>1796</v>
      </c>
      <c r="I364" s="113" t="s">
        <v>41</v>
      </c>
      <c r="J364" s="103" t="s">
        <v>1797</v>
      </c>
      <c r="K364" s="103" t="s">
        <v>1798</v>
      </c>
    </row>
    <row r="365" spans="1:11" ht="14.25" customHeight="1">
      <c r="A365" s="122"/>
      <c r="B365" s="104"/>
      <c r="C365" s="140"/>
      <c r="D365" s="116"/>
      <c r="E365" s="116"/>
      <c r="F365" s="116"/>
      <c r="G365" s="123" t="s">
        <v>1799</v>
      </c>
      <c r="H365" s="103" t="s">
        <v>1800</v>
      </c>
      <c r="I365" s="113" t="s">
        <v>41</v>
      </c>
      <c r="J365" s="103" t="s">
        <v>1801</v>
      </c>
      <c r="K365" s="103" t="s">
        <v>1802</v>
      </c>
    </row>
    <row r="366" spans="1:11" ht="14.25" customHeight="1">
      <c r="A366" s="122"/>
      <c r="B366" s="104"/>
      <c r="C366" s="140"/>
      <c r="D366" s="110" t="s">
        <v>1803</v>
      </c>
      <c r="E366" s="110" t="s">
        <v>1804</v>
      </c>
      <c r="F366" s="110" t="s">
        <v>16</v>
      </c>
      <c r="G366" s="123" t="s">
        <v>1805</v>
      </c>
      <c r="H366" s="103" t="s">
        <v>1806</v>
      </c>
      <c r="I366" s="113" t="s">
        <v>41</v>
      </c>
      <c r="J366" s="103" t="s">
        <v>1807</v>
      </c>
      <c r="K366" s="103" t="s">
        <v>1808</v>
      </c>
    </row>
    <row r="367" spans="1:11" ht="14.25" customHeight="1">
      <c r="A367" s="122"/>
      <c r="B367" s="104"/>
      <c r="C367" s="140"/>
      <c r="D367" s="116"/>
      <c r="E367" s="116"/>
      <c r="F367" s="116"/>
      <c r="G367" s="123" t="s">
        <v>1809</v>
      </c>
      <c r="H367" s="103" t="s">
        <v>1810</v>
      </c>
      <c r="I367" s="113" t="s">
        <v>41</v>
      </c>
      <c r="J367" s="103" t="s">
        <v>1811</v>
      </c>
      <c r="K367" s="103" t="s">
        <v>1812</v>
      </c>
    </row>
    <row r="368" spans="1:11" ht="14.25" customHeight="1">
      <c r="A368" s="122"/>
      <c r="B368" s="104"/>
      <c r="C368" s="140"/>
      <c r="D368" s="110" t="s">
        <v>1813</v>
      </c>
      <c r="E368" s="110" t="s">
        <v>1814</v>
      </c>
      <c r="F368" s="110" t="s">
        <v>38</v>
      </c>
      <c r="G368" s="123" t="s">
        <v>1815</v>
      </c>
      <c r="H368" s="103" t="s">
        <v>1816</v>
      </c>
      <c r="I368" s="113" t="s">
        <v>41</v>
      </c>
      <c r="J368" s="103" t="s">
        <v>1817</v>
      </c>
      <c r="K368" s="103" t="s">
        <v>1818</v>
      </c>
    </row>
    <row r="369" spans="1:11" ht="14.25" customHeight="1">
      <c r="A369" s="122"/>
      <c r="B369" s="104"/>
      <c r="C369" s="140"/>
      <c r="D369" s="116"/>
      <c r="E369" s="116"/>
      <c r="F369" s="116"/>
      <c r="G369" s="123" t="s">
        <v>1819</v>
      </c>
      <c r="H369" s="103" t="s">
        <v>1820</v>
      </c>
      <c r="I369" s="113" t="s">
        <v>41</v>
      </c>
      <c r="J369" s="103" t="s">
        <v>1821</v>
      </c>
      <c r="K369" s="103" t="s">
        <v>1822</v>
      </c>
    </row>
    <row r="370" spans="1:11" ht="14.25" customHeight="1">
      <c r="A370" s="122"/>
      <c r="B370" s="104"/>
      <c r="C370" s="140"/>
      <c r="D370" s="110" t="s">
        <v>1823</v>
      </c>
      <c r="E370" s="110" t="s">
        <v>1824</v>
      </c>
      <c r="F370" s="110" t="s">
        <v>16</v>
      </c>
      <c r="G370" s="123" t="s">
        <v>1825</v>
      </c>
      <c r="H370" s="103" t="s">
        <v>1826</v>
      </c>
      <c r="I370" s="113" t="s">
        <v>41</v>
      </c>
      <c r="J370" s="103" t="s">
        <v>1827</v>
      </c>
      <c r="K370" s="103" t="s">
        <v>1828</v>
      </c>
    </row>
    <row r="371" spans="1:11" ht="14.25" customHeight="1">
      <c r="A371" s="122"/>
      <c r="B371" s="104"/>
      <c r="C371" s="141"/>
      <c r="D371" s="116"/>
      <c r="E371" s="116"/>
      <c r="F371" s="116"/>
      <c r="G371" s="123" t="s">
        <v>1829</v>
      </c>
      <c r="H371" s="103" t="s">
        <v>1830</v>
      </c>
      <c r="I371" s="113" t="s">
        <v>41</v>
      </c>
      <c r="J371" s="103" t="s">
        <v>1831</v>
      </c>
      <c r="K371" s="103" t="s">
        <v>1832</v>
      </c>
    </row>
    <row r="372" spans="1:11" ht="14.25" customHeight="1">
      <c r="A372" s="122"/>
      <c r="B372" s="104"/>
      <c r="C372" s="139" t="s">
        <v>1833</v>
      </c>
      <c r="D372" s="110" t="s">
        <v>1834</v>
      </c>
      <c r="E372" s="110" t="s">
        <v>1835</v>
      </c>
      <c r="F372" s="110" t="s">
        <v>16</v>
      </c>
      <c r="G372" s="123" t="s">
        <v>1836</v>
      </c>
      <c r="H372" s="103" t="s">
        <v>1837</v>
      </c>
      <c r="I372" s="113" t="s">
        <v>41</v>
      </c>
      <c r="J372" s="103" t="s">
        <v>1838</v>
      </c>
      <c r="K372" s="103" t="s">
        <v>1839</v>
      </c>
    </row>
    <row r="373" spans="1:11" ht="14.25" customHeight="1">
      <c r="A373" s="122"/>
      <c r="B373" s="104"/>
      <c r="C373" s="140"/>
      <c r="D373" s="116"/>
      <c r="E373" s="116"/>
      <c r="F373" s="116"/>
      <c r="G373" s="123" t="s">
        <v>1840</v>
      </c>
      <c r="H373" s="103" t="s">
        <v>1841</v>
      </c>
      <c r="I373" s="113" t="s">
        <v>41</v>
      </c>
      <c r="J373" s="103" t="s">
        <v>1842</v>
      </c>
      <c r="K373" s="103" t="s">
        <v>1843</v>
      </c>
    </row>
    <row r="374" spans="1:11" ht="14.25" customHeight="1">
      <c r="A374" s="122"/>
      <c r="B374" s="104"/>
      <c r="C374" s="140"/>
      <c r="D374" s="110" t="s">
        <v>1844</v>
      </c>
      <c r="E374" s="110" t="s">
        <v>1845</v>
      </c>
      <c r="F374" s="110" t="s">
        <v>38</v>
      </c>
      <c r="G374" s="123" t="s">
        <v>1846</v>
      </c>
      <c r="H374" s="103" t="s">
        <v>1847</v>
      </c>
      <c r="I374" s="113" t="s">
        <v>41</v>
      </c>
      <c r="J374" s="103" t="s">
        <v>1848</v>
      </c>
      <c r="K374" s="103" t="s">
        <v>1849</v>
      </c>
    </row>
    <row r="375" spans="1:11" ht="14.25" customHeight="1">
      <c r="A375" s="122"/>
      <c r="B375" s="104"/>
      <c r="C375" s="140"/>
      <c r="D375" s="116"/>
      <c r="E375" s="116"/>
      <c r="F375" s="116"/>
      <c r="G375" s="123" t="s">
        <v>1850</v>
      </c>
      <c r="H375" s="103" t="s">
        <v>1851</v>
      </c>
      <c r="I375" s="113" t="s">
        <v>41</v>
      </c>
      <c r="J375" s="103" t="s">
        <v>1852</v>
      </c>
      <c r="K375" s="103" t="s">
        <v>1853</v>
      </c>
    </row>
    <row r="376" spans="1:11" ht="14.25" customHeight="1">
      <c r="A376" s="122"/>
      <c r="B376" s="104"/>
      <c r="C376" s="140"/>
      <c r="D376" s="110" t="s">
        <v>1854</v>
      </c>
      <c r="E376" s="110" t="s">
        <v>1855</v>
      </c>
      <c r="F376" s="110" t="s">
        <v>16</v>
      </c>
      <c r="G376" s="123" t="s">
        <v>400</v>
      </c>
      <c r="H376" s="103" t="s">
        <v>1856</v>
      </c>
      <c r="I376" s="113" t="s">
        <v>41</v>
      </c>
      <c r="J376" s="103" t="s">
        <v>1857</v>
      </c>
      <c r="K376" s="103" t="s">
        <v>1858</v>
      </c>
    </row>
    <row r="377" spans="1:11" ht="14.25" customHeight="1">
      <c r="A377" s="122"/>
      <c r="B377" s="104"/>
      <c r="C377" s="140"/>
      <c r="D377" s="116"/>
      <c r="E377" s="116"/>
      <c r="F377" s="116"/>
      <c r="G377" s="123" t="s">
        <v>1859</v>
      </c>
      <c r="H377" s="103" t="s">
        <v>1860</v>
      </c>
      <c r="I377" s="113" t="s">
        <v>41</v>
      </c>
      <c r="J377" s="103" t="s">
        <v>1861</v>
      </c>
      <c r="K377" s="103" t="s">
        <v>1862</v>
      </c>
    </row>
    <row r="378" spans="1:11" ht="14.25" customHeight="1">
      <c r="A378" s="122"/>
      <c r="B378" s="104"/>
      <c r="C378" s="140"/>
      <c r="D378" s="110" t="s">
        <v>1863</v>
      </c>
      <c r="E378" s="110" t="s">
        <v>1864</v>
      </c>
      <c r="F378" s="110" t="s">
        <v>16</v>
      </c>
      <c r="G378" s="123" t="s">
        <v>1865</v>
      </c>
      <c r="H378" s="103" t="s">
        <v>1866</v>
      </c>
      <c r="I378" s="113" t="s">
        <v>41</v>
      </c>
      <c r="J378" s="103" t="s">
        <v>1867</v>
      </c>
      <c r="K378" s="103" t="s">
        <v>1868</v>
      </c>
    </row>
    <row r="379" spans="1:11" ht="14.25" customHeight="1">
      <c r="A379" s="122"/>
      <c r="B379" s="104"/>
      <c r="C379" s="140"/>
      <c r="D379" s="116"/>
      <c r="E379" s="116"/>
      <c r="F379" s="116"/>
      <c r="G379" s="123" t="s">
        <v>1869</v>
      </c>
      <c r="H379" s="103" t="s">
        <v>1870</v>
      </c>
      <c r="I379" s="113" t="s">
        <v>41</v>
      </c>
      <c r="J379" s="103" t="s">
        <v>1871</v>
      </c>
      <c r="K379" s="103" t="s">
        <v>1872</v>
      </c>
    </row>
    <row r="380" spans="1:11" ht="14.25" customHeight="1">
      <c r="A380" s="122"/>
      <c r="B380" s="104"/>
      <c r="C380" s="140"/>
      <c r="D380" s="110" t="s">
        <v>1873</v>
      </c>
      <c r="E380" s="110" t="s">
        <v>1874</v>
      </c>
      <c r="F380" s="110" t="s">
        <v>38</v>
      </c>
      <c r="G380" s="123" t="s">
        <v>1875</v>
      </c>
      <c r="H380" s="103" t="s">
        <v>1876</v>
      </c>
      <c r="I380" s="113" t="s">
        <v>41</v>
      </c>
      <c r="J380" s="103" t="s">
        <v>1877</v>
      </c>
      <c r="K380" s="103" t="s">
        <v>1878</v>
      </c>
    </row>
    <row r="381" spans="1:11" ht="14.25" customHeight="1">
      <c r="A381" s="122"/>
      <c r="B381" s="104"/>
      <c r="C381" s="141"/>
      <c r="D381" s="116"/>
      <c r="E381" s="116"/>
      <c r="F381" s="116"/>
      <c r="G381" s="123" t="s">
        <v>1879</v>
      </c>
      <c r="H381" s="103" t="s">
        <v>1880</v>
      </c>
      <c r="I381" s="113" t="s">
        <v>41</v>
      </c>
      <c r="J381" s="103" t="s">
        <v>1881</v>
      </c>
      <c r="K381" s="103" t="s">
        <v>1882</v>
      </c>
    </row>
    <row r="382" spans="1:11" ht="14.25" customHeight="1">
      <c r="A382" s="122"/>
      <c r="B382" s="104"/>
      <c r="C382" s="139" t="s">
        <v>1883</v>
      </c>
      <c r="D382" s="110" t="s">
        <v>1884</v>
      </c>
      <c r="E382" s="110" t="s">
        <v>1885</v>
      </c>
      <c r="F382" s="110" t="s">
        <v>38</v>
      </c>
      <c r="G382" s="123" t="s">
        <v>1886</v>
      </c>
      <c r="H382" s="103" t="s">
        <v>1887</v>
      </c>
      <c r="I382" s="136" t="s">
        <v>19</v>
      </c>
      <c r="J382" s="103" t="s">
        <v>1888</v>
      </c>
      <c r="K382" s="103" t="s">
        <v>1889</v>
      </c>
    </row>
    <row r="383" spans="1:11" ht="14.25" customHeight="1">
      <c r="A383" s="122"/>
      <c r="B383" s="104"/>
      <c r="C383" s="140"/>
      <c r="D383" s="116"/>
      <c r="E383" s="116"/>
      <c r="F383" s="116"/>
      <c r="G383" s="123" t="s">
        <v>1890</v>
      </c>
      <c r="H383" s="103" t="s">
        <v>1891</v>
      </c>
      <c r="I383" s="136" t="s">
        <v>19</v>
      </c>
      <c r="J383" s="103" t="s">
        <v>1892</v>
      </c>
      <c r="K383" s="103" t="s">
        <v>1893</v>
      </c>
    </row>
    <row r="384" spans="1:11" ht="14.25" customHeight="1">
      <c r="A384" s="122"/>
      <c r="B384" s="104"/>
      <c r="C384" s="140"/>
      <c r="D384" s="110" t="s">
        <v>1894</v>
      </c>
      <c r="E384" s="110" t="s">
        <v>1895</v>
      </c>
      <c r="F384" s="110" t="s">
        <v>16</v>
      </c>
      <c r="G384" s="123" t="s">
        <v>1896</v>
      </c>
      <c r="H384" s="103" t="s">
        <v>1897</v>
      </c>
      <c r="I384" s="136" t="s">
        <v>19</v>
      </c>
      <c r="J384" s="103" t="s">
        <v>1898</v>
      </c>
      <c r="K384" s="103" t="s">
        <v>1899</v>
      </c>
    </row>
    <row r="385" spans="1:11" ht="14.25" customHeight="1">
      <c r="A385" s="122"/>
      <c r="B385" s="104"/>
      <c r="C385" s="140"/>
      <c r="D385" s="116"/>
      <c r="E385" s="116"/>
      <c r="F385" s="116"/>
      <c r="G385" s="123" t="s">
        <v>1900</v>
      </c>
      <c r="H385" s="103" t="s">
        <v>1901</v>
      </c>
      <c r="I385" s="136" t="s">
        <v>19</v>
      </c>
      <c r="J385" s="103" t="s">
        <v>1902</v>
      </c>
      <c r="K385" s="103" t="s">
        <v>1903</v>
      </c>
    </row>
    <row r="386" spans="1:11" ht="14.25" customHeight="1">
      <c r="A386" s="122"/>
      <c r="B386" s="104"/>
      <c r="C386" s="140"/>
      <c r="D386" s="110" t="s">
        <v>1904</v>
      </c>
      <c r="E386" s="110" t="s">
        <v>1905</v>
      </c>
      <c r="F386" s="110" t="s">
        <v>16</v>
      </c>
      <c r="G386" s="123" t="s">
        <v>1906</v>
      </c>
      <c r="H386" s="103" t="s">
        <v>1907</v>
      </c>
      <c r="I386" s="136" t="s">
        <v>19</v>
      </c>
      <c r="J386" s="103" t="s">
        <v>1908</v>
      </c>
      <c r="K386" s="103" t="s">
        <v>1909</v>
      </c>
    </row>
    <row r="387" spans="1:11" ht="14.25" customHeight="1">
      <c r="A387" s="122"/>
      <c r="B387" s="104"/>
      <c r="C387" s="140"/>
      <c r="D387" s="116"/>
      <c r="E387" s="116"/>
      <c r="F387" s="116"/>
      <c r="G387" s="123" t="s">
        <v>1910</v>
      </c>
      <c r="H387" s="103" t="s">
        <v>1911</v>
      </c>
      <c r="I387" s="136" t="s">
        <v>19</v>
      </c>
      <c r="J387" s="103" t="s">
        <v>1912</v>
      </c>
      <c r="K387" s="103" t="s">
        <v>1913</v>
      </c>
    </row>
    <row r="388" spans="1:11" ht="14.25" customHeight="1">
      <c r="A388" s="122"/>
      <c r="B388" s="104"/>
      <c r="C388" s="140"/>
      <c r="D388" s="110" t="s">
        <v>1914</v>
      </c>
      <c r="E388" s="110" t="s">
        <v>1915</v>
      </c>
      <c r="F388" s="110" t="s">
        <v>38</v>
      </c>
      <c r="G388" s="123" t="s">
        <v>1916</v>
      </c>
      <c r="H388" s="103" t="s">
        <v>1917</v>
      </c>
      <c r="I388" s="136" t="s">
        <v>19</v>
      </c>
      <c r="J388" s="103" t="s">
        <v>1918</v>
      </c>
      <c r="K388" s="103" t="s">
        <v>1919</v>
      </c>
    </row>
    <row r="389" spans="1:11" ht="14.25" customHeight="1">
      <c r="A389" s="122"/>
      <c r="B389" s="104"/>
      <c r="C389" s="140"/>
      <c r="D389" s="116"/>
      <c r="E389" s="116"/>
      <c r="F389" s="116"/>
      <c r="G389" s="123" t="s">
        <v>1920</v>
      </c>
      <c r="H389" s="103" t="s">
        <v>1921</v>
      </c>
      <c r="I389" s="136" t="s">
        <v>19</v>
      </c>
      <c r="J389" s="103" t="s">
        <v>1922</v>
      </c>
      <c r="K389" s="103" t="s">
        <v>1923</v>
      </c>
    </row>
    <row r="390" spans="1:11" ht="14.25" customHeight="1">
      <c r="A390" s="122"/>
      <c r="B390" s="116"/>
      <c r="C390" s="140"/>
      <c r="D390" s="110" t="s">
        <v>1924</v>
      </c>
      <c r="E390" s="110" t="s">
        <v>1925</v>
      </c>
      <c r="F390" s="110" t="s">
        <v>16</v>
      </c>
      <c r="G390" s="123" t="s">
        <v>1926</v>
      </c>
      <c r="H390" s="103" t="s">
        <v>1927</v>
      </c>
      <c r="I390" s="136" t="s">
        <v>19</v>
      </c>
      <c r="J390" s="103" t="s">
        <v>1928</v>
      </c>
      <c r="K390" s="103" t="s">
        <v>1929</v>
      </c>
    </row>
    <row r="391" spans="1:11" ht="14.25" customHeight="1">
      <c r="A391" s="122"/>
      <c r="B391" s="130"/>
      <c r="C391" s="141"/>
      <c r="D391" s="116"/>
      <c r="E391" s="116"/>
      <c r="F391" s="116"/>
      <c r="G391" s="123" t="s">
        <v>1930</v>
      </c>
      <c r="H391" s="103" t="s">
        <v>1931</v>
      </c>
      <c r="I391" s="136" t="s">
        <v>19</v>
      </c>
      <c r="J391" s="103" t="s">
        <v>1932</v>
      </c>
      <c r="K391" s="103" t="s">
        <v>1933</v>
      </c>
    </row>
    <row r="392" spans="1:11" ht="14.25" customHeight="1">
      <c r="A392" s="122"/>
      <c r="B392" s="115" t="s">
        <v>1934</v>
      </c>
      <c r="C392" s="139" t="s">
        <v>1935</v>
      </c>
      <c r="D392" s="110" t="s">
        <v>1936</v>
      </c>
      <c r="E392" s="110" t="s">
        <v>1937</v>
      </c>
      <c r="F392" s="110" t="s">
        <v>16</v>
      </c>
      <c r="G392" s="123" t="s">
        <v>1938</v>
      </c>
      <c r="H392" s="103" t="s">
        <v>1939</v>
      </c>
      <c r="I392" s="136" t="s">
        <v>19</v>
      </c>
      <c r="J392" s="103" t="s">
        <v>1940</v>
      </c>
      <c r="K392" s="103" t="s">
        <v>1941</v>
      </c>
    </row>
    <row r="393" spans="1:11" ht="14.25" customHeight="1">
      <c r="A393" s="122"/>
      <c r="B393" s="104"/>
      <c r="C393" s="140"/>
      <c r="D393" s="116"/>
      <c r="E393" s="116"/>
      <c r="F393" s="116"/>
      <c r="G393" s="123" t="s">
        <v>1942</v>
      </c>
      <c r="H393" s="103" t="s">
        <v>1943</v>
      </c>
      <c r="I393" s="136" t="s">
        <v>19</v>
      </c>
      <c r="J393" s="103" t="s">
        <v>1944</v>
      </c>
      <c r="K393" s="103" t="s">
        <v>1945</v>
      </c>
    </row>
    <row r="394" spans="1:11" ht="14.25" customHeight="1">
      <c r="A394" s="122"/>
      <c r="B394" s="104"/>
      <c r="C394" s="140"/>
      <c r="D394" s="110" t="s">
        <v>1946</v>
      </c>
      <c r="E394" s="110" t="s">
        <v>1947</v>
      </c>
      <c r="F394" s="110" t="s">
        <v>38</v>
      </c>
      <c r="G394" s="123" t="s">
        <v>1948</v>
      </c>
      <c r="H394" s="103" t="s">
        <v>1949</v>
      </c>
      <c r="I394" s="136" t="s">
        <v>19</v>
      </c>
      <c r="J394" s="103" t="s">
        <v>1950</v>
      </c>
      <c r="K394" s="103" t="s">
        <v>1951</v>
      </c>
    </row>
    <row r="395" spans="1:11" ht="14.25" customHeight="1">
      <c r="A395" s="122"/>
      <c r="B395" s="104"/>
      <c r="C395" s="140"/>
      <c r="D395" s="116"/>
      <c r="E395" s="116"/>
      <c r="F395" s="116"/>
      <c r="G395" s="123" t="s">
        <v>1952</v>
      </c>
      <c r="H395" s="103" t="s">
        <v>1953</v>
      </c>
      <c r="I395" s="136" t="s">
        <v>19</v>
      </c>
      <c r="J395" s="103" t="s">
        <v>1954</v>
      </c>
      <c r="K395" s="103" t="s">
        <v>1955</v>
      </c>
    </row>
    <row r="396" spans="1:11" ht="14.25" customHeight="1">
      <c r="A396" s="122"/>
      <c r="B396" s="104"/>
      <c r="C396" s="140"/>
      <c r="D396" s="110" t="s">
        <v>1956</v>
      </c>
      <c r="E396" s="110" t="s">
        <v>1957</v>
      </c>
      <c r="F396" s="110" t="s">
        <v>38</v>
      </c>
      <c r="G396" s="123" t="s">
        <v>1958</v>
      </c>
      <c r="H396" s="103" t="s">
        <v>1959</v>
      </c>
      <c r="I396" s="136" t="s">
        <v>19</v>
      </c>
      <c r="J396" s="103" t="s">
        <v>1960</v>
      </c>
      <c r="K396" s="103" t="s">
        <v>1961</v>
      </c>
    </row>
    <row r="397" spans="1:11" ht="14.25" customHeight="1">
      <c r="A397" s="122"/>
      <c r="B397" s="104"/>
      <c r="C397" s="140"/>
      <c r="D397" s="116"/>
      <c r="E397" s="116"/>
      <c r="F397" s="116"/>
      <c r="G397" s="123" t="s">
        <v>1962</v>
      </c>
      <c r="H397" s="103" t="s">
        <v>1963</v>
      </c>
      <c r="I397" s="136" t="s">
        <v>19</v>
      </c>
      <c r="J397" s="103" t="s">
        <v>1964</v>
      </c>
      <c r="K397" s="103" t="s">
        <v>1965</v>
      </c>
    </row>
    <row r="398" spans="1:11" ht="14.25" customHeight="1">
      <c r="A398" s="122"/>
      <c r="B398" s="104"/>
      <c r="C398" s="140"/>
      <c r="D398" s="110" t="s">
        <v>1966</v>
      </c>
      <c r="E398" s="110" t="s">
        <v>1967</v>
      </c>
      <c r="F398" s="110" t="s">
        <v>200</v>
      </c>
      <c r="G398" s="123" t="s">
        <v>1968</v>
      </c>
      <c r="H398" s="103" t="s">
        <v>1969</v>
      </c>
      <c r="I398" s="136" t="s">
        <v>19</v>
      </c>
      <c r="J398" s="103" t="s">
        <v>1970</v>
      </c>
      <c r="K398" s="103" t="s">
        <v>1971</v>
      </c>
    </row>
    <row r="399" spans="1:11" ht="14.25" customHeight="1">
      <c r="A399" s="122"/>
      <c r="B399" s="104"/>
      <c r="C399" s="140"/>
      <c r="D399" s="116"/>
      <c r="E399" s="116"/>
      <c r="F399" s="116"/>
      <c r="G399" s="123" t="s">
        <v>1972</v>
      </c>
      <c r="H399" s="103" t="s">
        <v>1973</v>
      </c>
      <c r="I399" s="136" t="s">
        <v>19</v>
      </c>
      <c r="J399" s="103" t="s">
        <v>1974</v>
      </c>
      <c r="K399" s="103" t="s">
        <v>1975</v>
      </c>
    </row>
    <row r="400" spans="1:11" ht="14.25" customHeight="1">
      <c r="A400" s="122"/>
      <c r="B400" s="104"/>
      <c r="C400" s="140"/>
      <c r="D400" s="110" t="s">
        <v>1976</v>
      </c>
      <c r="E400" s="110" t="s">
        <v>1977</v>
      </c>
      <c r="F400" s="110" t="s">
        <v>16</v>
      </c>
      <c r="G400" s="123" t="s">
        <v>1978</v>
      </c>
      <c r="H400" s="103" t="s">
        <v>1979</v>
      </c>
      <c r="I400" s="136" t="s">
        <v>19</v>
      </c>
      <c r="J400" s="103" t="s">
        <v>1980</v>
      </c>
      <c r="K400" s="103" t="s">
        <v>1981</v>
      </c>
    </row>
    <row r="401" spans="1:11" ht="14.25" customHeight="1">
      <c r="A401" s="122"/>
      <c r="B401" s="104"/>
      <c r="C401" s="141"/>
      <c r="D401" s="116"/>
      <c r="E401" s="116"/>
      <c r="F401" s="116"/>
      <c r="G401" s="123" t="s">
        <v>1982</v>
      </c>
      <c r="H401" s="103" t="s">
        <v>1983</v>
      </c>
      <c r="I401" s="136" t="s">
        <v>19</v>
      </c>
      <c r="J401" s="103" t="s">
        <v>1984</v>
      </c>
      <c r="K401" s="103" t="s">
        <v>1985</v>
      </c>
    </row>
    <row r="402" spans="1:11" ht="14.25" customHeight="1">
      <c r="A402" s="122"/>
      <c r="B402" s="104"/>
      <c r="C402" s="139" t="s">
        <v>1986</v>
      </c>
      <c r="D402" s="110" t="s">
        <v>1987</v>
      </c>
      <c r="E402" s="110" t="s">
        <v>1988</v>
      </c>
      <c r="F402" s="110" t="s">
        <v>16</v>
      </c>
      <c r="G402" s="123" t="s">
        <v>1989</v>
      </c>
      <c r="H402" s="103" t="s">
        <v>1990</v>
      </c>
      <c r="I402" s="136" t="s">
        <v>19</v>
      </c>
      <c r="J402" s="103" t="s">
        <v>1991</v>
      </c>
      <c r="K402" s="103" t="s">
        <v>1992</v>
      </c>
    </row>
    <row r="403" spans="1:11" ht="14.25" customHeight="1">
      <c r="A403" s="122"/>
      <c r="B403" s="104"/>
      <c r="C403" s="140"/>
      <c r="D403" s="116"/>
      <c r="E403" s="116"/>
      <c r="F403" s="116"/>
      <c r="G403" s="123" t="s">
        <v>1993</v>
      </c>
      <c r="H403" s="103" t="s">
        <v>1994</v>
      </c>
      <c r="I403" s="136" t="s">
        <v>19</v>
      </c>
      <c r="J403" s="103" t="s">
        <v>1995</v>
      </c>
      <c r="K403" s="103" t="s">
        <v>1996</v>
      </c>
    </row>
    <row r="404" spans="1:11" ht="14.25" customHeight="1">
      <c r="A404" s="122"/>
      <c r="B404" s="104"/>
      <c r="C404" s="140"/>
      <c r="D404" s="110" t="s">
        <v>1997</v>
      </c>
      <c r="E404" s="110" t="s">
        <v>1998</v>
      </c>
      <c r="F404" s="110" t="s">
        <v>200</v>
      </c>
      <c r="G404" s="123" t="s">
        <v>1999</v>
      </c>
      <c r="H404" s="103" t="s">
        <v>2000</v>
      </c>
      <c r="I404" s="136" t="s">
        <v>19</v>
      </c>
      <c r="J404" s="103" t="s">
        <v>2001</v>
      </c>
      <c r="K404" s="103" t="s">
        <v>2002</v>
      </c>
    </row>
    <row r="405" spans="1:11" ht="14.25" customHeight="1">
      <c r="A405" s="122"/>
      <c r="B405" s="104"/>
      <c r="C405" s="140"/>
      <c r="D405" s="116"/>
      <c r="E405" s="116"/>
      <c r="F405" s="116"/>
      <c r="G405" s="123" t="s">
        <v>2003</v>
      </c>
      <c r="H405" s="103" t="s">
        <v>2004</v>
      </c>
      <c r="I405" s="136" t="s">
        <v>19</v>
      </c>
      <c r="J405" s="103" t="s">
        <v>2005</v>
      </c>
      <c r="K405" s="103" t="s">
        <v>2006</v>
      </c>
    </row>
    <row r="406" spans="1:11" ht="14.25" customHeight="1">
      <c r="A406" s="122"/>
      <c r="B406" s="104"/>
      <c r="C406" s="140"/>
      <c r="D406" s="110" t="s">
        <v>2007</v>
      </c>
      <c r="E406" s="110" t="s">
        <v>2008</v>
      </c>
      <c r="F406" s="110" t="s">
        <v>16</v>
      </c>
      <c r="G406" s="123" t="s">
        <v>2009</v>
      </c>
      <c r="H406" s="103" t="s">
        <v>2010</v>
      </c>
      <c r="I406" s="136" t="s">
        <v>19</v>
      </c>
      <c r="J406" s="103" t="s">
        <v>2011</v>
      </c>
      <c r="K406" s="103" t="s">
        <v>2012</v>
      </c>
    </row>
    <row r="407" spans="1:11" ht="14.25" customHeight="1">
      <c r="A407" s="122"/>
      <c r="B407" s="104"/>
      <c r="C407" s="140"/>
      <c r="D407" s="116"/>
      <c r="E407" s="116"/>
      <c r="F407" s="116"/>
      <c r="G407" s="123" t="s">
        <v>2013</v>
      </c>
      <c r="H407" s="103" t="s">
        <v>2014</v>
      </c>
      <c r="I407" s="136" t="s">
        <v>19</v>
      </c>
      <c r="J407" s="103" t="s">
        <v>2015</v>
      </c>
      <c r="K407" s="103" t="s">
        <v>2016</v>
      </c>
    </row>
    <row r="408" spans="1:11" ht="14.25" customHeight="1">
      <c r="A408" s="122"/>
      <c r="B408" s="104"/>
      <c r="C408" s="140"/>
      <c r="D408" s="110" t="s">
        <v>2017</v>
      </c>
      <c r="E408" s="110" t="s">
        <v>2018</v>
      </c>
      <c r="F408" s="110" t="s">
        <v>16</v>
      </c>
      <c r="G408" s="123" t="s">
        <v>2019</v>
      </c>
      <c r="H408" s="103" t="s">
        <v>2020</v>
      </c>
      <c r="I408" s="136" t="s">
        <v>19</v>
      </c>
      <c r="J408" s="103" t="s">
        <v>2021</v>
      </c>
      <c r="K408" s="103" t="s">
        <v>2022</v>
      </c>
    </row>
    <row r="409" spans="1:11" ht="14.25" customHeight="1">
      <c r="A409" s="122"/>
      <c r="B409" s="104"/>
      <c r="C409" s="140"/>
      <c r="D409" s="116"/>
      <c r="E409" s="116"/>
      <c r="F409" s="116"/>
      <c r="G409" s="123" t="s">
        <v>2023</v>
      </c>
      <c r="H409" s="103" t="s">
        <v>2024</v>
      </c>
      <c r="I409" s="136" t="s">
        <v>19</v>
      </c>
      <c r="J409" s="103" t="s">
        <v>2025</v>
      </c>
      <c r="K409" s="103" t="s">
        <v>2026</v>
      </c>
    </row>
    <row r="410" spans="1:11" ht="14.25" customHeight="1">
      <c r="A410" s="122"/>
      <c r="B410" s="104"/>
      <c r="C410" s="140"/>
      <c r="D410" s="110" t="s">
        <v>2027</v>
      </c>
      <c r="E410" s="110" t="s">
        <v>2028</v>
      </c>
      <c r="F410" s="110" t="s">
        <v>16</v>
      </c>
      <c r="G410" s="123" t="s">
        <v>2029</v>
      </c>
      <c r="H410" s="103" t="s">
        <v>2030</v>
      </c>
      <c r="I410" s="113" t="s">
        <v>41</v>
      </c>
      <c r="J410" s="103" t="s">
        <v>2031</v>
      </c>
      <c r="K410" s="103" t="s">
        <v>2032</v>
      </c>
    </row>
    <row r="411" spans="1:11" ht="14.25" customHeight="1">
      <c r="A411" s="122"/>
      <c r="B411" s="104"/>
      <c r="C411" s="141"/>
      <c r="D411" s="116"/>
      <c r="E411" s="116"/>
      <c r="F411" s="116"/>
      <c r="G411" s="123" t="s">
        <v>2033</v>
      </c>
      <c r="H411" s="103" t="s">
        <v>2034</v>
      </c>
      <c r="I411" s="113" t="s">
        <v>41</v>
      </c>
      <c r="J411" s="103" t="s">
        <v>2035</v>
      </c>
      <c r="K411" s="103" t="s">
        <v>2036</v>
      </c>
    </row>
    <row r="412" spans="1:11" ht="14.25" customHeight="1">
      <c r="A412" s="122"/>
      <c r="B412" s="104"/>
      <c r="C412" s="139" t="s">
        <v>2037</v>
      </c>
      <c r="D412" s="110" t="s">
        <v>2038</v>
      </c>
      <c r="E412" s="110" t="s">
        <v>2039</v>
      </c>
      <c r="F412" s="110" t="s">
        <v>16</v>
      </c>
      <c r="G412" s="123" t="s">
        <v>2040</v>
      </c>
      <c r="H412" s="103" t="s">
        <v>2041</v>
      </c>
      <c r="I412" s="113" t="s">
        <v>41</v>
      </c>
      <c r="J412" s="103" t="s">
        <v>2042</v>
      </c>
      <c r="K412" s="103" t="s">
        <v>2043</v>
      </c>
    </row>
    <row r="413" spans="1:11" ht="14.25" customHeight="1">
      <c r="A413" s="122"/>
      <c r="B413" s="104"/>
      <c r="C413" s="140"/>
      <c r="D413" s="116"/>
      <c r="E413" s="116"/>
      <c r="F413" s="116"/>
      <c r="G413" s="123" t="s">
        <v>2044</v>
      </c>
      <c r="H413" s="103" t="s">
        <v>2045</v>
      </c>
      <c r="I413" s="113" t="s">
        <v>41</v>
      </c>
      <c r="J413" s="103" t="s">
        <v>2046</v>
      </c>
      <c r="K413" s="103" t="s">
        <v>2047</v>
      </c>
    </row>
    <row r="414" spans="1:11" ht="14.25" customHeight="1">
      <c r="A414" s="122"/>
      <c r="B414" s="104"/>
      <c r="C414" s="140"/>
      <c r="D414" s="110" t="s">
        <v>2048</v>
      </c>
      <c r="E414" s="110" t="s">
        <v>2049</v>
      </c>
      <c r="F414" s="110" t="s">
        <v>16</v>
      </c>
      <c r="G414" s="123" t="s">
        <v>2050</v>
      </c>
      <c r="H414" s="103" t="s">
        <v>2051</v>
      </c>
      <c r="I414" s="113" t="s">
        <v>41</v>
      </c>
      <c r="J414" s="103" t="s">
        <v>2052</v>
      </c>
      <c r="K414" s="103" t="s">
        <v>2053</v>
      </c>
    </row>
    <row r="415" spans="1:11" ht="14.25" customHeight="1">
      <c r="A415" s="122"/>
      <c r="B415" s="104"/>
      <c r="C415" s="140"/>
      <c r="D415" s="116"/>
      <c r="E415" s="116"/>
      <c r="F415" s="116"/>
      <c r="G415" s="123" t="s">
        <v>2054</v>
      </c>
      <c r="H415" s="103" t="s">
        <v>2055</v>
      </c>
      <c r="I415" s="113" t="s">
        <v>41</v>
      </c>
      <c r="J415" s="103" t="s">
        <v>2056</v>
      </c>
      <c r="K415" s="103" t="s">
        <v>2057</v>
      </c>
    </row>
    <row r="416" spans="1:11" ht="14.25" customHeight="1">
      <c r="A416" s="122"/>
      <c r="B416" s="104"/>
      <c r="C416" s="140"/>
      <c r="D416" s="110" t="s">
        <v>2058</v>
      </c>
      <c r="E416" s="110" t="s">
        <v>2059</v>
      </c>
      <c r="F416" s="110" t="s">
        <v>38</v>
      </c>
      <c r="G416" s="123" t="s">
        <v>2060</v>
      </c>
      <c r="H416" s="103" t="s">
        <v>2061</v>
      </c>
      <c r="I416" s="113" t="s">
        <v>41</v>
      </c>
      <c r="J416" s="103" t="s">
        <v>2062</v>
      </c>
      <c r="K416" s="103" t="s">
        <v>2063</v>
      </c>
    </row>
    <row r="417" spans="1:11" ht="14.25" customHeight="1">
      <c r="A417" s="122"/>
      <c r="B417" s="104"/>
      <c r="C417" s="140"/>
      <c r="D417" s="116"/>
      <c r="E417" s="116"/>
      <c r="F417" s="116"/>
      <c r="G417" s="123" t="s">
        <v>2064</v>
      </c>
      <c r="H417" s="103" t="s">
        <v>2065</v>
      </c>
      <c r="I417" s="113" t="s">
        <v>41</v>
      </c>
      <c r="J417" s="103" t="s">
        <v>2066</v>
      </c>
      <c r="K417" s="103" t="s">
        <v>2067</v>
      </c>
    </row>
    <row r="418" spans="1:11" ht="14.25" customHeight="1">
      <c r="A418" s="122"/>
      <c r="B418" s="104"/>
      <c r="C418" s="140"/>
      <c r="D418" s="110" t="s">
        <v>2068</v>
      </c>
      <c r="E418" s="110" t="s">
        <v>2069</v>
      </c>
      <c r="F418" s="110" t="s">
        <v>38</v>
      </c>
      <c r="G418" s="123" t="s">
        <v>2070</v>
      </c>
      <c r="H418" s="103" t="s">
        <v>2071</v>
      </c>
      <c r="I418" s="113" t="s">
        <v>41</v>
      </c>
      <c r="J418" s="103" t="s">
        <v>2072</v>
      </c>
      <c r="K418" s="103" t="s">
        <v>2073</v>
      </c>
    </row>
    <row r="419" spans="1:11" ht="14.25" customHeight="1">
      <c r="A419" s="122"/>
      <c r="B419" s="104"/>
      <c r="C419" s="140"/>
      <c r="D419" s="116"/>
      <c r="E419" s="116"/>
      <c r="F419" s="116"/>
      <c r="G419" s="123" t="s">
        <v>2074</v>
      </c>
      <c r="H419" s="103" t="s">
        <v>2075</v>
      </c>
      <c r="I419" s="113" t="s">
        <v>41</v>
      </c>
      <c r="J419" s="103" t="s">
        <v>2076</v>
      </c>
      <c r="K419" s="103" t="s">
        <v>2077</v>
      </c>
    </row>
    <row r="420" spans="1:11" ht="14.25" customHeight="1">
      <c r="A420" s="122"/>
      <c r="B420" s="104"/>
      <c r="C420" s="140"/>
      <c r="D420" s="110" t="s">
        <v>2078</v>
      </c>
      <c r="E420" s="110" t="s">
        <v>2079</v>
      </c>
      <c r="F420" s="110" t="s">
        <v>16</v>
      </c>
      <c r="G420" s="123" t="s">
        <v>2080</v>
      </c>
      <c r="H420" s="103" t="s">
        <v>2081</v>
      </c>
      <c r="I420" s="113" t="s">
        <v>41</v>
      </c>
      <c r="J420" s="103" t="s">
        <v>2082</v>
      </c>
      <c r="K420" s="103" t="s">
        <v>2083</v>
      </c>
    </row>
    <row r="421" spans="1:11" ht="14.25" customHeight="1">
      <c r="A421" s="122"/>
      <c r="B421" s="104"/>
      <c r="C421" s="141"/>
      <c r="D421" s="116"/>
      <c r="E421" s="116"/>
      <c r="F421" s="116"/>
      <c r="G421" s="123" t="s">
        <v>2084</v>
      </c>
      <c r="H421" s="103" t="s">
        <v>2085</v>
      </c>
      <c r="I421" s="113" t="s">
        <v>41</v>
      </c>
      <c r="J421" s="103" t="s">
        <v>2086</v>
      </c>
      <c r="K421" s="103" t="s">
        <v>2087</v>
      </c>
    </row>
    <row r="422" spans="1:11" ht="14.25" customHeight="1">
      <c r="A422" s="122"/>
      <c r="B422" s="104"/>
      <c r="C422" s="139" t="s">
        <v>2088</v>
      </c>
      <c r="D422" s="110" t="s">
        <v>2089</v>
      </c>
      <c r="E422" s="110" t="s">
        <v>2090</v>
      </c>
      <c r="F422" s="110" t="s">
        <v>16</v>
      </c>
      <c r="G422" s="123" t="s">
        <v>2091</v>
      </c>
      <c r="H422" s="103" t="s">
        <v>2092</v>
      </c>
      <c r="I422" s="113" t="s">
        <v>41</v>
      </c>
      <c r="J422" s="103" t="s">
        <v>2093</v>
      </c>
      <c r="K422" s="103" t="s">
        <v>2094</v>
      </c>
    </row>
    <row r="423" spans="1:11" ht="14.25" customHeight="1">
      <c r="A423" s="122"/>
      <c r="B423" s="104"/>
      <c r="C423" s="140"/>
      <c r="D423" s="116"/>
      <c r="E423" s="116"/>
      <c r="F423" s="116"/>
      <c r="G423" s="123" t="s">
        <v>2095</v>
      </c>
      <c r="H423" s="103" t="s">
        <v>2096</v>
      </c>
      <c r="I423" s="113" t="s">
        <v>41</v>
      </c>
      <c r="J423" s="103" t="s">
        <v>2097</v>
      </c>
      <c r="K423" s="103" t="s">
        <v>2098</v>
      </c>
    </row>
    <row r="424" spans="1:11" ht="14.25" customHeight="1">
      <c r="A424" s="122"/>
      <c r="B424" s="104"/>
      <c r="C424" s="140"/>
      <c r="D424" s="110" t="s">
        <v>2099</v>
      </c>
      <c r="E424" s="110" t="s">
        <v>2100</v>
      </c>
      <c r="F424" s="110" t="s">
        <v>16</v>
      </c>
      <c r="G424" s="123" t="s">
        <v>2101</v>
      </c>
      <c r="H424" s="103" t="s">
        <v>2102</v>
      </c>
      <c r="I424" s="113" t="s">
        <v>41</v>
      </c>
      <c r="J424" s="103" t="s">
        <v>2103</v>
      </c>
      <c r="K424" s="103" t="s">
        <v>2104</v>
      </c>
    </row>
    <row r="425" spans="1:11" ht="14.25" customHeight="1">
      <c r="A425" s="122"/>
      <c r="B425" s="104"/>
      <c r="C425" s="140"/>
      <c r="D425" s="116"/>
      <c r="E425" s="116"/>
      <c r="F425" s="116"/>
      <c r="G425" s="123" t="s">
        <v>2105</v>
      </c>
      <c r="H425" s="103" t="s">
        <v>2106</v>
      </c>
      <c r="I425" s="113" t="s">
        <v>41</v>
      </c>
      <c r="J425" s="103" t="s">
        <v>2107</v>
      </c>
      <c r="K425" s="103" t="s">
        <v>2108</v>
      </c>
    </row>
    <row r="426" spans="1:11" ht="14.25" customHeight="1">
      <c r="A426" s="122"/>
      <c r="B426" s="104"/>
      <c r="C426" s="140"/>
      <c r="D426" s="110" t="s">
        <v>2109</v>
      </c>
      <c r="E426" s="110" t="s">
        <v>2110</v>
      </c>
      <c r="F426" s="110" t="s">
        <v>16</v>
      </c>
      <c r="G426" s="123" t="s">
        <v>2111</v>
      </c>
      <c r="H426" s="103" t="s">
        <v>2112</v>
      </c>
      <c r="I426" s="113" t="s">
        <v>41</v>
      </c>
      <c r="J426" s="103" t="s">
        <v>2113</v>
      </c>
      <c r="K426" s="103" t="s">
        <v>2114</v>
      </c>
    </row>
    <row r="427" spans="1:11" ht="14.25" customHeight="1">
      <c r="A427" s="122"/>
      <c r="B427" s="104"/>
      <c r="C427" s="140"/>
      <c r="D427" s="116"/>
      <c r="E427" s="116"/>
      <c r="F427" s="116"/>
      <c r="G427" s="123" t="s">
        <v>2115</v>
      </c>
      <c r="H427" s="103" t="s">
        <v>2116</v>
      </c>
      <c r="I427" s="113" t="s">
        <v>41</v>
      </c>
      <c r="J427" s="103" t="s">
        <v>2117</v>
      </c>
      <c r="K427" s="103" t="s">
        <v>2118</v>
      </c>
    </row>
    <row r="428" spans="1:11" ht="14.25" customHeight="1">
      <c r="A428" s="122"/>
      <c r="B428" s="104"/>
      <c r="C428" s="140"/>
      <c r="D428" s="110" t="s">
        <v>2119</v>
      </c>
      <c r="E428" s="110" t="s">
        <v>2120</v>
      </c>
      <c r="F428" s="110" t="s">
        <v>16</v>
      </c>
      <c r="G428" s="123" t="s">
        <v>2121</v>
      </c>
      <c r="H428" s="103" t="s">
        <v>2122</v>
      </c>
      <c r="I428" s="113" t="s">
        <v>41</v>
      </c>
      <c r="J428" s="103" t="s">
        <v>2123</v>
      </c>
      <c r="K428" s="103" t="s">
        <v>2124</v>
      </c>
    </row>
    <row r="429" spans="1:11" ht="14.25" customHeight="1">
      <c r="A429" s="122"/>
      <c r="B429" s="104"/>
      <c r="C429" s="140"/>
      <c r="D429" s="116"/>
      <c r="E429" s="116"/>
      <c r="F429" s="116"/>
      <c r="G429" s="123" t="s">
        <v>2125</v>
      </c>
      <c r="H429" s="103" t="s">
        <v>2126</v>
      </c>
      <c r="I429" s="113" t="s">
        <v>41</v>
      </c>
      <c r="J429" s="103" t="s">
        <v>2127</v>
      </c>
      <c r="K429" s="103" t="s">
        <v>2128</v>
      </c>
    </row>
    <row r="430" spans="1:11" ht="14.25" customHeight="1">
      <c r="A430" s="122"/>
      <c r="B430" s="104"/>
      <c r="C430" s="140"/>
      <c r="D430" s="110" t="s">
        <v>2129</v>
      </c>
      <c r="E430" s="110" t="s">
        <v>2130</v>
      </c>
      <c r="F430" s="110" t="s">
        <v>16</v>
      </c>
      <c r="G430" s="123" t="s">
        <v>2131</v>
      </c>
      <c r="H430" s="103" t="s">
        <v>2132</v>
      </c>
      <c r="I430" s="113" t="s">
        <v>41</v>
      </c>
      <c r="J430" s="103" t="s">
        <v>2133</v>
      </c>
      <c r="K430" s="103" t="s">
        <v>2134</v>
      </c>
    </row>
    <row r="431" spans="1:11" ht="14.25" customHeight="1">
      <c r="A431" s="122"/>
      <c r="B431" s="104"/>
      <c r="C431" s="141"/>
      <c r="D431" s="116"/>
      <c r="E431" s="116"/>
      <c r="F431" s="116"/>
      <c r="G431" s="123" t="s">
        <v>2135</v>
      </c>
      <c r="H431" s="103" t="s">
        <v>2136</v>
      </c>
      <c r="I431" s="113" t="s">
        <v>41</v>
      </c>
      <c r="J431" s="103" t="s">
        <v>2137</v>
      </c>
      <c r="K431" s="103" t="s">
        <v>2138</v>
      </c>
    </row>
    <row r="432" spans="1:11" ht="14.25" customHeight="1">
      <c r="A432" s="122"/>
      <c r="B432" s="104"/>
      <c r="C432" s="139" t="s">
        <v>2139</v>
      </c>
      <c r="D432" s="110" t="s">
        <v>2140</v>
      </c>
      <c r="E432" s="110" t="s">
        <v>2141</v>
      </c>
      <c r="F432" s="110" t="s">
        <v>16</v>
      </c>
      <c r="G432" s="123" t="s">
        <v>2142</v>
      </c>
      <c r="H432" s="103" t="s">
        <v>2143</v>
      </c>
      <c r="I432" s="113" t="s">
        <v>41</v>
      </c>
      <c r="J432" s="103" t="s">
        <v>2144</v>
      </c>
      <c r="K432" s="103" t="s">
        <v>2145</v>
      </c>
    </row>
    <row r="433" spans="1:11" ht="14.25" customHeight="1">
      <c r="A433" s="122"/>
      <c r="B433" s="104"/>
      <c r="C433" s="140"/>
      <c r="D433" s="116"/>
      <c r="E433" s="116"/>
      <c r="F433" s="116"/>
      <c r="G433" s="123" t="s">
        <v>2146</v>
      </c>
      <c r="H433" s="103" t="s">
        <v>2147</v>
      </c>
      <c r="I433" s="113" t="s">
        <v>41</v>
      </c>
      <c r="J433" s="103" t="s">
        <v>2148</v>
      </c>
      <c r="K433" s="103" t="s">
        <v>2149</v>
      </c>
    </row>
    <row r="434" spans="1:11" ht="14.25" customHeight="1">
      <c r="A434" s="122"/>
      <c r="B434" s="104"/>
      <c r="C434" s="140"/>
      <c r="D434" s="110" t="s">
        <v>2150</v>
      </c>
      <c r="E434" s="110" t="s">
        <v>2151</v>
      </c>
      <c r="F434" s="110" t="s">
        <v>16</v>
      </c>
      <c r="G434" s="123" t="s">
        <v>2152</v>
      </c>
      <c r="H434" s="103" t="s">
        <v>2153</v>
      </c>
      <c r="I434" s="113" t="s">
        <v>41</v>
      </c>
      <c r="J434" s="103" t="s">
        <v>2154</v>
      </c>
      <c r="K434" s="103" t="s">
        <v>2155</v>
      </c>
    </row>
    <row r="435" spans="1:11" ht="14.25" customHeight="1">
      <c r="A435" s="122"/>
      <c r="B435" s="104"/>
      <c r="C435" s="140"/>
      <c r="D435" s="116"/>
      <c r="E435" s="116"/>
      <c r="F435" s="116"/>
      <c r="G435" s="123" t="s">
        <v>2156</v>
      </c>
      <c r="H435" s="103" t="s">
        <v>2157</v>
      </c>
      <c r="I435" s="113" t="s">
        <v>41</v>
      </c>
      <c r="J435" s="103" t="s">
        <v>2158</v>
      </c>
      <c r="K435" s="103" t="s">
        <v>2159</v>
      </c>
    </row>
    <row r="436" spans="1:11" ht="14.25" customHeight="1">
      <c r="A436" s="122"/>
      <c r="B436" s="104"/>
      <c r="C436" s="140"/>
      <c r="D436" s="110" t="s">
        <v>2160</v>
      </c>
      <c r="E436" s="110" t="s">
        <v>2161</v>
      </c>
      <c r="F436" s="110" t="s">
        <v>38</v>
      </c>
      <c r="G436" s="123" t="s">
        <v>2162</v>
      </c>
      <c r="H436" s="103" t="s">
        <v>2163</v>
      </c>
      <c r="I436" s="113" t="s">
        <v>41</v>
      </c>
      <c r="J436" s="103" t="s">
        <v>2164</v>
      </c>
      <c r="K436" s="103" t="s">
        <v>2165</v>
      </c>
    </row>
    <row r="437" spans="1:11" ht="14.25" customHeight="1">
      <c r="A437" s="122"/>
      <c r="B437" s="104"/>
      <c r="C437" s="140"/>
      <c r="D437" s="116"/>
      <c r="E437" s="116"/>
      <c r="F437" s="116"/>
      <c r="G437" s="123" t="s">
        <v>2166</v>
      </c>
      <c r="H437" s="103" t="s">
        <v>2167</v>
      </c>
      <c r="I437" s="113" t="s">
        <v>41</v>
      </c>
      <c r="J437" s="103" t="s">
        <v>2168</v>
      </c>
      <c r="K437" s="103" t="s">
        <v>2169</v>
      </c>
    </row>
    <row r="438" spans="1:11" ht="14.25" customHeight="1">
      <c r="A438" s="122"/>
      <c r="B438" s="104"/>
      <c r="C438" s="140"/>
      <c r="D438" s="110" t="s">
        <v>2170</v>
      </c>
      <c r="E438" s="110" t="s">
        <v>2171</v>
      </c>
      <c r="F438" s="110" t="s">
        <v>16</v>
      </c>
      <c r="G438" s="123" t="s">
        <v>2172</v>
      </c>
      <c r="H438" s="103" t="s">
        <v>2173</v>
      </c>
      <c r="I438" s="113" t="s">
        <v>41</v>
      </c>
      <c r="J438" s="103" t="s">
        <v>2174</v>
      </c>
      <c r="K438" s="103" t="s">
        <v>2175</v>
      </c>
    </row>
    <row r="439" spans="1:11" ht="14.25" customHeight="1">
      <c r="A439" s="122"/>
      <c r="B439" s="104"/>
      <c r="C439" s="140"/>
      <c r="D439" s="116"/>
      <c r="E439" s="116"/>
      <c r="F439" s="116"/>
      <c r="G439" s="123" t="s">
        <v>2176</v>
      </c>
      <c r="H439" s="103" t="s">
        <v>2177</v>
      </c>
      <c r="I439" s="113" t="s">
        <v>41</v>
      </c>
      <c r="J439" s="103" t="s">
        <v>2178</v>
      </c>
      <c r="K439" s="103" t="s">
        <v>2179</v>
      </c>
    </row>
    <row r="440" spans="1:11" ht="14.25" customHeight="1">
      <c r="A440" s="122"/>
      <c r="B440" s="104"/>
      <c r="C440" s="140"/>
      <c r="D440" s="110" t="s">
        <v>2180</v>
      </c>
      <c r="E440" s="110" t="s">
        <v>2181</v>
      </c>
      <c r="F440" s="110" t="s">
        <v>16</v>
      </c>
      <c r="G440" s="123" t="s">
        <v>2182</v>
      </c>
      <c r="H440" s="103" t="s">
        <v>2183</v>
      </c>
      <c r="I440" s="113" t="s">
        <v>41</v>
      </c>
      <c r="J440" s="103" t="s">
        <v>2184</v>
      </c>
      <c r="K440" s="103" t="s">
        <v>2185</v>
      </c>
    </row>
    <row r="441" spans="1:11" ht="14.25" customHeight="1">
      <c r="A441" s="122"/>
      <c r="B441" s="104"/>
      <c r="C441" s="141"/>
      <c r="D441" s="116"/>
      <c r="E441" s="116"/>
      <c r="F441" s="116"/>
      <c r="G441" s="123" t="s">
        <v>2186</v>
      </c>
      <c r="H441" s="103" t="s">
        <v>2187</v>
      </c>
      <c r="I441" s="113" t="s">
        <v>41</v>
      </c>
      <c r="J441" s="103" t="s">
        <v>2188</v>
      </c>
      <c r="K441" s="103" t="s">
        <v>2189</v>
      </c>
    </row>
    <row r="442" spans="1:11" ht="14.25" customHeight="1">
      <c r="A442" s="122"/>
      <c r="B442" s="104"/>
      <c r="C442" s="139" t="s">
        <v>2190</v>
      </c>
      <c r="D442" s="110" t="s">
        <v>2191</v>
      </c>
      <c r="E442" s="110" t="s">
        <v>2192</v>
      </c>
      <c r="F442" s="110" t="s">
        <v>38</v>
      </c>
      <c r="G442" s="123" t="s">
        <v>2193</v>
      </c>
      <c r="H442" s="103" t="s">
        <v>2194</v>
      </c>
      <c r="I442" s="113" t="s">
        <v>41</v>
      </c>
      <c r="J442" s="103" t="s">
        <v>2195</v>
      </c>
      <c r="K442" s="103" t="s">
        <v>2196</v>
      </c>
    </row>
    <row r="443" spans="1:11" ht="14.25" customHeight="1">
      <c r="A443" s="122"/>
      <c r="B443" s="104"/>
      <c r="C443" s="140"/>
      <c r="D443" s="116"/>
      <c r="E443" s="116"/>
      <c r="F443" s="116"/>
      <c r="G443" s="123" t="s">
        <v>2197</v>
      </c>
      <c r="H443" s="103" t="s">
        <v>2198</v>
      </c>
      <c r="I443" s="113" t="s">
        <v>41</v>
      </c>
      <c r="J443" s="103" t="s">
        <v>2199</v>
      </c>
      <c r="K443" s="103" t="s">
        <v>2200</v>
      </c>
    </row>
    <row r="444" spans="1:11" ht="14.25" customHeight="1">
      <c r="A444" s="122"/>
      <c r="B444" s="104"/>
      <c r="C444" s="140"/>
      <c r="D444" s="110" t="s">
        <v>2201</v>
      </c>
      <c r="E444" s="110" t="s">
        <v>2202</v>
      </c>
      <c r="F444" s="110" t="s">
        <v>16</v>
      </c>
      <c r="G444" s="123" t="s">
        <v>2203</v>
      </c>
      <c r="H444" s="103" t="s">
        <v>2204</v>
      </c>
      <c r="I444" s="113" t="s">
        <v>41</v>
      </c>
      <c r="J444" s="103" t="s">
        <v>2205</v>
      </c>
      <c r="K444" s="103" t="s">
        <v>2206</v>
      </c>
    </row>
    <row r="445" spans="1:11" ht="14.25" customHeight="1">
      <c r="A445" s="122"/>
      <c r="B445" s="104"/>
      <c r="C445" s="140"/>
      <c r="D445" s="116"/>
      <c r="E445" s="116"/>
      <c r="F445" s="116"/>
      <c r="G445" s="123" t="s">
        <v>2207</v>
      </c>
      <c r="H445" s="103" t="s">
        <v>2208</v>
      </c>
      <c r="I445" s="113" t="s">
        <v>41</v>
      </c>
      <c r="J445" s="103" t="s">
        <v>2209</v>
      </c>
      <c r="K445" s="103" t="s">
        <v>2210</v>
      </c>
    </row>
    <row r="446" spans="1:11" ht="14.25" customHeight="1">
      <c r="A446" s="122"/>
      <c r="B446" s="104"/>
      <c r="C446" s="140"/>
      <c r="D446" s="110" t="s">
        <v>2211</v>
      </c>
      <c r="E446" s="110" t="s">
        <v>2212</v>
      </c>
      <c r="F446" s="110" t="s">
        <v>38</v>
      </c>
      <c r="G446" s="123" t="s">
        <v>2213</v>
      </c>
      <c r="H446" s="103" t="s">
        <v>2214</v>
      </c>
      <c r="I446" s="113" t="s">
        <v>41</v>
      </c>
      <c r="J446" s="103" t="s">
        <v>2215</v>
      </c>
      <c r="K446" s="103" t="s">
        <v>2216</v>
      </c>
    </row>
    <row r="447" spans="1:11" ht="14.25" customHeight="1">
      <c r="A447" s="122"/>
      <c r="B447" s="104"/>
      <c r="C447" s="140"/>
      <c r="D447" s="116"/>
      <c r="E447" s="116"/>
      <c r="F447" s="116"/>
      <c r="G447" s="102" t="s">
        <v>2217</v>
      </c>
      <c r="H447" s="102" t="s">
        <v>2218</v>
      </c>
      <c r="I447" s="113" t="s">
        <v>41</v>
      </c>
      <c r="J447" s="102" t="s">
        <v>2219</v>
      </c>
      <c r="K447" s="102" t="s">
        <v>2220</v>
      </c>
    </row>
    <row r="448" spans="1:11" ht="14.25" customHeight="1">
      <c r="A448" s="122"/>
      <c r="B448" s="104"/>
      <c r="C448" s="140"/>
      <c r="D448" s="110" t="s">
        <v>2221</v>
      </c>
      <c r="E448" s="110" t="s">
        <v>2222</v>
      </c>
      <c r="F448" s="110" t="s">
        <v>16</v>
      </c>
      <c r="G448" s="103" t="s">
        <v>2223</v>
      </c>
      <c r="H448" s="103" t="s">
        <v>2224</v>
      </c>
      <c r="I448" s="137" t="s">
        <v>19</v>
      </c>
      <c r="J448" s="103" t="s">
        <v>2225</v>
      </c>
      <c r="K448" s="103" t="s">
        <v>2226</v>
      </c>
    </row>
    <row r="449" spans="1:11" ht="14.25" customHeight="1">
      <c r="A449" s="122"/>
      <c r="B449" s="104"/>
      <c r="C449" s="140"/>
      <c r="D449" s="116"/>
      <c r="E449" s="116"/>
      <c r="F449" s="116"/>
      <c r="G449" s="103" t="s">
        <v>2227</v>
      </c>
      <c r="H449" s="103" t="s">
        <v>2228</v>
      </c>
      <c r="I449" s="137" t="s">
        <v>19</v>
      </c>
      <c r="J449" s="103" t="s">
        <v>2229</v>
      </c>
      <c r="K449" s="103" t="s">
        <v>2230</v>
      </c>
    </row>
    <row r="450" spans="1:11" ht="14.25" customHeight="1">
      <c r="A450" s="131"/>
      <c r="B450" s="116"/>
      <c r="C450" s="140"/>
      <c r="D450" s="110" t="s">
        <v>2231</v>
      </c>
      <c r="E450" s="110" t="s">
        <v>2232</v>
      </c>
      <c r="F450" s="110" t="s">
        <v>16</v>
      </c>
      <c r="G450" s="103" t="s">
        <v>2233</v>
      </c>
      <c r="H450" s="103" t="s">
        <v>2234</v>
      </c>
      <c r="I450" s="137" t="s">
        <v>19</v>
      </c>
      <c r="J450" s="103" t="s">
        <v>2235</v>
      </c>
      <c r="K450" s="103" t="s">
        <v>2236</v>
      </c>
    </row>
    <row r="451" spans="1:11" ht="14.25" customHeight="1">
      <c r="A451" s="130"/>
      <c r="B451" s="130"/>
      <c r="C451" s="141"/>
      <c r="D451" s="116"/>
      <c r="E451" s="116"/>
      <c r="F451" s="116"/>
      <c r="G451" s="103" t="s">
        <v>2237</v>
      </c>
      <c r="H451" s="103" t="s">
        <v>2238</v>
      </c>
      <c r="I451" s="137" t="s">
        <v>19</v>
      </c>
      <c r="J451" s="103" t="s">
        <v>2235</v>
      </c>
      <c r="K451" s="103" t="s">
        <v>2239</v>
      </c>
    </row>
    <row r="452" spans="1:11" ht="14.25" customHeight="1">
      <c r="A452" s="132" t="s">
        <v>2240</v>
      </c>
      <c r="B452" s="115" t="s">
        <v>2241</v>
      </c>
      <c r="C452" s="139" t="s">
        <v>2242</v>
      </c>
      <c r="D452" s="110" t="s">
        <v>2243</v>
      </c>
      <c r="E452" s="110" t="s">
        <v>2244</v>
      </c>
      <c r="F452" s="110" t="s">
        <v>200</v>
      </c>
      <c r="G452" s="103" t="s">
        <v>2245</v>
      </c>
      <c r="H452" s="103" t="s">
        <v>2246</v>
      </c>
      <c r="I452" s="137" t="s">
        <v>19</v>
      </c>
      <c r="J452" s="103" t="s">
        <v>2247</v>
      </c>
      <c r="K452" s="103" t="s">
        <v>2248</v>
      </c>
    </row>
    <row r="453" spans="1:11" ht="14.25" customHeight="1">
      <c r="A453" s="122"/>
      <c r="B453" s="104"/>
      <c r="C453" s="140"/>
      <c r="D453" s="116"/>
      <c r="E453" s="116"/>
      <c r="F453" s="116"/>
      <c r="G453" s="103" t="s">
        <v>2249</v>
      </c>
      <c r="H453" s="103" t="s">
        <v>2250</v>
      </c>
      <c r="I453" s="137" t="s">
        <v>19</v>
      </c>
      <c r="J453" s="121" t="s">
        <v>2251</v>
      </c>
      <c r="K453" s="103" t="s">
        <v>2252</v>
      </c>
    </row>
    <row r="454" spans="1:11" ht="14.25" customHeight="1">
      <c r="A454" s="122"/>
      <c r="B454" s="104"/>
      <c r="C454" s="140"/>
      <c r="D454" s="110" t="s">
        <v>2253</v>
      </c>
      <c r="E454" s="110" t="s">
        <v>2254</v>
      </c>
      <c r="F454" s="110" t="s">
        <v>200</v>
      </c>
      <c r="G454" s="103" t="s">
        <v>2255</v>
      </c>
      <c r="H454" s="103" t="s">
        <v>2256</v>
      </c>
      <c r="I454" s="137" t="s">
        <v>19</v>
      </c>
      <c r="J454" s="121" t="s">
        <v>2257</v>
      </c>
      <c r="K454" s="103" t="s">
        <v>2258</v>
      </c>
    </row>
    <row r="455" spans="1:11" ht="14.25" customHeight="1">
      <c r="A455" s="122"/>
      <c r="B455" s="104"/>
      <c r="C455" s="140"/>
      <c r="D455" s="116"/>
      <c r="E455" s="116"/>
      <c r="F455" s="116"/>
      <c r="G455" s="103" t="s">
        <v>2259</v>
      </c>
      <c r="H455" s="103" t="s">
        <v>2260</v>
      </c>
      <c r="I455" s="137" t="s">
        <v>19</v>
      </c>
      <c r="J455" s="121" t="s">
        <v>2261</v>
      </c>
      <c r="K455" s="103" t="s">
        <v>2262</v>
      </c>
    </row>
    <row r="456" spans="1:11" ht="14.25" customHeight="1">
      <c r="A456" s="122"/>
      <c r="B456" s="104"/>
      <c r="C456" s="140"/>
      <c r="D456" s="110" t="s">
        <v>2263</v>
      </c>
      <c r="E456" s="110" t="s">
        <v>2264</v>
      </c>
      <c r="F456" s="110" t="s">
        <v>16</v>
      </c>
      <c r="G456" s="103" t="s">
        <v>2265</v>
      </c>
      <c r="H456" s="103" t="s">
        <v>2266</v>
      </c>
      <c r="I456" s="137" t="s">
        <v>19</v>
      </c>
      <c r="J456" s="121" t="s">
        <v>2267</v>
      </c>
      <c r="K456" s="103" t="s">
        <v>2268</v>
      </c>
    </row>
    <row r="457" spans="1:11" ht="14.25" customHeight="1">
      <c r="A457" s="122"/>
      <c r="B457" s="104"/>
      <c r="C457" s="140"/>
      <c r="D457" s="116"/>
      <c r="E457" s="116"/>
      <c r="F457" s="116"/>
      <c r="G457" s="103" t="s">
        <v>2269</v>
      </c>
      <c r="H457" s="103" t="s">
        <v>2270</v>
      </c>
      <c r="I457" s="137" t="s">
        <v>19</v>
      </c>
      <c r="J457" s="121" t="s">
        <v>2271</v>
      </c>
      <c r="K457" s="103" t="s">
        <v>2272</v>
      </c>
    </row>
    <row r="458" spans="1:11" ht="14.25" customHeight="1">
      <c r="A458" s="122"/>
      <c r="B458" s="104"/>
      <c r="C458" s="140"/>
      <c r="D458" s="110" t="s">
        <v>2273</v>
      </c>
      <c r="E458" s="110" t="s">
        <v>2274</v>
      </c>
      <c r="F458" s="110" t="s">
        <v>16</v>
      </c>
      <c r="G458" s="103" t="s">
        <v>2275</v>
      </c>
      <c r="H458" s="103" t="s">
        <v>2276</v>
      </c>
      <c r="I458" s="137" t="s">
        <v>19</v>
      </c>
      <c r="J458" s="121" t="s">
        <v>2277</v>
      </c>
      <c r="K458" s="103" t="s">
        <v>2278</v>
      </c>
    </row>
    <row r="459" spans="1:11" ht="14.25" customHeight="1">
      <c r="A459" s="122"/>
      <c r="B459" s="104"/>
      <c r="C459" s="140"/>
      <c r="D459" s="116"/>
      <c r="E459" s="116"/>
      <c r="F459" s="116"/>
      <c r="G459" s="103" t="s">
        <v>2279</v>
      </c>
      <c r="H459" s="103" t="s">
        <v>2280</v>
      </c>
      <c r="I459" s="137" t="s">
        <v>19</v>
      </c>
      <c r="J459" s="121" t="s">
        <v>2281</v>
      </c>
      <c r="K459" s="103" t="s">
        <v>2282</v>
      </c>
    </row>
    <row r="460" spans="1:11" ht="14.25" customHeight="1">
      <c r="A460" s="122"/>
      <c r="B460" s="104"/>
      <c r="C460" s="140"/>
      <c r="D460" s="110" t="s">
        <v>2283</v>
      </c>
      <c r="E460" s="110" t="s">
        <v>2284</v>
      </c>
      <c r="F460" s="110" t="s">
        <v>38</v>
      </c>
      <c r="G460" s="103" t="s">
        <v>2285</v>
      </c>
      <c r="H460" s="103" t="s">
        <v>2286</v>
      </c>
      <c r="I460" s="137" t="s">
        <v>19</v>
      </c>
      <c r="J460" s="121" t="s">
        <v>2287</v>
      </c>
      <c r="K460" s="103" t="s">
        <v>2288</v>
      </c>
    </row>
    <row r="461" spans="1:11" ht="14.25" customHeight="1">
      <c r="A461" s="122"/>
      <c r="B461" s="104"/>
      <c r="C461" s="141"/>
      <c r="D461" s="116"/>
      <c r="E461" s="116"/>
      <c r="F461" s="116"/>
      <c r="G461" s="103" t="s">
        <v>2289</v>
      </c>
      <c r="H461" s="103" t="s">
        <v>2290</v>
      </c>
      <c r="I461" s="137" t="s">
        <v>19</v>
      </c>
      <c r="J461" s="121" t="s">
        <v>2291</v>
      </c>
      <c r="K461" s="103" t="s">
        <v>2292</v>
      </c>
    </row>
    <row r="462" spans="1:11" ht="14.25" customHeight="1">
      <c r="A462" s="122"/>
      <c r="B462" s="104"/>
      <c r="C462" s="139" t="s">
        <v>2293</v>
      </c>
      <c r="D462" s="110" t="s">
        <v>2294</v>
      </c>
      <c r="E462" s="110" t="s">
        <v>2295</v>
      </c>
      <c r="F462" s="110" t="s">
        <v>38</v>
      </c>
      <c r="G462" s="103" t="s">
        <v>2296</v>
      </c>
      <c r="H462" s="103" t="s">
        <v>2297</v>
      </c>
      <c r="I462" s="137" t="s">
        <v>19</v>
      </c>
      <c r="J462" s="121" t="s">
        <v>2298</v>
      </c>
      <c r="K462" s="103" t="s">
        <v>2299</v>
      </c>
    </row>
    <row r="463" spans="1:11" ht="14.25" customHeight="1">
      <c r="A463" s="122"/>
      <c r="B463" s="104"/>
      <c r="C463" s="140"/>
      <c r="D463" s="116"/>
      <c r="E463" s="116"/>
      <c r="F463" s="116"/>
      <c r="G463" s="103" t="s">
        <v>2300</v>
      </c>
      <c r="H463" s="103" t="s">
        <v>2301</v>
      </c>
      <c r="I463" s="137" t="s">
        <v>19</v>
      </c>
      <c r="J463" s="121" t="s">
        <v>2302</v>
      </c>
      <c r="K463" s="103" t="s">
        <v>2262</v>
      </c>
    </row>
    <row r="464" spans="1:11" ht="14.25" customHeight="1">
      <c r="A464" s="122"/>
      <c r="B464" s="104"/>
      <c r="C464" s="140"/>
      <c r="D464" s="110" t="s">
        <v>2303</v>
      </c>
      <c r="E464" s="110" t="s">
        <v>2304</v>
      </c>
      <c r="F464" s="110" t="s">
        <v>16</v>
      </c>
      <c r="G464" s="103" t="s">
        <v>2305</v>
      </c>
      <c r="H464" s="103" t="s">
        <v>2306</v>
      </c>
      <c r="I464" s="137" t="s">
        <v>19</v>
      </c>
      <c r="J464" s="121" t="s">
        <v>2307</v>
      </c>
      <c r="K464" s="103" t="s">
        <v>2268</v>
      </c>
    </row>
    <row r="465" spans="1:11" ht="14.25" customHeight="1">
      <c r="A465" s="122"/>
      <c r="B465" s="104"/>
      <c r="C465" s="140"/>
      <c r="D465" s="116"/>
      <c r="E465" s="116"/>
      <c r="F465" s="116"/>
      <c r="G465" s="103" t="s">
        <v>2308</v>
      </c>
      <c r="H465" s="103" t="s">
        <v>2309</v>
      </c>
      <c r="I465" s="137" t="s">
        <v>19</v>
      </c>
      <c r="J465" s="121" t="s">
        <v>2310</v>
      </c>
      <c r="K465" s="103" t="s">
        <v>2272</v>
      </c>
    </row>
    <row r="466" spans="1:11" ht="14.25" customHeight="1">
      <c r="A466" s="122"/>
      <c r="B466" s="104"/>
      <c r="C466" s="140"/>
      <c r="D466" s="110" t="s">
        <v>2311</v>
      </c>
      <c r="E466" s="110" t="s">
        <v>2312</v>
      </c>
      <c r="F466" s="110" t="s">
        <v>200</v>
      </c>
      <c r="G466" s="103" t="s">
        <v>2313</v>
      </c>
      <c r="H466" s="103" t="s">
        <v>2314</v>
      </c>
      <c r="I466" s="137" t="s">
        <v>19</v>
      </c>
      <c r="J466" s="121" t="s">
        <v>2315</v>
      </c>
      <c r="K466" s="103" t="s">
        <v>2278</v>
      </c>
    </row>
    <row r="467" spans="1:11" ht="14.25" customHeight="1">
      <c r="A467" s="122"/>
      <c r="B467" s="104"/>
      <c r="C467" s="140"/>
      <c r="D467" s="116"/>
      <c r="E467" s="116"/>
      <c r="F467" s="116"/>
      <c r="G467" s="103" t="s">
        <v>2316</v>
      </c>
      <c r="H467" s="103" t="s">
        <v>2317</v>
      </c>
      <c r="I467" s="137" t="s">
        <v>19</v>
      </c>
      <c r="J467" s="121" t="s">
        <v>2318</v>
      </c>
      <c r="K467" s="103" t="s">
        <v>2282</v>
      </c>
    </row>
    <row r="468" spans="1:11" ht="14.25" customHeight="1">
      <c r="A468" s="122"/>
      <c r="B468" s="104"/>
      <c r="C468" s="140"/>
      <c r="D468" s="110" t="s">
        <v>2319</v>
      </c>
      <c r="E468" s="110" t="s">
        <v>2320</v>
      </c>
      <c r="F468" s="110" t="s">
        <v>16</v>
      </c>
      <c r="G468" s="103" t="s">
        <v>2321</v>
      </c>
      <c r="H468" s="103" t="s">
        <v>2322</v>
      </c>
      <c r="I468" s="137" t="s">
        <v>19</v>
      </c>
      <c r="J468" s="121" t="s">
        <v>2323</v>
      </c>
      <c r="K468" s="103" t="s">
        <v>2288</v>
      </c>
    </row>
    <row r="469" spans="1:11" ht="14.25" customHeight="1">
      <c r="A469" s="122"/>
      <c r="B469" s="104"/>
      <c r="C469" s="140"/>
      <c r="D469" s="116"/>
      <c r="E469" s="116"/>
      <c r="F469" s="116"/>
      <c r="G469" s="103" t="s">
        <v>2324</v>
      </c>
      <c r="H469" s="103" t="s">
        <v>2325</v>
      </c>
      <c r="I469" s="137" t="s">
        <v>19</v>
      </c>
      <c r="J469" s="121" t="s">
        <v>2326</v>
      </c>
      <c r="K469" s="103" t="s">
        <v>2292</v>
      </c>
    </row>
    <row r="470" spans="1:11" ht="14.25" customHeight="1">
      <c r="A470" s="122"/>
      <c r="B470" s="104"/>
      <c r="C470" s="141"/>
      <c r="D470" s="110" t="s">
        <v>2327</v>
      </c>
      <c r="E470" s="110" t="s">
        <v>2328</v>
      </c>
      <c r="F470" s="110" t="s">
        <v>16</v>
      </c>
      <c r="G470" s="103" t="s">
        <v>2329</v>
      </c>
      <c r="H470" s="103" t="s">
        <v>2330</v>
      </c>
      <c r="I470" s="137" t="s">
        <v>19</v>
      </c>
      <c r="J470" s="121" t="s">
        <v>2331</v>
      </c>
      <c r="K470" s="103" t="s">
        <v>2299</v>
      </c>
    </row>
    <row r="471" spans="1:11" ht="14.25" customHeight="1">
      <c r="A471" s="131"/>
      <c r="B471" s="116"/>
      <c r="C471" s="146"/>
      <c r="D471" s="116"/>
      <c r="E471" s="116"/>
      <c r="F471" s="116"/>
      <c r="G471" s="103" t="s">
        <v>2332</v>
      </c>
      <c r="H471" s="103" t="s">
        <v>2333</v>
      </c>
      <c r="I471" s="137" t="s">
        <v>19</v>
      </c>
      <c r="J471" s="121" t="s">
        <v>2334</v>
      </c>
      <c r="K471" s="103" t="s">
        <v>2299</v>
      </c>
    </row>
    <row r="472" spans="1:11" ht="14.25" customHeight="1">
      <c r="A472" s="99"/>
      <c r="B472" s="99"/>
      <c r="C472" s="147" t="s">
        <v>2335</v>
      </c>
      <c r="D472" s="100" t="s">
        <v>2336</v>
      </c>
      <c r="E472" s="100" t="s">
        <v>2337</v>
      </c>
      <c r="F472" s="100" t="s">
        <v>38</v>
      </c>
      <c r="G472" s="100" t="s">
        <v>2338</v>
      </c>
      <c r="H472" s="100" t="s">
        <v>2339</v>
      </c>
      <c r="I472" s="101" t="s">
        <v>33</v>
      </c>
      <c r="J472" s="100" t="s">
        <v>2340</v>
      </c>
      <c r="K472" s="102" t="s">
        <v>2341</v>
      </c>
    </row>
    <row r="473" spans="1:11" ht="14.25" customHeight="1">
      <c r="A473" s="104"/>
      <c r="B473" s="104"/>
      <c r="C473" s="140"/>
      <c r="D473" s="104"/>
      <c r="E473" s="104"/>
      <c r="F473" s="104"/>
      <c r="G473" s="116"/>
      <c r="H473" s="116"/>
      <c r="I473" s="116"/>
      <c r="J473" s="116"/>
      <c r="K473" s="103" t="s">
        <v>2342</v>
      </c>
    </row>
    <row r="474" spans="1:11" ht="14.25" customHeight="1">
      <c r="A474" s="104"/>
      <c r="B474" s="104"/>
      <c r="C474" s="140"/>
      <c r="D474" s="104"/>
      <c r="E474" s="104"/>
      <c r="F474" s="104"/>
      <c r="G474" s="104" t="s">
        <v>2343</v>
      </c>
      <c r="H474" s="104" t="s">
        <v>2344</v>
      </c>
      <c r="I474" s="105" t="s">
        <v>41</v>
      </c>
      <c r="J474" s="104" t="s">
        <v>2345</v>
      </c>
      <c r="K474" s="103" t="s">
        <v>2346</v>
      </c>
    </row>
    <row r="475" spans="1:11" ht="14.25" customHeight="1">
      <c r="A475" s="104"/>
      <c r="B475" s="104"/>
      <c r="C475" s="140"/>
      <c r="D475" s="116"/>
      <c r="E475" s="116"/>
      <c r="F475" s="116"/>
      <c r="G475" s="116"/>
      <c r="H475" s="116"/>
      <c r="I475" s="116"/>
      <c r="J475" s="116"/>
      <c r="K475" s="103" t="s">
        <v>2347</v>
      </c>
    </row>
    <row r="476" spans="1:11" ht="14.25" customHeight="1">
      <c r="A476" s="104"/>
      <c r="B476" s="104"/>
      <c r="C476" s="140"/>
      <c r="D476" s="104" t="s">
        <v>2348</v>
      </c>
      <c r="E476" s="104" t="s">
        <v>2349</v>
      </c>
      <c r="F476" s="104" t="s">
        <v>16</v>
      </c>
      <c r="G476" s="104" t="s">
        <v>2350</v>
      </c>
      <c r="H476" s="104" t="s">
        <v>2351</v>
      </c>
      <c r="I476" s="106" t="s">
        <v>19</v>
      </c>
      <c r="J476" s="104" t="s">
        <v>2352</v>
      </c>
      <c r="K476" s="103" t="s">
        <v>2353</v>
      </c>
    </row>
    <row r="477" spans="1:11" ht="14.25" customHeight="1">
      <c r="A477" s="104"/>
      <c r="B477" s="104"/>
      <c r="C477" s="140"/>
      <c r="D477" s="104"/>
      <c r="E477" s="104"/>
      <c r="F477" s="104"/>
      <c r="G477" s="116"/>
      <c r="H477" s="116"/>
      <c r="I477" s="116"/>
      <c r="J477" s="116"/>
      <c r="K477" s="103" t="s">
        <v>2354</v>
      </c>
    </row>
    <row r="478" spans="1:11" ht="14.25" customHeight="1">
      <c r="A478" s="104"/>
      <c r="B478" s="104"/>
      <c r="C478" s="140"/>
      <c r="D478" s="104"/>
      <c r="E478" s="104"/>
      <c r="F478" s="104"/>
      <c r="G478" s="104" t="s">
        <v>2355</v>
      </c>
      <c r="H478" s="104" t="s">
        <v>2356</v>
      </c>
      <c r="I478" s="105" t="s">
        <v>41</v>
      </c>
      <c r="J478" s="104" t="s">
        <v>2357</v>
      </c>
      <c r="K478" s="103" t="s">
        <v>2358</v>
      </c>
    </row>
    <row r="479" spans="1:11" ht="14.25" customHeight="1">
      <c r="A479" s="104"/>
      <c r="B479" s="104"/>
      <c r="C479" s="140"/>
      <c r="D479" s="116"/>
      <c r="E479" s="116"/>
      <c r="F479" s="116"/>
      <c r="G479" s="116"/>
      <c r="H479" s="116"/>
      <c r="I479" s="116"/>
      <c r="J479" s="116"/>
      <c r="K479" s="103" t="s">
        <v>2359</v>
      </c>
    </row>
    <row r="480" spans="1:11" ht="14.25" customHeight="1">
      <c r="A480" s="104"/>
      <c r="B480" s="104"/>
      <c r="C480" s="140"/>
      <c r="D480" s="104" t="s">
        <v>2360</v>
      </c>
      <c r="E480" s="104" t="s">
        <v>2361</v>
      </c>
      <c r="F480" s="104" t="s">
        <v>38</v>
      </c>
      <c r="G480" s="104" t="s">
        <v>2362</v>
      </c>
      <c r="H480" s="104" t="s">
        <v>2363</v>
      </c>
      <c r="I480" s="105" t="s">
        <v>41</v>
      </c>
      <c r="J480" s="104" t="s">
        <v>2364</v>
      </c>
      <c r="K480" s="103" t="s">
        <v>2365</v>
      </c>
    </row>
    <row r="481" spans="1:11" ht="14.25" customHeight="1">
      <c r="A481" s="104"/>
      <c r="B481" s="104"/>
      <c r="C481" s="140"/>
      <c r="D481" s="104"/>
      <c r="E481" s="104"/>
      <c r="F481" s="104"/>
      <c r="G481" s="116"/>
      <c r="H481" s="116"/>
      <c r="I481" s="116"/>
      <c r="J481" s="116"/>
      <c r="K481" s="103" t="s">
        <v>2366</v>
      </c>
    </row>
    <row r="482" spans="1:11" ht="14.25" customHeight="1">
      <c r="A482" s="104"/>
      <c r="B482" s="104"/>
      <c r="C482" s="140"/>
      <c r="D482" s="104"/>
      <c r="E482" s="104"/>
      <c r="F482" s="104"/>
      <c r="G482" s="104" t="s">
        <v>2367</v>
      </c>
      <c r="H482" s="104" t="s">
        <v>2368</v>
      </c>
      <c r="I482" s="106" t="s">
        <v>19</v>
      </c>
      <c r="J482" s="104" t="s">
        <v>2369</v>
      </c>
      <c r="K482" s="103" t="s">
        <v>2370</v>
      </c>
    </row>
    <row r="483" spans="1:11" ht="14.25" customHeight="1">
      <c r="A483" s="104"/>
      <c r="B483" s="104"/>
      <c r="C483" s="140"/>
      <c r="D483" s="116"/>
      <c r="E483" s="116"/>
      <c r="F483" s="116"/>
      <c r="G483" s="116"/>
      <c r="H483" s="116"/>
      <c r="I483" s="116"/>
      <c r="J483" s="116"/>
      <c r="K483" s="103" t="s">
        <v>2371</v>
      </c>
    </row>
    <row r="484" spans="1:11" ht="14.25" customHeight="1">
      <c r="A484" s="104"/>
      <c r="B484" s="104"/>
      <c r="C484" s="140"/>
      <c r="D484" s="104" t="s">
        <v>2372</v>
      </c>
      <c r="E484" s="104" t="s">
        <v>2373</v>
      </c>
      <c r="F484" s="104" t="s">
        <v>16</v>
      </c>
      <c r="G484" s="104" t="s">
        <v>2374</v>
      </c>
      <c r="H484" s="104" t="s">
        <v>2375</v>
      </c>
      <c r="I484" s="106" t="s">
        <v>19</v>
      </c>
      <c r="J484" s="104" t="s">
        <v>2376</v>
      </c>
      <c r="K484" s="103" t="s">
        <v>2377</v>
      </c>
    </row>
    <row r="485" spans="1:11" ht="14.25" customHeight="1">
      <c r="A485" s="104"/>
      <c r="B485" s="104"/>
      <c r="C485" s="140"/>
      <c r="D485" s="104"/>
      <c r="E485" s="104"/>
      <c r="F485" s="104"/>
      <c r="G485" s="116"/>
      <c r="H485" s="116"/>
      <c r="I485" s="116"/>
      <c r="J485" s="116"/>
      <c r="K485" s="103" t="s">
        <v>2378</v>
      </c>
    </row>
    <row r="486" spans="1:11" ht="14.25" customHeight="1">
      <c r="A486" s="104"/>
      <c r="B486" s="104"/>
      <c r="C486" s="140"/>
      <c r="D486" s="104"/>
      <c r="E486" s="104"/>
      <c r="F486" s="104"/>
      <c r="G486" s="104" t="s">
        <v>2379</v>
      </c>
      <c r="H486" s="104" t="s">
        <v>2380</v>
      </c>
      <c r="I486" s="106" t="s">
        <v>19</v>
      </c>
      <c r="J486" s="104" t="s">
        <v>2381</v>
      </c>
      <c r="K486" s="103" t="s">
        <v>2382</v>
      </c>
    </row>
    <row r="487" spans="1:11" ht="14.25" customHeight="1">
      <c r="A487" s="104"/>
      <c r="B487" s="104"/>
      <c r="C487" s="140"/>
      <c r="D487" s="116"/>
      <c r="E487" s="116"/>
      <c r="F487" s="116"/>
      <c r="G487" s="116"/>
      <c r="H487" s="116"/>
      <c r="I487" s="116"/>
      <c r="J487" s="116"/>
      <c r="K487" s="103" t="s">
        <v>2383</v>
      </c>
    </row>
    <row r="488" spans="1:11" ht="14.25" customHeight="1">
      <c r="A488" s="104"/>
      <c r="B488" s="104"/>
      <c r="C488" s="140"/>
      <c r="D488" s="104" t="s">
        <v>2384</v>
      </c>
      <c r="E488" s="104" t="s">
        <v>2385</v>
      </c>
      <c r="F488" s="104" t="s">
        <v>16</v>
      </c>
      <c r="G488" s="104" t="s">
        <v>2386</v>
      </c>
      <c r="H488" s="104" t="s">
        <v>2387</v>
      </c>
      <c r="I488" s="106" t="s">
        <v>19</v>
      </c>
      <c r="J488" s="104" t="s">
        <v>2388</v>
      </c>
      <c r="K488" s="103" t="s">
        <v>2389</v>
      </c>
    </row>
    <row r="489" spans="1:11" ht="14.25" customHeight="1">
      <c r="A489" s="104"/>
      <c r="B489" s="104"/>
      <c r="C489" s="140"/>
      <c r="D489" s="104"/>
      <c r="E489" s="104"/>
      <c r="F489" s="104"/>
      <c r="G489" s="116"/>
      <c r="H489" s="116"/>
      <c r="I489" s="116"/>
      <c r="J489" s="116"/>
      <c r="K489" s="103" t="s">
        <v>2390</v>
      </c>
    </row>
    <row r="490" spans="1:11" ht="14.25" customHeight="1">
      <c r="A490" s="104"/>
      <c r="B490" s="104"/>
      <c r="C490" s="140"/>
      <c r="D490" s="104"/>
      <c r="E490" s="104"/>
      <c r="F490" s="104"/>
      <c r="G490" s="104" t="s">
        <v>2391</v>
      </c>
      <c r="H490" s="104" t="s">
        <v>2392</v>
      </c>
      <c r="I490" s="106" t="s">
        <v>19</v>
      </c>
      <c r="J490" s="104" t="s">
        <v>2393</v>
      </c>
      <c r="K490" s="103" t="s">
        <v>2394</v>
      </c>
    </row>
    <row r="491" spans="1:11" ht="14.25" customHeight="1">
      <c r="A491" s="104"/>
      <c r="B491" s="104"/>
      <c r="C491" s="141"/>
      <c r="D491" s="116"/>
      <c r="E491" s="116"/>
      <c r="F491" s="116"/>
      <c r="G491" s="116"/>
      <c r="H491" s="116"/>
      <c r="I491" s="116"/>
      <c r="J491" s="116"/>
      <c r="K491" s="103" t="s">
        <v>2395</v>
      </c>
    </row>
    <row r="492" spans="1:11" ht="14.25" customHeight="1">
      <c r="A492" s="104"/>
      <c r="B492" s="104"/>
      <c r="C492" s="148" t="s">
        <v>2396</v>
      </c>
      <c r="D492" s="104" t="s">
        <v>2397</v>
      </c>
      <c r="E492" s="104" t="s">
        <v>2398</v>
      </c>
      <c r="F492" s="104" t="s">
        <v>16</v>
      </c>
      <c r="G492" s="104" t="s">
        <v>2399</v>
      </c>
      <c r="H492" s="104" t="s">
        <v>2400</v>
      </c>
      <c r="I492" s="106" t="s">
        <v>19</v>
      </c>
      <c r="J492" s="104" t="s">
        <v>2401</v>
      </c>
      <c r="K492" s="103" t="s">
        <v>2402</v>
      </c>
    </row>
    <row r="493" spans="1:11" ht="14.25" customHeight="1">
      <c r="A493" s="104"/>
      <c r="B493" s="104"/>
      <c r="C493" s="140"/>
      <c r="D493" s="104"/>
      <c r="E493" s="104"/>
      <c r="F493" s="104"/>
      <c r="G493" s="116"/>
      <c r="H493" s="116"/>
      <c r="I493" s="116"/>
      <c r="J493" s="116"/>
      <c r="K493" s="103" t="s">
        <v>2403</v>
      </c>
    </row>
    <row r="494" spans="1:11" ht="14.25" customHeight="1">
      <c r="A494" s="104"/>
      <c r="B494" s="104"/>
      <c r="C494" s="140"/>
      <c r="D494" s="104"/>
      <c r="E494" s="104"/>
      <c r="F494" s="104"/>
      <c r="G494" s="104" t="s">
        <v>2404</v>
      </c>
      <c r="H494" s="104" t="s">
        <v>2405</v>
      </c>
      <c r="I494" s="106" t="s">
        <v>19</v>
      </c>
      <c r="J494" s="104" t="s">
        <v>2406</v>
      </c>
      <c r="K494" s="103" t="s">
        <v>2407</v>
      </c>
    </row>
    <row r="495" spans="1:11" ht="14.25" customHeight="1">
      <c r="A495" s="104"/>
      <c r="B495" s="104"/>
      <c r="C495" s="140"/>
      <c r="D495" s="116"/>
      <c r="E495" s="116"/>
      <c r="F495" s="116"/>
      <c r="G495" s="116"/>
      <c r="H495" s="116"/>
      <c r="I495" s="116"/>
      <c r="J495" s="116"/>
      <c r="K495" s="103" t="s">
        <v>2408</v>
      </c>
    </row>
    <row r="496" spans="1:11" ht="14.25" customHeight="1">
      <c r="A496" s="104"/>
      <c r="B496" s="104"/>
      <c r="C496" s="140"/>
      <c r="D496" s="104" t="s">
        <v>2409</v>
      </c>
      <c r="E496" s="104" t="s">
        <v>2410</v>
      </c>
      <c r="F496" s="104" t="s">
        <v>16</v>
      </c>
      <c r="G496" s="104" t="s">
        <v>2411</v>
      </c>
      <c r="H496" s="104" t="s">
        <v>2412</v>
      </c>
      <c r="I496" s="106" t="s">
        <v>19</v>
      </c>
      <c r="J496" s="104" t="s">
        <v>2413</v>
      </c>
      <c r="K496" s="103" t="s">
        <v>2414</v>
      </c>
    </row>
    <row r="497" spans="1:11" ht="14.25" customHeight="1">
      <c r="A497" s="104"/>
      <c r="B497" s="104"/>
      <c r="C497" s="140"/>
      <c r="D497" s="104"/>
      <c r="E497" s="104"/>
      <c r="F497" s="104"/>
      <c r="G497" s="116"/>
      <c r="H497" s="116"/>
      <c r="I497" s="116"/>
      <c r="J497" s="116"/>
      <c r="K497" s="103" t="s">
        <v>2415</v>
      </c>
    </row>
    <row r="498" spans="1:11" ht="14.25" customHeight="1">
      <c r="A498" s="104"/>
      <c r="B498" s="104"/>
      <c r="C498" s="140"/>
      <c r="D498" s="104"/>
      <c r="E498" s="104"/>
      <c r="F498" s="104"/>
      <c r="G498" s="104" t="s">
        <v>2416</v>
      </c>
      <c r="H498" s="104" t="s">
        <v>2417</v>
      </c>
      <c r="I498" s="106" t="s">
        <v>19</v>
      </c>
      <c r="J498" s="104" t="s">
        <v>2418</v>
      </c>
      <c r="K498" s="103" t="s">
        <v>2419</v>
      </c>
    </row>
    <row r="499" spans="1:11" ht="14.25" customHeight="1">
      <c r="A499" s="104"/>
      <c r="B499" s="104"/>
      <c r="C499" s="140"/>
      <c r="D499" s="116"/>
      <c r="E499" s="116"/>
      <c r="F499" s="116"/>
      <c r="G499" s="116"/>
      <c r="H499" s="116"/>
      <c r="I499" s="116"/>
      <c r="J499" s="116"/>
      <c r="K499" s="103" t="s">
        <v>2420</v>
      </c>
    </row>
    <row r="500" spans="1:11" ht="14.25" customHeight="1">
      <c r="A500" s="104"/>
      <c r="B500" s="104"/>
      <c r="C500" s="140"/>
      <c r="D500" s="104" t="s">
        <v>2421</v>
      </c>
      <c r="E500" s="104" t="s">
        <v>2422</v>
      </c>
      <c r="F500" s="104" t="s">
        <v>16</v>
      </c>
      <c r="G500" s="104" t="s">
        <v>2423</v>
      </c>
      <c r="H500" s="104" t="s">
        <v>2424</v>
      </c>
      <c r="I500" s="107" t="s">
        <v>41</v>
      </c>
      <c r="J500" s="104" t="s">
        <v>2425</v>
      </c>
      <c r="K500" s="103" t="s">
        <v>2426</v>
      </c>
    </row>
    <row r="501" spans="1:11" ht="14.25" customHeight="1">
      <c r="A501" s="104"/>
      <c r="B501" s="104"/>
      <c r="C501" s="140"/>
      <c r="D501" s="104"/>
      <c r="E501" s="104"/>
      <c r="F501" s="104"/>
      <c r="G501" s="116"/>
      <c r="H501" s="116"/>
      <c r="I501" s="116"/>
      <c r="J501" s="116"/>
      <c r="K501" s="103" t="s">
        <v>2427</v>
      </c>
    </row>
    <row r="502" spans="1:11" ht="14.25" customHeight="1">
      <c r="A502" s="104"/>
      <c r="B502" s="104"/>
      <c r="C502" s="140"/>
      <c r="D502" s="104"/>
      <c r="E502" s="104"/>
      <c r="F502" s="104"/>
      <c r="G502" s="104" t="s">
        <v>2428</v>
      </c>
      <c r="H502" s="104" t="s">
        <v>2429</v>
      </c>
      <c r="I502" s="106" t="s">
        <v>19</v>
      </c>
      <c r="J502" s="104" t="s">
        <v>2430</v>
      </c>
      <c r="K502" s="103" t="s">
        <v>2431</v>
      </c>
    </row>
    <row r="503" spans="1:11" ht="14.25" customHeight="1">
      <c r="A503" s="104"/>
      <c r="B503" s="104"/>
      <c r="C503" s="140"/>
      <c r="D503" s="116"/>
      <c r="E503" s="116"/>
      <c r="F503" s="116"/>
      <c r="G503" s="116"/>
      <c r="H503" s="116"/>
      <c r="I503" s="116"/>
      <c r="J503" s="116"/>
      <c r="K503" s="103" t="s">
        <v>2432</v>
      </c>
    </row>
    <row r="504" spans="1:11" ht="14.25" customHeight="1">
      <c r="A504" s="104"/>
      <c r="B504" s="104"/>
      <c r="C504" s="140"/>
      <c r="D504" s="104" t="s">
        <v>2433</v>
      </c>
      <c r="E504" s="104" t="s">
        <v>2434</v>
      </c>
      <c r="F504" s="104" t="s">
        <v>16</v>
      </c>
      <c r="G504" s="104" t="s">
        <v>2435</v>
      </c>
      <c r="H504" s="104" t="s">
        <v>2436</v>
      </c>
      <c r="I504" s="106" t="s">
        <v>19</v>
      </c>
      <c r="J504" s="104" t="s">
        <v>2437</v>
      </c>
      <c r="K504" s="103" t="s">
        <v>2438</v>
      </c>
    </row>
    <row r="505" spans="1:11" ht="14.25" customHeight="1">
      <c r="A505" s="104"/>
      <c r="B505" s="104"/>
      <c r="C505" s="140"/>
      <c r="D505" s="104"/>
      <c r="E505" s="104"/>
      <c r="F505" s="104"/>
      <c r="G505" s="116"/>
      <c r="H505" s="116"/>
      <c r="I505" s="116"/>
      <c r="J505" s="116"/>
      <c r="K505" s="103" t="s">
        <v>2439</v>
      </c>
    </row>
    <row r="506" spans="1:11" ht="14.25" customHeight="1">
      <c r="A506" s="104"/>
      <c r="B506" s="104"/>
      <c r="C506" s="140"/>
      <c r="D506" s="104"/>
      <c r="E506" s="104"/>
      <c r="F506" s="104"/>
      <c r="G506" s="104" t="s">
        <v>2440</v>
      </c>
      <c r="H506" s="104" t="s">
        <v>2441</v>
      </c>
      <c r="I506" s="106" t="s">
        <v>19</v>
      </c>
      <c r="J506" s="104" t="s">
        <v>2442</v>
      </c>
      <c r="K506" s="103" t="s">
        <v>2443</v>
      </c>
    </row>
    <row r="507" spans="1:11" ht="14.25" customHeight="1">
      <c r="A507" s="104"/>
      <c r="B507" s="104"/>
      <c r="C507" s="140"/>
      <c r="D507" s="116"/>
      <c r="E507" s="116"/>
      <c r="F507" s="116"/>
      <c r="G507" s="116"/>
      <c r="H507" s="116"/>
      <c r="I507" s="116"/>
      <c r="J507" s="116"/>
      <c r="K507" s="103" t="s">
        <v>2444</v>
      </c>
    </row>
    <row r="508" spans="1:11" ht="14.25" customHeight="1">
      <c r="A508" s="104"/>
      <c r="B508" s="104"/>
      <c r="C508" s="140"/>
      <c r="D508" s="104" t="s">
        <v>2445</v>
      </c>
      <c r="E508" s="104" t="s">
        <v>2446</v>
      </c>
      <c r="F508" s="104" t="s">
        <v>16</v>
      </c>
      <c r="G508" s="104" t="s">
        <v>2447</v>
      </c>
      <c r="H508" s="104" t="s">
        <v>2448</v>
      </c>
      <c r="I508" s="107" t="s">
        <v>41</v>
      </c>
      <c r="J508" s="104" t="s">
        <v>2449</v>
      </c>
      <c r="K508" s="103" t="s">
        <v>2450</v>
      </c>
    </row>
    <row r="509" spans="1:11" ht="14.25" customHeight="1">
      <c r="A509" s="104"/>
      <c r="B509" s="104"/>
      <c r="C509" s="140"/>
      <c r="D509" s="104"/>
      <c r="E509" s="104"/>
      <c r="F509" s="104"/>
      <c r="G509" s="116"/>
      <c r="H509" s="116"/>
      <c r="I509" s="116"/>
      <c r="J509" s="116"/>
      <c r="K509" s="103" t="s">
        <v>2451</v>
      </c>
    </row>
    <row r="510" spans="1:11" ht="14.25" customHeight="1">
      <c r="A510" s="104"/>
      <c r="B510" s="104"/>
      <c r="C510" s="140"/>
      <c r="D510" s="104"/>
      <c r="E510" s="104"/>
      <c r="F510" s="104"/>
      <c r="G510" s="104" t="s">
        <v>2452</v>
      </c>
      <c r="H510" s="104" t="s">
        <v>2453</v>
      </c>
      <c r="I510" s="106" t="s">
        <v>19</v>
      </c>
      <c r="J510" s="104" t="s">
        <v>2454</v>
      </c>
      <c r="K510" s="103" t="s">
        <v>2455</v>
      </c>
    </row>
    <row r="511" spans="1:11" ht="14.25" customHeight="1">
      <c r="A511" s="104"/>
      <c r="B511" s="104"/>
      <c r="C511" s="141"/>
      <c r="D511" s="116"/>
      <c r="E511" s="116"/>
      <c r="F511" s="116"/>
      <c r="G511" s="116"/>
      <c r="H511" s="116"/>
      <c r="I511" s="116"/>
      <c r="J511" s="116"/>
      <c r="K511" s="103" t="s">
        <v>2456</v>
      </c>
    </row>
    <row r="512" spans="1:11" ht="14.25" customHeight="1">
      <c r="A512" s="104"/>
      <c r="B512" s="104"/>
      <c r="C512" s="148" t="s">
        <v>2457</v>
      </c>
      <c r="D512" s="104" t="s">
        <v>2458</v>
      </c>
      <c r="E512" s="104" t="s">
        <v>2459</v>
      </c>
      <c r="F512" s="104" t="s">
        <v>16</v>
      </c>
      <c r="G512" s="104" t="s">
        <v>2460</v>
      </c>
      <c r="H512" s="104" t="s">
        <v>2461</v>
      </c>
      <c r="I512" s="108" t="s">
        <v>19</v>
      </c>
      <c r="J512" s="104" t="s">
        <v>2462</v>
      </c>
      <c r="K512" s="103" t="s">
        <v>2463</v>
      </c>
    </row>
    <row r="513" spans="1:11" ht="14.25" customHeight="1">
      <c r="A513" s="104"/>
      <c r="B513" s="104"/>
      <c r="C513" s="140"/>
      <c r="D513" s="104"/>
      <c r="E513" s="104"/>
      <c r="F513" s="104"/>
      <c r="G513" s="116"/>
      <c r="H513" s="116"/>
      <c r="I513" s="116"/>
      <c r="J513" s="116"/>
      <c r="K513" s="103" t="s">
        <v>2464</v>
      </c>
    </row>
    <row r="514" spans="1:11" ht="14.25" customHeight="1">
      <c r="A514" s="104"/>
      <c r="B514" s="104"/>
      <c r="C514" s="140"/>
      <c r="D514" s="104"/>
      <c r="E514" s="104"/>
      <c r="F514" s="104"/>
      <c r="G514" s="104" t="s">
        <v>2465</v>
      </c>
      <c r="H514" s="104" t="s">
        <v>2466</v>
      </c>
      <c r="I514" s="108" t="s">
        <v>19</v>
      </c>
      <c r="J514" s="104" t="s">
        <v>2467</v>
      </c>
      <c r="K514" s="103" t="s">
        <v>2468</v>
      </c>
    </row>
    <row r="515" spans="1:11" ht="14.25" customHeight="1">
      <c r="A515" s="104"/>
      <c r="B515" s="104"/>
      <c r="C515" s="140"/>
      <c r="D515" s="116"/>
      <c r="E515" s="116"/>
      <c r="F515" s="116"/>
      <c r="G515" s="116"/>
      <c r="H515" s="116"/>
      <c r="I515" s="116"/>
      <c r="J515" s="116"/>
      <c r="K515" s="103" t="s">
        <v>2469</v>
      </c>
    </row>
    <row r="516" spans="1:11" ht="14.25" customHeight="1">
      <c r="A516" s="104"/>
      <c r="B516" s="104"/>
      <c r="C516" s="140"/>
      <c r="D516" s="104" t="s">
        <v>2470</v>
      </c>
      <c r="E516" s="104" t="s">
        <v>2471</v>
      </c>
      <c r="F516" s="104" t="s">
        <v>16</v>
      </c>
      <c r="G516" s="104" t="s">
        <v>2472</v>
      </c>
      <c r="H516" s="104" t="s">
        <v>2473</v>
      </c>
      <c r="I516" s="108" t="s">
        <v>19</v>
      </c>
      <c r="J516" s="104" t="s">
        <v>2474</v>
      </c>
      <c r="K516" s="103" t="s">
        <v>2475</v>
      </c>
    </row>
    <row r="517" spans="1:11" ht="14.25" customHeight="1">
      <c r="A517" s="104"/>
      <c r="B517" s="104"/>
      <c r="C517" s="140"/>
      <c r="D517" s="104"/>
      <c r="E517" s="104"/>
      <c r="F517" s="104"/>
      <c r="G517" s="116"/>
      <c r="H517" s="116"/>
      <c r="I517" s="116"/>
      <c r="J517" s="116"/>
      <c r="K517" s="103" t="s">
        <v>2476</v>
      </c>
    </row>
    <row r="518" spans="1:11" ht="14.25" customHeight="1">
      <c r="A518" s="104"/>
      <c r="B518" s="104"/>
      <c r="C518" s="140"/>
      <c r="D518" s="104"/>
      <c r="E518" s="104"/>
      <c r="F518" s="104"/>
      <c r="G518" s="104" t="s">
        <v>2477</v>
      </c>
      <c r="H518" s="104" t="s">
        <v>2478</v>
      </c>
      <c r="I518" s="108" t="s">
        <v>19</v>
      </c>
      <c r="J518" s="104" t="s">
        <v>2479</v>
      </c>
      <c r="K518" s="103" t="s">
        <v>2480</v>
      </c>
    </row>
    <row r="519" spans="1:11" ht="14.25" customHeight="1">
      <c r="A519" s="104"/>
      <c r="B519" s="104"/>
      <c r="C519" s="140"/>
      <c r="D519" s="116"/>
      <c r="E519" s="116"/>
      <c r="F519" s="116"/>
      <c r="G519" s="116"/>
      <c r="H519" s="116"/>
      <c r="I519" s="116"/>
      <c r="J519" s="116"/>
      <c r="K519" s="103" t="s">
        <v>2481</v>
      </c>
    </row>
    <row r="520" spans="1:11" ht="14.25" customHeight="1">
      <c r="A520" s="104"/>
      <c r="B520" s="104"/>
      <c r="C520" s="140"/>
      <c r="D520" s="104" t="s">
        <v>2482</v>
      </c>
      <c r="E520" s="104" t="s">
        <v>2483</v>
      </c>
      <c r="F520" s="104" t="s">
        <v>16</v>
      </c>
      <c r="G520" s="104" t="s">
        <v>2484</v>
      </c>
      <c r="H520" s="104" t="s">
        <v>2485</v>
      </c>
      <c r="I520" s="108" t="s">
        <v>19</v>
      </c>
      <c r="J520" s="104" t="s">
        <v>2486</v>
      </c>
      <c r="K520" s="103" t="s">
        <v>2487</v>
      </c>
    </row>
    <row r="521" spans="1:11" ht="14.25" customHeight="1">
      <c r="A521" s="104"/>
      <c r="B521" s="104"/>
      <c r="C521" s="140"/>
      <c r="D521" s="104"/>
      <c r="E521" s="104"/>
      <c r="F521" s="104"/>
      <c r="G521" s="116"/>
      <c r="H521" s="116"/>
      <c r="I521" s="116"/>
      <c r="J521" s="116"/>
      <c r="K521" s="103" t="s">
        <v>2488</v>
      </c>
    </row>
    <row r="522" spans="1:11" ht="14.25" customHeight="1">
      <c r="A522" s="104"/>
      <c r="B522" s="104"/>
      <c r="C522" s="140"/>
      <c r="D522" s="104"/>
      <c r="E522" s="104"/>
      <c r="F522" s="104"/>
      <c r="G522" s="104" t="s">
        <v>2489</v>
      </c>
      <c r="H522" s="104" t="s">
        <v>2490</v>
      </c>
      <c r="I522" s="108" t="s">
        <v>19</v>
      </c>
      <c r="J522" s="104" t="s">
        <v>2491</v>
      </c>
      <c r="K522" s="103" t="s">
        <v>2492</v>
      </c>
    </row>
    <row r="523" spans="1:11" ht="14.25" customHeight="1">
      <c r="A523" s="104"/>
      <c r="B523" s="104"/>
      <c r="C523" s="140"/>
      <c r="D523" s="116"/>
      <c r="E523" s="116"/>
      <c r="F523" s="116"/>
      <c r="G523" s="116"/>
      <c r="H523" s="116"/>
      <c r="I523" s="116"/>
      <c r="J523" s="116"/>
      <c r="K523" s="103" t="s">
        <v>2493</v>
      </c>
    </row>
    <row r="524" spans="1:11" ht="14.25" customHeight="1">
      <c r="A524" s="104"/>
      <c r="B524" s="104"/>
      <c r="C524" s="140"/>
      <c r="D524" s="104" t="s">
        <v>2494</v>
      </c>
      <c r="E524" s="104" t="s">
        <v>2495</v>
      </c>
      <c r="F524" s="104" t="s">
        <v>16</v>
      </c>
      <c r="G524" s="104" t="s">
        <v>2496</v>
      </c>
      <c r="H524" s="104" t="s">
        <v>2497</v>
      </c>
      <c r="I524" s="108" t="s">
        <v>19</v>
      </c>
      <c r="J524" s="104" t="s">
        <v>2498</v>
      </c>
      <c r="K524" s="103" t="s">
        <v>2499</v>
      </c>
    </row>
    <row r="525" spans="1:11" ht="14.25" customHeight="1">
      <c r="A525" s="104"/>
      <c r="B525" s="104"/>
      <c r="C525" s="140"/>
      <c r="D525" s="104"/>
      <c r="E525" s="104"/>
      <c r="F525" s="104"/>
      <c r="G525" s="116"/>
      <c r="H525" s="116"/>
      <c r="I525" s="116"/>
      <c r="J525" s="116"/>
      <c r="K525" s="103" t="s">
        <v>2500</v>
      </c>
    </row>
    <row r="526" spans="1:11" ht="14.25" customHeight="1">
      <c r="A526" s="104"/>
      <c r="B526" s="104"/>
      <c r="C526" s="140"/>
      <c r="D526" s="104"/>
      <c r="E526" s="104"/>
      <c r="F526" s="104"/>
      <c r="G526" s="104" t="s">
        <v>2501</v>
      </c>
      <c r="H526" s="104" t="s">
        <v>2502</v>
      </c>
      <c r="I526" s="108" t="s">
        <v>19</v>
      </c>
      <c r="J526" s="104" t="s">
        <v>2503</v>
      </c>
      <c r="K526" s="103" t="s">
        <v>2504</v>
      </c>
    </row>
    <row r="527" spans="1:11" ht="14.25" customHeight="1">
      <c r="A527" s="104"/>
      <c r="B527" s="104"/>
      <c r="C527" s="140"/>
      <c r="D527" s="116"/>
      <c r="E527" s="116"/>
      <c r="F527" s="116"/>
      <c r="G527" s="116"/>
      <c r="H527" s="116"/>
      <c r="I527" s="116"/>
      <c r="J527" s="116"/>
      <c r="K527" s="103" t="s">
        <v>2505</v>
      </c>
    </row>
    <row r="528" spans="1:11" ht="14.25" customHeight="1">
      <c r="A528" s="104"/>
      <c r="B528" s="104"/>
      <c r="C528" s="140"/>
      <c r="D528" s="104" t="s">
        <v>2506</v>
      </c>
      <c r="E528" s="104" t="s">
        <v>2507</v>
      </c>
      <c r="F528" s="104" t="s">
        <v>38</v>
      </c>
      <c r="G528" s="104" t="s">
        <v>2508</v>
      </c>
      <c r="H528" s="104" t="s">
        <v>2509</v>
      </c>
      <c r="I528" s="105" t="s">
        <v>41</v>
      </c>
      <c r="J528" s="104" t="s">
        <v>2510</v>
      </c>
      <c r="K528" s="103" t="s">
        <v>2511</v>
      </c>
    </row>
    <row r="529" spans="1:11" ht="14.25" customHeight="1">
      <c r="A529" s="104"/>
      <c r="B529" s="104"/>
      <c r="C529" s="140"/>
      <c r="D529" s="104"/>
      <c r="E529" s="104"/>
      <c r="F529" s="104"/>
      <c r="G529" s="116"/>
      <c r="H529" s="116"/>
      <c r="I529" s="116"/>
      <c r="J529" s="116"/>
      <c r="K529" s="103" t="s">
        <v>2512</v>
      </c>
    </row>
    <row r="530" spans="1:11" ht="14.25" customHeight="1">
      <c r="A530" s="104"/>
      <c r="B530" s="104"/>
      <c r="C530" s="140"/>
      <c r="D530" s="104"/>
      <c r="E530" s="104"/>
      <c r="F530" s="104"/>
      <c r="G530" s="104" t="s">
        <v>2513</v>
      </c>
      <c r="H530" s="104" t="s">
        <v>2514</v>
      </c>
      <c r="I530" s="109" t="s">
        <v>19</v>
      </c>
      <c r="J530" s="104" t="s">
        <v>2515</v>
      </c>
      <c r="K530" s="103" t="s">
        <v>2516</v>
      </c>
    </row>
    <row r="531" spans="1:11" ht="14.25" customHeight="1">
      <c r="A531" s="104"/>
      <c r="B531" s="116"/>
      <c r="C531" s="141"/>
      <c r="D531" s="116"/>
      <c r="E531" s="116"/>
      <c r="F531" s="116"/>
      <c r="G531" s="116"/>
      <c r="H531" s="116"/>
      <c r="I531" s="116"/>
      <c r="J531" s="116"/>
      <c r="K531" s="103" t="s">
        <v>2517</v>
      </c>
    </row>
    <row r="532" spans="1:11" ht="14.25" customHeight="1">
      <c r="A532" s="104"/>
      <c r="B532" s="99" t="s">
        <v>2518</v>
      </c>
      <c r="C532" s="148" t="s">
        <v>2519</v>
      </c>
      <c r="D532" s="104" t="s">
        <v>2520</v>
      </c>
      <c r="E532" s="104" t="s">
        <v>2521</v>
      </c>
      <c r="F532" s="104" t="s">
        <v>16</v>
      </c>
      <c r="G532" s="104" t="s">
        <v>2522</v>
      </c>
      <c r="H532" s="104" t="s">
        <v>2523</v>
      </c>
      <c r="I532" s="109" t="s">
        <v>19</v>
      </c>
      <c r="J532" s="104" t="s">
        <v>2524</v>
      </c>
      <c r="K532" s="103" t="s">
        <v>2525</v>
      </c>
    </row>
    <row r="533" spans="1:11" ht="14.25" customHeight="1">
      <c r="A533" s="104"/>
      <c r="B533" s="104"/>
      <c r="C533" s="140"/>
      <c r="D533" s="104"/>
      <c r="E533" s="104"/>
      <c r="F533" s="104"/>
      <c r="G533" s="116"/>
      <c r="H533" s="116"/>
      <c r="I533" s="116"/>
      <c r="J533" s="116"/>
      <c r="K533" s="103" t="s">
        <v>2526</v>
      </c>
    </row>
    <row r="534" spans="1:11" ht="14.25" customHeight="1">
      <c r="A534" s="104"/>
      <c r="B534" s="104"/>
      <c r="C534" s="140"/>
      <c r="D534" s="104"/>
      <c r="E534" s="104"/>
      <c r="F534" s="104"/>
      <c r="G534" s="104" t="s">
        <v>2527</v>
      </c>
      <c r="H534" s="104" t="s">
        <v>2528</v>
      </c>
      <c r="I534" s="109" t="s">
        <v>19</v>
      </c>
      <c r="J534" s="104" t="s">
        <v>2529</v>
      </c>
      <c r="K534" s="103" t="s">
        <v>2530</v>
      </c>
    </row>
    <row r="535" spans="1:11" ht="14.25" customHeight="1">
      <c r="A535" s="104"/>
      <c r="B535" s="104"/>
      <c r="C535" s="140"/>
      <c r="D535" s="116"/>
      <c r="E535" s="116"/>
      <c r="F535" s="116"/>
      <c r="G535" s="116"/>
      <c r="H535" s="116"/>
      <c r="I535" s="116"/>
      <c r="J535" s="116"/>
      <c r="K535" s="103" t="s">
        <v>2531</v>
      </c>
    </row>
    <row r="536" spans="1:11" ht="14.25" customHeight="1">
      <c r="A536" s="104"/>
      <c r="B536" s="104"/>
      <c r="C536" s="140"/>
      <c r="D536" s="104" t="s">
        <v>2532</v>
      </c>
      <c r="E536" s="104" t="s">
        <v>2533</v>
      </c>
      <c r="F536" s="104" t="s">
        <v>16</v>
      </c>
      <c r="G536" s="104" t="s">
        <v>2534</v>
      </c>
      <c r="H536" s="104" t="s">
        <v>2535</v>
      </c>
      <c r="I536" s="109" t="s">
        <v>19</v>
      </c>
      <c r="J536" s="104" t="s">
        <v>2536</v>
      </c>
      <c r="K536" s="103" t="s">
        <v>2537</v>
      </c>
    </row>
    <row r="537" spans="1:11" ht="14.25" customHeight="1">
      <c r="A537" s="104"/>
      <c r="B537" s="104"/>
      <c r="C537" s="140"/>
      <c r="D537" s="104"/>
      <c r="E537" s="104"/>
      <c r="F537" s="104"/>
      <c r="G537" s="116"/>
      <c r="H537" s="116"/>
      <c r="I537" s="116"/>
      <c r="J537" s="116"/>
      <c r="K537" s="103" t="s">
        <v>2538</v>
      </c>
    </row>
    <row r="538" spans="1:11" ht="14.25" customHeight="1">
      <c r="A538" s="104"/>
      <c r="B538" s="104"/>
      <c r="C538" s="140"/>
      <c r="D538" s="104"/>
      <c r="E538" s="104"/>
      <c r="F538" s="104"/>
      <c r="G538" s="104" t="s">
        <v>2539</v>
      </c>
      <c r="H538" s="104" t="s">
        <v>2540</v>
      </c>
      <c r="I538" s="109" t="s">
        <v>19</v>
      </c>
      <c r="J538" s="104" t="s">
        <v>2541</v>
      </c>
      <c r="K538" s="103" t="s">
        <v>2542</v>
      </c>
    </row>
    <row r="539" spans="1:11" ht="14.25" customHeight="1">
      <c r="A539" s="104"/>
      <c r="B539" s="104"/>
      <c r="C539" s="140"/>
      <c r="D539" s="116"/>
      <c r="E539" s="116"/>
      <c r="F539" s="116"/>
      <c r="G539" s="116"/>
      <c r="H539" s="116"/>
      <c r="I539" s="116"/>
      <c r="J539" s="116"/>
      <c r="K539" s="103" t="s">
        <v>2543</v>
      </c>
    </row>
    <row r="540" spans="1:11" ht="14.25" customHeight="1">
      <c r="A540" s="104"/>
      <c r="B540" s="104"/>
      <c r="C540" s="140"/>
      <c r="D540" s="104" t="s">
        <v>2544</v>
      </c>
      <c r="E540" s="104" t="s">
        <v>2545</v>
      </c>
      <c r="F540" s="104" t="s">
        <v>16</v>
      </c>
      <c r="G540" s="104" t="s">
        <v>2546</v>
      </c>
      <c r="H540" s="104" t="s">
        <v>2547</v>
      </c>
      <c r="I540" s="109" t="s">
        <v>19</v>
      </c>
      <c r="J540" s="104" t="s">
        <v>2548</v>
      </c>
      <c r="K540" s="103" t="s">
        <v>2549</v>
      </c>
    </row>
    <row r="541" spans="1:11" ht="14.25" customHeight="1">
      <c r="A541" s="104"/>
      <c r="B541" s="104"/>
      <c r="C541" s="140"/>
      <c r="D541" s="104"/>
      <c r="E541" s="104"/>
      <c r="F541" s="104"/>
      <c r="G541" s="116"/>
      <c r="H541" s="116"/>
      <c r="I541" s="116"/>
      <c r="J541" s="116"/>
      <c r="K541" s="103" t="s">
        <v>2550</v>
      </c>
    </row>
    <row r="542" spans="1:11" ht="14.25" customHeight="1">
      <c r="A542" s="104"/>
      <c r="B542" s="104"/>
      <c r="C542" s="140"/>
      <c r="D542" s="104"/>
      <c r="E542" s="104"/>
      <c r="F542" s="104"/>
      <c r="G542" s="104" t="s">
        <v>2551</v>
      </c>
      <c r="H542" s="104" t="s">
        <v>2552</v>
      </c>
      <c r="I542" s="109" t="s">
        <v>19</v>
      </c>
      <c r="J542" s="104" t="s">
        <v>2553</v>
      </c>
      <c r="K542" s="103" t="s">
        <v>2554</v>
      </c>
    </row>
    <row r="543" spans="1:11" ht="14.25" customHeight="1">
      <c r="A543" s="104"/>
      <c r="B543" s="104"/>
      <c r="C543" s="140"/>
      <c r="D543" s="116"/>
      <c r="E543" s="116"/>
      <c r="F543" s="116"/>
      <c r="G543" s="116"/>
      <c r="H543" s="116"/>
      <c r="I543" s="116"/>
      <c r="J543" s="116"/>
      <c r="K543" s="103" t="s">
        <v>2555</v>
      </c>
    </row>
    <row r="544" spans="1:11" ht="14.25" customHeight="1">
      <c r="A544" s="104"/>
      <c r="B544" s="104"/>
      <c r="C544" s="140"/>
      <c r="D544" s="104" t="s">
        <v>2556</v>
      </c>
      <c r="E544" s="104" t="s">
        <v>2557</v>
      </c>
      <c r="F544" s="104" t="s">
        <v>16</v>
      </c>
      <c r="G544" s="104" t="s">
        <v>2558</v>
      </c>
      <c r="H544" s="104" t="s">
        <v>2559</v>
      </c>
      <c r="I544" s="109" t="s">
        <v>19</v>
      </c>
      <c r="J544" s="104" t="s">
        <v>2560</v>
      </c>
      <c r="K544" s="103" t="s">
        <v>2561</v>
      </c>
    </row>
    <row r="545" spans="1:11" ht="14.25" customHeight="1">
      <c r="A545" s="104"/>
      <c r="B545" s="104"/>
      <c r="C545" s="140"/>
      <c r="D545" s="104"/>
      <c r="E545" s="104"/>
      <c r="F545" s="104"/>
      <c r="G545" s="116"/>
      <c r="H545" s="116"/>
      <c r="I545" s="116"/>
      <c r="J545" s="116"/>
      <c r="K545" s="103" t="s">
        <v>2562</v>
      </c>
    </row>
    <row r="546" spans="1:11" ht="14.25" customHeight="1">
      <c r="A546" s="104"/>
      <c r="B546" s="104"/>
      <c r="C546" s="140"/>
      <c r="D546" s="104"/>
      <c r="E546" s="104"/>
      <c r="F546" s="104"/>
      <c r="G546" s="104" t="s">
        <v>2563</v>
      </c>
      <c r="H546" s="104" t="s">
        <v>2564</v>
      </c>
      <c r="I546" s="109" t="s">
        <v>19</v>
      </c>
      <c r="J546" s="104" t="s">
        <v>2565</v>
      </c>
      <c r="K546" s="103" t="s">
        <v>2566</v>
      </c>
    </row>
    <row r="547" spans="1:11" ht="14.25" customHeight="1">
      <c r="A547" s="104"/>
      <c r="B547" s="104"/>
      <c r="C547" s="140"/>
      <c r="D547" s="116"/>
      <c r="E547" s="116"/>
      <c r="F547" s="116"/>
      <c r="G547" s="116"/>
      <c r="H547" s="116"/>
      <c r="I547" s="116"/>
      <c r="J547" s="116"/>
      <c r="K547" s="103" t="s">
        <v>2567</v>
      </c>
    </row>
    <row r="548" spans="1:11" ht="14.25" customHeight="1">
      <c r="A548" s="104"/>
      <c r="B548" s="104"/>
      <c r="C548" s="140"/>
      <c r="D548" s="104" t="s">
        <v>2568</v>
      </c>
      <c r="E548" s="104" t="s">
        <v>2569</v>
      </c>
      <c r="F548" s="104" t="s">
        <v>16</v>
      </c>
      <c r="G548" s="104" t="s">
        <v>2570</v>
      </c>
      <c r="H548" s="104" t="s">
        <v>2571</v>
      </c>
      <c r="I548" s="109" t="s">
        <v>19</v>
      </c>
      <c r="J548" s="104" t="s">
        <v>2572</v>
      </c>
      <c r="K548" s="103" t="s">
        <v>2573</v>
      </c>
    </row>
    <row r="549" spans="1:11" ht="14.25" customHeight="1">
      <c r="A549" s="104"/>
      <c r="B549" s="104"/>
      <c r="C549" s="140"/>
      <c r="D549" s="104"/>
      <c r="E549" s="104"/>
      <c r="F549" s="104"/>
      <c r="G549" s="116"/>
      <c r="H549" s="116"/>
      <c r="I549" s="116"/>
      <c r="J549" s="116"/>
      <c r="K549" s="103" t="s">
        <v>2574</v>
      </c>
    </row>
    <row r="550" spans="1:11" ht="14.25" customHeight="1">
      <c r="A550" s="104"/>
      <c r="B550" s="104"/>
      <c r="C550" s="140"/>
      <c r="D550" s="104"/>
      <c r="E550" s="104"/>
      <c r="F550" s="104"/>
      <c r="G550" s="104" t="s">
        <v>2575</v>
      </c>
      <c r="H550" s="104" t="s">
        <v>2576</v>
      </c>
      <c r="I550" s="109" t="s">
        <v>19</v>
      </c>
      <c r="J550" s="104" t="s">
        <v>2577</v>
      </c>
      <c r="K550" s="103" t="s">
        <v>2578</v>
      </c>
    </row>
    <row r="551" spans="1:11" ht="14.25" customHeight="1">
      <c r="A551" s="104"/>
      <c r="B551" s="104"/>
      <c r="C551" s="141"/>
      <c r="D551" s="116"/>
      <c r="E551" s="116"/>
      <c r="F551" s="116"/>
      <c r="G551" s="116"/>
      <c r="H551" s="116"/>
      <c r="I551" s="116"/>
      <c r="J551" s="116"/>
      <c r="K551" s="103" t="s">
        <v>2579</v>
      </c>
    </row>
    <row r="552" spans="1:11" ht="14.25" customHeight="1">
      <c r="A552" s="104"/>
      <c r="B552" s="104"/>
      <c r="C552" s="148" t="s">
        <v>2580</v>
      </c>
      <c r="D552" s="104" t="s">
        <v>2581</v>
      </c>
      <c r="E552" s="104" t="s">
        <v>2582</v>
      </c>
      <c r="F552" s="104" t="s">
        <v>16</v>
      </c>
      <c r="G552" s="104" t="s">
        <v>2583</v>
      </c>
      <c r="H552" s="104" t="s">
        <v>2584</v>
      </c>
      <c r="I552" s="109" t="s">
        <v>19</v>
      </c>
      <c r="J552" s="104" t="s">
        <v>2585</v>
      </c>
      <c r="K552" s="103" t="s">
        <v>2586</v>
      </c>
    </row>
    <row r="553" spans="1:11" ht="14.25" customHeight="1">
      <c r="A553" s="104"/>
      <c r="B553" s="104"/>
      <c r="C553" s="140"/>
      <c r="D553" s="104"/>
      <c r="E553" s="104"/>
      <c r="F553" s="104"/>
      <c r="G553" s="116"/>
      <c r="H553" s="116"/>
      <c r="I553" s="116"/>
      <c r="J553" s="116"/>
      <c r="K553" s="103" t="s">
        <v>2587</v>
      </c>
    </row>
    <row r="554" spans="1:11" ht="14.25" customHeight="1">
      <c r="A554" s="104"/>
      <c r="B554" s="104"/>
      <c r="C554" s="140"/>
      <c r="D554" s="104"/>
      <c r="E554" s="104"/>
      <c r="F554" s="104"/>
      <c r="G554" s="104" t="s">
        <v>2588</v>
      </c>
      <c r="H554" s="104" t="s">
        <v>2589</v>
      </c>
      <c r="I554" s="109" t="s">
        <v>19</v>
      </c>
      <c r="J554" s="104" t="s">
        <v>2590</v>
      </c>
      <c r="K554" s="103" t="s">
        <v>2591</v>
      </c>
    </row>
    <row r="555" spans="1:11" ht="14.25" customHeight="1">
      <c r="A555" s="104"/>
      <c r="B555" s="104"/>
      <c r="C555" s="140"/>
      <c r="D555" s="116"/>
      <c r="E555" s="116"/>
      <c r="F555" s="116"/>
      <c r="G555" s="116"/>
      <c r="H555" s="116"/>
      <c r="I555" s="116"/>
      <c r="J555" s="116"/>
      <c r="K555" s="103" t="s">
        <v>2592</v>
      </c>
    </row>
    <row r="556" spans="1:11" ht="14.25" customHeight="1">
      <c r="A556" s="104"/>
      <c r="B556" s="104"/>
      <c r="C556" s="140"/>
      <c r="D556" s="104" t="s">
        <v>2593</v>
      </c>
      <c r="E556" s="104" t="s">
        <v>2594</v>
      </c>
      <c r="F556" s="104" t="s">
        <v>16</v>
      </c>
      <c r="G556" s="104" t="s">
        <v>2595</v>
      </c>
      <c r="H556" s="104" t="s">
        <v>2596</v>
      </c>
      <c r="I556" s="109" t="s">
        <v>19</v>
      </c>
      <c r="J556" s="104" t="s">
        <v>2597</v>
      </c>
      <c r="K556" s="103" t="s">
        <v>2598</v>
      </c>
    </row>
    <row r="557" spans="1:11" ht="14.25" customHeight="1">
      <c r="A557" s="104"/>
      <c r="B557" s="104"/>
      <c r="C557" s="140"/>
      <c r="D557" s="104"/>
      <c r="E557" s="104"/>
      <c r="F557" s="104"/>
      <c r="G557" s="116"/>
      <c r="H557" s="116"/>
      <c r="I557" s="116"/>
      <c r="J557" s="116"/>
      <c r="K557" s="103" t="s">
        <v>2599</v>
      </c>
    </row>
    <row r="558" spans="1:11" ht="14.25" customHeight="1">
      <c r="A558" s="104"/>
      <c r="B558" s="104"/>
      <c r="C558" s="140"/>
      <c r="D558" s="104"/>
      <c r="E558" s="104"/>
      <c r="F558" s="104"/>
      <c r="G558" s="104" t="s">
        <v>2600</v>
      </c>
      <c r="H558" s="104" t="s">
        <v>2601</v>
      </c>
      <c r="I558" s="109" t="s">
        <v>19</v>
      </c>
      <c r="J558" s="104" t="s">
        <v>2602</v>
      </c>
      <c r="K558" s="103" t="s">
        <v>2603</v>
      </c>
    </row>
    <row r="559" spans="1:11" ht="14.25" customHeight="1">
      <c r="A559" s="104"/>
      <c r="B559" s="104"/>
      <c r="C559" s="140"/>
      <c r="D559" s="116"/>
      <c r="E559" s="116"/>
      <c r="F559" s="116"/>
      <c r="G559" s="116"/>
      <c r="H559" s="116"/>
      <c r="I559" s="116"/>
      <c r="J559" s="116"/>
      <c r="K559" s="103" t="s">
        <v>2604</v>
      </c>
    </row>
    <row r="560" spans="1:11" ht="14.25" customHeight="1">
      <c r="A560" s="104"/>
      <c r="B560" s="104"/>
      <c r="C560" s="140"/>
      <c r="D560" s="104" t="s">
        <v>2605</v>
      </c>
      <c r="E560" s="104" t="s">
        <v>2606</v>
      </c>
      <c r="F560" s="104" t="s">
        <v>16</v>
      </c>
      <c r="G560" s="104" t="s">
        <v>2607</v>
      </c>
      <c r="H560" s="104" t="s">
        <v>2608</v>
      </c>
      <c r="I560" s="109" t="s">
        <v>19</v>
      </c>
      <c r="J560" s="104" t="s">
        <v>2609</v>
      </c>
      <c r="K560" s="103" t="s">
        <v>2610</v>
      </c>
    </row>
    <row r="561" spans="1:11" ht="14.25" customHeight="1">
      <c r="A561" s="104"/>
      <c r="B561" s="104"/>
      <c r="C561" s="140"/>
      <c r="D561" s="104"/>
      <c r="E561" s="104"/>
      <c r="F561" s="104"/>
      <c r="G561" s="104"/>
      <c r="H561" s="116"/>
      <c r="I561" s="116"/>
      <c r="J561" s="116"/>
      <c r="K561" s="103" t="s">
        <v>2611</v>
      </c>
    </row>
    <row r="562" spans="1:11" ht="14.25" customHeight="1">
      <c r="A562" s="104"/>
      <c r="B562" s="104"/>
      <c r="C562" s="140"/>
      <c r="D562" s="104"/>
      <c r="E562" s="104"/>
      <c r="F562" s="104"/>
      <c r="G562" s="104" t="s">
        <v>2612</v>
      </c>
      <c r="H562" s="104" t="s">
        <v>2613</v>
      </c>
      <c r="I562" s="109" t="s">
        <v>19</v>
      </c>
      <c r="J562" s="104" t="s">
        <v>2614</v>
      </c>
      <c r="K562" s="103" t="s">
        <v>2615</v>
      </c>
    </row>
    <row r="563" spans="1:11" ht="14.25" customHeight="1">
      <c r="A563" s="104"/>
      <c r="B563" s="104"/>
      <c r="C563" s="140"/>
      <c r="D563" s="116"/>
      <c r="E563" s="116"/>
      <c r="F563" s="116"/>
      <c r="G563" s="116"/>
      <c r="H563" s="116"/>
      <c r="I563" s="116"/>
      <c r="J563" s="116"/>
      <c r="K563" s="103" t="s">
        <v>2616</v>
      </c>
    </row>
    <row r="564" spans="1:11" ht="14.25" customHeight="1">
      <c r="A564" s="104"/>
      <c r="B564" s="104"/>
      <c r="C564" s="140"/>
      <c r="D564" s="104" t="s">
        <v>2617</v>
      </c>
      <c r="E564" s="104" t="s">
        <v>2618</v>
      </c>
      <c r="F564" s="104" t="s">
        <v>16</v>
      </c>
      <c r="G564" s="104" t="s">
        <v>2619</v>
      </c>
      <c r="H564" s="104" t="s">
        <v>2620</v>
      </c>
      <c r="I564" s="109" t="s">
        <v>19</v>
      </c>
      <c r="J564" s="104" t="s">
        <v>2621</v>
      </c>
      <c r="K564" s="103" t="s">
        <v>2622</v>
      </c>
    </row>
    <row r="565" spans="1:11" ht="14.25" customHeight="1">
      <c r="A565" s="104"/>
      <c r="B565" s="104"/>
      <c r="C565" s="140"/>
      <c r="D565" s="104"/>
      <c r="E565" s="104"/>
      <c r="F565" s="104"/>
      <c r="G565" s="116"/>
      <c r="H565" s="116"/>
      <c r="I565" s="116"/>
      <c r="J565" s="116"/>
      <c r="K565" s="103" t="s">
        <v>2623</v>
      </c>
    </row>
    <row r="566" spans="1:11" ht="14.25" customHeight="1">
      <c r="A566" s="104"/>
      <c r="B566" s="104"/>
      <c r="C566" s="140"/>
      <c r="D566" s="104"/>
      <c r="E566" s="104"/>
      <c r="F566" s="104"/>
      <c r="G566" s="104" t="s">
        <v>2624</v>
      </c>
      <c r="H566" s="104" t="s">
        <v>2625</v>
      </c>
      <c r="I566" s="109" t="s">
        <v>19</v>
      </c>
      <c r="J566" s="104" t="s">
        <v>2626</v>
      </c>
      <c r="K566" s="103" t="s">
        <v>2627</v>
      </c>
    </row>
    <row r="567" spans="1:11" ht="14.25" customHeight="1">
      <c r="A567" s="104"/>
      <c r="B567" s="104"/>
      <c r="C567" s="140"/>
      <c r="D567" s="116"/>
      <c r="E567" s="116"/>
      <c r="F567" s="116"/>
      <c r="G567" s="116"/>
      <c r="H567" s="116"/>
      <c r="I567" s="116"/>
      <c r="J567" s="116"/>
      <c r="K567" s="103" t="s">
        <v>2628</v>
      </c>
    </row>
    <row r="568" spans="1:11" ht="14.25" customHeight="1">
      <c r="A568" s="104"/>
      <c r="B568" s="104"/>
      <c r="C568" s="140"/>
      <c r="D568" s="104" t="s">
        <v>2629</v>
      </c>
      <c r="E568" s="104" t="s">
        <v>2630</v>
      </c>
      <c r="F568" s="104" t="s">
        <v>16</v>
      </c>
      <c r="G568" s="104" t="s">
        <v>2631</v>
      </c>
      <c r="H568" s="104" t="s">
        <v>2632</v>
      </c>
      <c r="I568" s="105" t="s">
        <v>41</v>
      </c>
      <c r="J568" s="104" t="s">
        <v>2633</v>
      </c>
      <c r="K568" s="103" t="s">
        <v>2634</v>
      </c>
    </row>
    <row r="569" spans="1:11" ht="14.25" customHeight="1">
      <c r="A569" s="104"/>
      <c r="B569" s="104"/>
      <c r="C569" s="140"/>
      <c r="D569" s="104"/>
      <c r="E569" s="104"/>
      <c r="F569" s="104"/>
      <c r="G569" s="116"/>
      <c r="H569" s="116"/>
      <c r="I569" s="116"/>
      <c r="J569" s="116"/>
      <c r="K569" s="103" t="s">
        <v>2635</v>
      </c>
    </row>
    <row r="570" spans="1:11" ht="14.25" customHeight="1">
      <c r="A570" s="104"/>
      <c r="B570" s="104"/>
      <c r="C570" s="140"/>
      <c r="D570" s="104"/>
      <c r="E570" s="104"/>
      <c r="F570" s="104"/>
      <c r="G570" s="104" t="s">
        <v>2636</v>
      </c>
      <c r="H570" s="104" t="s">
        <v>2637</v>
      </c>
      <c r="I570" s="105" t="s">
        <v>41</v>
      </c>
      <c r="J570" s="104" t="s">
        <v>2638</v>
      </c>
      <c r="K570" s="103" t="s">
        <v>2639</v>
      </c>
    </row>
    <row r="571" spans="1:11" ht="14.25" customHeight="1">
      <c r="A571" s="104"/>
      <c r="B571" s="104"/>
      <c r="C571" s="141"/>
      <c r="D571" s="116"/>
      <c r="E571" s="116"/>
      <c r="F571" s="116"/>
      <c r="G571" s="116"/>
      <c r="H571" s="116"/>
      <c r="I571" s="116"/>
      <c r="J571" s="116"/>
      <c r="K571" s="103" t="s">
        <v>2640</v>
      </c>
    </row>
    <row r="572" spans="1:11" ht="14.25" customHeight="1">
      <c r="A572" s="104"/>
      <c r="B572" s="104"/>
      <c r="C572" s="148" t="s">
        <v>2641</v>
      </c>
      <c r="D572" s="104" t="s">
        <v>2336</v>
      </c>
      <c r="E572" s="104" t="s">
        <v>2337</v>
      </c>
      <c r="F572" s="104" t="s">
        <v>16</v>
      </c>
      <c r="G572" s="104" t="s">
        <v>2642</v>
      </c>
      <c r="H572" s="104" t="s">
        <v>2643</v>
      </c>
      <c r="I572" s="105" t="s">
        <v>41</v>
      </c>
      <c r="J572" s="104" t="s">
        <v>2644</v>
      </c>
      <c r="K572" s="103" t="s">
        <v>2645</v>
      </c>
    </row>
    <row r="573" spans="1:11" ht="14.25" customHeight="1">
      <c r="A573" s="104"/>
      <c r="B573" s="104"/>
      <c r="C573" s="140"/>
      <c r="D573" s="104"/>
      <c r="E573" s="104"/>
      <c r="F573" s="104"/>
      <c r="G573" s="116"/>
      <c r="H573" s="116"/>
      <c r="I573" s="116"/>
      <c r="J573" s="116"/>
      <c r="K573" s="103" t="s">
        <v>2646</v>
      </c>
    </row>
    <row r="574" spans="1:11" ht="14.25" customHeight="1">
      <c r="A574" s="104"/>
      <c r="B574" s="104"/>
      <c r="C574" s="140"/>
      <c r="D574" s="104"/>
      <c r="E574" s="104"/>
      <c r="F574" s="104"/>
      <c r="G574" s="104" t="s">
        <v>2647</v>
      </c>
      <c r="H574" s="104" t="s">
        <v>2648</v>
      </c>
      <c r="I574" s="105" t="s">
        <v>41</v>
      </c>
      <c r="J574" s="104" t="s">
        <v>2649</v>
      </c>
      <c r="K574" s="103" t="s">
        <v>2650</v>
      </c>
    </row>
    <row r="575" spans="1:11" ht="14.25" customHeight="1">
      <c r="A575" s="104"/>
      <c r="B575" s="104"/>
      <c r="C575" s="140"/>
      <c r="D575" s="116"/>
      <c r="E575" s="116"/>
      <c r="F575" s="116"/>
      <c r="G575" s="116"/>
      <c r="H575" s="116"/>
      <c r="I575" s="116"/>
      <c r="J575" s="116"/>
      <c r="K575" s="103" t="s">
        <v>2651</v>
      </c>
    </row>
    <row r="576" spans="1:11" ht="14.25" customHeight="1">
      <c r="A576" s="104"/>
      <c r="B576" s="104"/>
      <c r="C576" s="140"/>
      <c r="D576" s="104" t="s">
        <v>2348</v>
      </c>
      <c r="E576" s="104" t="s">
        <v>2349</v>
      </c>
      <c r="F576" s="104" t="s">
        <v>16</v>
      </c>
      <c r="G576" s="104" t="s">
        <v>2652</v>
      </c>
      <c r="H576" s="104" t="s">
        <v>2653</v>
      </c>
      <c r="I576" s="105" t="s">
        <v>41</v>
      </c>
      <c r="J576" s="104" t="s">
        <v>2654</v>
      </c>
      <c r="K576" s="103" t="s">
        <v>2655</v>
      </c>
    </row>
    <row r="577" spans="1:11" ht="14.25" customHeight="1">
      <c r="A577" s="104"/>
      <c r="B577" s="104"/>
      <c r="C577" s="140"/>
      <c r="D577" s="104"/>
      <c r="E577" s="104"/>
      <c r="F577" s="104"/>
      <c r="G577" s="116"/>
      <c r="H577" s="116"/>
      <c r="I577" s="116"/>
      <c r="J577" s="116"/>
      <c r="K577" s="103" t="s">
        <v>2656</v>
      </c>
    </row>
    <row r="578" spans="1:11" ht="14.25" customHeight="1">
      <c r="A578" s="104"/>
      <c r="B578" s="104"/>
      <c r="C578" s="140"/>
      <c r="D578" s="104"/>
      <c r="E578" s="104"/>
      <c r="F578" s="104"/>
      <c r="G578" s="104" t="s">
        <v>2657</v>
      </c>
      <c r="H578" s="104" t="s">
        <v>2658</v>
      </c>
      <c r="I578" s="105" t="s">
        <v>41</v>
      </c>
      <c r="J578" s="104" t="s">
        <v>2659</v>
      </c>
      <c r="K578" s="103" t="s">
        <v>2660</v>
      </c>
    </row>
    <row r="579" spans="1:11" ht="14.25" customHeight="1">
      <c r="A579" s="104"/>
      <c r="B579" s="104"/>
      <c r="C579" s="140"/>
      <c r="D579" s="116"/>
      <c r="E579" s="116"/>
      <c r="F579" s="116"/>
      <c r="G579" s="116"/>
      <c r="H579" s="116"/>
      <c r="I579" s="116"/>
      <c r="J579" s="116"/>
      <c r="K579" s="103" t="s">
        <v>2661</v>
      </c>
    </row>
    <row r="580" spans="1:11" ht="14.25" customHeight="1">
      <c r="A580" s="104"/>
      <c r="B580" s="104"/>
      <c r="C580" s="140"/>
      <c r="D580" s="104" t="s">
        <v>2360</v>
      </c>
      <c r="E580" s="104" t="s">
        <v>2361</v>
      </c>
      <c r="F580" s="104" t="s">
        <v>38</v>
      </c>
      <c r="G580" s="104" t="s">
        <v>2662</v>
      </c>
      <c r="H580" s="104" t="s">
        <v>2663</v>
      </c>
      <c r="I580" s="105" t="s">
        <v>41</v>
      </c>
      <c r="J580" s="104" t="s">
        <v>2664</v>
      </c>
      <c r="K580" s="103" t="s">
        <v>2665</v>
      </c>
    </row>
    <row r="581" spans="1:11" ht="14.25" customHeight="1">
      <c r="A581" s="104"/>
      <c r="B581" s="104"/>
      <c r="C581" s="140"/>
      <c r="D581" s="104"/>
      <c r="E581" s="104"/>
      <c r="F581" s="104"/>
      <c r="G581" s="116"/>
      <c r="H581" s="116"/>
      <c r="I581" s="116"/>
      <c r="J581" s="116"/>
      <c r="K581" s="103" t="s">
        <v>2666</v>
      </c>
    </row>
    <row r="582" spans="1:11" ht="14.25" customHeight="1">
      <c r="A582" s="104"/>
      <c r="B582" s="104"/>
      <c r="C582" s="140"/>
      <c r="D582" s="104"/>
      <c r="E582" s="104"/>
      <c r="F582" s="104"/>
      <c r="G582" s="104" t="s">
        <v>2667</v>
      </c>
      <c r="H582" s="104" t="s">
        <v>2668</v>
      </c>
      <c r="I582" s="105" t="s">
        <v>41</v>
      </c>
      <c r="J582" s="104" t="s">
        <v>2669</v>
      </c>
      <c r="K582" s="103" t="s">
        <v>2670</v>
      </c>
    </row>
    <row r="583" spans="1:11" ht="14.25" customHeight="1">
      <c r="A583" s="104"/>
      <c r="B583" s="104"/>
      <c r="C583" s="140"/>
      <c r="D583" s="116"/>
      <c r="E583" s="116"/>
      <c r="F583" s="116"/>
      <c r="G583" s="116"/>
      <c r="H583" s="116"/>
      <c r="I583" s="116"/>
      <c r="J583" s="116"/>
      <c r="K583" s="103" t="s">
        <v>2671</v>
      </c>
    </row>
    <row r="584" spans="1:11" ht="14.25" customHeight="1">
      <c r="A584" s="104"/>
      <c r="B584" s="104"/>
      <c r="C584" s="140"/>
      <c r="D584" s="104" t="s">
        <v>2372</v>
      </c>
      <c r="E584" s="104" t="s">
        <v>2373</v>
      </c>
      <c r="F584" s="104" t="s">
        <v>16</v>
      </c>
      <c r="G584" s="104" t="s">
        <v>2672</v>
      </c>
      <c r="H584" s="104" t="s">
        <v>2673</v>
      </c>
      <c r="I584" s="105" t="s">
        <v>41</v>
      </c>
      <c r="J584" s="104" t="s">
        <v>2674</v>
      </c>
      <c r="K584" s="103" t="s">
        <v>2675</v>
      </c>
    </row>
    <row r="585" spans="1:11" ht="14.25" customHeight="1">
      <c r="A585" s="104"/>
      <c r="B585" s="104"/>
      <c r="C585" s="140"/>
      <c r="D585" s="104"/>
      <c r="E585" s="104"/>
      <c r="F585" s="104"/>
      <c r="G585" s="116"/>
      <c r="H585" s="116"/>
      <c r="I585" s="116"/>
      <c r="J585" s="116"/>
      <c r="K585" s="103" t="s">
        <v>2676</v>
      </c>
    </row>
    <row r="586" spans="1:11" ht="14.25" customHeight="1">
      <c r="A586" s="104"/>
      <c r="B586" s="104"/>
      <c r="C586" s="140"/>
      <c r="D586" s="104"/>
      <c r="E586" s="104"/>
      <c r="F586" s="104"/>
      <c r="G586" s="104" t="s">
        <v>2677</v>
      </c>
      <c r="H586" s="104" t="s">
        <v>2678</v>
      </c>
      <c r="I586" s="105" t="s">
        <v>41</v>
      </c>
      <c r="J586" s="104" t="s">
        <v>2679</v>
      </c>
      <c r="K586" s="103" t="s">
        <v>2680</v>
      </c>
    </row>
    <row r="587" spans="1:11" ht="14.25" customHeight="1">
      <c r="A587" s="104"/>
      <c r="B587" s="104"/>
      <c r="C587" s="140"/>
      <c r="D587" s="116"/>
      <c r="E587" s="116"/>
      <c r="F587" s="116"/>
      <c r="G587" s="116"/>
      <c r="H587" s="116"/>
      <c r="I587" s="116"/>
      <c r="J587" s="116"/>
      <c r="K587" s="103" t="s">
        <v>2681</v>
      </c>
    </row>
    <row r="588" spans="1:11" ht="14.25" customHeight="1">
      <c r="A588" s="104"/>
      <c r="B588" s="104"/>
      <c r="C588" s="140"/>
      <c r="D588" s="104" t="s">
        <v>2384</v>
      </c>
      <c r="E588" s="104" t="s">
        <v>2385</v>
      </c>
      <c r="F588" s="104" t="s">
        <v>16</v>
      </c>
      <c r="G588" s="104" t="s">
        <v>2682</v>
      </c>
      <c r="H588" s="104" t="s">
        <v>2683</v>
      </c>
      <c r="I588" s="105" t="s">
        <v>41</v>
      </c>
      <c r="J588" s="104" t="s">
        <v>2684</v>
      </c>
      <c r="K588" s="103" t="s">
        <v>2685</v>
      </c>
    </row>
    <row r="589" spans="1:11" ht="14.25" customHeight="1">
      <c r="A589" s="104"/>
      <c r="B589" s="104"/>
      <c r="C589" s="140"/>
      <c r="D589" s="104"/>
      <c r="E589" s="104"/>
      <c r="F589" s="104"/>
      <c r="G589" s="116"/>
      <c r="H589" s="116"/>
      <c r="I589" s="116"/>
      <c r="J589" s="116"/>
      <c r="K589" s="103" t="s">
        <v>2686</v>
      </c>
    </row>
    <row r="590" spans="1:11" ht="14.25" customHeight="1">
      <c r="A590" s="104"/>
      <c r="B590" s="104"/>
      <c r="C590" s="140"/>
      <c r="D590" s="104"/>
      <c r="E590" s="104"/>
      <c r="F590" s="104"/>
      <c r="G590" s="104" t="s">
        <v>2687</v>
      </c>
      <c r="H590" s="104" t="s">
        <v>2688</v>
      </c>
      <c r="I590" s="105" t="s">
        <v>41</v>
      </c>
      <c r="J590" s="104" t="s">
        <v>2689</v>
      </c>
      <c r="K590" s="103" t="s">
        <v>2690</v>
      </c>
    </row>
    <row r="591" spans="1:11" ht="14.25" customHeight="1">
      <c r="A591" s="104"/>
      <c r="B591" s="104"/>
      <c r="C591" s="141"/>
      <c r="D591" s="116"/>
      <c r="E591" s="116"/>
      <c r="F591" s="116"/>
      <c r="G591" s="116"/>
      <c r="H591" s="116"/>
      <c r="I591" s="116"/>
      <c r="J591" s="116"/>
      <c r="K591" s="103" t="s">
        <v>2691</v>
      </c>
    </row>
    <row r="592" spans="1:11" ht="14.25" customHeight="1">
      <c r="A592" s="104"/>
      <c r="B592" s="104"/>
      <c r="C592" s="148" t="s">
        <v>2692</v>
      </c>
      <c r="D592" s="104" t="s">
        <v>2409</v>
      </c>
      <c r="E592" s="104" t="s">
        <v>2410</v>
      </c>
      <c r="F592" s="104" t="s">
        <v>16</v>
      </c>
      <c r="G592" s="104" t="s">
        <v>2693</v>
      </c>
      <c r="H592" s="104" t="s">
        <v>2694</v>
      </c>
      <c r="I592" s="106" t="s">
        <v>19</v>
      </c>
      <c r="J592" s="104" t="s">
        <v>2393</v>
      </c>
      <c r="K592" s="103" t="s">
        <v>2695</v>
      </c>
    </row>
    <row r="593" spans="1:11" ht="14.25" customHeight="1">
      <c r="A593" s="104"/>
      <c r="B593" s="104"/>
      <c r="C593" s="140"/>
      <c r="D593" s="104"/>
      <c r="E593" s="104"/>
      <c r="F593" s="104"/>
      <c r="G593" s="116"/>
      <c r="H593" s="116"/>
      <c r="I593" s="116"/>
      <c r="J593" s="116"/>
      <c r="K593" s="103" t="s">
        <v>2696</v>
      </c>
    </row>
    <row r="594" spans="1:11" ht="14.25" customHeight="1">
      <c r="A594" s="104"/>
      <c r="B594" s="104"/>
      <c r="C594" s="140"/>
      <c r="D594" s="104"/>
      <c r="E594" s="104"/>
      <c r="F594" s="104"/>
      <c r="G594" s="104" t="s">
        <v>2697</v>
      </c>
      <c r="H594" s="104" t="s">
        <v>2698</v>
      </c>
      <c r="I594" s="106" t="s">
        <v>19</v>
      </c>
      <c r="J594" s="104" t="s">
        <v>2699</v>
      </c>
      <c r="K594" s="103" t="s">
        <v>2700</v>
      </c>
    </row>
    <row r="595" spans="1:11" ht="14.25" customHeight="1">
      <c r="A595" s="104"/>
      <c r="B595" s="104"/>
      <c r="C595" s="140"/>
      <c r="D595" s="116"/>
      <c r="E595" s="116"/>
      <c r="F595" s="116"/>
      <c r="G595" s="116"/>
      <c r="H595" s="116"/>
      <c r="I595" s="116"/>
      <c r="J595" s="116"/>
      <c r="K595" s="103" t="s">
        <v>2701</v>
      </c>
    </row>
    <row r="596" spans="1:11" ht="14.25" customHeight="1">
      <c r="A596" s="104"/>
      <c r="B596" s="104"/>
      <c r="C596" s="140"/>
      <c r="D596" s="104" t="s">
        <v>2421</v>
      </c>
      <c r="E596" s="104" t="s">
        <v>2422</v>
      </c>
      <c r="F596" s="104" t="s">
        <v>16</v>
      </c>
      <c r="G596" s="104" t="s">
        <v>2702</v>
      </c>
      <c r="H596" s="104" t="s">
        <v>2703</v>
      </c>
      <c r="I596" s="106" t="s">
        <v>19</v>
      </c>
      <c r="J596" s="104" t="s">
        <v>2704</v>
      </c>
      <c r="K596" s="103" t="s">
        <v>2705</v>
      </c>
    </row>
    <row r="597" spans="1:11" ht="14.25" customHeight="1">
      <c r="A597" s="104"/>
      <c r="B597" s="104"/>
      <c r="C597" s="140"/>
      <c r="D597" s="104"/>
      <c r="E597" s="104"/>
      <c r="F597" s="104"/>
      <c r="G597" s="116"/>
      <c r="H597" s="116"/>
      <c r="I597" s="116"/>
      <c r="J597" s="116"/>
      <c r="K597" s="103" t="s">
        <v>2706</v>
      </c>
    </row>
    <row r="598" spans="1:11" ht="14.25" customHeight="1">
      <c r="A598" s="104"/>
      <c r="B598" s="104"/>
      <c r="C598" s="140"/>
      <c r="D598" s="104"/>
      <c r="E598" s="104"/>
      <c r="F598" s="104"/>
      <c r="G598" s="104" t="s">
        <v>2707</v>
      </c>
      <c r="H598" s="104" t="s">
        <v>2708</v>
      </c>
      <c r="I598" s="106" t="s">
        <v>19</v>
      </c>
      <c r="J598" s="104" t="s">
        <v>2709</v>
      </c>
      <c r="K598" s="103" t="s">
        <v>2710</v>
      </c>
    </row>
    <row r="599" spans="1:11" ht="14.25" customHeight="1">
      <c r="A599" s="104"/>
      <c r="B599" s="104"/>
      <c r="C599" s="140"/>
      <c r="D599" s="116"/>
      <c r="E599" s="116"/>
      <c r="F599" s="116"/>
      <c r="G599" s="116"/>
      <c r="H599" s="116"/>
      <c r="I599" s="116"/>
      <c r="J599" s="116"/>
      <c r="K599" s="103" t="s">
        <v>2711</v>
      </c>
    </row>
    <row r="600" spans="1:11" ht="14.25" customHeight="1">
      <c r="A600" s="104"/>
      <c r="B600" s="104"/>
      <c r="C600" s="140"/>
      <c r="D600" s="104" t="s">
        <v>2712</v>
      </c>
      <c r="E600" s="104" t="s">
        <v>2713</v>
      </c>
      <c r="F600" s="104" t="s">
        <v>16</v>
      </c>
      <c r="G600" s="104" t="s">
        <v>2714</v>
      </c>
      <c r="H600" s="104" t="s">
        <v>2715</v>
      </c>
      <c r="I600" s="106" t="s">
        <v>19</v>
      </c>
      <c r="J600" s="104" t="s">
        <v>2716</v>
      </c>
      <c r="K600" s="103" t="s">
        <v>2717</v>
      </c>
    </row>
    <row r="601" spans="1:11" ht="14.25" customHeight="1">
      <c r="A601" s="104"/>
      <c r="B601" s="104"/>
      <c r="C601" s="140"/>
      <c r="D601" s="104"/>
      <c r="E601" s="104"/>
      <c r="F601" s="104"/>
      <c r="G601" s="116"/>
      <c r="H601" s="116"/>
      <c r="I601" s="116"/>
      <c r="J601" s="116"/>
      <c r="K601" s="103" t="s">
        <v>2718</v>
      </c>
    </row>
    <row r="602" spans="1:11" ht="14.25" customHeight="1">
      <c r="A602" s="104"/>
      <c r="B602" s="104"/>
      <c r="C602" s="140"/>
      <c r="D602" s="104"/>
      <c r="E602" s="104"/>
      <c r="F602" s="104"/>
      <c r="G602" s="104" t="s">
        <v>2719</v>
      </c>
      <c r="H602" s="104" t="s">
        <v>2720</v>
      </c>
      <c r="I602" s="106" t="s">
        <v>19</v>
      </c>
      <c r="J602" s="104" t="s">
        <v>2721</v>
      </c>
      <c r="K602" s="103" t="s">
        <v>2722</v>
      </c>
    </row>
    <row r="603" spans="1:11" ht="14.25" customHeight="1">
      <c r="A603" s="104"/>
      <c r="B603" s="104"/>
      <c r="C603" s="140"/>
      <c r="D603" s="116"/>
      <c r="E603" s="116"/>
      <c r="F603" s="116"/>
      <c r="G603" s="116"/>
      <c r="H603" s="116"/>
      <c r="I603" s="116"/>
      <c r="J603" s="116"/>
      <c r="K603" s="103" t="s">
        <v>2723</v>
      </c>
    </row>
    <row r="604" spans="1:11" ht="14.25" customHeight="1">
      <c r="A604" s="104"/>
      <c r="B604" s="104"/>
      <c r="C604" s="140"/>
      <c r="D604" s="104" t="s">
        <v>2433</v>
      </c>
      <c r="E604" s="104" t="s">
        <v>2434</v>
      </c>
      <c r="F604" s="104" t="s">
        <v>38</v>
      </c>
      <c r="G604" s="104" t="s">
        <v>2724</v>
      </c>
      <c r="H604" s="104" t="s">
        <v>2725</v>
      </c>
      <c r="I604" s="106" t="s">
        <v>19</v>
      </c>
      <c r="J604" s="104" t="s">
        <v>2418</v>
      </c>
      <c r="K604" s="103" t="s">
        <v>2726</v>
      </c>
    </row>
    <row r="605" spans="1:11" ht="14.25" customHeight="1">
      <c r="A605" s="104"/>
      <c r="B605" s="104"/>
      <c r="C605" s="140"/>
      <c r="D605" s="104"/>
      <c r="E605" s="104"/>
      <c r="F605" s="104"/>
      <c r="G605" s="116"/>
      <c r="H605" s="116"/>
      <c r="I605" s="116"/>
      <c r="J605" s="116"/>
      <c r="K605" s="103" t="s">
        <v>2727</v>
      </c>
    </row>
    <row r="606" spans="1:11" ht="14.25" customHeight="1">
      <c r="A606" s="104"/>
      <c r="B606" s="104"/>
      <c r="C606" s="140"/>
      <c r="D606" s="104"/>
      <c r="E606" s="104"/>
      <c r="F606" s="104"/>
      <c r="G606" s="104" t="s">
        <v>2728</v>
      </c>
      <c r="H606" s="104" t="s">
        <v>2729</v>
      </c>
      <c r="I606" s="106" t="s">
        <v>19</v>
      </c>
      <c r="J606" s="104" t="s">
        <v>2730</v>
      </c>
      <c r="K606" s="103" t="s">
        <v>2731</v>
      </c>
    </row>
    <row r="607" spans="1:11" ht="14.25" customHeight="1">
      <c r="A607" s="104"/>
      <c r="B607" s="104"/>
      <c r="C607" s="140"/>
      <c r="D607" s="116"/>
      <c r="E607" s="116"/>
      <c r="F607" s="116"/>
      <c r="G607" s="116"/>
      <c r="H607" s="116"/>
      <c r="I607" s="116"/>
      <c r="J607" s="116"/>
      <c r="K607" s="103" t="s">
        <v>2732</v>
      </c>
    </row>
    <row r="608" spans="1:11" ht="14.25" customHeight="1">
      <c r="A608" s="104"/>
      <c r="B608" s="104"/>
      <c r="C608" s="140"/>
      <c r="D608" s="104" t="s">
        <v>2445</v>
      </c>
      <c r="E608" s="104" t="s">
        <v>2446</v>
      </c>
      <c r="F608" s="104" t="s">
        <v>38</v>
      </c>
      <c r="G608" s="104" t="s">
        <v>2733</v>
      </c>
      <c r="H608" s="104" t="s">
        <v>2734</v>
      </c>
      <c r="I608" s="106" t="s">
        <v>19</v>
      </c>
      <c r="J608" s="104" t="s">
        <v>2735</v>
      </c>
      <c r="K608" s="103" t="s">
        <v>2736</v>
      </c>
    </row>
    <row r="609" spans="1:11" ht="14.25" customHeight="1">
      <c r="A609" s="104"/>
      <c r="B609" s="104"/>
      <c r="C609" s="140"/>
      <c r="D609" s="104"/>
      <c r="E609" s="104"/>
      <c r="F609" s="104"/>
      <c r="G609" s="116"/>
      <c r="H609" s="116"/>
      <c r="I609" s="116"/>
      <c r="J609" s="116"/>
      <c r="K609" s="103" t="s">
        <v>2737</v>
      </c>
    </row>
    <row r="610" spans="1:11" ht="14.25" customHeight="1">
      <c r="A610" s="104"/>
      <c r="B610" s="104"/>
      <c r="C610" s="140"/>
      <c r="D610" s="104"/>
      <c r="E610" s="104"/>
      <c r="F610" s="104"/>
      <c r="G610" s="104" t="s">
        <v>2738</v>
      </c>
      <c r="H610" s="104" t="s">
        <v>2739</v>
      </c>
      <c r="I610" s="106" t="s">
        <v>19</v>
      </c>
      <c r="J610" s="104" t="s">
        <v>2740</v>
      </c>
      <c r="K610" s="103" t="s">
        <v>2741</v>
      </c>
    </row>
    <row r="611" spans="1:11" ht="14.25" customHeight="1">
      <c r="A611" s="104"/>
      <c r="B611" s="104"/>
      <c r="C611" s="141"/>
      <c r="D611" s="116"/>
      <c r="E611" s="116"/>
      <c r="F611" s="116"/>
      <c r="G611" s="116"/>
      <c r="H611" s="116"/>
      <c r="I611" s="116"/>
      <c r="J611" s="116"/>
      <c r="K611" s="103" t="s">
        <v>2742</v>
      </c>
    </row>
    <row r="612" spans="1:11" ht="14.25" customHeight="1">
      <c r="A612" s="104"/>
      <c r="B612" s="104"/>
      <c r="C612" s="148" t="s">
        <v>2743</v>
      </c>
      <c r="D612" s="104" t="s">
        <v>2458</v>
      </c>
      <c r="E612" s="104" t="s">
        <v>2459</v>
      </c>
      <c r="F612" s="104" t="s">
        <v>16</v>
      </c>
      <c r="G612" s="104" t="s">
        <v>2744</v>
      </c>
      <c r="H612" s="104" t="s">
        <v>2745</v>
      </c>
      <c r="I612" s="106" t="s">
        <v>19</v>
      </c>
      <c r="J612" s="104" t="s">
        <v>2746</v>
      </c>
      <c r="K612" s="103" t="s">
        <v>2747</v>
      </c>
    </row>
    <row r="613" spans="1:11" ht="14.25" customHeight="1">
      <c r="A613" s="104"/>
      <c r="B613" s="104"/>
      <c r="C613" s="140"/>
      <c r="D613" s="104"/>
      <c r="E613" s="104"/>
      <c r="F613" s="104"/>
      <c r="G613" s="116"/>
      <c r="H613" s="116"/>
      <c r="I613" s="116"/>
      <c r="J613" s="116"/>
      <c r="K613" s="103" t="s">
        <v>2748</v>
      </c>
    </row>
    <row r="614" spans="1:11" ht="14.25" customHeight="1">
      <c r="A614" s="104"/>
      <c r="B614" s="104"/>
      <c r="C614" s="140"/>
      <c r="D614" s="104"/>
      <c r="E614" s="104"/>
      <c r="F614" s="104"/>
      <c r="G614" s="104" t="s">
        <v>2749</v>
      </c>
      <c r="H614" s="104" t="s">
        <v>2750</v>
      </c>
      <c r="I614" s="106" t="s">
        <v>19</v>
      </c>
      <c r="J614" s="104" t="s">
        <v>2751</v>
      </c>
      <c r="K614" s="103" t="s">
        <v>2752</v>
      </c>
    </row>
    <row r="615" spans="1:11" ht="14.25" customHeight="1">
      <c r="A615" s="104"/>
      <c r="B615" s="104"/>
      <c r="C615" s="140"/>
      <c r="D615" s="116"/>
      <c r="E615" s="116"/>
      <c r="F615" s="116"/>
      <c r="G615" s="116"/>
      <c r="H615" s="116"/>
      <c r="I615" s="116"/>
      <c r="J615" s="116"/>
      <c r="K615" s="103" t="s">
        <v>2753</v>
      </c>
    </row>
    <row r="616" spans="1:11" ht="14.25" customHeight="1">
      <c r="A616" s="104"/>
      <c r="B616" s="104"/>
      <c r="C616" s="140"/>
      <c r="D616" s="104" t="s">
        <v>2470</v>
      </c>
      <c r="E616" s="104" t="s">
        <v>2471</v>
      </c>
      <c r="F616" s="104" t="s">
        <v>16</v>
      </c>
      <c r="G616" s="104" t="s">
        <v>2754</v>
      </c>
      <c r="H616" s="104" t="s">
        <v>2755</v>
      </c>
      <c r="I616" s="106" t="s">
        <v>19</v>
      </c>
      <c r="J616" s="104" t="s">
        <v>2756</v>
      </c>
      <c r="K616" s="103" t="s">
        <v>2757</v>
      </c>
    </row>
    <row r="617" spans="1:11" ht="14.25" customHeight="1">
      <c r="A617" s="104"/>
      <c r="B617" s="104"/>
      <c r="C617" s="140"/>
      <c r="D617" s="104"/>
      <c r="E617" s="104"/>
      <c r="F617" s="104"/>
      <c r="G617" s="116"/>
      <c r="H617" s="116"/>
      <c r="I617" s="116"/>
      <c r="J617" s="116"/>
      <c r="K617" s="103" t="s">
        <v>2758</v>
      </c>
    </row>
    <row r="618" spans="1:11" ht="14.25" customHeight="1">
      <c r="A618" s="104"/>
      <c r="B618" s="104"/>
      <c r="C618" s="140"/>
      <c r="D618" s="104"/>
      <c r="E618" s="104"/>
      <c r="F618" s="104"/>
      <c r="G618" s="104" t="s">
        <v>2759</v>
      </c>
      <c r="H618" s="104" t="s">
        <v>2760</v>
      </c>
      <c r="I618" s="106" t="s">
        <v>19</v>
      </c>
      <c r="J618" s="104" t="s">
        <v>2761</v>
      </c>
      <c r="K618" s="103" t="s">
        <v>2762</v>
      </c>
    </row>
    <row r="619" spans="1:11" ht="14.25" customHeight="1">
      <c r="A619" s="104"/>
      <c r="B619" s="104"/>
      <c r="C619" s="140"/>
      <c r="D619" s="116"/>
      <c r="E619" s="116"/>
      <c r="F619" s="116"/>
      <c r="G619" s="116"/>
      <c r="H619" s="116"/>
      <c r="I619" s="116"/>
      <c r="J619" s="116"/>
      <c r="K619" s="103" t="s">
        <v>2763</v>
      </c>
    </row>
    <row r="620" spans="1:11" ht="14.25" customHeight="1">
      <c r="A620" s="104"/>
      <c r="B620" s="104"/>
      <c r="C620" s="140"/>
      <c r="D620" s="104" t="s">
        <v>2482</v>
      </c>
      <c r="E620" s="104" t="s">
        <v>2483</v>
      </c>
      <c r="F620" s="104" t="s">
        <v>16</v>
      </c>
      <c r="G620" s="104" t="s">
        <v>2764</v>
      </c>
      <c r="H620" s="104" t="s">
        <v>2765</v>
      </c>
      <c r="I620" s="105" t="s">
        <v>41</v>
      </c>
      <c r="J620" s="104" t="s">
        <v>2766</v>
      </c>
      <c r="K620" s="103" t="s">
        <v>2767</v>
      </c>
    </row>
    <row r="621" spans="1:11" ht="14.25" customHeight="1">
      <c r="A621" s="104"/>
      <c r="B621" s="104"/>
      <c r="C621" s="140"/>
      <c r="D621" s="104"/>
      <c r="E621" s="104"/>
      <c r="F621" s="104"/>
      <c r="G621" s="116"/>
      <c r="H621" s="116"/>
      <c r="I621" s="116"/>
      <c r="J621" s="116"/>
      <c r="K621" s="103" t="s">
        <v>2768</v>
      </c>
    </row>
    <row r="622" spans="1:11" ht="14.25" customHeight="1">
      <c r="A622" s="104"/>
      <c r="B622" s="104"/>
      <c r="C622" s="140"/>
      <c r="D622" s="104"/>
      <c r="E622" s="104"/>
      <c r="F622" s="104"/>
      <c r="G622" s="104" t="s">
        <v>2769</v>
      </c>
      <c r="H622" s="104" t="s">
        <v>2770</v>
      </c>
      <c r="I622" s="105" t="s">
        <v>41</v>
      </c>
      <c r="J622" s="104" t="s">
        <v>2771</v>
      </c>
      <c r="K622" s="103" t="s">
        <v>2772</v>
      </c>
    </row>
    <row r="623" spans="1:11" ht="14.25" customHeight="1">
      <c r="A623" s="104"/>
      <c r="B623" s="104"/>
      <c r="C623" s="140"/>
      <c r="D623" s="116"/>
      <c r="E623" s="116"/>
      <c r="F623" s="116"/>
      <c r="G623" s="116"/>
      <c r="H623" s="116"/>
      <c r="I623" s="116"/>
      <c r="J623" s="116"/>
      <c r="K623" s="103" t="s">
        <v>2773</v>
      </c>
    </row>
    <row r="624" spans="1:11" ht="14.25" customHeight="1">
      <c r="A624" s="104"/>
      <c r="B624" s="104"/>
      <c r="C624" s="140"/>
      <c r="D624" s="104" t="s">
        <v>2494</v>
      </c>
      <c r="E624" s="104" t="s">
        <v>2495</v>
      </c>
      <c r="F624" s="104" t="s">
        <v>38</v>
      </c>
      <c r="G624" s="104" t="s">
        <v>2774</v>
      </c>
      <c r="H624" s="104" t="s">
        <v>2775</v>
      </c>
      <c r="I624" s="105" t="s">
        <v>41</v>
      </c>
      <c r="J624" s="104" t="s">
        <v>2776</v>
      </c>
      <c r="K624" s="103" t="s">
        <v>2777</v>
      </c>
    </row>
    <row r="625" spans="1:11" ht="14.25" customHeight="1">
      <c r="A625" s="104"/>
      <c r="B625" s="104"/>
      <c r="C625" s="140"/>
      <c r="D625" s="104"/>
      <c r="E625" s="104"/>
      <c r="F625" s="104"/>
      <c r="G625" s="116"/>
      <c r="H625" s="116"/>
      <c r="I625" s="116"/>
      <c r="J625" s="116"/>
      <c r="K625" s="103" t="s">
        <v>2778</v>
      </c>
    </row>
    <row r="626" spans="1:11" ht="14.25" customHeight="1">
      <c r="A626" s="104"/>
      <c r="B626" s="104"/>
      <c r="C626" s="140"/>
      <c r="D626" s="104"/>
      <c r="E626" s="104"/>
      <c r="F626" s="104"/>
      <c r="G626" s="104" t="s">
        <v>2779</v>
      </c>
      <c r="H626" s="104" t="s">
        <v>2780</v>
      </c>
      <c r="I626" s="105" t="s">
        <v>41</v>
      </c>
      <c r="J626" s="104" t="s">
        <v>2781</v>
      </c>
      <c r="K626" s="103" t="s">
        <v>2782</v>
      </c>
    </row>
    <row r="627" spans="1:11" ht="14.25" customHeight="1">
      <c r="A627" s="104"/>
      <c r="B627" s="104"/>
      <c r="C627" s="140"/>
      <c r="D627" s="116"/>
      <c r="E627" s="116"/>
      <c r="F627" s="116"/>
      <c r="G627" s="116"/>
      <c r="H627" s="116"/>
      <c r="I627" s="116"/>
      <c r="J627" s="116"/>
      <c r="K627" s="103" t="s">
        <v>2783</v>
      </c>
    </row>
    <row r="628" spans="1:11" ht="14.25" customHeight="1">
      <c r="A628" s="104"/>
      <c r="B628" s="104"/>
      <c r="C628" s="140"/>
      <c r="D628" s="104" t="s">
        <v>2506</v>
      </c>
      <c r="E628" s="104" t="s">
        <v>2507</v>
      </c>
      <c r="F628" s="104" t="s">
        <v>16</v>
      </c>
      <c r="G628" s="104" t="s">
        <v>2784</v>
      </c>
      <c r="H628" s="104" t="s">
        <v>2785</v>
      </c>
      <c r="I628" s="105" t="s">
        <v>41</v>
      </c>
      <c r="J628" s="104" t="s">
        <v>2786</v>
      </c>
      <c r="K628" s="103" t="s">
        <v>2787</v>
      </c>
    </row>
    <row r="629" spans="1:11" ht="14.25" customHeight="1">
      <c r="A629" s="104"/>
      <c r="B629" s="104"/>
      <c r="C629" s="140"/>
      <c r="D629" s="104"/>
      <c r="E629" s="104"/>
      <c r="F629" s="104"/>
      <c r="G629" s="116"/>
      <c r="H629" s="116"/>
      <c r="I629" s="116"/>
      <c r="J629" s="116"/>
      <c r="K629" s="103" t="s">
        <v>2788</v>
      </c>
    </row>
    <row r="630" spans="1:11" ht="14.25" customHeight="1">
      <c r="A630" s="104"/>
      <c r="B630" s="104"/>
      <c r="C630" s="140"/>
      <c r="D630" s="104"/>
      <c r="E630" s="104"/>
      <c r="F630" s="104"/>
      <c r="G630" s="104" t="s">
        <v>2789</v>
      </c>
      <c r="H630" s="104" t="s">
        <v>2790</v>
      </c>
      <c r="I630" s="105" t="s">
        <v>41</v>
      </c>
      <c r="J630" s="104" t="s">
        <v>2791</v>
      </c>
      <c r="K630" s="103" t="s">
        <v>2792</v>
      </c>
    </row>
    <row r="631" spans="1:11" ht="14.25" customHeight="1">
      <c r="A631" s="104"/>
      <c r="B631" s="104"/>
      <c r="C631" s="141"/>
      <c r="D631" s="116"/>
      <c r="E631" s="116"/>
      <c r="F631" s="116"/>
      <c r="G631" s="116"/>
      <c r="H631" s="116"/>
      <c r="I631" s="116"/>
      <c r="J631" s="116"/>
      <c r="K631" s="103" t="s">
        <v>2793</v>
      </c>
    </row>
    <row r="632" spans="1:11" ht="14.25" customHeight="1">
      <c r="A632" s="104"/>
      <c r="B632" s="104"/>
      <c r="C632" s="148" t="s">
        <v>2794</v>
      </c>
      <c r="D632" s="104" t="s">
        <v>2795</v>
      </c>
      <c r="E632" s="104" t="s">
        <v>2796</v>
      </c>
      <c r="F632" s="104" t="s">
        <v>16</v>
      </c>
      <c r="G632" s="104" t="s">
        <v>2797</v>
      </c>
      <c r="H632" s="104" t="s">
        <v>2798</v>
      </c>
      <c r="I632" s="105" t="s">
        <v>41</v>
      </c>
      <c r="J632" s="104" t="s">
        <v>2799</v>
      </c>
      <c r="K632" s="103" t="s">
        <v>2800</v>
      </c>
    </row>
    <row r="633" spans="1:11" ht="14.25" customHeight="1">
      <c r="A633" s="104"/>
      <c r="B633" s="104"/>
      <c r="C633" s="140"/>
      <c r="D633" s="104"/>
      <c r="E633" s="104"/>
      <c r="F633" s="104"/>
      <c r="G633" s="116"/>
      <c r="H633" s="116"/>
      <c r="I633" s="116"/>
      <c r="J633" s="116"/>
      <c r="K633" s="103" t="s">
        <v>2801</v>
      </c>
    </row>
    <row r="634" spans="1:11" ht="14.25" customHeight="1">
      <c r="A634" s="104"/>
      <c r="B634" s="104"/>
      <c r="C634" s="140"/>
      <c r="D634" s="104"/>
      <c r="E634" s="104"/>
      <c r="F634" s="104"/>
      <c r="G634" s="104" t="s">
        <v>2802</v>
      </c>
      <c r="H634" s="104" t="s">
        <v>2803</v>
      </c>
      <c r="I634" s="105" t="s">
        <v>41</v>
      </c>
      <c r="J634" s="104" t="s">
        <v>2804</v>
      </c>
      <c r="K634" s="103" t="s">
        <v>2805</v>
      </c>
    </row>
    <row r="635" spans="1:11" ht="14.25" customHeight="1">
      <c r="A635" s="104"/>
      <c r="B635" s="104"/>
      <c r="C635" s="140"/>
      <c r="D635" s="116"/>
      <c r="E635" s="116"/>
      <c r="F635" s="116"/>
      <c r="G635" s="116"/>
      <c r="H635" s="116"/>
      <c r="I635" s="116"/>
      <c r="J635" s="116"/>
      <c r="K635" s="103" t="s">
        <v>2806</v>
      </c>
    </row>
    <row r="636" spans="1:11" ht="14.25" customHeight="1">
      <c r="A636" s="104"/>
      <c r="B636" s="104"/>
      <c r="C636" s="140"/>
      <c r="D636" s="104" t="s">
        <v>2807</v>
      </c>
      <c r="E636" s="104" t="s">
        <v>2808</v>
      </c>
      <c r="F636" s="104" t="s">
        <v>16</v>
      </c>
      <c r="G636" s="104" t="s">
        <v>2809</v>
      </c>
      <c r="H636" s="104" t="s">
        <v>2810</v>
      </c>
      <c r="I636" s="105" t="s">
        <v>41</v>
      </c>
      <c r="J636" s="104" t="s">
        <v>2811</v>
      </c>
      <c r="K636" s="103" t="s">
        <v>2812</v>
      </c>
    </row>
    <row r="637" spans="1:11" ht="14.25" customHeight="1">
      <c r="A637" s="104"/>
      <c r="B637" s="104"/>
      <c r="C637" s="140"/>
      <c r="D637" s="104"/>
      <c r="E637" s="104"/>
      <c r="F637" s="104"/>
      <c r="G637" s="116"/>
      <c r="H637" s="116"/>
      <c r="I637" s="116"/>
      <c r="J637" s="116"/>
      <c r="K637" s="103" t="s">
        <v>2813</v>
      </c>
    </row>
    <row r="638" spans="1:11" ht="14.25" customHeight="1">
      <c r="A638" s="104"/>
      <c r="B638" s="104"/>
      <c r="C638" s="140"/>
      <c r="D638" s="104"/>
      <c r="E638" s="104"/>
      <c r="F638" s="104"/>
      <c r="G638" s="104" t="s">
        <v>2814</v>
      </c>
      <c r="H638" s="104" t="s">
        <v>2815</v>
      </c>
      <c r="I638" s="105" t="s">
        <v>41</v>
      </c>
      <c r="J638" s="104" t="s">
        <v>2816</v>
      </c>
      <c r="K638" s="103" t="s">
        <v>2817</v>
      </c>
    </row>
    <row r="639" spans="1:11" ht="14.25" customHeight="1">
      <c r="A639" s="104"/>
      <c r="B639" s="104"/>
      <c r="C639" s="140"/>
      <c r="D639" s="116"/>
      <c r="E639" s="116"/>
      <c r="F639" s="116"/>
      <c r="G639" s="116"/>
      <c r="H639" s="116"/>
      <c r="I639" s="116"/>
      <c r="J639" s="116"/>
      <c r="K639" s="103" t="s">
        <v>2818</v>
      </c>
    </row>
    <row r="640" spans="1:11" ht="14.25" customHeight="1">
      <c r="A640" s="104"/>
      <c r="B640" s="104"/>
      <c r="C640" s="140"/>
      <c r="D640" s="104" t="s">
        <v>2819</v>
      </c>
      <c r="E640" s="104" t="s">
        <v>2820</v>
      </c>
      <c r="F640" s="104" t="s">
        <v>16</v>
      </c>
      <c r="G640" s="104" t="s">
        <v>2821</v>
      </c>
      <c r="H640" s="104" t="s">
        <v>2822</v>
      </c>
      <c r="I640" s="105" t="s">
        <v>41</v>
      </c>
      <c r="J640" s="104" t="s">
        <v>2823</v>
      </c>
      <c r="K640" s="103" t="s">
        <v>2824</v>
      </c>
    </row>
    <row r="641" spans="1:11" ht="14.25" customHeight="1">
      <c r="A641" s="104"/>
      <c r="B641" s="104"/>
      <c r="C641" s="140"/>
      <c r="D641" s="104"/>
      <c r="E641" s="104"/>
      <c r="F641" s="104"/>
      <c r="G641" s="116"/>
      <c r="H641" s="116"/>
      <c r="I641" s="116"/>
      <c r="J641" s="116"/>
      <c r="K641" s="103" t="s">
        <v>2825</v>
      </c>
    </row>
    <row r="642" spans="1:11" ht="14.25" customHeight="1">
      <c r="A642" s="104"/>
      <c r="B642" s="104"/>
      <c r="C642" s="140"/>
      <c r="D642" s="104"/>
      <c r="E642" s="104"/>
      <c r="F642" s="104"/>
      <c r="G642" s="104" t="s">
        <v>2826</v>
      </c>
      <c r="H642" s="104" t="s">
        <v>2827</v>
      </c>
      <c r="I642" s="105" t="s">
        <v>41</v>
      </c>
      <c r="J642" s="104" t="s">
        <v>2828</v>
      </c>
      <c r="K642" s="103" t="s">
        <v>2829</v>
      </c>
    </row>
    <row r="643" spans="1:11" ht="14.25" customHeight="1">
      <c r="A643" s="104"/>
      <c r="B643" s="104"/>
      <c r="C643" s="140"/>
      <c r="D643" s="116"/>
      <c r="E643" s="116"/>
      <c r="F643" s="116"/>
      <c r="G643" s="116"/>
      <c r="H643" s="116"/>
      <c r="I643" s="116"/>
      <c r="J643" s="116"/>
      <c r="K643" s="103" t="s">
        <v>2830</v>
      </c>
    </row>
    <row r="644" spans="1:11" ht="14.25" customHeight="1">
      <c r="A644" s="104"/>
      <c r="B644" s="104"/>
      <c r="C644" s="140"/>
      <c r="D644" s="104" t="s">
        <v>2831</v>
      </c>
      <c r="E644" s="104" t="s">
        <v>2832</v>
      </c>
      <c r="F644" s="104" t="s">
        <v>16</v>
      </c>
      <c r="G644" s="104" t="s">
        <v>2833</v>
      </c>
      <c r="H644" s="104" t="s">
        <v>2834</v>
      </c>
      <c r="I644" s="105" t="s">
        <v>41</v>
      </c>
      <c r="J644" s="104" t="s">
        <v>2835</v>
      </c>
      <c r="K644" s="103" t="s">
        <v>2836</v>
      </c>
    </row>
    <row r="645" spans="1:11" ht="14.25" customHeight="1">
      <c r="A645" s="104"/>
      <c r="B645" s="104"/>
      <c r="C645" s="140"/>
      <c r="D645" s="104"/>
      <c r="E645" s="104"/>
      <c r="F645" s="104"/>
      <c r="G645" s="116"/>
      <c r="H645" s="116"/>
      <c r="I645" s="116"/>
      <c r="J645" s="116"/>
      <c r="K645" s="103" t="s">
        <v>2837</v>
      </c>
    </row>
    <row r="646" spans="1:11" ht="14.25" customHeight="1">
      <c r="A646" s="104"/>
      <c r="B646" s="104"/>
      <c r="C646" s="140"/>
      <c r="D646" s="104"/>
      <c r="E646" s="104"/>
      <c r="F646" s="104"/>
      <c r="G646" s="104" t="s">
        <v>2838</v>
      </c>
      <c r="H646" s="104" t="s">
        <v>2839</v>
      </c>
      <c r="I646" s="106" t="s">
        <v>19</v>
      </c>
      <c r="J646" s="104" t="s">
        <v>2840</v>
      </c>
      <c r="K646" s="103" t="s">
        <v>2841</v>
      </c>
    </row>
    <row r="647" spans="1:11" ht="14.25" customHeight="1">
      <c r="A647" s="104"/>
      <c r="B647" s="104"/>
      <c r="C647" s="140"/>
      <c r="D647" s="116"/>
      <c r="E647" s="116"/>
      <c r="F647" s="116"/>
      <c r="G647" s="116"/>
      <c r="H647" s="116"/>
      <c r="I647" s="116"/>
      <c r="J647" s="116"/>
      <c r="K647" s="103" t="s">
        <v>2842</v>
      </c>
    </row>
    <row r="648" spans="1:11" ht="14.25" customHeight="1">
      <c r="A648" s="104"/>
      <c r="B648" s="104"/>
      <c r="C648" s="140"/>
      <c r="D648" s="104" t="s">
        <v>2843</v>
      </c>
      <c r="E648" s="104" t="s">
        <v>2844</v>
      </c>
      <c r="F648" s="104" t="s">
        <v>38</v>
      </c>
      <c r="G648" s="104" t="s">
        <v>2749</v>
      </c>
      <c r="H648" s="104" t="s">
        <v>2845</v>
      </c>
      <c r="I648" s="106" t="s">
        <v>19</v>
      </c>
      <c r="J648" s="104" t="s">
        <v>2846</v>
      </c>
      <c r="K648" s="103" t="s">
        <v>2847</v>
      </c>
    </row>
    <row r="649" spans="1:11" ht="14.25" customHeight="1">
      <c r="A649" s="104"/>
      <c r="B649" s="104"/>
      <c r="C649" s="140"/>
      <c r="D649" s="104"/>
      <c r="E649" s="104"/>
      <c r="F649" s="104"/>
      <c r="G649" s="116"/>
      <c r="H649" s="116"/>
      <c r="I649" s="116"/>
      <c r="J649" s="116"/>
      <c r="K649" s="103" t="s">
        <v>2848</v>
      </c>
    </row>
    <row r="650" spans="1:11" ht="14.25" customHeight="1">
      <c r="A650" s="104"/>
      <c r="B650" s="104"/>
      <c r="C650" s="140"/>
      <c r="D650" s="104"/>
      <c r="E650" s="104"/>
      <c r="F650" s="104"/>
      <c r="G650" s="104" t="s">
        <v>2849</v>
      </c>
      <c r="H650" s="104" t="s">
        <v>2850</v>
      </c>
      <c r="I650" s="106" t="s">
        <v>19</v>
      </c>
      <c r="J650" s="104" t="s">
        <v>2851</v>
      </c>
      <c r="K650" s="103" t="s">
        <v>2852</v>
      </c>
    </row>
    <row r="651" spans="1:11" ht="14.25" customHeight="1">
      <c r="A651" s="104"/>
      <c r="B651" s="116"/>
      <c r="C651" s="141"/>
      <c r="D651" s="116"/>
      <c r="E651" s="116"/>
      <c r="F651" s="116"/>
      <c r="G651" s="116"/>
      <c r="H651" s="116"/>
      <c r="I651" s="116"/>
      <c r="J651" s="116"/>
      <c r="K651" s="103" t="s">
        <v>2853</v>
      </c>
    </row>
    <row r="652" spans="1:11" ht="14.25" customHeight="1">
      <c r="A652" s="104"/>
      <c r="B652" s="99" t="s">
        <v>2854</v>
      </c>
      <c r="C652" s="148" t="s">
        <v>2855</v>
      </c>
      <c r="D652" s="104" t="s">
        <v>2856</v>
      </c>
      <c r="E652" s="104" t="s">
        <v>2857</v>
      </c>
      <c r="F652" s="104"/>
      <c r="G652" s="104" t="s">
        <v>2858</v>
      </c>
      <c r="H652" s="104" t="s">
        <v>2859</v>
      </c>
      <c r="I652" s="106" t="s">
        <v>19</v>
      </c>
      <c r="J652" s="104" t="s">
        <v>2860</v>
      </c>
      <c r="K652" s="103" t="s">
        <v>2861</v>
      </c>
    </row>
    <row r="653" spans="1:11" ht="14.25" customHeight="1">
      <c r="A653" s="104"/>
      <c r="B653" s="104"/>
      <c r="C653" s="140"/>
      <c r="D653" s="104"/>
      <c r="E653" s="104"/>
      <c r="F653" s="104"/>
      <c r="G653" s="116"/>
      <c r="H653" s="116"/>
      <c r="I653" s="116"/>
      <c r="J653" s="116"/>
      <c r="K653" s="103" t="s">
        <v>2862</v>
      </c>
    </row>
    <row r="654" spans="1:11" ht="14.25" customHeight="1">
      <c r="A654" s="104"/>
      <c r="B654" s="104"/>
      <c r="C654" s="140"/>
      <c r="D654" s="104"/>
      <c r="E654" s="104"/>
      <c r="F654" s="104"/>
      <c r="G654" s="104" t="s">
        <v>2863</v>
      </c>
      <c r="H654" s="104" t="s">
        <v>2864</v>
      </c>
      <c r="I654" s="106" t="s">
        <v>19</v>
      </c>
      <c r="J654" s="104" t="s">
        <v>2865</v>
      </c>
      <c r="K654" s="103" t="s">
        <v>2866</v>
      </c>
    </row>
    <row r="655" spans="1:11" ht="14.25" customHeight="1">
      <c r="A655" s="104"/>
      <c r="B655" s="104"/>
      <c r="C655" s="140"/>
      <c r="D655" s="116"/>
      <c r="E655" s="116"/>
      <c r="F655" s="116"/>
      <c r="G655" s="116"/>
      <c r="H655" s="116"/>
      <c r="I655" s="116"/>
      <c r="J655" s="116"/>
      <c r="K655" s="103" t="s">
        <v>2867</v>
      </c>
    </row>
    <row r="656" spans="1:11" ht="14.25" customHeight="1">
      <c r="A656" s="104"/>
      <c r="B656" s="104"/>
      <c r="C656" s="140"/>
      <c r="D656" s="104" t="s">
        <v>2868</v>
      </c>
      <c r="E656" s="104" t="s">
        <v>2869</v>
      </c>
      <c r="F656" s="104" t="s">
        <v>38</v>
      </c>
      <c r="G656" s="104" t="s">
        <v>2870</v>
      </c>
      <c r="H656" s="104" t="s">
        <v>2871</v>
      </c>
      <c r="I656" s="106" t="s">
        <v>19</v>
      </c>
      <c r="J656" s="104" t="s">
        <v>2872</v>
      </c>
      <c r="K656" s="103" t="s">
        <v>2873</v>
      </c>
    </row>
    <row r="657" spans="1:11" ht="14.25" customHeight="1">
      <c r="A657" s="104"/>
      <c r="B657" s="104"/>
      <c r="C657" s="140"/>
      <c r="D657" s="104"/>
      <c r="E657" s="104"/>
      <c r="F657" s="104"/>
      <c r="G657" s="116"/>
      <c r="H657" s="116"/>
      <c r="I657" s="116"/>
      <c r="J657" s="116"/>
      <c r="K657" s="103" t="s">
        <v>2874</v>
      </c>
    </row>
    <row r="658" spans="1:11" ht="14.25" customHeight="1">
      <c r="A658" s="104"/>
      <c r="B658" s="104"/>
      <c r="C658" s="140"/>
      <c r="D658" s="104"/>
      <c r="E658" s="104"/>
      <c r="F658" s="104"/>
      <c r="G658" s="104" t="s">
        <v>2875</v>
      </c>
      <c r="H658" s="104" t="s">
        <v>2876</v>
      </c>
      <c r="I658" s="106" t="s">
        <v>19</v>
      </c>
      <c r="J658" s="104" t="s">
        <v>2877</v>
      </c>
      <c r="K658" s="103" t="s">
        <v>2878</v>
      </c>
    </row>
    <row r="659" spans="1:11" ht="14.25" customHeight="1">
      <c r="A659" s="104"/>
      <c r="B659" s="104"/>
      <c r="C659" s="140"/>
      <c r="D659" s="116"/>
      <c r="E659" s="116"/>
      <c r="F659" s="116"/>
      <c r="G659" s="116"/>
      <c r="H659" s="116"/>
      <c r="I659" s="116"/>
      <c r="J659" s="116"/>
      <c r="K659" s="103" t="s">
        <v>2879</v>
      </c>
    </row>
    <row r="660" spans="1:11" ht="14.25" customHeight="1">
      <c r="A660" s="104"/>
      <c r="B660" s="104"/>
      <c r="C660" s="140"/>
      <c r="D660" s="104" t="s">
        <v>2880</v>
      </c>
      <c r="E660" s="104" t="s">
        <v>2881</v>
      </c>
      <c r="F660" s="104" t="s">
        <v>38</v>
      </c>
      <c r="G660" s="104" t="s">
        <v>2882</v>
      </c>
      <c r="H660" s="104" t="s">
        <v>2883</v>
      </c>
      <c r="I660" s="106" t="s">
        <v>19</v>
      </c>
      <c r="J660" s="104" t="s">
        <v>2884</v>
      </c>
      <c r="K660" s="103" t="s">
        <v>2885</v>
      </c>
    </row>
    <row r="661" spans="1:11" ht="14.25" customHeight="1">
      <c r="A661" s="104"/>
      <c r="B661" s="104"/>
      <c r="C661" s="140"/>
      <c r="D661" s="104"/>
      <c r="E661" s="104"/>
      <c r="F661" s="104"/>
      <c r="G661" s="116"/>
      <c r="H661" s="116"/>
      <c r="I661" s="116"/>
      <c r="J661" s="116"/>
      <c r="K661" s="103" t="s">
        <v>2886</v>
      </c>
    </row>
    <row r="662" spans="1:11" ht="14.25" customHeight="1">
      <c r="A662" s="104"/>
      <c r="B662" s="104"/>
      <c r="C662" s="140"/>
      <c r="D662" s="104"/>
      <c r="E662" s="104"/>
      <c r="F662" s="104"/>
      <c r="G662" s="104" t="s">
        <v>2887</v>
      </c>
      <c r="H662" s="104" t="s">
        <v>2888</v>
      </c>
      <c r="I662" s="106" t="s">
        <v>19</v>
      </c>
      <c r="J662" s="104" t="s">
        <v>2889</v>
      </c>
      <c r="K662" s="103" t="s">
        <v>2890</v>
      </c>
    </row>
    <row r="663" spans="1:11" ht="14.25" customHeight="1">
      <c r="A663" s="104"/>
      <c r="B663" s="104"/>
      <c r="C663" s="140"/>
      <c r="D663" s="116"/>
      <c r="E663" s="116"/>
      <c r="F663" s="116"/>
      <c r="G663" s="116"/>
      <c r="H663" s="116"/>
      <c r="I663" s="116"/>
      <c r="J663" s="116"/>
      <c r="K663" s="103" t="s">
        <v>2891</v>
      </c>
    </row>
    <row r="664" spans="1:11" ht="14.25" customHeight="1">
      <c r="A664" s="104"/>
      <c r="B664" s="104"/>
      <c r="C664" s="140"/>
      <c r="D664" s="104" t="s">
        <v>2892</v>
      </c>
      <c r="E664" s="104" t="s">
        <v>2893</v>
      </c>
      <c r="F664" s="104" t="s">
        <v>38</v>
      </c>
      <c r="G664" s="104" t="s">
        <v>2894</v>
      </c>
      <c r="H664" s="104" t="s">
        <v>2895</v>
      </c>
      <c r="I664" s="106" t="s">
        <v>19</v>
      </c>
      <c r="J664" s="104" t="s">
        <v>2896</v>
      </c>
      <c r="K664" s="103" t="s">
        <v>2897</v>
      </c>
    </row>
    <row r="665" spans="1:11" ht="14.25" customHeight="1">
      <c r="A665" s="104"/>
      <c r="B665" s="104"/>
      <c r="C665" s="140"/>
      <c r="D665" s="104"/>
      <c r="E665" s="104"/>
      <c r="F665" s="104"/>
      <c r="G665" s="116"/>
      <c r="H665" s="116"/>
      <c r="I665" s="116"/>
      <c r="J665" s="116"/>
      <c r="K665" s="103" t="s">
        <v>2898</v>
      </c>
    </row>
    <row r="666" spans="1:11" ht="14.25" customHeight="1">
      <c r="A666" s="104"/>
      <c r="B666" s="104"/>
      <c r="C666" s="140"/>
      <c r="D666" s="104"/>
      <c r="E666" s="104"/>
      <c r="F666" s="104"/>
      <c r="G666" s="104" t="s">
        <v>2899</v>
      </c>
      <c r="H666" s="104" t="s">
        <v>2900</v>
      </c>
      <c r="I666" s="106" t="s">
        <v>19</v>
      </c>
      <c r="J666" s="104" t="s">
        <v>2901</v>
      </c>
      <c r="K666" s="103" t="s">
        <v>2675</v>
      </c>
    </row>
    <row r="667" spans="1:11" ht="14.25" customHeight="1">
      <c r="A667" s="104"/>
      <c r="B667" s="104"/>
      <c r="C667" s="140"/>
      <c r="D667" s="116"/>
      <c r="E667" s="116"/>
      <c r="F667" s="116"/>
      <c r="G667" s="116"/>
      <c r="H667" s="116"/>
      <c r="I667" s="116"/>
      <c r="J667" s="116"/>
      <c r="K667" s="103" t="s">
        <v>2902</v>
      </c>
    </row>
    <row r="668" spans="1:11" ht="14.25" customHeight="1">
      <c r="A668" s="104"/>
      <c r="B668" s="104"/>
      <c r="C668" s="140"/>
      <c r="D668" s="104" t="s">
        <v>2903</v>
      </c>
      <c r="E668" s="104" t="s">
        <v>2904</v>
      </c>
      <c r="F668" s="104" t="s">
        <v>38</v>
      </c>
      <c r="G668" s="104" t="s">
        <v>2905</v>
      </c>
      <c r="H668" s="104" t="s">
        <v>2906</v>
      </c>
      <c r="I668" s="105" t="s">
        <v>41</v>
      </c>
      <c r="J668" s="104" t="s">
        <v>2907</v>
      </c>
      <c r="K668" s="103" t="s">
        <v>2908</v>
      </c>
    </row>
    <row r="669" spans="1:11" ht="14.25" customHeight="1">
      <c r="A669" s="104"/>
      <c r="B669" s="104"/>
      <c r="C669" s="140"/>
      <c r="D669" s="104"/>
      <c r="E669" s="104"/>
      <c r="F669" s="104"/>
      <c r="G669" s="116"/>
      <c r="H669" s="116"/>
      <c r="I669" s="116"/>
      <c r="J669" s="116"/>
      <c r="K669" s="103" t="s">
        <v>2909</v>
      </c>
    </row>
    <row r="670" spans="1:11" ht="14.25" customHeight="1">
      <c r="A670" s="104"/>
      <c r="B670" s="104"/>
      <c r="C670" s="140"/>
      <c r="D670" s="104"/>
      <c r="E670" s="104"/>
      <c r="F670" s="104"/>
      <c r="G670" s="104" t="s">
        <v>2910</v>
      </c>
      <c r="H670" s="104" t="s">
        <v>2911</v>
      </c>
      <c r="I670" s="105" t="s">
        <v>41</v>
      </c>
      <c r="J670" s="104" t="s">
        <v>2912</v>
      </c>
      <c r="K670" s="103" t="s">
        <v>2913</v>
      </c>
    </row>
    <row r="671" spans="1:11" ht="14.25" customHeight="1">
      <c r="A671" s="104"/>
      <c r="B671" s="104"/>
      <c r="C671" s="141"/>
      <c r="D671" s="116"/>
      <c r="E671" s="116"/>
      <c r="F671" s="116"/>
      <c r="G671" s="116"/>
      <c r="H671" s="116"/>
      <c r="I671" s="116"/>
      <c r="J671" s="116"/>
      <c r="K671" s="103" t="s">
        <v>2914</v>
      </c>
    </row>
    <row r="672" spans="1:11" ht="14.25" customHeight="1">
      <c r="A672" s="104"/>
      <c r="B672" s="104"/>
      <c r="C672" s="148" t="s">
        <v>2915</v>
      </c>
      <c r="D672" s="104" t="s">
        <v>2916</v>
      </c>
      <c r="E672" s="104" t="s">
        <v>2917</v>
      </c>
      <c r="F672" s="104" t="s">
        <v>38</v>
      </c>
      <c r="G672" s="104" t="s">
        <v>2918</v>
      </c>
      <c r="H672" s="104" t="s">
        <v>2919</v>
      </c>
      <c r="I672" s="105" t="s">
        <v>41</v>
      </c>
      <c r="J672" s="104" t="s">
        <v>2920</v>
      </c>
      <c r="K672" s="103" t="s">
        <v>2921</v>
      </c>
    </row>
    <row r="673" spans="1:11" ht="14.25" customHeight="1">
      <c r="A673" s="104"/>
      <c r="B673" s="104"/>
      <c r="C673" s="140"/>
      <c r="D673" s="104"/>
      <c r="E673" s="104"/>
      <c r="F673" s="104"/>
      <c r="G673" s="116"/>
      <c r="H673" s="116"/>
      <c r="I673" s="116"/>
      <c r="J673" s="116"/>
      <c r="K673" s="103" t="s">
        <v>2922</v>
      </c>
    </row>
    <row r="674" spans="1:11" ht="14.25" customHeight="1">
      <c r="A674" s="104"/>
      <c r="B674" s="104"/>
      <c r="C674" s="140"/>
      <c r="D674" s="104"/>
      <c r="E674" s="104"/>
      <c r="F674" s="104"/>
      <c r="G674" s="104" t="s">
        <v>2923</v>
      </c>
      <c r="H674" s="104" t="s">
        <v>2924</v>
      </c>
      <c r="I674" s="106" t="s">
        <v>19</v>
      </c>
      <c r="J674" s="104" t="s">
        <v>2925</v>
      </c>
      <c r="K674" s="103" t="s">
        <v>2926</v>
      </c>
    </row>
    <row r="675" spans="1:11" ht="14.25" customHeight="1">
      <c r="A675" s="104"/>
      <c r="B675" s="104"/>
      <c r="C675" s="140"/>
      <c r="D675" s="116"/>
      <c r="E675" s="116"/>
      <c r="F675" s="116"/>
      <c r="G675" s="116"/>
      <c r="H675" s="116"/>
      <c r="I675" s="116"/>
      <c r="J675" s="116"/>
      <c r="K675" s="103" t="s">
        <v>2927</v>
      </c>
    </row>
    <row r="676" spans="1:11" ht="14.25" customHeight="1">
      <c r="A676" s="104"/>
      <c r="B676" s="104"/>
      <c r="C676" s="140"/>
      <c r="D676" s="104" t="s">
        <v>2928</v>
      </c>
      <c r="E676" s="104" t="s">
        <v>2929</v>
      </c>
      <c r="F676" s="104" t="s">
        <v>16</v>
      </c>
      <c r="G676" s="104" t="s">
        <v>2930</v>
      </c>
      <c r="H676" s="104" t="s">
        <v>2931</v>
      </c>
      <c r="I676" s="106" t="s">
        <v>19</v>
      </c>
      <c r="J676" s="104" t="s">
        <v>2932</v>
      </c>
      <c r="K676" s="103" t="s">
        <v>2933</v>
      </c>
    </row>
    <row r="677" spans="1:11" ht="14.25" customHeight="1">
      <c r="A677" s="104"/>
      <c r="B677" s="104"/>
      <c r="C677" s="140"/>
      <c r="D677" s="104"/>
      <c r="E677" s="104"/>
      <c r="F677" s="104"/>
      <c r="G677" s="116"/>
      <c r="H677" s="116"/>
      <c r="I677" s="116"/>
      <c r="J677" s="116"/>
      <c r="K677" s="103" t="s">
        <v>2934</v>
      </c>
    </row>
    <row r="678" spans="1:11" ht="14.25" customHeight="1">
      <c r="A678" s="104"/>
      <c r="B678" s="104"/>
      <c r="C678" s="140"/>
      <c r="D678" s="104"/>
      <c r="E678" s="104"/>
      <c r="F678" s="104"/>
      <c r="G678" s="104" t="s">
        <v>2935</v>
      </c>
      <c r="H678" s="104" t="s">
        <v>2936</v>
      </c>
      <c r="I678" s="106" t="s">
        <v>19</v>
      </c>
      <c r="J678" s="104" t="s">
        <v>2937</v>
      </c>
      <c r="K678" s="103" t="s">
        <v>2938</v>
      </c>
    </row>
    <row r="679" spans="1:11" ht="14.25" customHeight="1">
      <c r="A679" s="104"/>
      <c r="B679" s="104"/>
      <c r="C679" s="140"/>
      <c r="D679" s="116"/>
      <c r="E679" s="116"/>
      <c r="F679" s="116"/>
      <c r="G679" s="116"/>
      <c r="H679" s="116"/>
      <c r="I679" s="116"/>
      <c r="J679" s="116"/>
      <c r="K679" s="103" t="s">
        <v>2939</v>
      </c>
    </row>
    <row r="680" spans="1:11" ht="14.25" customHeight="1">
      <c r="A680" s="104"/>
      <c r="B680" s="104"/>
      <c r="C680" s="140"/>
      <c r="D680" s="104" t="s">
        <v>2940</v>
      </c>
      <c r="E680" s="104" t="s">
        <v>2941</v>
      </c>
      <c r="F680" s="104" t="s">
        <v>38</v>
      </c>
      <c r="G680" s="104" t="s">
        <v>2942</v>
      </c>
      <c r="H680" s="104" t="s">
        <v>2943</v>
      </c>
      <c r="I680" s="105" t="s">
        <v>41</v>
      </c>
      <c r="J680" s="104" t="s">
        <v>2944</v>
      </c>
      <c r="K680" s="103" t="s">
        <v>2945</v>
      </c>
    </row>
    <row r="681" spans="1:11" ht="14.25" customHeight="1">
      <c r="A681" s="104"/>
      <c r="B681" s="104"/>
      <c r="C681" s="140"/>
      <c r="D681" s="104"/>
      <c r="E681" s="104"/>
      <c r="F681" s="104"/>
      <c r="G681" s="116"/>
      <c r="H681" s="116"/>
      <c r="I681" s="116"/>
      <c r="J681" s="116"/>
      <c r="K681" s="103" t="s">
        <v>2946</v>
      </c>
    </row>
    <row r="682" spans="1:11" ht="14.25" customHeight="1">
      <c r="A682" s="104"/>
      <c r="B682" s="104"/>
      <c r="C682" s="140"/>
      <c r="D682" s="104"/>
      <c r="E682" s="104"/>
      <c r="F682" s="104"/>
      <c r="G682" s="104" t="s">
        <v>2947</v>
      </c>
      <c r="H682" s="104" t="s">
        <v>2948</v>
      </c>
      <c r="I682" s="105" t="s">
        <v>41</v>
      </c>
      <c r="J682" s="104" t="s">
        <v>2949</v>
      </c>
      <c r="K682" s="103" t="s">
        <v>2950</v>
      </c>
    </row>
    <row r="683" spans="1:11" ht="14.25" customHeight="1">
      <c r="A683" s="104"/>
      <c r="B683" s="104"/>
      <c r="C683" s="140"/>
      <c r="D683" s="116"/>
      <c r="E683" s="116"/>
      <c r="F683" s="116"/>
      <c r="G683" s="116"/>
      <c r="H683" s="116"/>
      <c r="I683" s="116"/>
      <c r="J683" s="116"/>
      <c r="K683" s="103" t="s">
        <v>2951</v>
      </c>
    </row>
    <row r="684" spans="1:11" ht="14.25" customHeight="1">
      <c r="A684" s="104"/>
      <c r="B684" s="104"/>
      <c r="C684" s="140"/>
      <c r="D684" s="104" t="s">
        <v>2952</v>
      </c>
      <c r="E684" s="104" t="s">
        <v>2953</v>
      </c>
      <c r="F684" s="104" t="s">
        <v>38</v>
      </c>
      <c r="G684" s="104" t="s">
        <v>2954</v>
      </c>
      <c r="H684" s="104" t="s">
        <v>2955</v>
      </c>
      <c r="I684" s="105" t="s">
        <v>41</v>
      </c>
      <c r="J684" s="104" t="s">
        <v>2956</v>
      </c>
      <c r="K684" s="103" t="s">
        <v>2957</v>
      </c>
    </row>
    <row r="685" spans="1:11" ht="14.25" customHeight="1">
      <c r="A685" s="104"/>
      <c r="B685" s="104"/>
      <c r="C685" s="140"/>
      <c r="D685" s="104"/>
      <c r="E685" s="104"/>
      <c r="F685" s="104"/>
      <c r="G685" s="116"/>
      <c r="H685" s="116"/>
      <c r="I685" s="116"/>
      <c r="J685" s="116"/>
      <c r="K685" s="103" t="s">
        <v>2958</v>
      </c>
    </row>
    <row r="686" spans="1:11" ht="14.25" customHeight="1">
      <c r="A686" s="104"/>
      <c r="B686" s="104"/>
      <c r="C686" s="140"/>
      <c r="D686" s="104"/>
      <c r="E686" s="104"/>
      <c r="F686" s="104"/>
      <c r="G686" s="104" t="s">
        <v>2959</v>
      </c>
      <c r="H686" s="104" t="s">
        <v>2960</v>
      </c>
      <c r="I686" s="105" t="s">
        <v>41</v>
      </c>
      <c r="J686" s="104" t="s">
        <v>2961</v>
      </c>
      <c r="K686" s="103" t="s">
        <v>2962</v>
      </c>
    </row>
    <row r="687" spans="1:11" ht="14.25" customHeight="1">
      <c r="A687" s="104"/>
      <c r="B687" s="104"/>
      <c r="C687" s="140"/>
      <c r="D687" s="116"/>
      <c r="E687" s="116"/>
      <c r="F687" s="116"/>
      <c r="G687" s="116"/>
      <c r="H687" s="116"/>
      <c r="I687" s="116"/>
      <c r="J687" s="116"/>
      <c r="K687" s="103" t="s">
        <v>2963</v>
      </c>
    </row>
    <row r="688" spans="1:11" ht="14.25" customHeight="1">
      <c r="A688" s="104"/>
      <c r="B688" s="104"/>
      <c r="C688" s="140"/>
      <c r="D688" s="104" t="s">
        <v>2964</v>
      </c>
      <c r="E688" s="104" t="s">
        <v>2965</v>
      </c>
      <c r="F688" s="104" t="s">
        <v>38</v>
      </c>
      <c r="G688" s="104" t="s">
        <v>2966</v>
      </c>
      <c r="H688" s="104" t="s">
        <v>2967</v>
      </c>
      <c r="I688" s="105" t="s">
        <v>41</v>
      </c>
      <c r="J688" s="104" t="s">
        <v>2968</v>
      </c>
      <c r="K688" s="103" t="s">
        <v>2969</v>
      </c>
    </row>
    <row r="689" spans="1:11" ht="14.25" customHeight="1">
      <c r="A689" s="104"/>
      <c r="B689" s="104"/>
      <c r="C689" s="140"/>
      <c r="D689" s="104"/>
      <c r="E689" s="104"/>
      <c r="F689" s="104"/>
      <c r="G689" s="116"/>
      <c r="H689" s="116"/>
      <c r="I689" s="116"/>
      <c r="J689" s="116"/>
      <c r="K689" s="103" t="s">
        <v>2970</v>
      </c>
    </row>
    <row r="690" spans="1:11" ht="14.25" customHeight="1">
      <c r="A690" s="104"/>
      <c r="B690" s="104"/>
      <c r="C690" s="140"/>
      <c r="D690" s="104"/>
      <c r="E690" s="104"/>
      <c r="F690" s="104"/>
      <c r="G690" s="104" t="s">
        <v>2971</v>
      </c>
      <c r="H690" s="104" t="s">
        <v>2972</v>
      </c>
      <c r="I690" s="105" t="s">
        <v>41</v>
      </c>
      <c r="J690" s="104" t="s">
        <v>2973</v>
      </c>
      <c r="K690" s="103" t="s">
        <v>2974</v>
      </c>
    </row>
    <row r="691" spans="1:11" ht="14.25" customHeight="1">
      <c r="A691" s="104"/>
      <c r="B691" s="104"/>
      <c r="C691" s="141"/>
      <c r="D691" s="116"/>
      <c r="E691" s="116"/>
      <c r="F691" s="116"/>
      <c r="G691" s="116"/>
      <c r="H691" s="116"/>
      <c r="I691" s="116"/>
      <c r="J691" s="116"/>
      <c r="K691" s="103" t="s">
        <v>2975</v>
      </c>
    </row>
    <row r="692" spans="1:11" ht="14.25" customHeight="1">
      <c r="A692" s="104"/>
      <c r="B692" s="104"/>
      <c r="C692" s="148" t="s">
        <v>2976</v>
      </c>
      <c r="D692" s="104" t="s">
        <v>2977</v>
      </c>
      <c r="E692" s="104" t="s">
        <v>2978</v>
      </c>
      <c r="F692" s="104" t="s">
        <v>16</v>
      </c>
      <c r="G692" s="104" t="s">
        <v>2979</v>
      </c>
      <c r="H692" s="104" t="s">
        <v>2980</v>
      </c>
      <c r="I692" s="105" t="s">
        <v>41</v>
      </c>
      <c r="J692" s="104" t="s">
        <v>2981</v>
      </c>
      <c r="K692" s="103" t="s">
        <v>2982</v>
      </c>
    </row>
    <row r="693" spans="1:11" ht="14.25" customHeight="1">
      <c r="A693" s="104"/>
      <c r="B693" s="104"/>
      <c r="C693" s="140"/>
      <c r="D693" s="104"/>
      <c r="E693" s="104"/>
      <c r="F693" s="104"/>
      <c r="G693" s="116"/>
      <c r="H693" s="116"/>
      <c r="I693" s="116"/>
      <c r="J693" s="116"/>
      <c r="K693" s="103" t="s">
        <v>2983</v>
      </c>
    </row>
    <row r="694" spans="1:11" ht="14.25" customHeight="1">
      <c r="A694" s="104"/>
      <c r="B694" s="104"/>
      <c r="C694" s="140"/>
      <c r="D694" s="104"/>
      <c r="E694" s="104"/>
      <c r="F694" s="104"/>
      <c r="G694" s="104" t="s">
        <v>2984</v>
      </c>
      <c r="H694" s="104" t="s">
        <v>2985</v>
      </c>
      <c r="I694" s="105" t="s">
        <v>41</v>
      </c>
      <c r="J694" s="104" t="s">
        <v>2986</v>
      </c>
      <c r="K694" s="103" t="s">
        <v>2987</v>
      </c>
    </row>
    <row r="695" spans="1:11" ht="14.25" customHeight="1">
      <c r="A695" s="104"/>
      <c r="B695" s="104"/>
      <c r="C695" s="140"/>
      <c r="D695" s="116"/>
      <c r="E695" s="116"/>
      <c r="F695" s="116"/>
      <c r="G695" s="116"/>
      <c r="H695" s="116"/>
      <c r="I695" s="116"/>
      <c r="J695" s="116"/>
      <c r="K695" s="103" t="s">
        <v>2988</v>
      </c>
    </row>
    <row r="696" spans="1:11" ht="14.25" customHeight="1">
      <c r="A696" s="104"/>
      <c r="B696" s="104"/>
      <c r="C696" s="140"/>
      <c r="D696" s="104" t="s">
        <v>2989</v>
      </c>
      <c r="E696" s="104" t="s">
        <v>2990</v>
      </c>
      <c r="F696" s="104" t="s">
        <v>16</v>
      </c>
      <c r="G696" s="104" t="s">
        <v>2991</v>
      </c>
      <c r="H696" s="104" t="s">
        <v>2992</v>
      </c>
      <c r="I696" s="105" t="s">
        <v>41</v>
      </c>
      <c r="J696" s="104" t="s">
        <v>2993</v>
      </c>
      <c r="K696" s="103" t="s">
        <v>2994</v>
      </c>
    </row>
    <row r="697" spans="1:11" ht="14.25" customHeight="1">
      <c r="A697" s="104"/>
      <c r="B697" s="104"/>
      <c r="C697" s="140"/>
      <c r="D697" s="104"/>
      <c r="E697" s="104"/>
      <c r="F697" s="104"/>
      <c r="G697" s="116"/>
      <c r="H697" s="116"/>
      <c r="I697" s="116"/>
      <c r="J697" s="116"/>
      <c r="K697" s="103" t="s">
        <v>2995</v>
      </c>
    </row>
    <row r="698" spans="1:11" ht="14.25" customHeight="1">
      <c r="A698" s="104"/>
      <c r="B698" s="104"/>
      <c r="C698" s="140"/>
      <c r="D698" s="104"/>
      <c r="E698" s="104"/>
      <c r="F698" s="104"/>
      <c r="G698" s="104" t="s">
        <v>2996</v>
      </c>
      <c r="H698" s="104" t="s">
        <v>2997</v>
      </c>
      <c r="I698" s="106" t="s">
        <v>19</v>
      </c>
      <c r="J698" s="104" t="s">
        <v>2998</v>
      </c>
      <c r="K698" s="103" t="s">
        <v>2999</v>
      </c>
    </row>
    <row r="699" spans="1:11" ht="14.25" customHeight="1">
      <c r="A699" s="104"/>
      <c r="B699" s="104"/>
      <c r="C699" s="140"/>
      <c r="D699" s="116"/>
      <c r="E699" s="116"/>
      <c r="F699" s="116"/>
      <c r="G699" s="116"/>
      <c r="H699" s="116"/>
      <c r="I699" s="116"/>
      <c r="J699" s="116"/>
      <c r="K699" s="103" t="s">
        <v>3000</v>
      </c>
    </row>
    <row r="700" spans="1:11" ht="14.25" customHeight="1">
      <c r="A700" s="104"/>
      <c r="B700" s="104"/>
      <c r="C700" s="140"/>
      <c r="D700" s="104" t="s">
        <v>3001</v>
      </c>
      <c r="E700" s="104" t="s">
        <v>3002</v>
      </c>
      <c r="F700" s="104" t="s">
        <v>16</v>
      </c>
      <c r="G700" s="104" t="s">
        <v>3003</v>
      </c>
      <c r="H700" s="104" t="s">
        <v>3004</v>
      </c>
      <c r="I700" s="106" t="s">
        <v>19</v>
      </c>
      <c r="J700" s="104" t="s">
        <v>3005</v>
      </c>
      <c r="K700" s="103" t="s">
        <v>3006</v>
      </c>
    </row>
    <row r="701" spans="1:11" ht="14.25" customHeight="1">
      <c r="A701" s="104"/>
      <c r="B701" s="104"/>
      <c r="C701" s="140"/>
      <c r="D701" s="104"/>
      <c r="E701" s="104"/>
      <c r="F701" s="104"/>
      <c r="G701" s="116"/>
      <c r="H701" s="116"/>
      <c r="I701" s="116"/>
      <c r="J701" s="116"/>
      <c r="K701" s="103" t="s">
        <v>3007</v>
      </c>
    </row>
    <row r="702" spans="1:11" ht="14.25" customHeight="1">
      <c r="A702" s="104"/>
      <c r="B702" s="104"/>
      <c r="C702" s="140"/>
      <c r="D702" s="104"/>
      <c r="E702" s="104"/>
      <c r="F702" s="104"/>
      <c r="G702" s="104" t="s">
        <v>3008</v>
      </c>
      <c r="H702" s="104" t="s">
        <v>3009</v>
      </c>
      <c r="I702" s="106" t="s">
        <v>19</v>
      </c>
      <c r="J702" s="104" t="s">
        <v>3010</v>
      </c>
      <c r="K702" s="103" t="s">
        <v>3011</v>
      </c>
    </row>
    <row r="703" spans="1:11" ht="14.25" customHeight="1">
      <c r="A703" s="104"/>
      <c r="B703" s="104"/>
      <c r="C703" s="140"/>
      <c r="D703" s="116"/>
      <c r="E703" s="116"/>
      <c r="F703" s="116"/>
      <c r="G703" s="116"/>
      <c r="H703" s="116"/>
      <c r="I703" s="116"/>
      <c r="J703" s="116"/>
      <c r="K703" s="103" t="s">
        <v>3012</v>
      </c>
    </row>
    <row r="704" spans="1:11" ht="14.25" customHeight="1">
      <c r="A704" s="104"/>
      <c r="B704" s="104"/>
      <c r="C704" s="140"/>
      <c r="D704" s="104" t="s">
        <v>3013</v>
      </c>
      <c r="E704" s="104" t="s">
        <v>3014</v>
      </c>
      <c r="F704" s="104" t="s">
        <v>16</v>
      </c>
      <c r="G704" s="104" t="s">
        <v>3015</v>
      </c>
      <c r="H704" s="104" t="s">
        <v>3016</v>
      </c>
      <c r="I704" s="106" t="s">
        <v>19</v>
      </c>
      <c r="J704" s="104" t="s">
        <v>3017</v>
      </c>
      <c r="K704" s="103" t="s">
        <v>3018</v>
      </c>
    </row>
    <row r="705" spans="1:11" ht="14.25" customHeight="1">
      <c r="A705" s="104"/>
      <c r="B705" s="104"/>
      <c r="C705" s="140"/>
      <c r="D705" s="104"/>
      <c r="E705" s="104"/>
      <c r="F705" s="104"/>
      <c r="G705" s="116"/>
      <c r="H705" s="116"/>
      <c r="I705" s="116"/>
      <c r="J705" s="116"/>
      <c r="K705" s="103" t="s">
        <v>3019</v>
      </c>
    </row>
    <row r="706" spans="1:11" ht="14.25" customHeight="1">
      <c r="A706" s="104"/>
      <c r="B706" s="104"/>
      <c r="C706" s="140"/>
      <c r="D706" s="104"/>
      <c r="E706" s="104"/>
      <c r="F706" s="104"/>
      <c r="G706" s="104" t="s">
        <v>3020</v>
      </c>
      <c r="H706" s="104" t="s">
        <v>3021</v>
      </c>
      <c r="I706" s="106" t="s">
        <v>19</v>
      </c>
      <c r="J706" s="104" t="s">
        <v>3022</v>
      </c>
      <c r="K706" s="103" t="s">
        <v>3023</v>
      </c>
    </row>
    <row r="707" spans="1:11" ht="14.25" customHeight="1">
      <c r="A707" s="104"/>
      <c r="B707" s="104"/>
      <c r="C707" s="140"/>
      <c r="D707" s="116"/>
      <c r="E707" s="116"/>
      <c r="F707" s="116"/>
      <c r="G707" s="116"/>
      <c r="H707" s="116"/>
      <c r="I707" s="116"/>
      <c r="J707" s="116"/>
      <c r="K707" s="103" t="s">
        <v>3024</v>
      </c>
    </row>
    <row r="708" spans="1:11" ht="14.25" customHeight="1">
      <c r="A708" s="104"/>
      <c r="B708" s="104"/>
      <c r="C708" s="140"/>
      <c r="D708" s="104" t="s">
        <v>3025</v>
      </c>
      <c r="E708" s="104" t="s">
        <v>3026</v>
      </c>
      <c r="F708" s="104" t="s">
        <v>16</v>
      </c>
      <c r="G708" s="104" t="s">
        <v>3027</v>
      </c>
      <c r="H708" s="104" t="s">
        <v>3028</v>
      </c>
      <c r="I708" s="106" t="s">
        <v>19</v>
      </c>
      <c r="J708" s="104" t="s">
        <v>3029</v>
      </c>
      <c r="K708" s="103" t="s">
        <v>3030</v>
      </c>
    </row>
    <row r="709" spans="1:11" ht="14.25" customHeight="1">
      <c r="A709" s="104"/>
      <c r="B709" s="104"/>
      <c r="C709" s="140"/>
      <c r="D709" s="104"/>
      <c r="E709" s="104"/>
      <c r="F709" s="104"/>
      <c r="G709" s="116"/>
      <c r="H709" s="116"/>
      <c r="I709" s="116"/>
      <c r="J709" s="116"/>
      <c r="K709" s="103" t="s">
        <v>3031</v>
      </c>
    </row>
    <row r="710" spans="1:11" ht="14.25" customHeight="1">
      <c r="A710" s="104"/>
      <c r="B710" s="104"/>
      <c r="C710" s="140"/>
      <c r="D710" s="104"/>
      <c r="E710" s="104"/>
      <c r="F710" s="104"/>
      <c r="G710" s="104" t="s">
        <v>3032</v>
      </c>
      <c r="H710" s="104" t="s">
        <v>3033</v>
      </c>
      <c r="I710" s="106" t="s">
        <v>19</v>
      </c>
      <c r="J710" s="104" t="s">
        <v>3034</v>
      </c>
      <c r="K710" s="103" t="s">
        <v>3035</v>
      </c>
    </row>
    <row r="711" spans="1:11" ht="14.25" customHeight="1">
      <c r="A711" s="104"/>
      <c r="B711" s="104"/>
      <c r="C711" s="141"/>
      <c r="D711" s="116"/>
      <c r="E711" s="116"/>
      <c r="F711" s="116"/>
      <c r="G711" s="116"/>
      <c r="H711" s="116"/>
      <c r="I711" s="116"/>
      <c r="J711" s="116"/>
      <c r="K711" s="103" t="s">
        <v>3036</v>
      </c>
    </row>
    <row r="712" spans="1:11" ht="14.25" customHeight="1">
      <c r="A712" s="104"/>
      <c r="B712" s="104"/>
      <c r="C712" s="148" t="s">
        <v>3037</v>
      </c>
      <c r="D712" s="104" t="s">
        <v>3038</v>
      </c>
      <c r="E712" s="104" t="s">
        <v>3039</v>
      </c>
      <c r="F712" s="104" t="s">
        <v>16</v>
      </c>
      <c r="G712" s="104" t="s">
        <v>3040</v>
      </c>
      <c r="H712" s="104" t="s">
        <v>3041</v>
      </c>
      <c r="I712" s="106" t="s">
        <v>19</v>
      </c>
      <c r="J712" s="104" t="s">
        <v>3042</v>
      </c>
      <c r="K712" s="103" t="s">
        <v>3043</v>
      </c>
    </row>
    <row r="713" spans="1:11" ht="14.25" customHeight="1">
      <c r="A713" s="104"/>
      <c r="B713" s="104"/>
      <c r="C713" s="140"/>
      <c r="D713" s="104"/>
      <c r="E713" s="104"/>
      <c r="F713" s="104"/>
      <c r="G713" s="116"/>
      <c r="H713" s="116"/>
      <c r="I713" s="116"/>
      <c r="J713" s="116"/>
      <c r="K713" s="103" t="s">
        <v>3044</v>
      </c>
    </row>
    <row r="714" spans="1:11" ht="14.25" customHeight="1">
      <c r="A714" s="104"/>
      <c r="B714" s="104"/>
      <c r="C714" s="140"/>
      <c r="D714" s="104"/>
      <c r="E714" s="104"/>
      <c r="F714" s="104"/>
      <c r="G714" s="104" t="s">
        <v>3045</v>
      </c>
      <c r="H714" s="104" t="s">
        <v>3046</v>
      </c>
      <c r="I714" s="106" t="s">
        <v>19</v>
      </c>
      <c r="J714" s="104" t="s">
        <v>3047</v>
      </c>
      <c r="K714" s="103" t="s">
        <v>3048</v>
      </c>
    </row>
    <row r="715" spans="1:11" ht="14.25" customHeight="1">
      <c r="A715" s="104"/>
      <c r="B715" s="104"/>
      <c r="C715" s="140"/>
      <c r="D715" s="116"/>
      <c r="E715" s="116"/>
      <c r="F715" s="116"/>
      <c r="G715" s="116"/>
      <c r="H715" s="116"/>
      <c r="I715" s="116"/>
      <c r="J715" s="116"/>
      <c r="K715" s="103" t="s">
        <v>3049</v>
      </c>
    </row>
    <row r="716" spans="1:11" ht="14.25" customHeight="1">
      <c r="A716" s="104"/>
      <c r="B716" s="104"/>
      <c r="C716" s="140"/>
      <c r="D716" s="104" t="s">
        <v>3050</v>
      </c>
      <c r="E716" s="104" t="s">
        <v>3051</v>
      </c>
      <c r="F716" s="104" t="s">
        <v>16</v>
      </c>
      <c r="G716" s="104" t="s">
        <v>3052</v>
      </c>
      <c r="H716" s="104" t="s">
        <v>3053</v>
      </c>
      <c r="I716" s="106" t="s">
        <v>19</v>
      </c>
      <c r="J716" s="104" t="s">
        <v>3054</v>
      </c>
      <c r="K716" s="103" t="s">
        <v>3055</v>
      </c>
    </row>
    <row r="717" spans="1:11" ht="14.25" customHeight="1">
      <c r="A717" s="104"/>
      <c r="B717" s="104"/>
      <c r="C717" s="140"/>
      <c r="D717" s="104"/>
      <c r="E717" s="104"/>
      <c r="F717" s="104"/>
      <c r="G717" s="116"/>
      <c r="H717" s="116"/>
      <c r="I717" s="116"/>
      <c r="J717" s="116"/>
      <c r="K717" s="103" t="s">
        <v>3056</v>
      </c>
    </row>
    <row r="718" spans="1:11" ht="14.25" customHeight="1">
      <c r="A718" s="104"/>
      <c r="B718" s="104"/>
      <c r="C718" s="140"/>
      <c r="D718" s="104"/>
      <c r="E718" s="104"/>
      <c r="F718" s="104"/>
      <c r="G718" s="104" t="s">
        <v>3057</v>
      </c>
      <c r="H718" s="104" t="s">
        <v>3058</v>
      </c>
      <c r="I718" s="106" t="s">
        <v>19</v>
      </c>
      <c r="J718" s="104" t="s">
        <v>3059</v>
      </c>
      <c r="K718" s="103" t="s">
        <v>2726</v>
      </c>
    </row>
    <row r="719" spans="1:11" ht="14.25" customHeight="1">
      <c r="A719" s="104"/>
      <c r="B719" s="104"/>
      <c r="C719" s="140"/>
      <c r="D719" s="116"/>
      <c r="E719" s="116"/>
      <c r="F719" s="116"/>
      <c r="G719" s="116"/>
      <c r="H719" s="116"/>
      <c r="I719" s="116"/>
      <c r="J719" s="116"/>
      <c r="K719" s="103" t="s">
        <v>3060</v>
      </c>
    </row>
    <row r="720" spans="1:11" ht="14.25" customHeight="1">
      <c r="A720" s="104"/>
      <c r="B720" s="104"/>
      <c r="C720" s="140"/>
      <c r="D720" s="104" t="s">
        <v>3061</v>
      </c>
      <c r="E720" s="104" t="s">
        <v>3062</v>
      </c>
      <c r="F720" s="104" t="s">
        <v>16</v>
      </c>
      <c r="G720" s="104" t="s">
        <v>3063</v>
      </c>
      <c r="H720" s="104" t="s">
        <v>3064</v>
      </c>
      <c r="I720" s="106" t="s">
        <v>19</v>
      </c>
      <c r="J720" s="104" t="s">
        <v>3065</v>
      </c>
      <c r="K720" s="103" t="s">
        <v>3066</v>
      </c>
    </row>
    <row r="721" spans="1:11" ht="14.25" customHeight="1">
      <c r="A721" s="104"/>
      <c r="B721" s="104"/>
      <c r="C721" s="140"/>
      <c r="D721" s="104"/>
      <c r="E721" s="104"/>
      <c r="F721" s="104"/>
      <c r="G721" s="116"/>
      <c r="H721" s="116"/>
      <c r="I721" s="116"/>
      <c r="J721" s="116"/>
      <c r="K721" s="103" t="s">
        <v>3067</v>
      </c>
    </row>
    <row r="722" spans="1:11" ht="14.25" customHeight="1">
      <c r="A722" s="104"/>
      <c r="B722" s="104"/>
      <c r="C722" s="140"/>
      <c r="D722" s="104"/>
      <c r="E722" s="104"/>
      <c r="F722" s="104"/>
      <c r="G722" s="104" t="s">
        <v>3068</v>
      </c>
      <c r="H722" s="104" t="s">
        <v>3069</v>
      </c>
      <c r="I722" s="106" t="s">
        <v>19</v>
      </c>
      <c r="J722" s="104" t="s">
        <v>3070</v>
      </c>
      <c r="K722" s="103" t="s">
        <v>3071</v>
      </c>
    </row>
    <row r="723" spans="1:11" ht="14.25" customHeight="1">
      <c r="A723" s="104"/>
      <c r="B723" s="104"/>
      <c r="C723" s="140"/>
      <c r="D723" s="116"/>
      <c r="E723" s="116"/>
      <c r="F723" s="116"/>
      <c r="G723" s="116"/>
      <c r="H723" s="116"/>
      <c r="I723" s="116"/>
      <c r="J723" s="116"/>
      <c r="K723" s="103" t="s">
        <v>3072</v>
      </c>
    </row>
    <row r="724" spans="1:11" ht="14.25" customHeight="1">
      <c r="A724" s="104"/>
      <c r="B724" s="104"/>
      <c r="C724" s="140"/>
      <c r="D724" s="104" t="s">
        <v>3073</v>
      </c>
      <c r="E724" s="104" t="s">
        <v>3074</v>
      </c>
      <c r="F724" s="104" t="s">
        <v>16</v>
      </c>
      <c r="G724" s="104" t="s">
        <v>3075</v>
      </c>
      <c r="H724" s="104" t="s">
        <v>3076</v>
      </c>
      <c r="I724" s="106" t="s">
        <v>19</v>
      </c>
      <c r="J724" s="104" t="s">
        <v>3077</v>
      </c>
      <c r="K724" s="103" t="s">
        <v>3078</v>
      </c>
    </row>
    <row r="725" spans="1:11" ht="14.25" customHeight="1">
      <c r="A725" s="104"/>
      <c r="B725" s="104"/>
      <c r="C725" s="140"/>
      <c r="D725" s="104"/>
      <c r="E725" s="104"/>
      <c r="F725" s="104"/>
      <c r="G725" s="116"/>
      <c r="H725" s="116"/>
      <c r="I725" s="116"/>
      <c r="J725" s="116"/>
      <c r="K725" s="103" t="s">
        <v>3079</v>
      </c>
    </row>
    <row r="726" spans="1:11" ht="14.25" customHeight="1">
      <c r="A726" s="104"/>
      <c r="B726" s="104"/>
      <c r="C726" s="140"/>
      <c r="D726" s="104"/>
      <c r="E726" s="104"/>
      <c r="F726" s="104"/>
      <c r="G726" s="104" t="s">
        <v>3080</v>
      </c>
      <c r="H726" s="104" t="s">
        <v>3081</v>
      </c>
      <c r="I726" s="106" t="s">
        <v>19</v>
      </c>
      <c r="J726" s="104" t="s">
        <v>3082</v>
      </c>
      <c r="K726" s="103" t="s">
        <v>3083</v>
      </c>
    </row>
    <row r="727" spans="1:11" ht="14.25" customHeight="1">
      <c r="A727" s="104"/>
      <c r="B727" s="104"/>
      <c r="C727" s="140"/>
      <c r="D727" s="116"/>
      <c r="E727" s="116"/>
      <c r="F727" s="116"/>
      <c r="G727" s="116"/>
      <c r="H727" s="116"/>
      <c r="I727" s="116"/>
      <c r="J727" s="116"/>
      <c r="K727" s="103" t="s">
        <v>3084</v>
      </c>
    </row>
    <row r="728" spans="1:11" ht="14.25" customHeight="1">
      <c r="A728" s="104"/>
      <c r="B728" s="104"/>
      <c r="C728" s="140"/>
      <c r="D728" s="104" t="s">
        <v>3085</v>
      </c>
      <c r="E728" s="104" t="s">
        <v>3086</v>
      </c>
      <c r="F728" s="104" t="s">
        <v>16</v>
      </c>
      <c r="G728" s="104" t="s">
        <v>3087</v>
      </c>
      <c r="H728" s="104" t="s">
        <v>3088</v>
      </c>
      <c r="I728" s="106" t="s">
        <v>19</v>
      </c>
      <c r="J728" s="104" t="s">
        <v>3089</v>
      </c>
      <c r="K728" s="103" t="s">
        <v>3090</v>
      </c>
    </row>
    <row r="729" spans="1:11" ht="14.25" customHeight="1">
      <c r="A729" s="104"/>
      <c r="B729" s="104"/>
      <c r="C729" s="140"/>
      <c r="D729" s="104"/>
      <c r="E729" s="104"/>
      <c r="F729" s="104"/>
      <c r="G729" s="116"/>
      <c r="H729" s="116"/>
      <c r="I729" s="116"/>
      <c r="J729" s="116"/>
      <c r="K729" s="103" t="s">
        <v>3091</v>
      </c>
    </row>
    <row r="730" spans="1:11" ht="14.25" customHeight="1">
      <c r="A730" s="104"/>
      <c r="B730" s="104"/>
      <c r="C730" s="140"/>
      <c r="D730" s="104"/>
      <c r="E730" s="104"/>
      <c r="F730" s="104"/>
      <c r="G730" s="104" t="s">
        <v>3092</v>
      </c>
      <c r="H730" s="104" t="s">
        <v>3093</v>
      </c>
      <c r="I730" s="106" t="s">
        <v>19</v>
      </c>
      <c r="J730" s="104" t="s">
        <v>3094</v>
      </c>
      <c r="K730" s="103" t="s">
        <v>3095</v>
      </c>
    </row>
    <row r="731" spans="1:11" ht="14.25" customHeight="1">
      <c r="A731" s="104"/>
      <c r="B731" s="104"/>
      <c r="C731" s="141"/>
      <c r="D731" s="116"/>
      <c r="E731" s="116"/>
      <c r="F731" s="116"/>
      <c r="G731" s="116"/>
      <c r="H731" s="116"/>
      <c r="I731" s="116"/>
      <c r="J731" s="116"/>
      <c r="K731" s="103" t="s">
        <v>3096</v>
      </c>
    </row>
    <row r="732" spans="1:11" ht="14.25" customHeight="1">
      <c r="A732" s="104"/>
      <c r="B732" s="104"/>
      <c r="C732" s="148" t="s">
        <v>3097</v>
      </c>
      <c r="D732" s="104" t="s">
        <v>3098</v>
      </c>
      <c r="E732" s="104" t="s">
        <v>3099</v>
      </c>
      <c r="F732" s="104" t="s">
        <v>16</v>
      </c>
      <c r="G732" s="104" t="s">
        <v>3100</v>
      </c>
      <c r="H732" s="104" t="s">
        <v>3101</v>
      </c>
      <c r="I732" s="105" t="s">
        <v>41</v>
      </c>
      <c r="J732" s="104" t="s">
        <v>3102</v>
      </c>
      <c r="K732" s="103" t="s">
        <v>3103</v>
      </c>
    </row>
    <row r="733" spans="1:11" ht="14.25" customHeight="1">
      <c r="A733" s="104"/>
      <c r="B733" s="104"/>
      <c r="C733" s="140"/>
      <c r="D733" s="104"/>
      <c r="E733" s="104"/>
      <c r="F733" s="104"/>
      <c r="G733" s="116"/>
      <c r="H733" s="116"/>
      <c r="I733" s="116"/>
      <c r="J733" s="116"/>
      <c r="K733" s="103" t="s">
        <v>3104</v>
      </c>
    </row>
    <row r="734" spans="1:11" ht="14.25" customHeight="1">
      <c r="A734" s="104"/>
      <c r="B734" s="104"/>
      <c r="C734" s="140"/>
      <c r="D734" s="104"/>
      <c r="E734" s="104"/>
      <c r="F734" s="104"/>
      <c r="G734" s="104" t="s">
        <v>3105</v>
      </c>
      <c r="H734" s="104" t="s">
        <v>3106</v>
      </c>
      <c r="I734" s="105" t="s">
        <v>41</v>
      </c>
      <c r="J734" s="104" t="s">
        <v>3107</v>
      </c>
      <c r="K734" s="103" t="s">
        <v>3108</v>
      </c>
    </row>
    <row r="735" spans="1:11" ht="14.25" customHeight="1">
      <c r="A735" s="104"/>
      <c r="B735" s="104"/>
      <c r="C735" s="140"/>
      <c r="D735" s="116"/>
      <c r="E735" s="116"/>
      <c r="F735" s="116"/>
      <c r="G735" s="116"/>
      <c r="H735" s="116"/>
      <c r="I735" s="116"/>
      <c r="J735" s="116"/>
      <c r="K735" s="103" t="s">
        <v>3109</v>
      </c>
    </row>
    <row r="736" spans="1:11" ht="14.25" customHeight="1">
      <c r="A736" s="104"/>
      <c r="B736" s="104"/>
      <c r="C736" s="140"/>
      <c r="D736" s="104" t="s">
        <v>3110</v>
      </c>
      <c r="E736" s="104" t="s">
        <v>3111</v>
      </c>
      <c r="F736" s="104" t="s">
        <v>16</v>
      </c>
      <c r="G736" s="104" t="s">
        <v>3112</v>
      </c>
      <c r="H736" s="104" t="s">
        <v>3113</v>
      </c>
      <c r="I736" s="105" t="s">
        <v>41</v>
      </c>
      <c r="J736" s="104" t="s">
        <v>3114</v>
      </c>
      <c r="K736" s="103" t="s">
        <v>3115</v>
      </c>
    </row>
    <row r="737" spans="1:11" ht="14.25" customHeight="1">
      <c r="A737" s="104"/>
      <c r="B737" s="104"/>
      <c r="C737" s="140"/>
      <c r="D737" s="104"/>
      <c r="E737" s="104"/>
      <c r="F737" s="104"/>
      <c r="G737" s="116"/>
      <c r="H737" s="116"/>
      <c r="I737" s="116"/>
      <c r="J737" s="116"/>
      <c r="K737" s="103" t="s">
        <v>3116</v>
      </c>
    </row>
    <row r="738" spans="1:11" ht="14.25" customHeight="1">
      <c r="A738" s="104"/>
      <c r="B738" s="104"/>
      <c r="C738" s="140"/>
      <c r="D738" s="104"/>
      <c r="E738" s="104"/>
      <c r="F738" s="104"/>
      <c r="G738" s="104" t="s">
        <v>3117</v>
      </c>
      <c r="H738" s="104" t="s">
        <v>3118</v>
      </c>
      <c r="I738" s="105" t="s">
        <v>41</v>
      </c>
      <c r="J738" s="104" t="s">
        <v>3119</v>
      </c>
      <c r="K738" s="103" t="s">
        <v>3120</v>
      </c>
    </row>
    <row r="739" spans="1:11" ht="14.25" customHeight="1">
      <c r="A739" s="104"/>
      <c r="B739" s="104"/>
      <c r="C739" s="140"/>
      <c r="D739" s="116"/>
      <c r="E739" s="116"/>
      <c r="F739" s="116"/>
      <c r="G739" s="116"/>
      <c r="H739" s="116"/>
      <c r="I739" s="116"/>
      <c r="J739" s="116"/>
      <c r="K739" s="103" t="s">
        <v>3121</v>
      </c>
    </row>
    <row r="740" spans="1:11" ht="14.25" customHeight="1">
      <c r="A740" s="104"/>
      <c r="B740" s="104"/>
      <c r="C740" s="140"/>
      <c r="D740" s="104" t="s">
        <v>3122</v>
      </c>
      <c r="E740" s="104" t="s">
        <v>3123</v>
      </c>
      <c r="F740" s="104" t="s">
        <v>16</v>
      </c>
      <c r="G740" s="104" t="s">
        <v>3124</v>
      </c>
      <c r="H740" s="104" t="s">
        <v>3125</v>
      </c>
      <c r="I740" s="106" t="s">
        <v>19</v>
      </c>
      <c r="J740" s="104" t="s">
        <v>3126</v>
      </c>
      <c r="K740" s="103" t="s">
        <v>3127</v>
      </c>
    </row>
    <row r="741" spans="1:11" ht="14.25" customHeight="1">
      <c r="A741" s="104"/>
      <c r="B741" s="104"/>
      <c r="C741" s="140"/>
      <c r="D741" s="104"/>
      <c r="E741" s="104"/>
      <c r="F741" s="104"/>
      <c r="G741" s="116"/>
      <c r="H741" s="116"/>
      <c r="I741" s="116"/>
      <c r="J741" s="116"/>
      <c r="K741" s="103" t="s">
        <v>3128</v>
      </c>
    </row>
    <row r="742" spans="1:11" ht="14.25" customHeight="1">
      <c r="A742" s="104"/>
      <c r="B742" s="104"/>
      <c r="C742" s="140"/>
      <c r="D742" s="104"/>
      <c r="E742" s="104"/>
      <c r="F742" s="104"/>
      <c r="G742" s="104" t="s">
        <v>3129</v>
      </c>
      <c r="H742" s="104" t="s">
        <v>3130</v>
      </c>
      <c r="I742" s="106" t="s">
        <v>19</v>
      </c>
      <c r="J742" s="104" t="s">
        <v>3131</v>
      </c>
      <c r="K742" s="103" t="s">
        <v>3132</v>
      </c>
    </row>
    <row r="743" spans="1:11" ht="14.25" customHeight="1">
      <c r="A743" s="104"/>
      <c r="B743" s="104"/>
      <c r="C743" s="140"/>
      <c r="D743" s="116"/>
      <c r="E743" s="116"/>
      <c r="F743" s="116"/>
      <c r="G743" s="116"/>
      <c r="H743" s="116"/>
      <c r="I743" s="116"/>
      <c r="J743" s="116"/>
      <c r="K743" s="103" t="s">
        <v>3133</v>
      </c>
    </row>
    <row r="744" spans="1:11" ht="14.25" customHeight="1">
      <c r="A744" s="104"/>
      <c r="B744" s="104"/>
      <c r="C744" s="140"/>
      <c r="D744" s="104" t="s">
        <v>3134</v>
      </c>
      <c r="E744" s="104" t="s">
        <v>3135</v>
      </c>
      <c r="F744" s="104" t="s">
        <v>16</v>
      </c>
      <c r="G744" s="104" t="s">
        <v>3136</v>
      </c>
      <c r="H744" s="104" t="s">
        <v>3137</v>
      </c>
      <c r="I744" s="105" t="s">
        <v>41</v>
      </c>
      <c r="J744" s="104" t="s">
        <v>3138</v>
      </c>
      <c r="K744" s="103" t="s">
        <v>3139</v>
      </c>
    </row>
    <row r="745" spans="1:11" ht="14.25" customHeight="1">
      <c r="A745" s="104"/>
      <c r="B745" s="104"/>
      <c r="C745" s="140"/>
      <c r="D745" s="104"/>
      <c r="E745" s="104"/>
      <c r="F745" s="104"/>
      <c r="G745" s="116"/>
      <c r="H745" s="116"/>
      <c r="I745" s="116"/>
      <c r="J745" s="116"/>
      <c r="K745" s="103" t="s">
        <v>3140</v>
      </c>
    </row>
    <row r="746" spans="1:11" ht="14.25" customHeight="1">
      <c r="A746" s="104"/>
      <c r="B746" s="104"/>
      <c r="C746" s="140"/>
      <c r="D746" s="104"/>
      <c r="E746" s="104"/>
      <c r="F746" s="104"/>
      <c r="G746" s="104" t="s">
        <v>3141</v>
      </c>
      <c r="H746" s="104" t="s">
        <v>3142</v>
      </c>
      <c r="I746" s="105" t="s">
        <v>41</v>
      </c>
      <c r="J746" s="104" t="s">
        <v>3143</v>
      </c>
      <c r="K746" s="103" t="s">
        <v>3144</v>
      </c>
    </row>
    <row r="747" spans="1:11" ht="14.25" customHeight="1">
      <c r="A747" s="104"/>
      <c r="B747" s="104"/>
      <c r="C747" s="140"/>
      <c r="D747" s="116"/>
      <c r="E747" s="116"/>
      <c r="F747" s="116"/>
      <c r="G747" s="116"/>
      <c r="H747" s="116"/>
      <c r="I747" s="116"/>
      <c r="J747" s="116"/>
      <c r="K747" s="103" t="s">
        <v>3145</v>
      </c>
    </row>
    <row r="748" spans="1:11" ht="14.25" customHeight="1">
      <c r="A748" s="104"/>
      <c r="B748" s="104"/>
      <c r="C748" s="140"/>
      <c r="D748" s="104" t="s">
        <v>3146</v>
      </c>
      <c r="E748" s="104" t="s">
        <v>3147</v>
      </c>
      <c r="F748" s="104" t="s">
        <v>38</v>
      </c>
      <c r="G748" s="104" t="s">
        <v>3148</v>
      </c>
      <c r="H748" s="104" t="s">
        <v>3149</v>
      </c>
      <c r="I748" s="105" t="s">
        <v>41</v>
      </c>
      <c r="J748" s="104" t="s">
        <v>3150</v>
      </c>
      <c r="K748" s="103" t="s">
        <v>3151</v>
      </c>
    </row>
    <row r="749" spans="1:11" ht="14.25" customHeight="1">
      <c r="A749" s="104"/>
      <c r="B749" s="104"/>
      <c r="C749" s="140"/>
      <c r="D749" s="104"/>
      <c r="E749" s="104"/>
      <c r="F749" s="104"/>
      <c r="G749" s="116"/>
      <c r="H749" s="116"/>
      <c r="I749" s="116"/>
      <c r="J749" s="116"/>
      <c r="K749" s="103" t="s">
        <v>3152</v>
      </c>
    </row>
    <row r="750" spans="1:11" ht="14.25" customHeight="1">
      <c r="A750" s="104"/>
      <c r="B750" s="104"/>
      <c r="C750" s="140"/>
      <c r="D750" s="104"/>
      <c r="E750" s="104"/>
      <c r="F750" s="104"/>
      <c r="G750" s="104" t="s">
        <v>3153</v>
      </c>
      <c r="H750" s="104" t="s">
        <v>3154</v>
      </c>
      <c r="I750" s="106" t="s">
        <v>19</v>
      </c>
      <c r="J750" s="104" t="s">
        <v>3155</v>
      </c>
      <c r="K750" s="103" t="s">
        <v>3156</v>
      </c>
    </row>
    <row r="751" spans="1:11" ht="14.25" customHeight="1">
      <c r="A751" s="104"/>
      <c r="B751" s="104"/>
      <c r="C751" s="141"/>
      <c r="D751" s="116"/>
      <c r="E751" s="116"/>
      <c r="F751" s="116"/>
      <c r="G751" s="116"/>
      <c r="H751" s="116"/>
      <c r="I751" s="116"/>
      <c r="J751" s="116"/>
      <c r="K751" s="103" t="s">
        <v>3157</v>
      </c>
    </row>
    <row r="752" spans="1:11" ht="14.25" customHeight="1">
      <c r="A752" s="104"/>
      <c r="B752" s="104"/>
      <c r="C752" s="148" t="s">
        <v>3158</v>
      </c>
      <c r="D752" s="104" t="s">
        <v>3159</v>
      </c>
      <c r="E752" s="104" t="s">
        <v>3160</v>
      </c>
      <c r="F752" s="104" t="s">
        <v>38</v>
      </c>
      <c r="G752" s="104" t="s">
        <v>3161</v>
      </c>
      <c r="H752" s="104" t="s">
        <v>3162</v>
      </c>
      <c r="I752" s="106" t="s">
        <v>19</v>
      </c>
      <c r="J752" s="104" t="s">
        <v>3163</v>
      </c>
      <c r="K752" s="103" t="s">
        <v>3164</v>
      </c>
    </row>
    <row r="753" spans="1:11" ht="14.25" customHeight="1">
      <c r="A753" s="104"/>
      <c r="B753" s="104"/>
      <c r="C753" s="140"/>
      <c r="D753" s="104"/>
      <c r="E753" s="104"/>
      <c r="F753" s="104"/>
      <c r="G753" s="116"/>
      <c r="H753" s="116"/>
      <c r="I753" s="116"/>
      <c r="J753" s="116"/>
      <c r="K753" s="103" t="s">
        <v>3165</v>
      </c>
    </row>
    <row r="754" spans="1:11" ht="14.25" customHeight="1">
      <c r="A754" s="104"/>
      <c r="B754" s="104"/>
      <c r="C754" s="140"/>
      <c r="D754" s="104"/>
      <c r="E754" s="104"/>
      <c r="F754" s="104"/>
      <c r="G754" s="104" t="s">
        <v>3166</v>
      </c>
      <c r="H754" s="104" t="s">
        <v>3167</v>
      </c>
      <c r="I754" s="106" t="s">
        <v>19</v>
      </c>
      <c r="J754" s="104" t="s">
        <v>3168</v>
      </c>
      <c r="K754" s="103" t="s">
        <v>3169</v>
      </c>
    </row>
    <row r="755" spans="1:11" ht="14.25" customHeight="1">
      <c r="A755" s="104"/>
      <c r="B755" s="104"/>
      <c r="C755" s="140"/>
      <c r="D755" s="116"/>
      <c r="E755" s="116"/>
      <c r="F755" s="116"/>
      <c r="G755" s="116"/>
      <c r="H755" s="116"/>
      <c r="I755" s="116"/>
      <c r="J755" s="116"/>
      <c r="K755" s="103" t="s">
        <v>3170</v>
      </c>
    </row>
    <row r="756" spans="1:11" ht="14.25" customHeight="1">
      <c r="A756" s="104"/>
      <c r="B756" s="104"/>
      <c r="C756" s="140"/>
      <c r="D756" s="104" t="s">
        <v>3171</v>
      </c>
      <c r="E756" s="104" t="s">
        <v>3172</v>
      </c>
      <c r="F756" s="104" t="s">
        <v>16</v>
      </c>
      <c r="G756" s="104" t="s">
        <v>3173</v>
      </c>
      <c r="H756" s="104" t="s">
        <v>3174</v>
      </c>
      <c r="I756" s="106" t="s">
        <v>19</v>
      </c>
      <c r="J756" s="104" t="s">
        <v>3175</v>
      </c>
      <c r="K756" s="103" t="s">
        <v>3176</v>
      </c>
    </row>
    <row r="757" spans="1:11" ht="14.25" customHeight="1">
      <c r="A757" s="104"/>
      <c r="B757" s="104"/>
      <c r="C757" s="140"/>
      <c r="D757" s="104"/>
      <c r="E757" s="104"/>
      <c r="F757" s="104"/>
      <c r="G757" s="116"/>
      <c r="H757" s="116"/>
      <c r="I757" s="116"/>
      <c r="J757" s="116"/>
      <c r="K757" s="103" t="s">
        <v>3177</v>
      </c>
    </row>
    <row r="758" spans="1:11" ht="14.25" customHeight="1">
      <c r="A758" s="104"/>
      <c r="B758" s="104"/>
      <c r="C758" s="140"/>
      <c r="D758" s="104"/>
      <c r="E758" s="104"/>
      <c r="F758" s="104"/>
      <c r="G758" s="104" t="s">
        <v>3178</v>
      </c>
      <c r="H758" s="104" t="s">
        <v>3179</v>
      </c>
      <c r="I758" s="106" t="s">
        <v>19</v>
      </c>
      <c r="J758" s="104" t="s">
        <v>3180</v>
      </c>
      <c r="K758" s="103" t="s">
        <v>3181</v>
      </c>
    </row>
    <row r="759" spans="1:11" ht="14.25" customHeight="1">
      <c r="A759" s="104"/>
      <c r="B759" s="104"/>
      <c r="C759" s="140"/>
      <c r="D759" s="116"/>
      <c r="E759" s="116"/>
      <c r="F759" s="116"/>
      <c r="G759" s="116"/>
      <c r="H759" s="116"/>
      <c r="I759" s="116"/>
      <c r="J759" s="116"/>
      <c r="K759" s="103" t="s">
        <v>3182</v>
      </c>
    </row>
    <row r="760" spans="1:11" ht="14.25" customHeight="1">
      <c r="A760" s="104"/>
      <c r="B760" s="104"/>
      <c r="C760" s="140"/>
      <c r="D760" s="104" t="s">
        <v>3183</v>
      </c>
      <c r="E760" s="104" t="s">
        <v>3184</v>
      </c>
      <c r="F760" s="104" t="s">
        <v>16</v>
      </c>
      <c r="G760" s="104" t="s">
        <v>3185</v>
      </c>
      <c r="H760" s="104" t="s">
        <v>3186</v>
      </c>
      <c r="I760" s="106" t="s">
        <v>19</v>
      </c>
      <c r="J760" s="104" t="s">
        <v>3187</v>
      </c>
      <c r="K760" s="103" t="s">
        <v>3188</v>
      </c>
    </row>
    <row r="761" spans="1:11" ht="14.25" customHeight="1">
      <c r="A761" s="104"/>
      <c r="B761" s="104"/>
      <c r="C761" s="140"/>
      <c r="D761" s="104"/>
      <c r="E761" s="104"/>
      <c r="F761" s="104"/>
      <c r="G761" s="116"/>
      <c r="H761" s="116"/>
      <c r="I761" s="116"/>
      <c r="J761" s="116"/>
      <c r="K761" s="103" t="s">
        <v>3189</v>
      </c>
    </row>
    <row r="762" spans="1:11" ht="14.25" customHeight="1">
      <c r="A762" s="104"/>
      <c r="B762" s="104"/>
      <c r="C762" s="140"/>
      <c r="D762" s="104"/>
      <c r="E762" s="104"/>
      <c r="F762" s="104"/>
      <c r="G762" s="104" t="s">
        <v>3190</v>
      </c>
      <c r="H762" s="104" t="s">
        <v>3191</v>
      </c>
      <c r="I762" s="106" t="s">
        <v>19</v>
      </c>
      <c r="J762" s="104" t="s">
        <v>3192</v>
      </c>
      <c r="K762" s="103" t="s">
        <v>3193</v>
      </c>
    </row>
    <row r="763" spans="1:11" ht="14.25" customHeight="1">
      <c r="A763" s="104"/>
      <c r="B763" s="104"/>
      <c r="C763" s="140"/>
      <c r="D763" s="116"/>
      <c r="E763" s="116"/>
      <c r="F763" s="116"/>
      <c r="G763" s="116"/>
      <c r="H763" s="116"/>
      <c r="I763" s="116"/>
      <c r="J763" s="116"/>
      <c r="K763" s="103" t="s">
        <v>3194</v>
      </c>
    </row>
    <row r="764" spans="1:11" ht="14.25" customHeight="1">
      <c r="A764" s="104"/>
      <c r="B764" s="104"/>
      <c r="C764" s="140"/>
      <c r="D764" s="104" t="s">
        <v>3195</v>
      </c>
      <c r="E764" s="104" t="s">
        <v>3196</v>
      </c>
      <c r="F764" s="104" t="s">
        <v>16</v>
      </c>
      <c r="G764" s="104" t="s">
        <v>3197</v>
      </c>
      <c r="H764" s="104" t="s">
        <v>3198</v>
      </c>
      <c r="I764" s="105" t="s">
        <v>41</v>
      </c>
      <c r="J764" s="104" t="s">
        <v>3199</v>
      </c>
      <c r="K764" s="103" t="s">
        <v>3200</v>
      </c>
    </row>
    <row r="765" spans="1:11" ht="14.25" customHeight="1">
      <c r="A765" s="104"/>
      <c r="B765" s="104"/>
      <c r="C765" s="140"/>
      <c r="D765" s="104"/>
      <c r="E765" s="104"/>
      <c r="F765" s="104"/>
      <c r="G765" s="116"/>
      <c r="H765" s="116"/>
      <c r="I765" s="116"/>
      <c r="J765" s="116"/>
      <c r="K765" s="103" t="s">
        <v>3201</v>
      </c>
    </row>
    <row r="766" spans="1:11" ht="14.25" customHeight="1">
      <c r="A766" s="104"/>
      <c r="B766" s="104"/>
      <c r="C766" s="140"/>
      <c r="D766" s="104"/>
      <c r="E766" s="104"/>
      <c r="F766" s="104"/>
      <c r="G766" s="104" t="s">
        <v>3202</v>
      </c>
      <c r="H766" s="104" t="s">
        <v>3203</v>
      </c>
      <c r="I766" s="105" t="s">
        <v>41</v>
      </c>
      <c r="J766" s="104" t="s">
        <v>3204</v>
      </c>
      <c r="K766" s="103" t="s">
        <v>3205</v>
      </c>
    </row>
    <row r="767" spans="1:11" ht="14.25" customHeight="1">
      <c r="A767" s="104"/>
      <c r="B767" s="104"/>
      <c r="C767" s="140"/>
      <c r="D767" s="116"/>
      <c r="E767" s="116"/>
      <c r="F767" s="116"/>
      <c r="G767" s="116"/>
      <c r="H767" s="116"/>
      <c r="I767" s="116"/>
      <c r="J767" s="116"/>
      <c r="K767" s="103" t="s">
        <v>3206</v>
      </c>
    </row>
    <row r="768" spans="1:11" ht="14.25" customHeight="1">
      <c r="A768" s="104"/>
      <c r="B768" s="104"/>
      <c r="C768" s="140"/>
      <c r="D768" s="104" t="s">
        <v>3207</v>
      </c>
      <c r="E768" s="104" t="s">
        <v>3208</v>
      </c>
      <c r="F768" s="104" t="s">
        <v>16</v>
      </c>
      <c r="G768" s="104" t="s">
        <v>3209</v>
      </c>
      <c r="H768" s="104" t="s">
        <v>3210</v>
      </c>
      <c r="I768" s="105" t="s">
        <v>41</v>
      </c>
      <c r="J768" s="104" t="s">
        <v>3211</v>
      </c>
      <c r="K768" s="103" t="s">
        <v>3212</v>
      </c>
    </row>
    <row r="769" spans="1:11" ht="14.25" customHeight="1">
      <c r="A769" s="104"/>
      <c r="B769" s="104"/>
      <c r="C769" s="140"/>
      <c r="D769" s="104"/>
      <c r="E769" s="104"/>
      <c r="F769" s="104"/>
      <c r="G769" s="116"/>
      <c r="H769" s="116"/>
      <c r="I769" s="116"/>
      <c r="J769" s="116"/>
      <c r="K769" s="103" t="s">
        <v>3213</v>
      </c>
    </row>
    <row r="770" spans="1:11" ht="14.25" customHeight="1">
      <c r="A770" s="104"/>
      <c r="B770" s="104"/>
      <c r="C770" s="140"/>
      <c r="D770" s="104"/>
      <c r="E770" s="104"/>
      <c r="F770" s="104"/>
      <c r="G770" s="104" t="s">
        <v>3214</v>
      </c>
      <c r="H770" s="104" t="s">
        <v>3215</v>
      </c>
      <c r="I770" s="105" t="s">
        <v>41</v>
      </c>
      <c r="J770" s="104" t="s">
        <v>3216</v>
      </c>
      <c r="K770" s="103" t="s">
        <v>3217</v>
      </c>
    </row>
    <row r="771" spans="1:11" ht="14.25" customHeight="1">
      <c r="A771" s="104"/>
      <c r="B771" s="104"/>
      <c r="C771" s="141"/>
      <c r="D771" s="116"/>
      <c r="E771" s="116"/>
      <c r="F771" s="116"/>
      <c r="G771" s="116"/>
      <c r="H771" s="116"/>
      <c r="I771" s="116"/>
      <c r="J771" s="116"/>
      <c r="K771" s="103" t="s">
        <v>3218</v>
      </c>
    </row>
    <row r="772" spans="1:11" ht="14.25" customHeight="1">
      <c r="A772" s="104"/>
      <c r="B772" s="104"/>
      <c r="C772" s="148" t="s">
        <v>3219</v>
      </c>
      <c r="D772" s="104" t="s">
        <v>3220</v>
      </c>
      <c r="E772" s="104" t="s">
        <v>3221</v>
      </c>
      <c r="F772" s="104" t="s">
        <v>16</v>
      </c>
      <c r="G772" s="104" t="s">
        <v>3222</v>
      </c>
      <c r="H772" s="104" t="s">
        <v>3223</v>
      </c>
      <c r="I772" s="105" t="s">
        <v>41</v>
      </c>
      <c r="J772" s="104" t="s">
        <v>3224</v>
      </c>
      <c r="K772" s="103" t="s">
        <v>3225</v>
      </c>
    </row>
    <row r="773" spans="1:11" ht="14.25" customHeight="1">
      <c r="A773" s="104"/>
      <c r="B773" s="104"/>
      <c r="C773" s="140"/>
      <c r="D773" s="104"/>
      <c r="E773" s="104"/>
      <c r="F773" s="104"/>
      <c r="G773" s="116"/>
      <c r="H773" s="116"/>
      <c r="I773" s="116"/>
      <c r="J773" s="116"/>
      <c r="K773" s="103" t="s">
        <v>2646</v>
      </c>
    </row>
    <row r="774" spans="1:11" ht="14.25" customHeight="1">
      <c r="A774" s="104"/>
      <c r="B774" s="104"/>
      <c r="C774" s="140"/>
      <c r="D774" s="104"/>
      <c r="E774" s="104"/>
      <c r="F774" s="104"/>
      <c r="G774" s="104" t="s">
        <v>3226</v>
      </c>
      <c r="H774" s="104" t="s">
        <v>3227</v>
      </c>
      <c r="I774" s="105" t="s">
        <v>41</v>
      </c>
      <c r="J774" s="104" t="s">
        <v>3228</v>
      </c>
      <c r="K774" s="103" t="s">
        <v>3229</v>
      </c>
    </row>
    <row r="775" spans="1:11" ht="14.25" customHeight="1">
      <c r="A775" s="104"/>
      <c r="B775" s="104"/>
      <c r="C775" s="140"/>
      <c r="D775" s="116"/>
      <c r="E775" s="116"/>
      <c r="F775" s="116"/>
      <c r="G775" s="116"/>
      <c r="H775" s="116"/>
      <c r="I775" s="116"/>
      <c r="J775" s="104"/>
      <c r="K775" s="103" t="s">
        <v>3230</v>
      </c>
    </row>
    <row r="776" spans="1:11" ht="14.25" customHeight="1">
      <c r="A776" s="104"/>
      <c r="B776" s="104"/>
      <c r="C776" s="140"/>
      <c r="D776" s="104" t="s">
        <v>3231</v>
      </c>
      <c r="E776" s="104" t="s">
        <v>3232</v>
      </c>
      <c r="F776" s="104" t="s">
        <v>16</v>
      </c>
      <c r="G776" s="104" t="s">
        <v>3233</v>
      </c>
      <c r="H776" s="104" t="s">
        <v>3234</v>
      </c>
      <c r="I776" s="105" t="s">
        <v>41</v>
      </c>
      <c r="J776" s="104" t="s">
        <v>3235</v>
      </c>
      <c r="K776" s="103" t="s">
        <v>3236</v>
      </c>
    </row>
    <row r="777" spans="1:11" ht="14.25" customHeight="1">
      <c r="A777" s="104"/>
      <c r="B777" s="104"/>
      <c r="C777" s="140"/>
      <c r="D777" s="104"/>
      <c r="E777" s="104"/>
      <c r="F777" s="104"/>
      <c r="G777" s="116"/>
      <c r="H777" s="116"/>
      <c r="I777" s="116"/>
      <c r="J777" s="116"/>
      <c r="K777" s="103" t="s">
        <v>3237</v>
      </c>
    </row>
    <row r="778" spans="1:11" ht="14.25" customHeight="1">
      <c r="A778" s="104"/>
      <c r="B778" s="104"/>
      <c r="C778" s="140"/>
      <c r="D778" s="104"/>
      <c r="E778" s="104"/>
      <c r="F778" s="104"/>
      <c r="G778" s="104" t="s">
        <v>3238</v>
      </c>
      <c r="H778" s="104" t="s">
        <v>3239</v>
      </c>
      <c r="I778" s="105" t="s">
        <v>41</v>
      </c>
      <c r="J778" s="104" t="s">
        <v>3240</v>
      </c>
      <c r="K778" s="103" t="s">
        <v>3241</v>
      </c>
    </row>
    <row r="779" spans="1:11" ht="14.25" customHeight="1">
      <c r="A779" s="104"/>
      <c r="B779" s="104"/>
      <c r="C779" s="140"/>
      <c r="D779" s="116"/>
      <c r="E779" s="116"/>
      <c r="F779" s="116"/>
      <c r="G779" s="116"/>
      <c r="H779" s="116"/>
      <c r="I779" s="116"/>
      <c r="J779" s="116"/>
      <c r="K779" s="103" t="s">
        <v>3242</v>
      </c>
    </row>
    <row r="780" spans="1:11" ht="14.25" customHeight="1">
      <c r="A780" s="104"/>
      <c r="B780" s="104"/>
      <c r="C780" s="140"/>
      <c r="D780" s="104" t="s">
        <v>3243</v>
      </c>
      <c r="E780" s="104" t="s">
        <v>3244</v>
      </c>
      <c r="F780" s="104" t="s">
        <v>16</v>
      </c>
      <c r="G780" s="104" t="s">
        <v>3245</v>
      </c>
      <c r="H780" s="104" t="s">
        <v>3246</v>
      </c>
      <c r="I780" s="105" t="s">
        <v>41</v>
      </c>
      <c r="J780" s="104" t="s">
        <v>3247</v>
      </c>
      <c r="K780" s="103" t="s">
        <v>3248</v>
      </c>
    </row>
    <row r="781" spans="1:11" ht="14.25" customHeight="1">
      <c r="A781" s="104"/>
      <c r="B781" s="104"/>
      <c r="C781" s="140"/>
      <c r="D781" s="104"/>
      <c r="E781" s="104"/>
      <c r="F781" s="104"/>
      <c r="G781" s="116"/>
      <c r="H781" s="116"/>
      <c r="I781" s="116"/>
      <c r="J781" s="116"/>
      <c r="K781" s="103" t="s">
        <v>2732</v>
      </c>
    </row>
    <row r="782" spans="1:11" ht="14.25" customHeight="1">
      <c r="A782" s="104"/>
      <c r="B782" s="104"/>
      <c r="C782" s="140"/>
      <c r="D782" s="104"/>
      <c r="E782" s="104"/>
      <c r="F782" s="104"/>
      <c r="G782" s="104" t="s">
        <v>3249</v>
      </c>
      <c r="H782" s="104" t="s">
        <v>3250</v>
      </c>
      <c r="I782" s="105" t="s">
        <v>41</v>
      </c>
      <c r="J782" s="104" t="s">
        <v>3251</v>
      </c>
      <c r="K782" s="103" t="s">
        <v>3252</v>
      </c>
    </row>
    <row r="783" spans="1:11" ht="14.25" customHeight="1">
      <c r="A783" s="104"/>
      <c r="B783" s="104"/>
      <c r="C783" s="140"/>
      <c r="D783" s="116"/>
      <c r="E783" s="116"/>
      <c r="F783" s="116"/>
      <c r="G783" s="116"/>
      <c r="H783" s="116"/>
      <c r="I783" s="116"/>
      <c r="J783" s="116"/>
      <c r="K783" s="103" t="s">
        <v>3253</v>
      </c>
    </row>
    <row r="784" spans="1:11" ht="14.25" customHeight="1">
      <c r="A784" s="104"/>
      <c r="B784" s="104"/>
      <c r="C784" s="140"/>
      <c r="D784" s="104" t="s">
        <v>3254</v>
      </c>
      <c r="E784" s="104" t="s">
        <v>3255</v>
      </c>
      <c r="F784" s="104" t="s">
        <v>16</v>
      </c>
      <c r="G784" s="104" t="s">
        <v>3256</v>
      </c>
      <c r="H784" s="104" t="s">
        <v>3257</v>
      </c>
      <c r="I784" s="106" t="s">
        <v>19</v>
      </c>
      <c r="J784" s="104" t="s">
        <v>3258</v>
      </c>
      <c r="K784" s="103" t="s">
        <v>3259</v>
      </c>
    </row>
    <row r="785" spans="1:11" ht="14.25" customHeight="1">
      <c r="A785" s="104"/>
      <c r="B785" s="104"/>
      <c r="C785" s="140"/>
      <c r="D785" s="104"/>
      <c r="E785" s="104"/>
      <c r="F785" s="104"/>
      <c r="G785" s="116"/>
      <c r="H785" s="116"/>
      <c r="I785" s="116"/>
      <c r="J785" s="116"/>
      <c r="K785" s="103" t="s">
        <v>3260</v>
      </c>
    </row>
    <row r="786" spans="1:11" ht="14.25" customHeight="1">
      <c r="A786" s="104"/>
      <c r="B786" s="104"/>
      <c r="C786" s="140"/>
      <c r="D786" s="104"/>
      <c r="E786" s="104"/>
      <c r="F786" s="104"/>
      <c r="G786" s="104" t="s">
        <v>3261</v>
      </c>
      <c r="H786" s="104" t="s">
        <v>3262</v>
      </c>
      <c r="I786" s="106" t="s">
        <v>19</v>
      </c>
      <c r="J786" s="104" t="s">
        <v>3263</v>
      </c>
      <c r="K786" s="103" t="s">
        <v>3264</v>
      </c>
    </row>
    <row r="787" spans="1:11" ht="14.25" customHeight="1">
      <c r="A787" s="104"/>
      <c r="B787" s="104"/>
      <c r="C787" s="140"/>
      <c r="D787" s="116"/>
      <c r="E787" s="116"/>
      <c r="F787" s="116"/>
      <c r="G787" s="116"/>
      <c r="H787" s="116"/>
      <c r="I787" s="116"/>
      <c r="J787" s="116"/>
      <c r="K787" s="103" t="s">
        <v>3265</v>
      </c>
    </row>
    <row r="788" spans="1:11" ht="14.25" customHeight="1">
      <c r="A788" s="104"/>
      <c r="B788" s="104"/>
      <c r="C788" s="140"/>
      <c r="D788" s="104" t="s">
        <v>3266</v>
      </c>
      <c r="E788" s="104" t="s">
        <v>3267</v>
      </c>
      <c r="F788" s="104" t="s">
        <v>16</v>
      </c>
      <c r="G788" s="104" t="s">
        <v>3268</v>
      </c>
      <c r="H788" s="104" t="s">
        <v>3269</v>
      </c>
      <c r="I788" s="105" t="s">
        <v>41</v>
      </c>
      <c r="J788" s="104" t="s">
        <v>3270</v>
      </c>
      <c r="K788" s="103" t="s">
        <v>3271</v>
      </c>
    </row>
    <row r="789" spans="1:11" ht="14.25" customHeight="1">
      <c r="A789" s="104"/>
      <c r="B789" s="104"/>
      <c r="C789" s="140"/>
      <c r="D789" s="104"/>
      <c r="E789" s="104"/>
      <c r="F789" s="104"/>
      <c r="G789" s="116"/>
      <c r="H789" s="116"/>
      <c r="I789" s="116"/>
      <c r="J789" s="116"/>
      <c r="K789" s="103" t="s">
        <v>2732</v>
      </c>
    </row>
    <row r="790" spans="1:11" ht="14.25" customHeight="1">
      <c r="A790" s="104"/>
      <c r="B790" s="104"/>
      <c r="C790" s="140"/>
      <c r="D790" s="104"/>
      <c r="E790" s="104"/>
      <c r="F790" s="104"/>
      <c r="G790" s="104" t="s">
        <v>3272</v>
      </c>
      <c r="H790" s="104" t="s">
        <v>3273</v>
      </c>
      <c r="I790" s="105" t="s">
        <v>41</v>
      </c>
      <c r="J790" s="104" t="s">
        <v>3274</v>
      </c>
      <c r="K790" s="103" t="s">
        <v>3275</v>
      </c>
    </row>
    <row r="791" spans="1:11" ht="14.25" customHeight="1">
      <c r="A791" s="104"/>
      <c r="B791" s="104"/>
      <c r="C791" s="141"/>
      <c r="D791" s="116"/>
      <c r="E791" s="116"/>
      <c r="F791" s="116"/>
      <c r="G791" s="116"/>
      <c r="H791" s="116"/>
      <c r="I791" s="116"/>
      <c r="J791" s="116"/>
      <c r="K791" s="103" t="s">
        <v>3276</v>
      </c>
    </row>
    <row r="792" spans="1:11" ht="14.25" customHeight="1">
      <c r="A792" s="104"/>
      <c r="B792" s="104"/>
      <c r="C792" s="148" t="s">
        <v>3277</v>
      </c>
      <c r="D792" s="104" t="s">
        <v>3278</v>
      </c>
      <c r="E792" s="104" t="s">
        <v>3279</v>
      </c>
      <c r="F792" s="104" t="s">
        <v>16</v>
      </c>
      <c r="G792" s="104" t="s">
        <v>3280</v>
      </c>
      <c r="H792" s="104" t="s">
        <v>3281</v>
      </c>
      <c r="I792" s="105" t="s">
        <v>41</v>
      </c>
      <c r="J792" s="104" t="s">
        <v>3282</v>
      </c>
      <c r="K792" s="103" t="s">
        <v>3283</v>
      </c>
    </row>
    <row r="793" spans="1:11" ht="14.25" customHeight="1">
      <c r="A793" s="104"/>
      <c r="B793" s="104"/>
      <c r="C793" s="140"/>
      <c r="D793" s="104"/>
      <c r="E793" s="104"/>
      <c r="F793" s="104"/>
      <c r="G793" s="116"/>
      <c r="H793" s="116"/>
      <c r="I793" s="116"/>
      <c r="J793" s="116"/>
      <c r="K793" s="103" t="s">
        <v>3284</v>
      </c>
    </row>
    <row r="794" spans="1:11" ht="14.25" customHeight="1">
      <c r="A794" s="104"/>
      <c r="B794" s="104"/>
      <c r="C794" s="140"/>
      <c r="D794" s="104"/>
      <c r="E794" s="104"/>
      <c r="F794" s="104"/>
      <c r="G794" s="104" t="s">
        <v>3285</v>
      </c>
      <c r="H794" s="104" t="s">
        <v>3286</v>
      </c>
      <c r="I794" s="105" t="s">
        <v>41</v>
      </c>
      <c r="J794" s="104" t="s">
        <v>3287</v>
      </c>
      <c r="K794" s="103" t="s">
        <v>3288</v>
      </c>
    </row>
    <row r="795" spans="1:11" ht="14.25" customHeight="1">
      <c r="A795" s="104"/>
      <c r="B795" s="104"/>
      <c r="C795" s="140"/>
      <c r="D795" s="116"/>
      <c r="E795" s="116"/>
      <c r="F795" s="116"/>
      <c r="G795" s="116"/>
      <c r="H795" s="116"/>
      <c r="I795" s="116"/>
      <c r="J795" s="116"/>
      <c r="K795" s="103" t="s">
        <v>3289</v>
      </c>
    </row>
    <row r="796" spans="1:11" ht="14.25" customHeight="1">
      <c r="A796" s="104"/>
      <c r="B796" s="104"/>
      <c r="C796" s="140"/>
      <c r="D796" s="104" t="s">
        <v>3290</v>
      </c>
      <c r="E796" s="104" t="s">
        <v>3291</v>
      </c>
      <c r="F796" s="104" t="s">
        <v>16</v>
      </c>
      <c r="G796" s="104" t="s">
        <v>3292</v>
      </c>
      <c r="H796" s="104" t="s">
        <v>3293</v>
      </c>
      <c r="I796" s="105" t="s">
        <v>41</v>
      </c>
      <c r="J796" s="104" t="s">
        <v>3294</v>
      </c>
      <c r="K796" s="103" t="s">
        <v>3295</v>
      </c>
    </row>
    <row r="797" spans="1:11" ht="14.25" customHeight="1">
      <c r="A797" s="104"/>
      <c r="B797" s="104"/>
      <c r="C797" s="140"/>
      <c r="D797" s="104"/>
      <c r="E797" s="104"/>
      <c r="F797" s="104"/>
      <c r="G797" s="116"/>
      <c r="H797" s="116"/>
      <c r="I797" s="116"/>
      <c r="J797" s="116"/>
      <c r="K797" s="103" t="s">
        <v>3296</v>
      </c>
    </row>
    <row r="798" spans="1:11" ht="14.25" customHeight="1">
      <c r="A798" s="104"/>
      <c r="B798" s="104"/>
      <c r="C798" s="140"/>
      <c r="D798" s="104"/>
      <c r="E798" s="104"/>
      <c r="F798" s="104"/>
      <c r="G798" s="104" t="s">
        <v>3297</v>
      </c>
      <c r="H798" s="104" t="s">
        <v>3298</v>
      </c>
      <c r="I798" s="105" t="s">
        <v>41</v>
      </c>
      <c r="J798" s="104" t="s">
        <v>3299</v>
      </c>
      <c r="K798" s="103" t="s">
        <v>3300</v>
      </c>
    </row>
    <row r="799" spans="1:11" ht="14.25" customHeight="1">
      <c r="A799" s="104"/>
      <c r="B799" s="104"/>
      <c r="C799" s="140"/>
      <c r="D799" s="116"/>
      <c r="E799" s="116"/>
      <c r="F799" s="116"/>
      <c r="G799" s="116"/>
      <c r="H799" s="116"/>
      <c r="I799" s="116"/>
      <c r="J799" s="116"/>
      <c r="K799" s="103" t="s">
        <v>3301</v>
      </c>
    </row>
    <row r="800" spans="1:11" ht="14.25" customHeight="1">
      <c r="A800" s="104"/>
      <c r="B800" s="104"/>
      <c r="C800" s="140"/>
      <c r="D800" s="104" t="s">
        <v>3302</v>
      </c>
      <c r="E800" s="104" t="s">
        <v>3303</v>
      </c>
      <c r="F800" s="104" t="s">
        <v>16</v>
      </c>
      <c r="G800" s="104" t="s">
        <v>3304</v>
      </c>
      <c r="H800" s="104" t="s">
        <v>3305</v>
      </c>
      <c r="I800" s="105" t="s">
        <v>41</v>
      </c>
      <c r="J800" s="104" t="s">
        <v>3306</v>
      </c>
      <c r="K800" s="103" t="s">
        <v>3307</v>
      </c>
    </row>
    <row r="801" spans="1:11" ht="14.25" customHeight="1">
      <c r="A801" s="104"/>
      <c r="B801" s="104"/>
      <c r="C801" s="140"/>
      <c r="D801" s="104"/>
      <c r="E801" s="104"/>
      <c r="F801" s="104"/>
      <c r="G801" s="116"/>
      <c r="H801" s="116"/>
      <c r="I801" s="116"/>
      <c r="J801" s="116"/>
      <c r="K801" s="103" t="s">
        <v>3308</v>
      </c>
    </row>
    <row r="802" spans="1:11" ht="14.25" customHeight="1">
      <c r="A802" s="104"/>
      <c r="B802" s="104"/>
      <c r="C802" s="140"/>
      <c r="D802" s="104"/>
      <c r="E802" s="104"/>
      <c r="F802" s="104"/>
      <c r="G802" s="104" t="s">
        <v>3309</v>
      </c>
      <c r="H802" s="104" t="s">
        <v>3310</v>
      </c>
      <c r="I802" s="105" t="s">
        <v>41</v>
      </c>
      <c r="J802" s="104" t="s">
        <v>3311</v>
      </c>
      <c r="K802" s="103" t="s">
        <v>3312</v>
      </c>
    </row>
    <row r="803" spans="1:11" ht="14.25" customHeight="1">
      <c r="A803" s="104"/>
      <c r="B803" s="104"/>
      <c r="C803" s="140"/>
      <c r="D803" s="116"/>
      <c r="E803" s="116"/>
      <c r="F803" s="116"/>
      <c r="G803" s="116"/>
      <c r="H803" s="116"/>
      <c r="I803" s="116"/>
      <c r="J803" s="116"/>
      <c r="K803" s="103" t="s">
        <v>3313</v>
      </c>
    </row>
    <row r="804" spans="1:11" ht="14.25" customHeight="1">
      <c r="A804" s="104"/>
      <c r="B804" s="104"/>
      <c r="C804" s="140"/>
      <c r="D804" s="104" t="s">
        <v>3314</v>
      </c>
      <c r="E804" s="104" t="s">
        <v>3315</v>
      </c>
      <c r="F804" s="104" t="s">
        <v>38</v>
      </c>
      <c r="G804" s="104" t="s">
        <v>3316</v>
      </c>
      <c r="H804" s="104" t="s">
        <v>3317</v>
      </c>
      <c r="I804" s="105" t="s">
        <v>41</v>
      </c>
      <c r="J804" s="104" t="s">
        <v>3318</v>
      </c>
      <c r="K804" s="103" t="s">
        <v>3319</v>
      </c>
    </row>
    <row r="805" spans="1:11" ht="14.25" customHeight="1">
      <c r="A805" s="104"/>
      <c r="B805" s="104"/>
      <c r="C805" s="140"/>
      <c r="D805" s="104"/>
      <c r="E805" s="104"/>
      <c r="F805" s="104"/>
      <c r="G805" s="116"/>
      <c r="H805" s="116"/>
      <c r="I805" s="116"/>
      <c r="J805" s="116"/>
      <c r="K805" s="103" t="s">
        <v>3320</v>
      </c>
    </row>
    <row r="806" spans="1:11" ht="14.25" customHeight="1">
      <c r="A806" s="104"/>
      <c r="B806" s="104"/>
      <c r="C806" s="140"/>
      <c r="D806" s="104"/>
      <c r="E806" s="104"/>
      <c r="F806" s="104"/>
      <c r="G806" s="104" t="s">
        <v>3321</v>
      </c>
      <c r="H806" s="104" t="s">
        <v>3322</v>
      </c>
      <c r="I806" s="105" t="s">
        <v>41</v>
      </c>
      <c r="J806" s="104" t="s">
        <v>2418</v>
      </c>
      <c r="K806" s="103" t="s">
        <v>3323</v>
      </c>
    </row>
    <row r="807" spans="1:11" ht="14.25" customHeight="1">
      <c r="A807" s="104"/>
      <c r="B807" s="104"/>
      <c r="C807" s="140"/>
      <c r="D807" s="116"/>
      <c r="E807" s="116"/>
      <c r="F807" s="116"/>
      <c r="G807" s="116"/>
      <c r="H807" s="116"/>
      <c r="I807" s="116"/>
      <c r="J807" s="116"/>
      <c r="K807" s="103" t="s">
        <v>3324</v>
      </c>
    </row>
    <row r="808" spans="1:11" ht="14.25" customHeight="1">
      <c r="A808" s="104"/>
      <c r="B808" s="104"/>
      <c r="C808" s="140"/>
      <c r="D808" s="104" t="s">
        <v>3325</v>
      </c>
      <c r="E808" s="104" t="s">
        <v>3326</v>
      </c>
      <c r="F808" s="104" t="s">
        <v>38</v>
      </c>
      <c r="G808" s="104" t="s">
        <v>3327</v>
      </c>
      <c r="H808" s="104" t="s">
        <v>3328</v>
      </c>
      <c r="I808" s="105" t="s">
        <v>41</v>
      </c>
      <c r="J808" s="104" t="s">
        <v>3329</v>
      </c>
      <c r="K808" s="103" t="s">
        <v>3330</v>
      </c>
    </row>
    <row r="809" spans="1:11" ht="14.25" customHeight="1">
      <c r="A809" s="104"/>
      <c r="B809" s="104"/>
      <c r="C809" s="140"/>
      <c r="D809" s="104"/>
      <c r="E809" s="104"/>
      <c r="F809" s="104"/>
      <c r="G809" s="116"/>
      <c r="H809" s="116"/>
      <c r="I809" s="116"/>
      <c r="J809" s="116"/>
      <c r="K809" s="103" t="s">
        <v>3331</v>
      </c>
    </row>
    <row r="810" spans="1:11" ht="14.25" customHeight="1">
      <c r="A810" s="104"/>
      <c r="B810" s="104"/>
      <c r="C810" s="140"/>
      <c r="D810" s="104"/>
      <c r="E810" s="104"/>
      <c r="F810" s="104"/>
      <c r="G810" s="104" t="s">
        <v>3332</v>
      </c>
      <c r="H810" s="104" t="s">
        <v>3333</v>
      </c>
      <c r="I810" s="105" t="s">
        <v>41</v>
      </c>
      <c r="J810" s="104" t="s">
        <v>3334</v>
      </c>
      <c r="K810" s="103" t="s">
        <v>3335</v>
      </c>
    </row>
    <row r="811" spans="1:11" ht="14.25" customHeight="1">
      <c r="A811" s="104"/>
      <c r="B811" s="104"/>
      <c r="C811" s="141"/>
      <c r="D811" s="116"/>
      <c r="E811" s="116"/>
      <c r="F811" s="116"/>
      <c r="G811" s="116"/>
      <c r="H811" s="116"/>
      <c r="I811" s="116"/>
      <c r="J811" s="116"/>
      <c r="K811" s="103" t="s">
        <v>3336</v>
      </c>
    </row>
    <row r="812" spans="1:11" ht="14.25" customHeight="1">
      <c r="A812" s="104"/>
      <c r="B812" s="104"/>
      <c r="C812" s="148" t="s">
        <v>3337</v>
      </c>
      <c r="D812" s="104" t="s">
        <v>3338</v>
      </c>
      <c r="E812" s="104" t="s">
        <v>3339</v>
      </c>
      <c r="F812" s="104" t="s">
        <v>38</v>
      </c>
      <c r="G812" s="104" t="s">
        <v>3340</v>
      </c>
      <c r="H812" s="104" t="s">
        <v>3341</v>
      </c>
      <c r="I812" s="105" t="s">
        <v>41</v>
      </c>
      <c r="J812" s="104" t="s">
        <v>3342</v>
      </c>
      <c r="K812" s="103" t="s">
        <v>3343</v>
      </c>
    </row>
    <row r="813" spans="1:11" ht="14.25" customHeight="1">
      <c r="A813" s="104"/>
      <c r="B813" s="104"/>
      <c r="C813" s="140"/>
      <c r="D813" s="104"/>
      <c r="E813" s="104"/>
      <c r="F813" s="104"/>
      <c r="G813" s="116"/>
      <c r="H813" s="116"/>
      <c r="I813" s="116"/>
      <c r="J813" s="116"/>
      <c r="K813" s="103" t="s">
        <v>3344</v>
      </c>
    </row>
    <row r="814" spans="1:11" ht="14.25" customHeight="1">
      <c r="A814" s="104"/>
      <c r="B814" s="104"/>
      <c r="C814" s="140"/>
      <c r="D814" s="104"/>
      <c r="E814" s="104"/>
      <c r="F814" s="104"/>
      <c r="G814" s="104" t="s">
        <v>3345</v>
      </c>
      <c r="H814" s="104" t="s">
        <v>3346</v>
      </c>
      <c r="I814" s="105" t="s">
        <v>41</v>
      </c>
      <c r="J814" s="104" t="s">
        <v>3347</v>
      </c>
      <c r="K814" s="103" t="s">
        <v>3348</v>
      </c>
    </row>
    <row r="815" spans="1:11" ht="14.25" customHeight="1">
      <c r="A815" s="104"/>
      <c r="B815" s="104"/>
      <c r="C815" s="140"/>
      <c r="D815" s="116"/>
      <c r="E815" s="116"/>
      <c r="F815" s="116"/>
      <c r="G815" s="116"/>
      <c r="H815" s="116"/>
      <c r="I815" s="116"/>
      <c r="J815" s="116"/>
      <c r="K815" s="103" t="s">
        <v>3349</v>
      </c>
    </row>
    <row r="816" spans="1:11" ht="14.25" customHeight="1">
      <c r="A816" s="104"/>
      <c r="B816" s="104"/>
      <c r="C816" s="140"/>
      <c r="D816" s="104" t="s">
        <v>3350</v>
      </c>
      <c r="E816" s="104" t="s">
        <v>3351</v>
      </c>
      <c r="F816" s="104" t="s">
        <v>38</v>
      </c>
      <c r="G816" s="104" t="s">
        <v>3352</v>
      </c>
      <c r="H816" s="104" t="s">
        <v>3353</v>
      </c>
      <c r="I816" s="106" t="s">
        <v>19</v>
      </c>
      <c r="J816" s="104" t="s">
        <v>3354</v>
      </c>
      <c r="K816" s="103" t="s">
        <v>3355</v>
      </c>
    </row>
    <row r="817" spans="1:11" ht="14.25" customHeight="1">
      <c r="A817" s="104"/>
      <c r="B817" s="104"/>
      <c r="C817" s="140"/>
      <c r="D817" s="104"/>
      <c r="E817" s="104"/>
      <c r="F817" s="104"/>
      <c r="G817" s="116"/>
      <c r="H817" s="116"/>
      <c r="I817" s="116"/>
      <c r="J817" s="116"/>
      <c r="K817" s="103" t="s">
        <v>3356</v>
      </c>
    </row>
    <row r="818" spans="1:11" ht="14.25" customHeight="1">
      <c r="A818" s="104"/>
      <c r="B818" s="104"/>
      <c r="C818" s="140"/>
      <c r="D818" s="104"/>
      <c r="E818" s="104"/>
      <c r="F818" s="104"/>
      <c r="G818" s="104" t="s">
        <v>3357</v>
      </c>
      <c r="H818" s="104" t="s">
        <v>3358</v>
      </c>
      <c r="I818" s="106" t="s">
        <v>19</v>
      </c>
      <c r="J818" s="104" t="s">
        <v>3359</v>
      </c>
      <c r="K818" s="103" t="s">
        <v>3360</v>
      </c>
    </row>
    <row r="819" spans="1:11" ht="14.25" customHeight="1">
      <c r="A819" s="104"/>
      <c r="B819" s="104"/>
      <c r="C819" s="140"/>
      <c r="D819" s="116"/>
      <c r="E819" s="116"/>
      <c r="F819" s="116"/>
      <c r="G819" s="116"/>
      <c r="H819" s="116"/>
      <c r="I819" s="116"/>
      <c r="J819" s="116"/>
      <c r="K819" s="103" t="s">
        <v>3361</v>
      </c>
    </row>
    <row r="820" spans="1:11" ht="14.25" customHeight="1">
      <c r="A820" s="104"/>
      <c r="B820" s="104"/>
      <c r="C820" s="140"/>
      <c r="D820" s="104" t="s">
        <v>3362</v>
      </c>
      <c r="E820" s="104" t="s">
        <v>3363</v>
      </c>
      <c r="F820" s="104" t="s">
        <v>38</v>
      </c>
      <c r="G820" s="104" t="s">
        <v>3364</v>
      </c>
      <c r="H820" s="104" t="s">
        <v>3365</v>
      </c>
      <c r="I820" s="106" t="s">
        <v>19</v>
      </c>
      <c r="J820" s="104" t="s">
        <v>3366</v>
      </c>
      <c r="K820" s="103" t="s">
        <v>3367</v>
      </c>
    </row>
    <row r="821" spans="1:11" ht="14.25" customHeight="1">
      <c r="A821" s="104"/>
      <c r="B821" s="104"/>
      <c r="C821" s="140"/>
      <c r="D821" s="104"/>
      <c r="E821" s="104"/>
      <c r="F821" s="104"/>
      <c r="G821" s="116"/>
      <c r="H821" s="116"/>
      <c r="I821" s="116"/>
      <c r="J821" s="116"/>
      <c r="K821" s="103" t="s">
        <v>3368</v>
      </c>
    </row>
    <row r="822" spans="1:11" ht="14.25" customHeight="1">
      <c r="A822" s="104"/>
      <c r="B822" s="104"/>
      <c r="C822" s="140"/>
      <c r="D822" s="104"/>
      <c r="E822" s="104"/>
      <c r="F822" s="104"/>
      <c r="G822" s="104" t="s">
        <v>3369</v>
      </c>
      <c r="H822" s="104" t="s">
        <v>3370</v>
      </c>
      <c r="I822" s="105" t="s">
        <v>41</v>
      </c>
      <c r="J822" s="104" t="s">
        <v>3371</v>
      </c>
      <c r="K822" s="103" t="s">
        <v>3372</v>
      </c>
    </row>
    <row r="823" spans="1:11" ht="14.25" customHeight="1">
      <c r="A823" s="104"/>
      <c r="B823" s="104"/>
      <c r="C823" s="140"/>
      <c r="D823" s="116"/>
      <c r="E823" s="116"/>
      <c r="F823" s="116"/>
      <c r="G823" s="116"/>
      <c r="H823" s="116"/>
      <c r="I823" s="116"/>
      <c r="J823" s="116"/>
      <c r="K823" s="103" t="s">
        <v>3373</v>
      </c>
    </row>
    <row r="824" spans="1:11" ht="14.25" customHeight="1">
      <c r="A824" s="104"/>
      <c r="B824" s="104"/>
      <c r="C824" s="140"/>
      <c r="D824" s="104" t="s">
        <v>3374</v>
      </c>
      <c r="E824" s="104" t="s">
        <v>3375</v>
      </c>
      <c r="F824" s="104" t="s">
        <v>38</v>
      </c>
      <c r="G824" s="104" t="s">
        <v>3376</v>
      </c>
      <c r="H824" s="104" t="s">
        <v>3377</v>
      </c>
      <c r="I824" s="105" t="s">
        <v>41</v>
      </c>
      <c r="J824" s="104" t="s">
        <v>3378</v>
      </c>
      <c r="K824" s="103" t="s">
        <v>3379</v>
      </c>
    </row>
    <row r="825" spans="1:11" ht="14.25" customHeight="1">
      <c r="A825" s="104"/>
      <c r="B825" s="104"/>
      <c r="C825" s="140"/>
      <c r="D825" s="104"/>
      <c r="E825" s="104"/>
      <c r="F825" s="104"/>
      <c r="G825" s="116"/>
      <c r="H825" s="116"/>
      <c r="I825" s="116"/>
      <c r="J825" s="116"/>
      <c r="K825" s="103" t="s">
        <v>3380</v>
      </c>
    </row>
    <row r="826" spans="1:11" ht="14.25" customHeight="1">
      <c r="A826" s="104"/>
      <c r="B826" s="104"/>
      <c r="C826" s="140"/>
      <c r="D826" s="104"/>
      <c r="E826" s="104"/>
      <c r="F826" s="104"/>
      <c r="G826" s="104" t="s">
        <v>3381</v>
      </c>
      <c r="H826" s="104" t="s">
        <v>3382</v>
      </c>
      <c r="I826" s="105" t="s">
        <v>41</v>
      </c>
      <c r="J826" s="104" t="s">
        <v>3383</v>
      </c>
      <c r="K826" s="103" t="s">
        <v>3384</v>
      </c>
    </row>
    <row r="827" spans="1:11" ht="14.25" customHeight="1">
      <c r="A827" s="104"/>
      <c r="B827" s="104"/>
      <c r="C827" s="140"/>
      <c r="D827" s="116"/>
      <c r="E827" s="116"/>
      <c r="F827" s="116"/>
      <c r="G827" s="116"/>
      <c r="H827" s="116"/>
      <c r="I827" s="116"/>
      <c r="J827" s="116"/>
      <c r="K827" s="103" t="s">
        <v>3385</v>
      </c>
    </row>
    <row r="828" spans="1:11" ht="14.25" customHeight="1">
      <c r="A828" s="104"/>
      <c r="B828" s="104"/>
      <c r="C828" s="140"/>
      <c r="D828" s="104" t="s">
        <v>3386</v>
      </c>
      <c r="E828" s="104" t="s">
        <v>3387</v>
      </c>
      <c r="F828" s="104" t="s">
        <v>38</v>
      </c>
      <c r="G828" s="104" t="s">
        <v>3388</v>
      </c>
      <c r="H828" s="104" t="s">
        <v>3389</v>
      </c>
      <c r="I828" s="105" t="s">
        <v>41</v>
      </c>
      <c r="J828" s="104" t="s">
        <v>3390</v>
      </c>
      <c r="K828" s="103" t="s">
        <v>3391</v>
      </c>
    </row>
    <row r="829" spans="1:11" ht="14.25" customHeight="1">
      <c r="A829" s="104"/>
      <c r="B829" s="104"/>
      <c r="C829" s="140"/>
      <c r="D829" s="104"/>
      <c r="E829" s="104"/>
      <c r="F829" s="104"/>
      <c r="G829" s="116"/>
      <c r="H829" s="116"/>
      <c r="I829" s="116"/>
      <c r="J829" s="116"/>
      <c r="K829" s="103" t="s">
        <v>3392</v>
      </c>
    </row>
    <row r="830" spans="1:11" ht="14.25" customHeight="1">
      <c r="A830" s="104"/>
      <c r="B830" s="104"/>
      <c r="C830" s="140"/>
      <c r="D830" s="104"/>
      <c r="E830" s="104"/>
      <c r="F830" s="104"/>
      <c r="G830" s="104" t="s">
        <v>3393</v>
      </c>
      <c r="H830" s="104" t="s">
        <v>3394</v>
      </c>
      <c r="I830" s="106" t="s">
        <v>19</v>
      </c>
      <c r="J830" s="104" t="s">
        <v>3395</v>
      </c>
      <c r="K830" s="103" t="s">
        <v>3396</v>
      </c>
    </row>
    <row r="831" spans="1:11" ht="14.25" customHeight="1">
      <c r="A831" s="116"/>
      <c r="B831" s="116"/>
      <c r="C831" s="141"/>
      <c r="D831" s="116"/>
      <c r="E831" s="116"/>
      <c r="F831" s="116"/>
      <c r="G831" s="116"/>
      <c r="H831" s="116"/>
      <c r="I831" s="116"/>
      <c r="J831" s="116"/>
      <c r="K831" s="103" t="s">
        <v>3397</v>
      </c>
    </row>
    <row r="832" spans="1:11" ht="14.25" customHeight="1">
      <c r="A832" s="99" t="s">
        <v>3398</v>
      </c>
      <c r="B832" s="99" t="s">
        <v>3399</v>
      </c>
      <c r="C832" s="139" t="s">
        <v>3400</v>
      </c>
      <c r="D832" s="104" t="s">
        <v>3401</v>
      </c>
      <c r="E832" s="104" t="s">
        <v>3402</v>
      </c>
      <c r="F832" s="104" t="s">
        <v>38</v>
      </c>
      <c r="G832" s="104" t="s">
        <v>3403</v>
      </c>
      <c r="H832" s="104" t="s">
        <v>3404</v>
      </c>
      <c r="I832" s="106" t="s">
        <v>19</v>
      </c>
      <c r="J832" s="104" t="s">
        <v>3405</v>
      </c>
      <c r="K832" s="103" t="s">
        <v>3406</v>
      </c>
    </row>
    <row r="833" spans="1:11" ht="14.25" customHeight="1">
      <c r="A833" s="104"/>
      <c r="B833" s="104"/>
      <c r="C833" s="140"/>
      <c r="D833" s="104"/>
      <c r="E833" s="104"/>
      <c r="F833" s="104"/>
      <c r="G833" s="116"/>
      <c r="H833" s="116"/>
      <c r="I833" s="116"/>
      <c r="J833" s="116"/>
      <c r="K833" s="103" t="s">
        <v>3407</v>
      </c>
    </row>
    <row r="834" spans="1:11" ht="14.25" customHeight="1">
      <c r="A834" s="104"/>
      <c r="B834" s="104"/>
      <c r="C834" s="140"/>
      <c r="D834" s="104"/>
      <c r="E834" s="104"/>
      <c r="F834" s="104"/>
      <c r="G834" s="104" t="s">
        <v>3408</v>
      </c>
      <c r="H834" s="104" t="s">
        <v>3409</v>
      </c>
      <c r="I834" s="105" t="s">
        <v>41</v>
      </c>
      <c r="J834" s="104" t="s">
        <v>3410</v>
      </c>
      <c r="K834" s="103" t="s">
        <v>3411</v>
      </c>
    </row>
    <row r="835" spans="1:11" ht="14.25" customHeight="1">
      <c r="A835" s="104"/>
      <c r="B835" s="104"/>
      <c r="C835" s="140"/>
      <c r="D835" s="116"/>
      <c r="E835" s="116"/>
      <c r="F835" s="116"/>
      <c r="G835" s="116"/>
      <c r="H835" s="116"/>
      <c r="I835" s="116"/>
      <c r="J835" s="116"/>
      <c r="K835" s="103" t="s">
        <v>3412</v>
      </c>
    </row>
    <row r="836" spans="1:11" ht="14.25" customHeight="1">
      <c r="A836" s="104"/>
      <c r="B836" s="104"/>
      <c r="C836" s="140"/>
      <c r="D836" s="104" t="s">
        <v>3413</v>
      </c>
      <c r="E836" s="104" t="s">
        <v>3414</v>
      </c>
      <c r="F836" s="104" t="s">
        <v>38</v>
      </c>
      <c r="G836" s="104" t="s">
        <v>3415</v>
      </c>
      <c r="H836" s="104" t="s">
        <v>3416</v>
      </c>
      <c r="I836" s="105" t="s">
        <v>41</v>
      </c>
      <c r="J836" s="104" t="s">
        <v>3417</v>
      </c>
      <c r="K836" s="103" t="s">
        <v>3418</v>
      </c>
    </row>
    <row r="837" spans="1:11" ht="14.25" customHeight="1">
      <c r="A837" s="104"/>
      <c r="B837" s="104"/>
      <c r="C837" s="140"/>
      <c r="D837" s="104"/>
      <c r="E837" s="104"/>
      <c r="F837" s="104"/>
      <c r="G837" s="116"/>
      <c r="H837" s="116"/>
      <c r="I837" s="116"/>
      <c r="J837" s="116"/>
      <c r="K837" s="103" t="s">
        <v>3419</v>
      </c>
    </row>
    <row r="838" spans="1:11" ht="14.25" customHeight="1">
      <c r="A838" s="104"/>
      <c r="B838" s="104"/>
      <c r="C838" s="140"/>
      <c r="D838" s="104"/>
      <c r="E838" s="104"/>
      <c r="F838" s="104"/>
      <c r="G838" s="104" t="s">
        <v>3420</v>
      </c>
      <c r="H838" s="104" t="s">
        <v>3421</v>
      </c>
      <c r="I838" s="105" t="s">
        <v>41</v>
      </c>
      <c r="J838" s="104" t="s">
        <v>3422</v>
      </c>
      <c r="K838" s="103" t="s">
        <v>3423</v>
      </c>
    </row>
    <row r="839" spans="1:11" ht="14.25" customHeight="1">
      <c r="A839" s="104"/>
      <c r="B839" s="104"/>
      <c r="C839" s="140"/>
      <c r="D839" s="116"/>
      <c r="E839" s="116"/>
      <c r="F839" s="116"/>
      <c r="G839" s="116"/>
      <c r="H839" s="116"/>
      <c r="I839" s="116"/>
      <c r="J839" s="116"/>
      <c r="K839" s="103" t="s">
        <v>3424</v>
      </c>
    </row>
    <row r="840" spans="1:11" ht="14.25" customHeight="1">
      <c r="A840" s="104"/>
      <c r="B840" s="104"/>
      <c r="C840" s="140"/>
      <c r="D840" s="104" t="s">
        <v>3425</v>
      </c>
      <c r="E840" s="104" t="s">
        <v>3426</v>
      </c>
      <c r="F840" s="104" t="s">
        <v>38</v>
      </c>
      <c r="G840" s="104" t="s">
        <v>3427</v>
      </c>
      <c r="H840" s="104" t="s">
        <v>3428</v>
      </c>
      <c r="I840" s="105" t="s">
        <v>41</v>
      </c>
      <c r="J840" s="104" t="s">
        <v>3429</v>
      </c>
      <c r="K840" s="103" t="s">
        <v>3430</v>
      </c>
    </row>
    <row r="841" spans="1:11" ht="14.25" customHeight="1">
      <c r="A841" s="104"/>
      <c r="B841" s="104"/>
      <c r="C841" s="140"/>
      <c r="D841" s="104"/>
      <c r="E841" s="104"/>
      <c r="F841" s="104"/>
      <c r="G841" s="116"/>
      <c r="H841" s="116"/>
      <c r="I841" s="116"/>
      <c r="J841" s="116"/>
      <c r="K841" s="103" t="s">
        <v>2963</v>
      </c>
    </row>
    <row r="842" spans="1:11" ht="14.25" customHeight="1">
      <c r="A842" s="104"/>
      <c r="B842" s="104"/>
      <c r="C842" s="140"/>
      <c r="D842" s="104"/>
      <c r="E842" s="104"/>
      <c r="F842" s="104"/>
      <c r="G842" s="104" t="s">
        <v>3431</v>
      </c>
      <c r="H842" s="104" t="s">
        <v>3432</v>
      </c>
      <c r="I842" s="105" t="s">
        <v>41</v>
      </c>
      <c r="J842" s="104" t="s">
        <v>3433</v>
      </c>
      <c r="K842" s="103" t="s">
        <v>3434</v>
      </c>
    </row>
    <row r="843" spans="1:11" ht="14.25" customHeight="1">
      <c r="A843" s="104"/>
      <c r="B843" s="104"/>
      <c r="C843" s="140"/>
      <c r="D843" s="116"/>
      <c r="E843" s="116"/>
      <c r="F843" s="116"/>
      <c r="G843" s="116"/>
      <c r="H843" s="116"/>
      <c r="I843" s="116"/>
      <c r="J843" s="116"/>
      <c r="K843" s="103" t="s">
        <v>3435</v>
      </c>
    </row>
    <row r="844" spans="1:11" ht="14.25" customHeight="1">
      <c r="A844" s="104"/>
      <c r="B844" s="104"/>
      <c r="C844" s="140"/>
      <c r="D844" s="104" t="s">
        <v>3436</v>
      </c>
      <c r="E844" s="104" t="s">
        <v>3437</v>
      </c>
      <c r="F844" s="104" t="s">
        <v>38</v>
      </c>
      <c r="G844" s="104" t="s">
        <v>3438</v>
      </c>
      <c r="H844" s="104" t="s">
        <v>3439</v>
      </c>
      <c r="I844" s="105" t="s">
        <v>41</v>
      </c>
      <c r="J844" s="104" t="s">
        <v>3440</v>
      </c>
      <c r="K844" s="103" t="s">
        <v>3441</v>
      </c>
    </row>
    <row r="845" spans="1:11" ht="14.25" customHeight="1">
      <c r="A845" s="104"/>
      <c r="B845" s="104"/>
      <c r="C845" s="140"/>
      <c r="D845" s="104"/>
      <c r="E845" s="104"/>
      <c r="F845" s="104"/>
      <c r="G845" s="116"/>
      <c r="H845" s="116"/>
      <c r="I845" s="116"/>
      <c r="J845" s="116"/>
      <c r="K845" s="103" t="s">
        <v>3442</v>
      </c>
    </row>
    <row r="846" spans="1:11" ht="14.25" customHeight="1">
      <c r="A846" s="104"/>
      <c r="B846" s="104"/>
      <c r="C846" s="140"/>
      <c r="D846" s="104"/>
      <c r="E846" s="104"/>
      <c r="F846" s="104"/>
      <c r="G846" s="104" t="s">
        <v>3443</v>
      </c>
      <c r="H846" s="104" t="s">
        <v>3444</v>
      </c>
      <c r="I846" s="105" t="s">
        <v>41</v>
      </c>
      <c r="J846" s="104" t="s">
        <v>3445</v>
      </c>
      <c r="K846" s="103" t="s">
        <v>3446</v>
      </c>
    </row>
    <row r="847" spans="1:11" ht="14.25" customHeight="1">
      <c r="A847" s="104"/>
      <c r="B847" s="104"/>
      <c r="C847" s="140"/>
      <c r="D847" s="116"/>
      <c r="E847" s="116"/>
      <c r="F847" s="116"/>
      <c r="G847" s="116"/>
      <c r="H847" s="116"/>
      <c r="I847" s="116"/>
      <c r="J847" s="116"/>
      <c r="K847" s="103" t="s">
        <v>3447</v>
      </c>
    </row>
    <row r="848" spans="1:11" ht="14.25" customHeight="1">
      <c r="A848" s="104"/>
      <c r="B848" s="104"/>
      <c r="C848" s="140"/>
      <c r="D848" s="104" t="s">
        <v>3448</v>
      </c>
      <c r="E848" s="104" t="s">
        <v>3449</v>
      </c>
      <c r="F848" s="104" t="s">
        <v>38</v>
      </c>
      <c r="G848" s="104" t="s">
        <v>3450</v>
      </c>
      <c r="H848" s="104" t="s">
        <v>3451</v>
      </c>
      <c r="I848" s="105" t="s">
        <v>41</v>
      </c>
      <c r="J848" s="104" t="s">
        <v>3452</v>
      </c>
      <c r="K848" s="103" t="s">
        <v>3453</v>
      </c>
    </row>
    <row r="849" spans="1:11" ht="14.25" customHeight="1">
      <c r="A849" s="104"/>
      <c r="B849" s="104"/>
      <c r="C849" s="140"/>
      <c r="D849" s="104"/>
      <c r="E849" s="104"/>
      <c r="F849" s="104"/>
      <c r="G849" s="116"/>
      <c r="H849" s="116"/>
      <c r="I849" s="116"/>
      <c r="J849" s="116"/>
      <c r="K849" s="103" t="s">
        <v>3454</v>
      </c>
    </row>
    <row r="850" spans="1:11" ht="14.25" customHeight="1">
      <c r="A850" s="104"/>
      <c r="B850" s="104"/>
      <c r="C850" s="140"/>
      <c r="D850" s="104"/>
      <c r="E850" s="104"/>
      <c r="F850" s="104"/>
      <c r="G850" s="104" t="s">
        <v>3455</v>
      </c>
      <c r="H850" s="104" t="s">
        <v>3456</v>
      </c>
      <c r="I850" s="105" t="s">
        <v>41</v>
      </c>
      <c r="J850" s="104" t="s">
        <v>3457</v>
      </c>
      <c r="K850" s="103" t="s">
        <v>3458</v>
      </c>
    </row>
    <row r="851" spans="1:11" ht="14.25" customHeight="1">
      <c r="A851" s="104"/>
      <c r="B851" s="104"/>
      <c r="C851" s="141"/>
      <c r="D851" s="116"/>
      <c r="E851" s="116"/>
      <c r="F851" s="116"/>
      <c r="G851" s="116"/>
      <c r="H851" s="116"/>
      <c r="I851" s="116"/>
      <c r="J851" s="116"/>
      <c r="K851" s="103" t="s">
        <v>3459</v>
      </c>
    </row>
    <row r="852" spans="1:11" ht="14.25" customHeight="1">
      <c r="A852" s="104"/>
      <c r="B852" s="104"/>
      <c r="C852" s="139" t="s">
        <v>3460</v>
      </c>
      <c r="D852" s="104" t="s">
        <v>3461</v>
      </c>
      <c r="E852" s="104" t="s">
        <v>3462</v>
      </c>
      <c r="F852" s="104" t="s">
        <v>38</v>
      </c>
      <c r="G852" s="104" t="s">
        <v>3463</v>
      </c>
      <c r="H852" s="104" t="s">
        <v>3464</v>
      </c>
      <c r="I852" s="105" t="s">
        <v>41</v>
      </c>
      <c r="J852" s="104" t="s">
        <v>3465</v>
      </c>
      <c r="K852" s="103" t="s">
        <v>3466</v>
      </c>
    </row>
    <row r="853" spans="1:11" ht="14.25" customHeight="1">
      <c r="A853" s="104"/>
      <c r="B853" s="104"/>
      <c r="C853" s="140"/>
      <c r="D853" s="104"/>
      <c r="E853" s="104"/>
      <c r="F853" s="104"/>
      <c r="G853" s="116"/>
      <c r="H853" s="116"/>
      <c r="I853" s="116"/>
      <c r="J853" s="116"/>
      <c r="K853" s="103" t="s">
        <v>3467</v>
      </c>
    </row>
    <row r="854" spans="1:11" ht="14.25" customHeight="1">
      <c r="A854" s="104"/>
      <c r="B854" s="104"/>
      <c r="C854" s="140"/>
      <c r="D854" s="104"/>
      <c r="E854" s="104"/>
      <c r="F854" s="104"/>
      <c r="G854" s="104" t="s">
        <v>3468</v>
      </c>
      <c r="H854" s="104" t="s">
        <v>3469</v>
      </c>
      <c r="I854" s="105" t="s">
        <v>41</v>
      </c>
      <c r="J854" s="104" t="s">
        <v>3470</v>
      </c>
      <c r="K854" s="103" t="s">
        <v>3471</v>
      </c>
    </row>
    <row r="855" spans="1:11" ht="14.25" customHeight="1">
      <c r="A855" s="104"/>
      <c r="B855" s="104"/>
      <c r="C855" s="140"/>
      <c r="D855" s="116"/>
      <c r="E855" s="116"/>
      <c r="F855" s="116"/>
      <c r="G855" s="116"/>
      <c r="H855" s="116"/>
      <c r="I855" s="116"/>
      <c r="J855" s="116"/>
      <c r="K855" s="103" t="s">
        <v>3472</v>
      </c>
    </row>
    <row r="856" spans="1:11" ht="14.25" customHeight="1">
      <c r="A856" s="104"/>
      <c r="B856" s="104"/>
      <c r="C856" s="140"/>
      <c r="D856" s="104" t="s">
        <v>3473</v>
      </c>
      <c r="E856" s="104" t="s">
        <v>3474</v>
      </c>
      <c r="F856" s="104" t="s">
        <v>38</v>
      </c>
      <c r="G856" s="104" t="s">
        <v>3475</v>
      </c>
      <c r="H856" s="104" t="s">
        <v>3476</v>
      </c>
      <c r="I856" s="105" t="s">
        <v>41</v>
      </c>
      <c r="J856" s="104" t="s">
        <v>3477</v>
      </c>
      <c r="K856" s="103" t="s">
        <v>3478</v>
      </c>
    </row>
    <row r="857" spans="1:11" ht="14.25" customHeight="1">
      <c r="A857" s="104"/>
      <c r="B857" s="104"/>
      <c r="C857" s="140"/>
      <c r="D857" s="104"/>
      <c r="E857" s="104"/>
      <c r="F857" s="104"/>
      <c r="G857" s="104"/>
      <c r="H857" s="116"/>
      <c r="I857" s="116"/>
      <c r="J857" s="116"/>
      <c r="K857" s="103" t="s">
        <v>3479</v>
      </c>
    </row>
    <row r="858" spans="1:11" ht="14.25" customHeight="1">
      <c r="A858" s="104"/>
      <c r="B858" s="104"/>
      <c r="C858" s="140"/>
      <c r="D858" s="104"/>
      <c r="E858" s="104"/>
      <c r="F858" s="104"/>
      <c r="G858" s="104" t="s">
        <v>3480</v>
      </c>
      <c r="H858" s="104" t="s">
        <v>3481</v>
      </c>
      <c r="I858" s="105" t="s">
        <v>41</v>
      </c>
      <c r="J858" s="104" t="s">
        <v>3482</v>
      </c>
      <c r="K858" s="103" t="s">
        <v>3483</v>
      </c>
    </row>
    <row r="859" spans="1:11" ht="14.25" customHeight="1">
      <c r="A859" s="104"/>
      <c r="B859" s="104"/>
      <c r="C859" s="140"/>
      <c r="D859" s="116"/>
      <c r="E859" s="116"/>
      <c r="F859" s="116"/>
      <c r="G859" s="116"/>
      <c r="H859" s="116"/>
      <c r="I859" s="116"/>
      <c r="J859" s="116"/>
      <c r="K859" s="103" t="s">
        <v>3484</v>
      </c>
    </row>
    <row r="860" spans="1:11" ht="14.25" customHeight="1">
      <c r="A860" s="104"/>
      <c r="B860" s="104"/>
      <c r="C860" s="140"/>
      <c r="D860" s="104" t="s">
        <v>3485</v>
      </c>
      <c r="E860" s="104" t="s">
        <v>3486</v>
      </c>
      <c r="F860" s="104" t="s">
        <v>38</v>
      </c>
      <c r="G860" s="104" t="s">
        <v>3487</v>
      </c>
      <c r="H860" s="104" t="s">
        <v>3488</v>
      </c>
      <c r="I860" s="105" t="s">
        <v>41</v>
      </c>
      <c r="J860" s="104" t="s">
        <v>3489</v>
      </c>
      <c r="K860" s="103" t="s">
        <v>3490</v>
      </c>
    </row>
    <row r="861" spans="1:11" ht="14.25" customHeight="1">
      <c r="A861" s="104"/>
      <c r="B861" s="104"/>
      <c r="C861" s="140"/>
      <c r="D861" s="104"/>
      <c r="E861" s="104"/>
      <c r="F861" s="104"/>
      <c r="G861" s="116"/>
      <c r="H861" s="116"/>
      <c r="I861" s="116"/>
      <c r="J861" s="116"/>
      <c r="K861" s="103" t="s">
        <v>3491</v>
      </c>
    </row>
    <row r="862" spans="1:11" ht="14.25" customHeight="1">
      <c r="A862" s="104"/>
      <c r="B862" s="104"/>
      <c r="C862" s="140"/>
      <c r="D862" s="104"/>
      <c r="E862" s="104"/>
      <c r="F862" s="104"/>
      <c r="G862" s="104" t="s">
        <v>3492</v>
      </c>
      <c r="H862" s="104" t="s">
        <v>3493</v>
      </c>
      <c r="I862" s="105" t="s">
        <v>41</v>
      </c>
      <c r="J862" s="104" t="s">
        <v>3494</v>
      </c>
      <c r="K862" s="103" t="s">
        <v>3495</v>
      </c>
    </row>
    <row r="863" spans="1:11" ht="14.25" customHeight="1">
      <c r="A863" s="104"/>
      <c r="B863" s="104"/>
      <c r="C863" s="140"/>
      <c r="D863" s="116"/>
      <c r="E863" s="116"/>
      <c r="F863" s="116"/>
      <c r="G863" s="116"/>
      <c r="H863" s="116"/>
      <c r="I863" s="116"/>
      <c r="J863" s="116"/>
      <c r="K863" s="103" t="s">
        <v>3496</v>
      </c>
    </row>
    <row r="864" spans="1:11" ht="14.25" customHeight="1">
      <c r="A864" s="104"/>
      <c r="B864" s="104"/>
      <c r="C864" s="140"/>
      <c r="D864" s="104" t="s">
        <v>3497</v>
      </c>
      <c r="E864" s="104" t="s">
        <v>3498</v>
      </c>
      <c r="F864" s="104" t="s">
        <v>38</v>
      </c>
      <c r="G864" s="104" t="s">
        <v>3499</v>
      </c>
      <c r="H864" s="104" t="s">
        <v>3500</v>
      </c>
      <c r="I864" s="105" t="s">
        <v>41</v>
      </c>
      <c r="J864" s="104" t="s">
        <v>3501</v>
      </c>
      <c r="K864" s="103" t="s">
        <v>3502</v>
      </c>
    </row>
    <row r="865" spans="1:11" ht="14.25" customHeight="1">
      <c r="A865" s="104"/>
      <c r="B865" s="104"/>
      <c r="C865" s="140"/>
      <c r="D865" s="104"/>
      <c r="E865" s="104"/>
      <c r="F865" s="104"/>
      <c r="G865" s="116"/>
      <c r="H865" s="116"/>
      <c r="I865" s="116"/>
      <c r="J865" s="116"/>
      <c r="K865" s="103" t="s">
        <v>3503</v>
      </c>
    </row>
    <row r="866" spans="1:11" ht="14.25" customHeight="1">
      <c r="A866" s="104"/>
      <c r="B866" s="104"/>
      <c r="C866" s="140"/>
      <c r="D866" s="104"/>
      <c r="E866" s="104"/>
      <c r="F866" s="104"/>
      <c r="G866" s="104" t="s">
        <v>3504</v>
      </c>
      <c r="H866" s="104" t="s">
        <v>3505</v>
      </c>
      <c r="I866" s="105" t="s">
        <v>41</v>
      </c>
      <c r="J866" s="104" t="s">
        <v>3506</v>
      </c>
      <c r="K866" s="103" t="s">
        <v>3507</v>
      </c>
    </row>
    <row r="867" spans="1:11" ht="14.25" customHeight="1">
      <c r="A867" s="104"/>
      <c r="B867" s="104"/>
      <c r="C867" s="140"/>
      <c r="D867" s="116"/>
      <c r="E867" s="116"/>
      <c r="F867" s="116"/>
      <c r="G867" s="116"/>
      <c r="H867" s="116"/>
      <c r="I867" s="116"/>
      <c r="J867" s="116"/>
      <c r="K867" s="103" t="s">
        <v>3508</v>
      </c>
    </row>
    <row r="868" spans="1:11" ht="14.25" customHeight="1">
      <c r="A868" s="104"/>
      <c r="B868" s="104"/>
      <c r="C868" s="140"/>
      <c r="D868" s="104" t="s">
        <v>3509</v>
      </c>
      <c r="E868" s="104" t="s">
        <v>3510</v>
      </c>
      <c r="F868" s="104" t="s">
        <v>38</v>
      </c>
      <c r="G868" s="104" t="s">
        <v>3511</v>
      </c>
      <c r="H868" s="104" t="s">
        <v>3512</v>
      </c>
      <c r="I868" s="111" t="s">
        <v>33</v>
      </c>
      <c r="J868" s="104" t="s">
        <v>3513</v>
      </c>
      <c r="K868" s="103" t="s">
        <v>3514</v>
      </c>
    </row>
    <row r="869" spans="1:11" ht="14.25" customHeight="1">
      <c r="A869" s="104"/>
      <c r="B869" s="104"/>
      <c r="C869" s="140"/>
      <c r="D869" s="104"/>
      <c r="E869" s="104"/>
      <c r="F869" s="104"/>
      <c r="G869" s="116"/>
      <c r="H869" s="116"/>
      <c r="I869" s="116"/>
      <c r="J869" s="116"/>
      <c r="K869" s="103" t="s">
        <v>3515</v>
      </c>
    </row>
    <row r="870" spans="1:11" ht="14.25" customHeight="1">
      <c r="A870" s="104"/>
      <c r="B870" s="104"/>
      <c r="C870" s="140"/>
      <c r="D870" s="104"/>
      <c r="E870" s="104"/>
      <c r="F870" s="104"/>
      <c r="G870" s="104" t="s">
        <v>3516</v>
      </c>
      <c r="H870" s="104" t="s">
        <v>3517</v>
      </c>
      <c r="I870" s="105" t="s">
        <v>41</v>
      </c>
      <c r="J870" s="104" t="s">
        <v>3518</v>
      </c>
      <c r="K870" s="103" t="s">
        <v>3519</v>
      </c>
    </row>
    <row r="871" spans="1:11" ht="14.25" customHeight="1">
      <c r="A871" s="104"/>
      <c r="B871" s="104"/>
      <c r="C871" s="141"/>
      <c r="D871" s="116"/>
      <c r="E871" s="116"/>
      <c r="F871" s="116"/>
      <c r="G871" s="116"/>
      <c r="H871" s="116"/>
      <c r="I871" s="116"/>
      <c r="J871" s="116"/>
      <c r="K871" s="103" t="s">
        <v>3520</v>
      </c>
    </row>
    <row r="872" spans="1:11" ht="14.25" customHeight="1">
      <c r="A872" s="104"/>
      <c r="B872" s="104"/>
      <c r="C872" s="139" t="s">
        <v>3521</v>
      </c>
      <c r="D872" s="104" t="s">
        <v>3522</v>
      </c>
      <c r="E872" s="104" t="s">
        <v>3523</v>
      </c>
      <c r="F872" s="104" t="s">
        <v>38</v>
      </c>
      <c r="G872" s="104" t="s">
        <v>3524</v>
      </c>
      <c r="H872" s="104" t="s">
        <v>3525</v>
      </c>
      <c r="I872" s="105" t="s">
        <v>41</v>
      </c>
      <c r="J872" s="104" t="s">
        <v>3526</v>
      </c>
      <c r="K872" s="103" t="s">
        <v>3527</v>
      </c>
    </row>
    <row r="873" spans="1:11" ht="14.25" customHeight="1">
      <c r="A873" s="104"/>
      <c r="B873" s="104"/>
      <c r="C873" s="140"/>
      <c r="D873" s="104"/>
      <c r="E873" s="104"/>
      <c r="F873" s="104"/>
      <c r="G873" s="104"/>
      <c r="H873" s="116"/>
      <c r="I873" s="116"/>
      <c r="J873" s="116"/>
      <c r="K873" s="103" t="s">
        <v>3528</v>
      </c>
    </row>
    <row r="874" spans="1:11" ht="14.25" customHeight="1">
      <c r="A874" s="104"/>
      <c r="B874" s="104"/>
      <c r="C874" s="140"/>
      <c r="D874" s="104"/>
      <c r="E874" s="104"/>
      <c r="F874" s="104"/>
      <c r="G874" s="104" t="s">
        <v>3529</v>
      </c>
      <c r="H874" s="104" t="s">
        <v>3530</v>
      </c>
      <c r="I874" s="105" t="s">
        <v>41</v>
      </c>
      <c r="J874" s="104" t="s">
        <v>3531</v>
      </c>
      <c r="K874" s="103" t="s">
        <v>3532</v>
      </c>
    </row>
    <row r="875" spans="1:11" ht="14.25" customHeight="1">
      <c r="A875" s="104"/>
      <c r="B875" s="104"/>
      <c r="C875" s="140"/>
      <c r="D875" s="116"/>
      <c r="E875" s="116"/>
      <c r="F875" s="116"/>
      <c r="G875" s="116"/>
      <c r="H875" s="116"/>
      <c r="I875" s="116"/>
      <c r="J875" s="116"/>
      <c r="K875" s="103" t="s">
        <v>3533</v>
      </c>
    </row>
    <row r="876" spans="1:11" ht="14.25" customHeight="1">
      <c r="A876" s="104"/>
      <c r="B876" s="104"/>
      <c r="C876" s="140"/>
      <c r="D876" s="104" t="s">
        <v>3534</v>
      </c>
      <c r="E876" s="104" t="s">
        <v>3535</v>
      </c>
      <c r="F876" s="104" t="s">
        <v>38</v>
      </c>
      <c r="G876" s="104" t="s">
        <v>3536</v>
      </c>
      <c r="H876" s="104" t="s">
        <v>3537</v>
      </c>
      <c r="I876" s="105" t="s">
        <v>41</v>
      </c>
      <c r="J876" s="104" t="s">
        <v>3538</v>
      </c>
      <c r="K876" s="103" t="s">
        <v>3539</v>
      </c>
    </row>
    <row r="877" spans="1:11" ht="14.25" customHeight="1">
      <c r="A877" s="104"/>
      <c r="B877" s="104"/>
      <c r="C877" s="140"/>
      <c r="D877" s="104"/>
      <c r="E877" s="104"/>
      <c r="F877" s="104"/>
      <c r="G877" s="116"/>
      <c r="H877" s="116"/>
      <c r="I877" s="116"/>
      <c r="J877" s="116"/>
      <c r="K877" s="103" t="s">
        <v>3540</v>
      </c>
    </row>
    <row r="878" spans="1:11" ht="14.25" customHeight="1">
      <c r="A878" s="104"/>
      <c r="B878" s="104"/>
      <c r="C878" s="140"/>
      <c r="D878" s="104"/>
      <c r="E878" s="104"/>
      <c r="F878" s="104"/>
      <c r="G878" s="104" t="s">
        <v>3541</v>
      </c>
      <c r="H878" s="104" t="s">
        <v>3542</v>
      </c>
      <c r="I878" s="105" t="s">
        <v>41</v>
      </c>
      <c r="J878" s="104" t="s">
        <v>3543</v>
      </c>
      <c r="K878" s="103" t="s">
        <v>3544</v>
      </c>
    </row>
    <row r="879" spans="1:11" ht="14.25" customHeight="1">
      <c r="A879" s="104"/>
      <c r="B879" s="104"/>
      <c r="C879" s="140"/>
      <c r="D879" s="116"/>
      <c r="E879" s="116"/>
      <c r="F879" s="116"/>
      <c r="G879" s="116"/>
      <c r="H879" s="116"/>
      <c r="I879" s="116"/>
      <c r="J879" s="116"/>
      <c r="K879" s="103" t="s">
        <v>3545</v>
      </c>
    </row>
    <row r="880" spans="1:11" ht="14.25" customHeight="1">
      <c r="A880" s="104"/>
      <c r="B880" s="104"/>
      <c r="C880" s="140"/>
      <c r="D880" s="104" t="s">
        <v>3546</v>
      </c>
      <c r="E880" s="104" t="s">
        <v>3547</v>
      </c>
      <c r="F880" s="104" t="s">
        <v>38</v>
      </c>
      <c r="G880" s="104" t="s">
        <v>3548</v>
      </c>
      <c r="H880" s="104" t="s">
        <v>3549</v>
      </c>
      <c r="I880" s="106" t="s">
        <v>19</v>
      </c>
      <c r="J880" s="104" t="s">
        <v>3550</v>
      </c>
      <c r="K880" s="103" t="s">
        <v>3551</v>
      </c>
    </row>
    <row r="881" spans="1:11" ht="14.25" customHeight="1">
      <c r="A881" s="104"/>
      <c r="B881" s="104"/>
      <c r="C881" s="140"/>
      <c r="D881" s="104"/>
      <c r="E881" s="104"/>
      <c r="F881" s="104"/>
      <c r="G881" s="116"/>
      <c r="H881" s="116"/>
      <c r="I881" s="116"/>
      <c r="J881" s="116"/>
      <c r="K881" s="103" t="s">
        <v>3552</v>
      </c>
    </row>
    <row r="882" spans="1:11" ht="14.25" customHeight="1">
      <c r="A882" s="104"/>
      <c r="B882" s="104"/>
      <c r="C882" s="140"/>
      <c r="D882" s="104"/>
      <c r="E882" s="104"/>
      <c r="F882" s="104"/>
      <c r="G882" s="104" t="s">
        <v>3553</v>
      </c>
      <c r="H882" s="104" t="s">
        <v>3554</v>
      </c>
      <c r="I882" s="106" t="s">
        <v>19</v>
      </c>
      <c r="J882" s="104" t="s">
        <v>3555</v>
      </c>
      <c r="K882" s="103" t="s">
        <v>3556</v>
      </c>
    </row>
    <row r="883" spans="1:11" ht="14.25" customHeight="1">
      <c r="A883" s="104"/>
      <c r="B883" s="104"/>
      <c r="C883" s="140"/>
      <c r="D883" s="116"/>
      <c r="E883" s="116"/>
      <c r="F883" s="116"/>
      <c r="G883" s="116"/>
      <c r="H883" s="116"/>
      <c r="I883" s="116"/>
      <c r="J883" s="116"/>
      <c r="K883" s="103" t="s">
        <v>3557</v>
      </c>
    </row>
    <row r="884" spans="1:11" ht="14.25" customHeight="1">
      <c r="A884" s="104"/>
      <c r="B884" s="104"/>
      <c r="C884" s="140"/>
      <c r="D884" s="104" t="s">
        <v>3558</v>
      </c>
      <c r="E884" s="104" t="s">
        <v>3559</v>
      </c>
      <c r="F884" s="104" t="s">
        <v>38</v>
      </c>
      <c r="G884" s="104" t="s">
        <v>3560</v>
      </c>
      <c r="H884" s="104" t="s">
        <v>3561</v>
      </c>
      <c r="I884" s="106" t="s">
        <v>19</v>
      </c>
      <c r="J884" s="104" t="s">
        <v>3562</v>
      </c>
      <c r="K884" s="103" t="s">
        <v>3563</v>
      </c>
    </row>
    <row r="885" spans="1:11" ht="14.25" customHeight="1">
      <c r="A885" s="104"/>
      <c r="B885" s="104"/>
      <c r="C885" s="140"/>
      <c r="D885" s="104"/>
      <c r="E885" s="104"/>
      <c r="F885" s="104"/>
      <c r="G885" s="116"/>
      <c r="H885" s="116"/>
      <c r="I885" s="116"/>
      <c r="J885" s="116"/>
      <c r="K885" s="103" t="s">
        <v>3564</v>
      </c>
    </row>
    <row r="886" spans="1:11" ht="14.25" customHeight="1">
      <c r="A886" s="104"/>
      <c r="B886" s="104"/>
      <c r="C886" s="140"/>
      <c r="D886" s="104"/>
      <c r="E886" s="104"/>
      <c r="F886" s="104"/>
      <c r="G886" s="104" t="s">
        <v>3565</v>
      </c>
      <c r="H886" s="104" t="s">
        <v>3566</v>
      </c>
      <c r="I886" s="106" t="s">
        <v>19</v>
      </c>
      <c r="J886" s="104" t="s">
        <v>3567</v>
      </c>
      <c r="K886" s="103" t="s">
        <v>3568</v>
      </c>
    </row>
    <row r="887" spans="1:11" ht="14.25" customHeight="1">
      <c r="A887" s="104"/>
      <c r="B887" s="104"/>
      <c r="C887" s="140"/>
      <c r="D887" s="116"/>
      <c r="E887" s="116"/>
      <c r="F887" s="116"/>
      <c r="G887" s="116"/>
      <c r="H887" s="116"/>
      <c r="I887" s="116"/>
      <c r="J887" s="116"/>
      <c r="K887" s="103" t="s">
        <v>3569</v>
      </c>
    </row>
    <row r="888" spans="1:11" ht="14.25" customHeight="1">
      <c r="A888" s="104"/>
      <c r="B888" s="104"/>
      <c r="C888" s="140"/>
      <c r="D888" s="104" t="s">
        <v>3570</v>
      </c>
      <c r="E888" s="104" t="s">
        <v>3571</v>
      </c>
      <c r="F888" s="104" t="s">
        <v>38</v>
      </c>
      <c r="G888" s="104" t="s">
        <v>3572</v>
      </c>
      <c r="H888" s="104" t="s">
        <v>3573</v>
      </c>
      <c r="I888" s="106" t="s">
        <v>19</v>
      </c>
      <c r="J888" s="104" t="s">
        <v>3574</v>
      </c>
      <c r="K888" s="103" t="s">
        <v>3575</v>
      </c>
    </row>
    <row r="889" spans="1:11" ht="14.25" customHeight="1">
      <c r="A889" s="104"/>
      <c r="B889" s="104"/>
      <c r="C889" s="140"/>
      <c r="D889" s="104"/>
      <c r="E889" s="104"/>
      <c r="F889" s="104"/>
      <c r="G889" s="116"/>
      <c r="H889" s="116"/>
      <c r="I889" s="116"/>
      <c r="J889" s="116"/>
      <c r="K889" s="103" t="s">
        <v>3576</v>
      </c>
    </row>
    <row r="890" spans="1:11" ht="14.25" customHeight="1">
      <c r="A890" s="104"/>
      <c r="B890" s="104"/>
      <c r="C890" s="140"/>
      <c r="D890" s="104"/>
      <c r="E890" s="104"/>
      <c r="F890" s="104"/>
      <c r="G890" s="104" t="s">
        <v>3577</v>
      </c>
      <c r="H890" s="104" t="s">
        <v>3578</v>
      </c>
      <c r="I890" s="106" t="s">
        <v>19</v>
      </c>
      <c r="J890" s="104" t="s">
        <v>3579</v>
      </c>
      <c r="K890" s="103" t="s">
        <v>3580</v>
      </c>
    </row>
    <row r="891" spans="1:11" ht="14.25" customHeight="1">
      <c r="A891" s="104"/>
      <c r="B891" s="104"/>
      <c r="C891" s="141"/>
      <c r="D891" s="116"/>
      <c r="E891" s="116"/>
      <c r="F891" s="116"/>
      <c r="G891" s="116"/>
      <c r="H891" s="116"/>
      <c r="I891" s="116"/>
      <c r="J891" s="116"/>
      <c r="K891" s="103" t="s">
        <v>3581</v>
      </c>
    </row>
    <row r="892" spans="1:11" ht="14.25" customHeight="1">
      <c r="A892" s="104"/>
      <c r="B892" s="104"/>
      <c r="C892" s="139" t="s">
        <v>3582</v>
      </c>
      <c r="D892" s="104" t="s">
        <v>3583</v>
      </c>
      <c r="E892" s="104" t="s">
        <v>3584</v>
      </c>
      <c r="F892" s="104" t="s">
        <v>16</v>
      </c>
      <c r="G892" s="104" t="s">
        <v>3585</v>
      </c>
      <c r="H892" s="104" t="s">
        <v>3586</v>
      </c>
      <c r="I892" s="106" t="s">
        <v>19</v>
      </c>
      <c r="J892" s="104" t="s">
        <v>3587</v>
      </c>
      <c r="K892" s="103" t="s">
        <v>3588</v>
      </c>
    </row>
    <row r="893" spans="1:11" ht="14.25" customHeight="1">
      <c r="A893" s="104"/>
      <c r="B893" s="104"/>
      <c r="C893" s="140"/>
      <c r="D893" s="104"/>
      <c r="E893" s="104"/>
      <c r="F893" s="104"/>
      <c r="G893" s="116"/>
      <c r="H893" s="116"/>
      <c r="I893" s="116"/>
      <c r="J893" s="116"/>
      <c r="K893" s="103" t="s">
        <v>3589</v>
      </c>
    </row>
    <row r="894" spans="1:11" ht="14.25" customHeight="1">
      <c r="A894" s="104"/>
      <c r="B894" s="104"/>
      <c r="C894" s="140"/>
      <c r="D894" s="104"/>
      <c r="E894" s="104"/>
      <c r="F894" s="104"/>
      <c r="G894" s="104" t="s">
        <v>3590</v>
      </c>
      <c r="H894" s="104" t="s">
        <v>3591</v>
      </c>
      <c r="I894" s="106" t="s">
        <v>19</v>
      </c>
      <c r="J894" s="104" t="s">
        <v>3592</v>
      </c>
      <c r="K894" s="103" t="s">
        <v>3593</v>
      </c>
    </row>
    <row r="895" spans="1:11" ht="14.25" customHeight="1">
      <c r="A895" s="104"/>
      <c r="B895" s="104"/>
      <c r="C895" s="140"/>
      <c r="D895" s="116"/>
      <c r="E895" s="116"/>
      <c r="F895" s="116"/>
      <c r="G895" s="116"/>
      <c r="H895" s="116"/>
      <c r="I895" s="116"/>
      <c r="J895" s="116"/>
      <c r="K895" s="103" t="s">
        <v>3594</v>
      </c>
    </row>
    <row r="896" spans="1:11" ht="14.25" customHeight="1">
      <c r="A896" s="104"/>
      <c r="B896" s="104"/>
      <c r="C896" s="140"/>
      <c r="D896" s="104" t="s">
        <v>3595</v>
      </c>
      <c r="E896" s="104" t="s">
        <v>3596</v>
      </c>
      <c r="F896" s="104" t="s">
        <v>38</v>
      </c>
      <c r="G896" s="104" t="s">
        <v>3597</v>
      </c>
      <c r="H896" s="104" t="s">
        <v>3598</v>
      </c>
      <c r="I896" s="106" t="s">
        <v>19</v>
      </c>
      <c r="J896" s="104" t="s">
        <v>3599</v>
      </c>
      <c r="K896" s="103" t="s">
        <v>3330</v>
      </c>
    </row>
    <row r="897" spans="1:11" ht="14.25" customHeight="1">
      <c r="A897" s="104"/>
      <c r="B897" s="104"/>
      <c r="C897" s="140"/>
      <c r="D897" s="104"/>
      <c r="E897" s="104"/>
      <c r="F897" s="104"/>
      <c r="G897" s="116"/>
      <c r="H897" s="116"/>
      <c r="I897" s="116"/>
      <c r="J897" s="116"/>
      <c r="K897" s="103" t="s">
        <v>3600</v>
      </c>
    </row>
    <row r="898" spans="1:11" ht="14.25" customHeight="1">
      <c r="A898" s="104"/>
      <c r="B898" s="104"/>
      <c r="C898" s="140"/>
      <c r="D898" s="104"/>
      <c r="E898" s="104"/>
      <c r="F898" s="104"/>
      <c r="G898" s="104" t="s">
        <v>3601</v>
      </c>
      <c r="H898" s="104" t="s">
        <v>3602</v>
      </c>
      <c r="I898" s="106" t="s">
        <v>19</v>
      </c>
      <c r="J898" s="104" t="s">
        <v>3603</v>
      </c>
      <c r="K898" s="103" t="s">
        <v>3604</v>
      </c>
    </row>
    <row r="899" spans="1:11" ht="14.25" customHeight="1">
      <c r="A899" s="104"/>
      <c r="B899" s="104"/>
      <c r="C899" s="140"/>
      <c r="D899" s="116"/>
      <c r="E899" s="116"/>
      <c r="F899" s="116"/>
      <c r="G899" s="116"/>
      <c r="H899" s="116"/>
      <c r="I899" s="116"/>
      <c r="J899" s="116"/>
      <c r="K899" s="103" t="s">
        <v>3605</v>
      </c>
    </row>
    <row r="900" spans="1:11" ht="14.25" customHeight="1">
      <c r="A900" s="104"/>
      <c r="B900" s="104"/>
      <c r="C900" s="140"/>
      <c r="D900" s="104" t="s">
        <v>3606</v>
      </c>
      <c r="E900" s="104" t="s">
        <v>3607</v>
      </c>
      <c r="F900" s="104" t="s">
        <v>38</v>
      </c>
      <c r="G900" s="104" t="s">
        <v>3608</v>
      </c>
      <c r="H900" s="104" t="s">
        <v>3609</v>
      </c>
      <c r="I900" s="106" t="s">
        <v>19</v>
      </c>
      <c r="J900" s="104" t="s">
        <v>3610</v>
      </c>
      <c r="K900" s="103" t="s">
        <v>3611</v>
      </c>
    </row>
    <row r="901" spans="1:11" ht="14.25" customHeight="1">
      <c r="A901" s="104"/>
      <c r="B901" s="104"/>
      <c r="C901" s="140"/>
      <c r="D901" s="104"/>
      <c r="E901" s="104"/>
      <c r="F901" s="104"/>
      <c r="G901" s="116"/>
      <c r="H901" s="116"/>
      <c r="I901" s="116"/>
      <c r="J901" s="116"/>
      <c r="K901" s="103" t="s">
        <v>3612</v>
      </c>
    </row>
    <row r="902" spans="1:11" ht="14.25" customHeight="1">
      <c r="A902" s="104"/>
      <c r="B902" s="104"/>
      <c r="C902" s="140"/>
      <c r="D902" s="104"/>
      <c r="E902" s="104"/>
      <c r="F902" s="104"/>
      <c r="G902" s="104" t="s">
        <v>3613</v>
      </c>
      <c r="H902" s="104" t="s">
        <v>3614</v>
      </c>
      <c r="I902" s="106" t="s">
        <v>19</v>
      </c>
      <c r="J902" s="104" t="s">
        <v>3615</v>
      </c>
      <c r="K902" s="103" t="s">
        <v>3616</v>
      </c>
    </row>
    <row r="903" spans="1:11" ht="14.25" customHeight="1">
      <c r="A903" s="104"/>
      <c r="B903" s="104"/>
      <c r="C903" s="140"/>
      <c r="D903" s="116"/>
      <c r="E903" s="116"/>
      <c r="F903" s="116"/>
      <c r="G903" s="116"/>
      <c r="H903" s="116"/>
      <c r="I903" s="116"/>
      <c r="J903" s="116"/>
      <c r="K903" s="103" t="s">
        <v>3617</v>
      </c>
    </row>
    <row r="904" spans="1:11" ht="14.25" customHeight="1">
      <c r="A904" s="104"/>
      <c r="B904" s="104"/>
      <c r="C904" s="140"/>
      <c r="D904" s="104" t="s">
        <v>3618</v>
      </c>
      <c r="E904" s="104" t="s">
        <v>3619</v>
      </c>
      <c r="F904" s="104" t="s">
        <v>38</v>
      </c>
      <c r="G904" s="104" t="s">
        <v>3620</v>
      </c>
      <c r="H904" s="104" t="s">
        <v>3621</v>
      </c>
      <c r="I904" s="106" t="s">
        <v>19</v>
      </c>
      <c r="J904" s="104" t="s">
        <v>3622</v>
      </c>
      <c r="K904" s="103" t="s">
        <v>3623</v>
      </c>
    </row>
    <row r="905" spans="1:11" ht="14.25" customHeight="1">
      <c r="A905" s="104"/>
      <c r="B905" s="104"/>
      <c r="C905" s="140"/>
      <c r="D905" s="104"/>
      <c r="E905" s="104"/>
      <c r="F905" s="104"/>
      <c r="G905" s="116"/>
      <c r="H905" s="116"/>
      <c r="I905" s="116"/>
      <c r="J905" s="116"/>
      <c r="K905" s="103" t="s">
        <v>3624</v>
      </c>
    </row>
    <row r="906" spans="1:11" ht="14.25" customHeight="1">
      <c r="A906" s="104"/>
      <c r="B906" s="104"/>
      <c r="C906" s="140"/>
      <c r="D906" s="104"/>
      <c r="E906" s="104"/>
      <c r="F906" s="104"/>
      <c r="G906" s="104" t="s">
        <v>3625</v>
      </c>
      <c r="H906" s="104" t="s">
        <v>3626</v>
      </c>
      <c r="I906" s="106" t="s">
        <v>19</v>
      </c>
      <c r="J906" s="104" t="s">
        <v>3627</v>
      </c>
      <c r="K906" s="103" t="s">
        <v>3628</v>
      </c>
    </row>
    <row r="907" spans="1:11" ht="14.25" customHeight="1">
      <c r="A907" s="104"/>
      <c r="B907" s="104"/>
      <c r="C907" s="140"/>
      <c r="D907" s="116"/>
      <c r="E907" s="116"/>
      <c r="F907" s="116"/>
      <c r="G907" s="116"/>
      <c r="H907" s="116"/>
      <c r="I907" s="116"/>
      <c r="J907" s="116"/>
      <c r="K907" s="103" t="s">
        <v>3629</v>
      </c>
    </row>
    <row r="908" spans="1:11" ht="14.25" customHeight="1">
      <c r="A908" s="104"/>
      <c r="B908" s="104"/>
      <c r="C908" s="140"/>
      <c r="D908" s="104" t="s">
        <v>3630</v>
      </c>
      <c r="E908" s="104" t="s">
        <v>3631</v>
      </c>
      <c r="F908" s="104" t="s">
        <v>38</v>
      </c>
      <c r="G908" s="104" t="s">
        <v>3632</v>
      </c>
      <c r="H908" s="104" t="s">
        <v>3633</v>
      </c>
      <c r="I908" s="105" t="s">
        <v>41</v>
      </c>
      <c r="J908" s="104" t="s">
        <v>3634</v>
      </c>
      <c r="K908" s="103" t="s">
        <v>3635</v>
      </c>
    </row>
    <row r="909" spans="1:11" ht="14.25" customHeight="1">
      <c r="A909" s="104"/>
      <c r="B909" s="104"/>
      <c r="C909" s="140"/>
      <c r="D909" s="104"/>
      <c r="E909" s="104"/>
      <c r="F909" s="104"/>
      <c r="G909" s="116"/>
      <c r="H909" s="116"/>
      <c r="I909" s="116"/>
      <c r="J909" s="116"/>
      <c r="K909" s="103" t="s">
        <v>3636</v>
      </c>
    </row>
    <row r="910" spans="1:11" ht="14.25" customHeight="1">
      <c r="A910" s="104"/>
      <c r="B910" s="104"/>
      <c r="C910" s="140"/>
      <c r="D910" s="104"/>
      <c r="E910" s="104"/>
      <c r="F910" s="104"/>
      <c r="G910" s="104" t="s">
        <v>3637</v>
      </c>
      <c r="H910" s="104" t="s">
        <v>3638</v>
      </c>
      <c r="I910" s="106" t="s">
        <v>19</v>
      </c>
      <c r="J910" s="104" t="s">
        <v>3639</v>
      </c>
      <c r="K910" s="103" t="s">
        <v>3640</v>
      </c>
    </row>
    <row r="911" spans="1:11" ht="14.25" customHeight="1">
      <c r="A911" s="104"/>
      <c r="B911" s="104"/>
      <c r="C911" s="141"/>
      <c r="D911" s="116"/>
      <c r="E911" s="116"/>
      <c r="F911" s="116"/>
      <c r="G911" s="116"/>
      <c r="H911" s="116"/>
      <c r="I911" s="116"/>
      <c r="J911" s="116"/>
      <c r="K911" s="103" t="s">
        <v>3641</v>
      </c>
    </row>
    <row r="912" spans="1:11" ht="14.25" customHeight="1">
      <c r="A912" s="104"/>
      <c r="B912" s="104"/>
      <c r="C912" s="148" t="s">
        <v>3642</v>
      </c>
      <c r="D912" s="104" t="s">
        <v>3643</v>
      </c>
      <c r="E912" s="104" t="s">
        <v>3644</v>
      </c>
      <c r="F912" s="104" t="s">
        <v>38</v>
      </c>
      <c r="G912" s="104" t="s">
        <v>3645</v>
      </c>
      <c r="H912" s="104" t="s">
        <v>3646</v>
      </c>
      <c r="I912" s="106" t="s">
        <v>19</v>
      </c>
      <c r="J912" s="104" t="s">
        <v>3647</v>
      </c>
      <c r="K912" s="103" t="s">
        <v>3648</v>
      </c>
    </row>
    <row r="913" spans="1:11" ht="14.25" customHeight="1">
      <c r="A913" s="104"/>
      <c r="B913" s="104"/>
      <c r="C913" s="140"/>
      <c r="D913" s="104"/>
      <c r="E913" s="104"/>
      <c r="F913" s="104"/>
      <c r="G913" s="116"/>
      <c r="H913" s="116"/>
      <c r="I913" s="116"/>
      <c r="J913" s="116"/>
      <c r="K913" s="103" t="s">
        <v>3649</v>
      </c>
    </row>
    <row r="914" spans="1:11" ht="14.25" customHeight="1">
      <c r="A914" s="104"/>
      <c r="B914" s="104"/>
      <c r="C914" s="140"/>
      <c r="D914" s="104"/>
      <c r="E914" s="104"/>
      <c r="F914" s="104"/>
      <c r="G914" s="104" t="s">
        <v>3650</v>
      </c>
      <c r="H914" s="104" t="s">
        <v>3651</v>
      </c>
      <c r="I914" s="106" t="s">
        <v>19</v>
      </c>
      <c r="J914" s="104" t="s">
        <v>3652</v>
      </c>
      <c r="K914" s="103" t="s">
        <v>3653</v>
      </c>
    </row>
    <row r="915" spans="1:11" ht="14.25" customHeight="1">
      <c r="A915" s="104"/>
      <c r="B915" s="104"/>
      <c r="C915" s="140"/>
      <c r="D915" s="116"/>
      <c r="E915" s="116"/>
      <c r="F915" s="116"/>
      <c r="G915" s="116"/>
      <c r="H915" s="116"/>
      <c r="I915" s="116"/>
      <c r="J915" s="116"/>
      <c r="K915" s="103" t="s">
        <v>3654</v>
      </c>
    </row>
    <row r="916" spans="1:11" ht="14.25" customHeight="1">
      <c r="A916" s="104"/>
      <c r="B916" s="104"/>
      <c r="C916" s="140"/>
      <c r="D916" s="104" t="s">
        <v>3655</v>
      </c>
      <c r="E916" s="104" t="s">
        <v>3656</v>
      </c>
      <c r="F916" s="104" t="s">
        <v>38</v>
      </c>
      <c r="G916" s="104" t="s">
        <v>3657</v>
      </c>
      <c r="H916" s="104" t="s">
        <v>3658</v>
      </c>
      <c r="I916" s="105" t="s">
        <v>41</v>
      </c>
      <c r="J916" s="104" t="s">
        <v>3659</v>
      </c>
      <c r="K916" s="103" t="s">
        <v>3660</v>
      </c>
    </row>
    <row r="917" spans="1:11" ht="14.25" customHeight="1">
      <c r="A917" s="104"/>
      <c r="B917" s="104"/>
      <c r="C917" s="140"/>
      <c r="D917" s="104"/>
      <c r="E917" s="104"/>
      <c r="F917" s="104"/>
      <c r="G917" s="116"/>
      <c r="H917" s="116"/>
      <c r="I917" s="116"/>
      <c r="J917" s="116"/>
      <c r="K917" s="103" t="s">
        <v>3661</v>
      </c>
    </row>
    <row r="918" spans="1:11" ht="14.25" customHeight="1">
      <c r="A918" s="104"/>
      <c r="B918" s="104"/>
      <c r="C918" s="140"/>
      <c r="D918" s="104"/>
      <c r="E918" s="104"/>
      <c r="F918" s="104"/>
      <c r="G918" s="104" t="s">
        <v>3662</v>
      </c>
      <c r="H918" s="104" t="s">
        <v>3663</v>
      </c>
      <c r="I918" s="105" t="s">
        <v>41</v>
      </c>
      <c r="J918" s="104" t="s">
        <v>3664</v>
      </c>
      <c r="K918" s="103" t="s">
        <v>3665</v>
      </c>
    </row>
    <row r="919" spans="1:11" ht="14.25" customHeight="1">
      <c r="A919" s="104"/>
      <c r="B919" s="104"/>
      <c r="C919" s="140"/>
      <c r="D919" s="116"/>
      <c r="E919" s="116"/>
      <c r="F919" s="116"/>
      <c r="G919" s="116"/>
      <c r="H919" s="116"/>
      <c r="I919" s="116"/>
      <c r="J919" s="116"/>
      <c r="K919" s="103" t="s">
        <v>3666</v>
      </c>
    </row>
    <row r="920" spans="1:11" ht="14.25" customHeight="1">
      <c r="A920" s="104"/>
      <c r="B920" s="104"/>
      <c r="C920" s="140"/>
      <c r="D920" s="104" t="s">
        <v>3667</v>
      </c>
      <c r="E920" s="104" t="s">
        <v>3668</v>
      </c>
      <c r="F920" s="104" t="s">
        <v>38</v>
      </c>
      <c r="G920" s="104" t="s">
        <v>3669</v>
      </c>
      <c r="H920" s="104" t="s">
        <v>3670</v>
      </c>
      <c r="I920" s="105" t="s">
        <v>41</v>
      </c>
      <c r="J920" s="104" t="s">
        <v>2418</v>
      </c>
      <c r="K920" s="103" t="s">
        <v>3671</v>
      </c>
    </row>
    <row r="921" spans="1:11" ht="14.25" customHeight="1">
      <c r="A921" s="104"/>
      <c r="B921" s="104"/>
      <c r="C921" s="140"/>
      <c r="D921" s="104"/>
      <c r="E921" s="104"/>
      <c r="F921" s="104"/>
      <c r="G921" s="116"/>
      <c r="H921" s="116"/>
      <c r="I921" s="116"/>
      <c r="J921" s="116"/>
      <c r="K921" s="103" t="s">
        <v>3672</v>
      </c>
    </row>
    <row r="922" spans="1:11" ht="14.25" customHeight="1">
      <c r="A922" s="104"/>
      <c r="B922" s="104"/>
      <c r="C922" s="140"/>
      <c r="D922" s="104"/>
      <c r="E922" s="104"/>
      <c r="F922" s="104"/>
      <c r="G922" s="104" t="s">
        <v>3673</v>
      </c>
      <c r="H922" s="104" t="s">
        <v>3674</v>
      </c>
      <c r="I922" s="105" t="s">
        <v>41</v>
      </c>
      <c r="J922" s="104" t="s">
        <v>3675</v>
      </c>
      <c r="K922" s="103" t="s">
        <v>3676</v>
      </c>
    </row>
    <row r="923" spans="1:11" ht="14.25" customHeight="1">
      <c r="A923" s="104"/>
      <c r="B923" s="104"/>
      <c r="C923" s="140"/>
      <c r="D923" s="116"/>
      <c r="E923" s="116"/>
      <c r="F923" s="116"/>
      <c r="G923" s="116"/>
      <c r="H923" s="116"/>
      <c r="I923" s="116"/>
      <c r="J923" s="116"/>
      <c r="K923" s="103" t="s">
        <v>3677</v>
      </c>
    </row>
    <row r="924" spans="1:11" ht="14.25" customHeight="1">
      <c r="A924" s="104"/>
      <c r="B924" s="104"/>
      <c r="C924" s="140"/>
      <c r="D924" s="104" t="s">
        <v>3678</v>
      </c>
      <c r="E924" s="104" t="s">
        <v>3679</v>
      </c>
      <c r="F924" s="104" t="s">
        <v>38</v>
      </c>
      <c r="G924" s="104" t="s">
        <v>3680</v>
      </c>
      <c r="H924" s="104" t="s">
        <v>3452</v>
      </c>
      <c r="I924" s="105" t="s">
        <v>41</v>
      </c>
      <c r="J924" s="104" t="s">
        <v>3681</v>
      </c>
      <c r="K924" s="103" t="s">
        <v>3682</v>
      </c>
    </row>
    <row r="925" spans="1:11" ht="14.25" customHeight="1">
      <c r="A925" s="104"/>
      <c r="B925" s="104"/>
      <c r="C925" s="140"/>
      <c r="D925" s="104"/>
      <c r="E925" s="104"/>
      <c r="F925" s="104"/>
      <c r="G925" s="116"/>
      <c r="H925" s="116"/>
      <c r="I925" s="116"/>
      <c r="J925" s="116"/>
      <c r="K925" s="103" t="s">
        <v>3683</v>
      </c>
    </row>
    <row r="926" spans="1:11" ht="14.25" customHeight="1">
      <c r="A926" s="104"/>
      <c r="B926" s="104"/>
      <c r="C926" s="140"/>
      <c r="D926" s="104"/>
      <c r="E926" s="104"/>
      <c r="F926" s="104"/>
      <c r="G926" s="104" t="s">
        <v>3684</v>
      </c>
      <c r="H926" s="104" t="s">
        <v>3685</v>
      </c>
      <c r="I926" s="105" t="s">
        <v>41</v>
      </c>
      <c r="J926" s="104" t="s">
        <v>3686</v>
      </c>
      <c r="K926" s="103" t="s">
        <v>3687</v>
      </c>
    </row>
    <row r="927" spans="1:11" ht="14.25" customHeight="1">
      <c r="A927" s="104"/>
      <c r="B927" s="104"/>
      <c r="C927" s="140"/>
      <c r="D927" s="116"/>
      <c r="E927" s="116"/>
      <c r="F927" s="116"/>
      <c r="G927" s="116"/>
      <c r="H927" s="116"/>
      <c r="I927" s="116"/>
      <c r="J927" s="116"/>
      <c r="K927" s="103" t="s">
        <v>2805</v>
      </c>
    </row>
    <row r="928" spans="1:11" ht="14.25" customHeight="1">
      <c r="A928" s="104"/>
      <c r="B928" s="104"/>
      <c r="C928" s="140"/>
      <c r="D928" s="104" t="s">
        <v>3688</v>
      </c>
      <c r="E928" s="104" t="s">
        <v>3689</v>
      </c>
      <c r="F928" s="104" t="s">
        <v>38</v>
      </c>
      <c r="G928" s="104" t="s">
        <v>3690</v>
      </c>
      <c r="H928" s="104" t="s">
        <v>3691</v>
      </c>
      <c r="I928" s="105" t="s">
        <v>41</v>
      </c>
      <c r="J928" s="104" t="s">
        <v>3692</v>
      </c>
      <c r="K928" s="103" t="s">
        <v>3693</v>
      </c>
    </row>
    <row r="929" spans="1:11" ht="14.25" customHeight="1">
      <c r="A929" s="104"/>
      <c r="B929" s="104"/>
      <c r="C929" s="140"/>
      <c r="D929" s="104"/>
      <c r="E929" s="104"/>
      <c r="F929" s="104"/>
      <c r="G929" s="116"/>
      <c r="H929" s="116"/>
      <c r="I929" s="116"/>
      <c r="J929" s="116"/>
      <c r="K929" s="103" t="s">
        <v>3694</v>
      </c>
    </row>
    <row r="930" spans="1:11" ht="14.25" customHeight="1">
      <c r="A930" s="104"/>
      <c r="B930" s="104"/>
      <c r="C930" s="140"/>
      <c r="D930" s="104"/>
      <c r="E930" s="104"/>
      <c r="F930" s="104"/>
      <c r="G930" s="104" t="s">
        <v>3695</v>
      </c>
      <c r="H930" s="104" t="s">
        <v>3696</v>
      </c>
      <c r="I930" s="105" t="s">
        <v>41</v>
      </c>
      <c r="J930" s="104" t="s">
        <v>3697</v>
      </c>
      <c r="K930" s="103" t="s">
        <v>3698</v>
      </c>
    </row>
    <row r="931" spans="1:11" ht="14.25" customHeight="1">
      <c r="A931" s="104"/>
      <c r="B931" s="104"/>
      <c r="C931" s="141"/>
      <c r="D931" s="116"/>
      <c r="E931" s="116"/>
      <c r="F931" s="116"/>
      <c r="G931" s="116"/>
      <c r="H931" s="116"/>
      <c r="I931" s="116"/>
      <c r="J931" s="116"/>
      <c r="K931" s="103" t="s">
        <v>3699</v>
      </c>
    </row>
    <row r="932" spans="1:11" ht="14.25" customHeight="1">
      <c r="A932" s="104"/>
      <c r="B932" s="104"/>
      <c r="C932" s="148" t="s">
        <v>3700</v>
      </c>
      <c r="D932" s="104" t="s">
        <v>3701</v>
      </c>
      <c r="E932" s="104" t="s">
        <v>3702</v>
      </c>
      <c r="F932" s="104" t="s">
        <v>38</v>
      </c>
      <c r="G932" s="104" t="s">
        <v>3703</v>
      </c>
      <c r="H932" s="104" t="s">
        <v>3704</v>
      </c>
      <c r="I932" s="105" t="s">
        <v>41</v>
      </c>
      <c r="J932" s="104" t="s">
        <v>3705</v>
      </c>
      <c r="K932" s="103" t="s">
        <v>3706</v>
      </c>
    </row>
    <row r="933" spans="1:11" ht="14.25" customHeight="1">
      <c r="A933" s="104"/>
      <c r="B933" s="104"/>
      <c r="C933" s="140"/>
      <c r="D933" s="104"/>
      <c r="E933" s="104"/>
      <c r="F933" s="104"/>
      <c r="G933" s="116"/>
      <c r="H933" s="116"/>
      <c r="I933" s="116"/>
      <c r="J933" s="116"/>
      <c r="K933" s="103" t="s">
        <v>3707</v>
      </c>
    </row>
    <row r="934" spans="1:11" ht="14.25" customHeight="1">
      <c r="A934" s="104"/>
      <c r="B934" s="104"/>
      <c r="C934" s="140"/>
      <c r="D934" s="104"/>
      <c r="E934" s="104"/>
      <c r="F934" s="104"/>
      <c r="G934" s="104" t="s">
        <v>3708</v>
      </c>
      <c r="H934" s="104" t="s">
        <v>3709</v>
      </c>
      <c r="I934" s="105" t="s">
        <v>41</v>
      </c>
      <c r="J934" s="104" t="s">
        <v>3710</v>
      </c>
      <c r="K934" s="103" t="s">
        <v>3711</v>
      </c>
    </row>
    <row r="935" spans="1:11" ht="14.25" customHeight="1">
      <c r="A935" s="104"/>
      <c r="B935" s="104"/>
      <c r="C935" s="140"/>
      <c r="D935" s="116"/>
      <c r="E935" s="116"/>
      <c r="F935" s="116"/>
      <c r="G935" s="116"/>
      <c r="H935" s="116"/>
      <c r="I935" s="116"/>
      <c r="J935" s="116"/>
      <c r="K935" s="103" t="s">
        <v>3712</v>
      </c>
    </row>
    <row r="936" spans="1:11" ht="14.25" customHeight="1">
      <c r="A936" s="104"/>
      <c r="B936" s="104"/>
      <c r="C936" s="140"/>
      <c r="D936" s="104" t="s">
        <v>3713</v>
      </c>
      <c r="E936" s="104" t="s">
        <v>3714</v>
      </c>
      <c r="F936" s="104" t="s">
        <v>16</v>
      </c>
      <c r="G936" s="104" t="s">
        <v>3715</v>
      </c>
      <c r="H936" s="104" t="s">
        <v>3716</v>
      </c>
      <c r="I936" s="105" t="s">
        <v>41</v>
      </c>
      <c r="J936" s="104" t="s">
        <v>3717</v>
      </c>
      <c r="K936" s="103" t="s">
        <v>3718</v>
      </c>
    </row>
    <row r="937" spans="1:11" ht="14.25" customHeight="1">
      <c r="A937" s="104"/>
      <c r="B937" s="104"/>
      <c r="C937" s="140"/>
      <c r="D937" s="104"/>
      <c r="E937" s="104"/>
      <c r="F937" s="104"/>
      <c r="G937" s="116"/>
      <c r="H937" s="116"/>
      <c r="I937" s="116"/>
      <c r="J937" s="116"/>
      <c r="K937" s="103" t="s">
        <v>3719</v>
      </c>
    </row>
    <row r="938" spans="1:11" ht="14.25" customHeight="1">
      <c r="A938" s="104"/>
      <c r="B938" s="104"/>
      <c r="C938" s="140"/>
      <c r="D938" s="104"/>
      <c r="E938" s="104"/>
      <c r="F938" s="104"/>
      <c r="G938" s="104" t="s">
        <v>3720</v>
      </c>
      <c r="H938" s="104" t="s">
        <v>3721</v>
      </c>
      <c r="I938" s="105" t="s">
        <v>41</v>
      </c>
      <c r="J938" s="104" t="s">
        <v>3722</v>
      </c>
      <c r="K938" s="103" t="s">
        <v>3723</v>
      </c>
    </row>
    <row r="939" spans="1:11" ht="14.25" customHeight="1">
      <c r="A939" s="104"/>
      <c r="B939" s="104"/>
      <c r="C939" s="140"/>
      <c r="D939" s="116"/>
      <c r="E939" s="116"/>
      <c r="F939" s="116"/>
      <c r="G939" s="116"/>
      <c r="H939" s="116"/>
      <c r="I939" s="116"/>
      <c r="J939" s="116"/>
      <c r="K939" s="103" t="s">
        <v>3724</v>
      </c>
    </row>
    <row r="940" spans="1:11" ht="14.25" customHeight="1">
      <c r="A940" s="104"/>
      <c r="B940" s="104"/>
      <c r="C940" s="140"/>
      <c r="D940" s="104" t="s">
        <v>3725</v>
      </c>
      <c r="E940" s="104" t="s">
        <v>3726</v>
      </c>
      <c r="F940" s="104" t="s">
        <v>38</v>
      </c>
      <c r="G940" s="104" t="s">
        <v>3727</v>
      </c>
      <c r="H940" s="104" t="s">
        <v>3728</v>
      </c>
      <c r="I940" s="105" t="s">
        <v>41</v>
      </c>
      <c r="J940" s="104" t="s">
        <v>3729</v>
      </c>
      <c r="K940" s="103" t="s">
        <v>3730</v>
      </c>
    </row>
    <row r="941" spans="1:11" ht="14.25" customHeight="1">
      <c r="A941" s="104"/>
      <c r="B941" s="104"/>
      <c r="C941" s="140"/>
      <c r="D941" s="104"/>
      <c r="E941" s="104"/>
      <c r="F941" s="104"/>
      <c r="G941" s="116"/>
      <c r="H941" s="116"/>
      <c r="I941" s="116"/>
      <c r="J941" s="116"/>
      <c r="K941" s="103" t="s">
        <v>3731</v>
      </c>
    </row>
    <row r="942" spans="1:11" ht="14.25" customHeight="1">
      <c r="A942" s="104"/>
      <c r="B942" s="104"/>
      <c r="C942" s="140"/>
      <c r="D942" s="104"/>
      <c r="E942" s="104"/>
      <c r="F942" s="104"/>
      <c r="G942" s="104" t="s">
        <v>3732</v>
      </c>
      <c r="H942" s="104" t="s">
        <v>3733</v>
      </c>
      <c r="I942" s="105" t="s">
        <v>41</v>
      </c>
      <c r="J942" s="104" t="s">
        <v>3734</v>
      </c>
      <c r="K942" s="103" t="s">
        <v>3735</v>
      </c>
    </row>
    <row r="943" spans="1:11" ht="14.25" customHeight="1">
      <c r="A943" s="104"/>
      <c r="B943" s="104"/>
      <c r="C943" s="140"/>
      <c r="D943" s="116"/>
      <c r="E943" s="116"/>
      <c r="F943" s="116"/>
      <c r="G943" s="116"/>
      <c r="H943" s="116"/>
      <c r="I943" s="116"/>
      <c r="J943" s="116"/>
      <c r="K943" s="103" t="s">
        <v>3736</v>
      </c>
    </row>
    <row r="944" spans="1:11" ht="14.25" customHeight="1">
      <c r="A944" s="104"/>
      <c r="B944" s="104"/>
      <c r="C944" s="140"/>
      <c r="D944" s="104" t="s">
        <v>3737</v>
      </c>
      <c r="E944" s="104" t="s">
        <v>3738</v>
      </c>
      <c r="F944" s="104" t="s">
        <v>38</v>
      </c>
      <c r="G944" s="104" t="s">
        <v>3739</v>
      </c>
      <c r="H944" s="104" t="s">
        <v>3740</v>
      </c>
      <c r="I944" s="105" t="s">
        <v>41</v>
      </c>
      <c r="J944" s="104" t="s">
        <v>3741</v>
      </c>
      <c r="K944" s="103" t="s">
        <v>3742</v>
      </c>
    </row>
    <row r="945" spans="1:11" ht="14.25" customHeight="1">
      <c r="A945" s="104"/>
      <c r="B945" s="104"/>
      <c r="C945" s="140"/>
      <c r="D945" s="104"/>
      <c r="E945" s="104"/>
      <c r="F945" s="104"/>
      <c r="G945" s="116"/>
      <c r="H945" s="116"/>
      <c r="I945" s="116"/>
      <c r="J945" s="116"/>
      <c r="K945" s="103" t="s">
        <v>3743</v>
      </c>
    </row>
    <row r="946" spans="1:11" ht="14.25" customHeight="1">
      <c r="A946" s="104"/>
      <c r="B946" s="104"/>
      <c r="C946" s="140"/>
      <c r="D946" s="104"/>
      <c r="E946" s="104"/>
      <c r="F946" s="104"/>
      <c r="G946" s="104" t="s">
        <v>3744</v>
      </c>
      <c r="H946" s="104" t="s">
        <v>3745</v>
      </c>
      <c r="I946" s="105" t="s">
        <v>41</v>
      </c>
      <c r="J946" s="104" t="s">
        <v>3746</v>
      </c>
      <c r="K946" s="103" t="s">
        <v>3747</v>
      </c>
    </row>
    <row r="947" spans="1:11" ht="14.25" customHeight="1">
      <c r="A947" s="104"/>
      <c r="B947" s="104"/>
      <c r="C947" s="140"/>
      <c r="D947" s="116"/>
      <c r="E947" s="116"/>
      <c r="F947" s="116"/>
      <c r="G947" s="116"/>
      <c r="H947" s="116"/>
      <c r="I947" s="116"/>
      <c r="J947" s="116"/>
      <c r="K947" s="103" t="s">
        <v>3748</v>
      </c>
    </row>
    <row r="948" spans="1:11" ht="14.25" customHeight="1">
      <c r="A948" s="104"/>
      <c r="B948" s="104"/>
      <c r="C948" s="140"/>
      <c r="D948" s="104" t="s">
        <v>3749</v>
      </c>
      <c r="E948" s="104" t="s">
        <v>3750</v>
      </c>
      <c r="F948" s="104" t="s">
        <v>38</v>
      </c>
      <c r="G948" s="104" t="s">
        <v>3751</v>
      </c>
      <c r="H948" s="104" t="s">
        <v>3752</v>
      </c>
      <c r="I948" s="105" t="s">
        <v>41</v>
      </c>
      <c r="J948" s="104" t="s">
        <v>3753</v>
      </c>
      <c r="K948" s="103" t="s">
        <v>3754</v>
      </c>
    </row>
    <row r="949" spans="1:11" ht="14.25" customHeight="1">
      <c r="A949" s="104"/>
      <c r="B949" s="104"/>
      <c r="C949" s="140"/>
      <c r="D949" s="104"/>
      <c r="E949" s="104"/>
      <c r="F949" s="104"/>
      <c r="G949" s="116"/>
      <c r="H949" s="116"/>
      <c r="I949" s="116"/>
      <c r="J949" s="116"/>
      <c r="K949" s="103" t="s">
        <v>3755</v>
      </c>
    </row>
    <row r="950" spans="1:11" ht="14.25" customHeight="1">
      <c r="A950" s="104"/>
      <c r="B950" s="104"/>
      <c r="C950" s="140"/>
      <c r="D950" s="104"/>
      <c r="E950" s="104"/>
      <c r="F950" s="104"/>
      <c r="G950" s="104" t="s">
        <v>3756</v>
      </c>
      <c r="H950" s="104" t="s">
        <v>3757</v>
      </c>
      <c r="I950" s="105" t="s">
        <v>41</v>
      </c>
      <c r="J950" s="104" t="s">
        <v>3758</v>
      </c>
      <c r="K950" s="103" t="s">
        <v>3759</v>
      </c>
    </row>
    <row r="951" spans="1:11" ht="14.25" customHeight="1">
      <c r="A951" s="104"/>
      <c r="B951" s="116"/>
      <c r="C951" s="141"/>
      <c r="D951" s="116"/>
      <c r="E951" s="116"/>
      <c r="F951" s="116"/>
      <c r="G951" s="116"/>
      <c r="H951" s="116"/>
      <c r="I951" s="116"/>
      <c r="J951" s="116"/>
      <c r="K951" s="103" t="s">
        <v>3760</v>
      </c>
    </row>
    <row r="952" spans="1:11" ht="14.25" customHeight="1">
      <c r="A952" s="104"/>
      <c r="B952" s="110" t="s">
        <v>3761</v>
      </c>
      <c r="C952" s="148" t="s">
        <v>3762</v>
      </c>
      <c r="D952" s="104" t="s">
        <v>3763</v>
      </c>
      <c r="E952" s="104" t="s">
        <v>3764</v>
      </c>
      <c r="F952" s="104" t="s">
        <v>38</v>
      </c>
      <c r="G952" s="104" t="s">
        <v>3765</v>
      </c>
      <c r="H952" s="104" t="s">
        <v>3766</v>
      </c>
      <c r="I952" s="105" t="s">
        <v>41</v>
      </c>
      <c r="J952" s="104" t="s">
        <v>3767</v>
      </c>
      <c r="K952" s="103" t="s">
        <v>3768</v>
      </c>
    </row>
    <row r="953" spans="1:11" ht="14.25" customHeight="1">
      <c r="A953" s="104"/>
      <c r="B953" s="104"/>
      <c r="C953" s="140"/>
      <c r="D953" s="104"/>
      <c r="E953" s="104"/>
      <c r="F953" s="104"/>
      <c r="G953" s="116"/>
      <c r="H953" s="116"/>
      <c r="I953" s="116"/>
      <c r="J953" s="116"/>
      <c r="K953" s="103" t="s">
        <v>3769</v>
      </c>
    </row>
    <row r="954" spans="1:11" ht="14.25" customHeight="1">
      <c r="A954" s="104"/>
      <c r="B954" s="104"/>
      <c r="C954" s="140"/>
      <c r="D954" s="104"/>
      <c r="E954" s="104"/>
      <c r="F954" s="104"/>
      <c r="G954" s="104" t="s">
        <v>3770</v>
      </c>
      <c r="H954" s="104" t="s">
        <v>3771</v>
      </c>
      <c r="I954" s="105" t="s">
        <v>41</v>
      </c>
      <c r="J954" s="104" t="s">
        <v>3772</v>
      </c>
      <c r="K954" s="103" t="s">
        <v>3773</v>
      </c>
    </row>
    <row r="955" spans="1:11" ht="14.25" customHeight="1">
      <c r="A955" s="104"/>
      <c r="B955" s="104"/>
      <c r="C955" s="140"/>
      <c r="D955" s="116"/>
      <c r="E955" s="116"/>
      <c r="F955" s="116"/>
      <c r="G955" s="116"/>
      <c r="H955" s="116"/>
      <c r="I955" s="116"/>
      <c r="J955" s="116"/>
      <c r="K955" s="103" t="s">
        <v>3774</v>
      </c>
    </row>
    <row r="956" spans="1:11" ht="14.25" customHeight="1">
      <c r="A956" s="104"/>
      <c r="B956" s="104"/>
      <c r="C956" s="140"/>
      <c r="D956" s="104" t="s">
        <v>3775</v>
      </c>
      <c r="E956" s="104" t="s">
        <v>3776</v>
      </c>
      <c r="F956" s="104" t="s">
        <v>38</v>
      </c>
      <c r="G956" s="104" t="s">
        <v>3777</v>
      </c>
      <c r="H956" s="104" t="s">
        <v>3778</v>
      </c>
      <c r="I956" s="105" t="s">
        <v>41</v>
      </c>
      <c r="J956" s="104" t="s">
        <v>3779</v>
      </c>
      <c r="K956" s="103" t="s">
        <v>3780</v>
      </c>
    </row>
    <row r="957" spans="1:11" ht="14.25" customHeight="1">
      <c r="A957" s="104"/>
      <c r="B957" s="104"/>
      <c r="C957" s="140"/>
      <c r="D957" s="104"/>
      <c r="E957" s="104"/>
      <c r="F957" s="104"/>
      <c r="G957" s="116"/>
      <c r="H957" s="116"/>
      <c r="I957" s="116"/>
      <c r="J957" s="116"/>
      <c r="K957" s="103" t="s">
        <v>3781</v>
      </c>
    </row>
    <row r="958" spans="1:11" ht="14.25" customHeight="1">
      <c r="A958" s="104"/>
      <c r="B958" s="104"/>
      <c r="C958" s="140"/>
      <c r="D958" s="104"/>
      <c r="E958" s="104"/>
      <c r="F958" s="104"/>
      <c r="G958" s="104" t="s">
        <v>3782</v>
      </c>
      <c r="H958" s="104" t="s">
        <v>3783</v>
      </c>
      <c r="I958" s="106" t="s">
        <v>19</v>
      </c>
      <c r="J958" s="104" t="s">
        <v>3784</v>
      </c>
      <c r="K958" s="103" t="s">
        <v>3785</v>
      </c>
    </row>
    <row r="959" spans="1:11" ht="14.25" customHeight="1">
      <c r="A959" s="104"/>
      <c r="B959" s="104"/>
      <c r="C959" s="140"/>
      <c r="D959" s="116"/>
      <c r="E959" s="116"/>
      <c r="F959" s="116"/>
      <c r="G959" s="116"/>
      <c r="H959" s="116"/>
      <c r="I959" s="104"/>
      <c r="J959" s="116"/>
      <c r="K959" s="103" t="s">
        <v>3786</v>
      </c>
    </row>
    <row r="960" spans="1:11" ht="14.25" customHeight="1">
      <c r="A960" s="104"/>
      <c r="B960" s="104"/>
      <c r="C960" s="140"/>
      <c r="D960" s="104" t="s">
        <v>3787</v>
      </c>
      <c r="E960" s="104" t="s">
        <v>3788</v>
      </c>
      <c r="F960" s="104" t="s">
        <v>38</v>
      </c>
      <c r="G960" s="104" t="s">
        <v>3789</v>
      </c>
      <c r="H960" s="104" t="s">
        <v>3790</v>
      </c>
      <c r="I960" s="106" t="s">
        <v>19</v>
      </c>
      <c r="J960" s="104" t="s">
        <v>3791</v>
      </c>
      <c r="K960" s="103" t="s">
        <v>3792</v>
      </c>
    </row>
    <row r="961" spans="1:11" ht="14.25" customHeight="1">
      <c r="A961" s="104"/>
      <c r="B961" s="104"/>
      <c r="C961" s="140"/>
      <c r="D961" s="104"/>
      <c r="E961" s="104"/>
      <c r="F961" s="104"/>
      <c r="G961" s="116"/>
      <c r="H961" s="116"/>
      <c r="I961" s="104"/>
      <c r="J961" s="116"/>
      <c r="K961" s="103" t="s">
        <v>3793</v>
      </c>
    </row>
    <row r="962" spans="1:11" ht="14.25" customHeight="1">
      <c r="A962" s="104"/>
      <c r="B962" s="104"/>
      <c r="C962" s="140"/>
      <c r="D962" s="104"/>
      <c r="E962" s="104"/>
      <c r="F962" s="104"/>
      <c r="G962" s="104" t="s">
        <v>3794</v>
      </c>
      <c r="H962" s="104" t="s">
        <v>3795</v>
      </c>
      <c r="I962" s="105" t="s">
        <v>41</v>
      </c>
      <c r="J962" s="104" t="s">
        <v>3796</v>
      </c>
      <c r="K962" s="103" t="s">
        <v>3797</v>
      </c>
    </row>
    <row r="963" spans="1:11" ht="14.25" customHeight="1">
      <c r="A963" s="104"/>
      <c r="B963" s="104"/>
      <c r="C963" s="140"/>
      <c r="D963" s="116"/>
      <c r="E963" s="116"/>
      <c r="F963" s="116"/>
      <c r="G963" s="116"/>
      <c r="H963" s="116"/>
      <c r="I963" s="104"/>
      <c r="J963" s="116"/>
      <c r="K963" s="103" t="s">
        <v>3798</v>
      </c>
    </row>
    <row r="964" spans="1:11" ht="14.25" customHeight="1">
      <c r="A964" s="104"/>
      <c r="B964" s="104"/>
      <c r="C964" s="140"/>
      <c r="D964" s="104" t="s">
        <v>3799</v>
      </c>
      <c r="E964" s="104" t="s">
        <v>3800</v>
      </c>
      <c r="F964" s="104" t="s">
        <v>38</v>
      </c>
      <c r="G964" s="104" t="s">
        <v>3801</v>
      </c>
      <c r="H964" s="104" t="s">
        <v>3802</v>
      </c>
      <c r="I964" s="105" t="s">
        <v>41</v>
      </c>
      <c r="J964" s="104" t="s">
        <v>3803</v>
      </c>
      <c r="K964" s="103" t="s">
        <v>3804</v>
      </c>
    </row>
    <row r="965" spans="1:11" ht="14.25" customHeight="1">
      <c r="A965" s="104"/>
      <c r="B965" s="104"/>
      <c r="C965" s="140"/>
      <c r="D965" s="104"/>
      <c r="E965" s="104"/>
      <c r="F965" s="104"/>
      <c r="G965" s="116"/>
      <c r="H965" s="116"/>
      <c r="I965" s="104"/>
      <c r="J965" s="116"/>
      <c r="K965" s="103" t="s">
        <v>3805</v>
      </c>
    </row>
    <row r="966" spans="1:11" ht="14.25" customHeight="1">
      <c r="A966" s="104"/>
      <c r="B966" s="104"/>
      <c r="C966" s="140"/>
      <c r="D966" s="104"/>
      <c r="E966" s="104"/>
      <c r="F966" s="104"/>
      <c r="G966" s="104" t="s">
        <v>3806</v>
      </c>
      <c r="H966" s="104" t="s">
        <v>3807</v>
      </c>
      <c r="I966" s="105" t="s">
        <v>41</v>
      </c>
      <c r="J966" s="104" t="s">
        <v>3808</v>
      </c>
      <c r="K966" s="103" t="s">
        <v>3809</v>
      </c>
    </row>
    <row r="967" spans="1:11" ht="14.25" customHeight="1">
      <c r="A967" s="104"/>
      <c r="B967" s="104"/>
      <c r="C967" s="140"/>
      <c r="D967" s="116"/>
      <c r="E967" s="116"/>
      <c r="F967" s="116"/>
      <c r="G967" s="116"/>
      <c r="H967" s="116"/>
      <c r="I967" s="104"/>
      <c r="J967" s="116"/>
      <c r="K967" s="103" t="s">
        <v>3810</v>
      </c>
    </row>
    <row r="968" spans="1:11" ht="14.25" customHeight="1">
      <c r="A968" s="104"/>
      <c r="B968" s="104"/>
      <c r="C968" s="140"/>
      <c r="D968" s="104" t="s">
        <v>3811</v>
      </c>
      <c r="E968" s="104" t="s">
        <v>3812</v>
      </c>
      <c r="F968" s="104" t="s">
        <v>38</v>
      </c>
      <c r="G968" s="104" t="s">
        <v>3813</v>
      </c>
      <c r="H968" s="104" t="s">
        <v>3814</v>
      </c>
      <c r="I968" s="105" t="s">
        <v>41</v>
      </c>
      <c r="J968" s="104" t="s">
        <v>3815</v>
      </c>
      <c r="K968" s="103" t="s">
        <v>3816</v>
      </c>
    </row>
    <row r="969" spans="1:11" ht="14.25" customHeight="1">
      <c r="A969" s="104"/>
      <c r="B969" s="104"/>
      <c r="C969" s="140"/>
      <c r="D969" s="104"/>
      <c r="E969" s="104"/>
      <c r="F969" s="104"/>
      <c r="G969" s="116"/>
      <c r="H969" s="116"/>
      <c r="I969" s="104"/>
      <c r="J969" s="116"/>
      <c r="K969" s="103" t="s">
        <v>3817</v>
      </c>
    </row>
    <row r="970" spans="1:11" ht="14.25" customHeight="1">
      <c r="A970" s="104"/>
      <c r="B970" s="104"/>
      <c r="C970" s="140"/>
      <c r="D970" s="104"/>
      <c r="E970" s="104"/>
      <c r="F970" s="104"/>
      <c r="G970" s="104" t="s">
        <v>3818</v>
      </c>
      <c r="H970" s="104" t="s">
        <v>3819</v>
      </c>
      <c r="I970" s="111" t="s">
        <v>33</v>
      </c>
      <c r="J970" s="104" t="s">
        <v>3820</v>
      </c>
      <c r="K970" s="103" t="s">
        <v>3821</v>
      </c>
    </row>
    <row r="971" spans="1:11" ht="14.25" customHeight="1">
      <c r="A971" s="104"/>
      <c r="B971" s="104"/>
      <c r="C971" s="141"/>
      <c r="D971" s="116"/>
      <c r="E971" s="116"/>
      <c r="F971" s="116"/>
      <c r="G971" s="116"/>
      <c r="H971" s="116"/>
      <c r="I971" s="116"/>
      <c r="J971" s="116"/>
      <c r="K971" s="103" t="s">
        <v>3822</v>
      </c>
    </row>
    <row r="972" spans="1:11" ht="14.25" customHeight="1">
      <c r="A972" s="104"/>
      <c r="B972" s="104"/>
      <c r="C972" s="148" t="s">
        <v>3823</v>
      </c>
      <c r="D972" s="104" t="s">
        <v>3824</v>
      </c>
      <c r="E972" s="104" t="s">
        <v>3825</v>
      </c>
      <c r="F972" s="104" t="s">
        <v>38</v>
      </c>
      <c r="G972" s="104" t="s">
        <v>3826</v>
      </c>
      <c r="H972" s="104" t="s">
        <v>3827</v>
      </c>
      <c r="I972" s="105" t="s">
        <v>41</v>
      </c>
      <c r="J972" s="104" t="s">
        <v>3828</v>
      </c>
      <c r="K972" s="103" t="s">
        <v>3829</v>
      </c>
    </row>
    <row r="973" spans="1:11" ht="14.25" customHeight="1">
      <c r="A973" s="104"/>
      <c r="B973" s="104"/>
      <c r="C973" s="140"/>
      <c r="D973" s="104"/>
      <c r="E973" s="104"/>
      <c r="F973" s="104"/>
      <c r="G973" s="116"/>
      <c r="H973" s="116"/>
      <c r="I973" s="116"/>
      <c r="J973" s="116"/>
      <c r="K973" s="103" t="s">
        <v>3830</v>
      </c>
    </row>
    <row r="974" spans="1:11" ht="14.25" customHeight="1">
      <c r="A974" s="104"/>
      <c r="B974" s="104"/>
      <c r="C974" s="140"/>
      <c r="D974" s="104"/>
      <c r="E974" s="104"/>
      <c r="F974" s="104"/>
      <c r="G974" s="104" t="s">
        <v>3831</v>
      </c>
      <c r="H974" s="104" t="s">
        <v>3832</v>
      </c>
      <c r="I974" s="106" t="s">
        <v>19</v>
      </c>
      <c r="J974" s="104" t="s">
        <v>3833</v>
      </c>
      <c r="K974" s="103" t="s">
        <v>3834</v>
      </c>
    </row>
    <row r="975" spans="1:11" ht="14.25" customHeight="1">
      <c r="A975" s="104"/>
      <c r="B975" s="104"/>
      <c r="C975" s="140"/>
      <c r="D975" s="116"/>
      <c r="E975" s="116"/>
      <c r="F975" s="116"/>
      <c r="G975" s="116"/>
      <c r="H975" s="116"/>
      <c r="I975" s="116"/>
      <c r="J975" s="116"/>
      <c r="K975" s="103" t="s">
        <v>3835</v>
      </c>
    </row>
    <row r="976" spans="1:11" ht="14.25" customHeight="1">
      <c r="A976" s="104"/>
      <c r="B976" s="104"/>
      <c r="C976" s="140"/>
      <c r="D976" s="104" t="s">
        <v>3836</v>
      </c>
      <c r="E976" s="104" t="s">
        <v>3837</v>
      </c>
      <c r="F976" s="104" t="s">
        <v>38</v>
      </c>
      <c r="G976" s="104" t="s">
        <v>3838</v>
      </c>
      <c r="H976" s="104" t="s">
        <v>3839</v>
      </c>
      <c r="I976" s="106" t="s">
        <v>19</v>
      </c>
      <c r="J976" s="104" t="s">
        <v>3840</v>
      </c>
      <c r="K976" s="103" t="s">
        <v>3841</v>
      </c>
    </row>
    <row r="977" spans="1:11" ht="14.25" customHeight="1">
      <c r="A977" s="104"/>
      <c r="B977" s="104"/>
      <c r="C977" s="140"/>
      <c r="D977" s="104"/>
      <c r="E977" s="104"/>
      <c r="F977" s="104"/>
      <c r="G977" s="116"/>
      <c r="H977" s="116"/>
      <c r="I977" s="116"/>
      <c r="J977" s="116"/>
      <c r="K977" s="103" t="s">
        <v>3842</v>
      </c>
    </row>
    <row r="978" spans="1:11" ht="14.25" customHeight="1">
      <c r="A978" s="104"/>
      <c r="B978" s="104"/>
      <c r="C978" s="140"/>
      <c r="D978" s="104"/>
      <c r="E978" s="104"/>
      <c r="F978" s="104"/>
      <c r="G978" s="104" t="s">
        <v>3843</v>
      </c>
      <c r="H978" s="104" t="s">
        <v>3844</v>
      </c>
      <c r="I978" s="106" t="s">
        <v>19</v>
      </c>
      <c r="J978" s="104" t="s">
        <v>3845</v>
      </c>
      <c r="K978" s="103" t="s">
        <v>3846</v>
      </c>
    </row>
    <row r="979" spans="1:11" ht="14.25" customHeight="1">
      <c r="A979" s="104"/>
      <c r="B979" s="104"/>
      <c r="C979" s="140"/>
      <c r="D979" s="116"/>
      <c r="E979" s="116"/>
      <c r="F979" s="116"/>
      <c r="G979" s="116"/>
      <c r="H979" s="116"/>
      <c r="I979" s="116"/>
      <c r="J979" s="116"/>
      <c r="K979" s="103" t="s">
        <v>3847</v>
      </c>
    </row>
    <row r="980" spans="1:11" ht="14.25" customHeight="1">
      <c r="A980" s="104"/>
      <c r="B980" s="104"/>
      <c r="C980" s="140"/>
      <c r="D980" s="104" t="s">
        <v>3848</v>
      </c>
      <c r="E980" s="104" t="s">
        <v>3849</v>
      </c>
      <c r="F980" s="104" t="s">
        <v>38</v>
      </c>
      <c r="G980" s="104" t="s">
        <v>3850</v>
      </c>
      <c r="H980" s="104" t="s">
        <v>3851</v>
      </c>
      <c r="I980" s="106" t="s">
        <v>19</v>
      </c>
      <c r="J980" s="104" t="s">
        <v>3852</v>
      </c>
      <c r="K980" s="103" t="s">
        <v>3853</v>
      </c>
    </row>
    <row r="981" spans="1:11" ht="14.25" customHeight="1">
      <c r="A981" s="104"/>
      <c r="B981" s="104"/>
      <c r="C981" s="140"/>
      <c r="D981" s="104"/>
      <c r="E981" s="104"/>
      <c r="F981" s="104"/>
      <c r="G981" s="116"/>
      <c r="H981" s="116"/>
      <c r="I981" s="116"/>
      <c r="J981" s="116"/>
      <c r="K981" s="103" t="s">
        <v>3854</v>
      </c>
    </row>
    <row r="982" spans="1:11" ht="14.25" customHeight="1">
      <c r="A982" s="104"/>
      <c r="B982" s="104"/>
      <c r="C982" s="140"/>
      <c r="D982" s="104"/>
      <c r="E982" s="104"/>
      <c r="F982" s="104"/>
      <c r="G982" s="104" t="s">
        <v>3855</v>
      </c>
      <c r="H982" s="104" t="s">
        <v>3856</v>
      </c>
      <c r="I982" s="106" t="s">
        <v>19</v>
      </c>
      <c r="J982" s="104" t="s">
        <v>3857</v>
      </c>
      <c r="K982" s="103" t="s">
        <v>3858</v>
      </c>
    </row>
    <row r="983" spans="1:11" ht="14.25" customHeight="1">
      <c r="A983" s="104"/>
      <c r="B983" s="104"/>
      <c r="C983" s="140"/>
      <c r="D983" s="116"/>
      <c r="E983" s="116"/>
      <c r="F983" s="116"/>
      <c r="G983" s="116"/>
      <c r="H983" s="116"/>
      <c r="I983" s="116"/>
      <c r="J983" s="116"/>
      <c r="K983" s="103" t="s">
        <v>3859</v>
      </c>
    </row>
    <row r="984" spans="1:11" ht="14.25" customHeight="1">
      <c r="A984" s="104"/>
      <c r="B984" s="104"/>
      <c r="C984" s="140"/>
      <c r="D984" s="104" t="s">
        <v>3860</v>
      </c>
      <c r="E984" s="104" t="s">
        <v>3861</v>
      </c>
      <c r="F984" s="104" t="s">
        <v>38</v>
      </c>
      <c r="G984" s="104" t="s">
        <v>3862</v>
      </c>
      <c r="H984" s="104" t="s">
        <v>3863</v>
      </c>
      <c r="I984" s="106" t="s">
        <v>19</v>
      </c>
      <c r="J984" s="104" t="s">
        <v>3864</v>
      </c>
      <c r="K984" s="103" t="s">
        <v>3865</v>
      </c>
    </row>
    <row r="985" spans="1:11" ht="14.25" customHeight="1">
      <c r="A985" s="104"/>
      <c r="B985" s="104"/>
      <c r="C985" s="140"/>
      <c r="D985" s="104"/>
      <c r="E985" s="104"/>
      <c r="F985" s="104"/>
      <c r="G985" s="116"/>
      <c r="H985" s="116"/>
      <c r="I985" s="116"/>
      <c r="J985" s="116"/>
      <c r="K985" s="103" t="s">
        <v>3866</v>
      </c>
    </row>
    <row r="986" spans="1:11" ht="14.25" customHeight="1">
      <c r="A986" s="104"/>
      <c r="B986" s="104"/>
      <c r="C986" s="140"/>
      <c r="D986" s="104"/>
      <c r="E986" s="104"/>
      <c r="F986" s="104"/>
      <c r="G986" s="104" t="s">
        <v>3867</v>
      </c>
      <c r="H986" s="104" t="s">
        <v>3868</v>
      </c>
      <c r="I986" s="106" t="s">
        <v>19</v>
      </c>
      <c r="J986" s="104" t="s">
        <v>3869</v>
      </c>
      <c r="K986" s="103" t="s">
        <v>3870</v>
      </c>
    </row>
    <row r="987" spans="1:11" ht="14.25" customHeight="1">
      <c r="A987" s="104"/>
      <c r="B987" s="104"/>
      <c r="C987" s="140"/>
      <c r="D987" s="116"/>
      <c r="E987" s="116"/>
      <c r="F987" s="116"/>
      <c r="G987" s="116"/>
      <c r="H987" s="116"/>
      <c r="I987" s="116"/>
      <c r="J987" s="116"/>
      <c r="K987" s="103" t="s">
        <v>3871</v>
      </c>
    </row>
    <row r="988" spans="1:11" ht="14.25" customHeight="1">
      <c r="A988" s="104"/>
      <c r="B988" s="104"/>
      <c r="C988" s="140"/>
      <c r="D988" s="104" t="s">
        <v>3872</v>
      </c>
      <c r="E988" s="104" t="s">
        <v>3873</v>
      </c>
      <c r="F988" s="104" t="s">
        <v>38</v>
      </c>
      <c r="G988" s="104" t="s">
        <v>3874</v>
      </c>
      <c r="H988" s="104" t="s">
        <v>3875</v>
      </c>
      <c r="I988" s="106" t="s">
        <v>19</v>
      </c>
      <c r="J988" s="104" t="s">
        <v>3876</v>
      </c>
      <c r="K988" s="103" t="s">
        <v>3877</v>
      </c>
    </row>
    <row r="989" spans="1:11" ht="14.25" customHeight="1">
      <c r="A989" s="104"/>
      <c r="B989" s="104"/>
      <c r="C989" s="140"/>
      <c r="D989" s="104"/>
      <c r="E989" s="104"/>
      <c r="F989" s="104"/>
      <c r="G989" s="116"/>
      <c r="H989" s="116"/>
      <c r="I989" s="116"/>
      <c r="J989" s="116"/>
      <c r="K989" s="103" t="s">
        <v>3878</v>
      </c>
    </row>
    <row r="990" spans="1:11" ht="14.25" customHeight="1">
      <c r="A990" s="104"/>
      <c r="B990" s="104"/>
      <c r="C990" s="140"/>
      <c r="D990" s="104"/>
      <c r="E990" s="104"/>
      <c r="F990" s="104"/>
      <c r="G990" s="104" t="s">
        <v>3879</v>
      </c>
      <c r="H990" s="104" t="s">
        <v>3880</v>
      </c>
      <c r="I990" s="106" t="s">
        <v>19</v>
      </c>
      <c r="J990" s="104" t="s">
        <v>3881</v>
      </c>
      <c r="K990" s="103" t="s">
        <v>3882</v>
      </c>
    </row>
    <row r="991" spans="1:11" ht="14.25" customHeight="1">
      <c r="A991" s="104"/>
      <c r="B991" s="104"/>
      <c r="C991" s="141"/>
      <c r="D991" s="116"/>
      <c r="E991" s="116"/>
      <c r="F991" s="116"/>
      <c r="G991" s="116"/>
      <c r="H991" s="116"/>
      <c r="I991" s="116"/>
      <c r="J991" s="116"/>
      <c r="K991" s="103" t="s">
        <v>3883</v>
      </c>
    </row>
    <row r="992" spans="1:11" ht="14.25" customHeight="1">
      <c r="A992" s="104"/>
      <c r="B992" s="104"/>
      <c r="C992" s="148" t="s">
        <v>3884</v>
      </c>
      <c r="D992" s="104" t="s">
        <v>3534</v>
      </c>
      <c r="E992" s="104" t="s">
        <v>3885</v>
      </c>
      <c r="F992" s="104" t="s">
        <v>38</v>
      </c>
      <c r="G992" s="104" t="s">
        <v>3886</v>
      </c>
      <c r="H992" s="104" t="s">
        <v>3887</v>
      </c>
      <c r="I992" s="106" t="s">
        <v>19</v>
      </c>
      <c r="J992" s="104" t="s">
        <v>3888</v>
      </c>
      <c r="K992" s="103" t="s">
        <v>3889</v>
      </c>
    </row>
    <row r="993" spans="1:11" ht="14.25" customHeight="1">
      <c r="A993" s="104"/>
      <c r="B993" s="104"/>
      <c r="C993" s="140"/>
      <c r="D993" s="104"/>
      <c r="E993" s="104"/>
      <c r="F993" s="104"/>
      <c r="G993" s="116"/>
      <c r="H993" s="116"/>
      <c r="I993" s="116"/>
      <c r="J993" s="116"/>
      <c r="K993" s="103" t="s">
        <v>3890</v>
      </c>
    </row>
    <row r="994" spans="1:11" ht="14.25" customHeight="1">
      <c r="A994" s="104"/>
      <c r="B994" s="104"/>
      <c r="C994" s="140"/>
      <c r="D994" s="104"/>
      <c r="E994" s="104"/>
      <c r="F994" s="104"/>
      <c r="G994" s="104" t="s">
        <v>3891</v>
      </c>
      <c r="H994" s="104" t="s">
        <v>3892</v>
      </c>
      <c r="I994" s="106" t="s">
        <v>19</v>
      </c>
      <c r="J994" s="104" t="s">
        <v>3893</v>
      </c>
      <c r="K994" s="103" t="s">
        <v>3894</v>
      </c>
    </row>
    <row r="995" spans="1:11" ht="14.25" customHeight="1">
      <c r="A995" s="104"/>
      <c r="B995" s="104"/>
      <c r="C995" s="140"/>
      <c r="D995" s="116"/>
      <c r="E995" s="116"/>
      <c r="F995" s="116"/>
      <c r="G995" s="116"/>
      <c r="H995" s="116"/>
      <c r="I995" s="116"/>
      <c r="J995" s="116"/>
      <c r="K995" s="103" t="s">
        <v>3895</v>
      </c>
    </row>
    <row r="996" spans="1:11" ht="14.25" customHeight="1">
      <c r="A996" s="104"/>
      <c r="B996" s="104"/>
      <c r="C996" s="140"/>
      <c r="D996" s="104" t="s">
        <v>3546</v>
      </c>
      <c r="E996" s="104" t="s">
        <v>3896</v>
      </c>
      <c r="F996" s="104" t="s">
        <v>38</v>
      </c>
      <c r="G996" s="104" t="s">
        <v>3897</v>
      </c>
      <c r="H996" s="104" t="s">
        <v>3898</v>
      </c>
      <c r="I996" s="106" t="s">
        <v>19</v>
      </c>
      <c r="J996" s="104" t="s">
        <v>3899</v>
      </c>
      <c r="K996" s="103" t="s">
        <v>3900</v>
      </c>
    </row>
    <row r="997" spans="1:11" ht="14.25" customHeight="1">
      <c r="A997" s="104"/>
      <c r="B997" s="104"/>
      <c r="C997" s="140"/>
      <c r="D997" s="104"/>
      <c r="E997" s="104"/>
      <c r="F997" s="104"/>
      <c r="G997" s="116"/>
      <c r="H997" s="116"/>
      <c r="I997" s="116"/>
      <c r="J997" s="116"/>
      <c r="K997" s="103" t="s">
        <v>3901</v>
      </c>
    </row>
    <row r="998" spans="1:11" ht="14.25" customHeight="1">
      <c r="A998" s="104"/>
      <c r="B998" s="104"/>
      <c r="C998" s="140"/>
      <c r="D998" s="104"/>
      <c r="E998" s="104"/>
      <c r="F998" s="104"/>
      <c r="G998" s="104" t="s">
        <v>3902</v>
      </c>
      <c r="H998" s="104" t="s">
        <v>3903</v>
      </c>
      <c r="I998" s="106" t="s">
        <v>19</v>
      </c>
      <c r="J998" s="104" t="s">
        <v>3904</v>
      </c>
      <c r="K998" s="103" t="s">
        <v>3905</v>
      </c>
    </row>
    <row r="999" spans="1:11" ht="14.25" customHeight="1">
      <c r="A999" s="104"/>
      <c r="B999" s="104"/>
      <c r="C999" s="140"/>
      <c r="D999" s="116"/>
      <c r="E999" s="116"/>
      <c r="F999" s="116"/>
      <c r="G999" s="116"/>
      <c r="H999" s="116"/>
      <c r="I999" s="116"/>
      <c r="J999" s="116"/>
      <c r="K999" s="103" t="s">
        <v>3906</v>
      </c>
    </row>
    <row r="1000" spans="1:11" ht="14.25" customHeight="1">
      <c r="A1000" s="104"/>
      <c r="B1000" s="104"/>
      <c r="C1000" s="140"/>
      <c r="D1000" s="104" t="s">
        <v>3558</v>
      </c>
      <c r="E1000" s="104" t="s">
        <v>3907</v>
      </c>
      <c r="F1000" s="104" t="s">
        <v>38</v>
      </c>
      <c r="G1000" s="104" t="s">
        <v>3908</v>
      </c>
      <c r="H1000" s="104" t="s">
        <v>3909</v>
      </c>
      <c r="I1000" s="106" t="s">
        <v>19</v>
      </c>
      <c r="J1000" s="104" t="s">
        <v>3910</v>
      </c>
      <c r="K1000" s="103" t="s">
        <v>3911</v>
      </c>
    </row>
    <row r="1001" spans="1:11" ht="14.25" customHeight="1">
      <c r="A1001" s="104"/>
      <c r="B1001" s="104"/>
      <c r="C1001" s="140"/>
      <c r="D1001" s="104"/>
      <c r="E1001" s="104"/>
      <c r="F1001" s="104"/>
      <c r="G1001" s="116"/>
      <c r="H1001" s="116"/>
      <c r="I1001" s="116"/>
      <c r="J1001" s="116"/>
      <c r="K1001" s="103" t="s">
        <v>3912</v>
      </c>
    </row>
    <row r="1002" spans="1:11" ht="14.25" customHeight="1">
      <c r="A1002" s="104"/>
      <c r="B1002" s="104"/>
      <c r="C1002" s="140"/>
      <c r="D1002" s="104"/>
      <c r="E1002" s="104"/>
      <c r="F1002" s="104"/>
      <c r="G1002" s="104" t="s">
        <v>3913</v>
      </c>
      <c r="H1002" s="104" t="s">
        <v>3914</v>
      </c>
      <c r="I1002" s="106" t="s">
        <v>19</v>
      </c>
      <c r="J1002" s="104" t="s">
        <v>3915</v>
      </c>
      <c r="K1002" s="103" t="s">
        <v>3916</v>
      </c>
    </row>
    <row r="1003" spans="1:11" ht="14.25" customHeight="1">
      <c r="A1003" s="104"/>
      <c r="B1003" s="104"/>
      <c r="C1003" s="140"/>
      <c r="D1003" s="116"/>
      <c r="E1003" s="116"/>
      <c r="F1003" s="116"/>
      <c r="G1003" s="116"/>
      <c r="H1003" s="116"/>
      <c r="I1003" s="116"/>
      <c r="J1003" s="116"/>
      <c r="K1003" s="103" t="s">
        <v>3917</v>
      </c>
    </row>
    <row r="1004" spans="1:11" ht="14.25" customHeight="1">
      <c r="A1004" s="104"/>
      <c r="B1004" s="104"/>
      <c r="C1004" s="140"/>
      <c r="D1004" s="104" t="s">
        <v>3570</v>
      </c>
      <c r="E1004" s="104" t="s">
        <v>3918</v>
      </c>
      <c r="F1004" s="104" t="s">
        <v>38</v>
      </c>
      <c r="G1004" s="104" t="s">
        <v>3919</v>
      </c>
      <c r="H1004" s="104" t="s">
        <v>3920</v>
      </c>
      <c r="I1004" s="106" t="s">
        <v>19</v>
      </c>
      <c r="J1004" s="104" t="s">
        <v>3921</v>
      </c>
      <c r="K1004" s="103" t="s">
        <v>3922</v>
      </c>
    </row>
    <row r="1005" spans="1:11" ht="14.25" customHeight="1">
      <c r="A1005" s="104"/>
      <c r="B1005" s="104"/>
      <c r="C1005" s="140"/>
      <c r="D1005" s="104"/>
      <c r="E1005" s="104"/>
      <c r="F1005" s="104"/>
      <c r="G1005" s="116"/>
      <c r="H1005" s="116"/>
      <c r="I1005" s="116"/>
      <c r="J1005" s="116"/>
      <c r="K1005" s="103" t="s">
        <v>3923</v>
      </c>
    </row>
    <row r="1006" spans="1:11" ht="14.25" customHeight="1">
      <c r="A1006" s="104"/>
      <c r="B1006" s="104"/>
      <c r="C1006" s="140"/>
      <c r="D1006" s="104"/>
      <c r="E1006" s="104"/>
      <c r="F1006" s="104"/>
      <c r="G1006" s="104" t="s">
        <v>3924</v>
      </c>
      <c r="H1006" s="104" t="s">
        <v>3925</v>
      </c>
      <c r="I1006" s="106" t="s">
        <v>19</v>
      </c>
      <c r="J1006" s="104" t="s">
        <v>3926</v>
      </c>
      <c r="K1006" s="103" t="s">
        <v>3927</v>
      </c>
    </row>
    <row r="1007" spans="1:11" ht="14.25" customHeight="1">
      <c r="A1007" s="104"/>
      <c r="B1007" s="104"/>
      <c r="C1007" s="140"/>
      <c r="D1007" s="116"/>
      <c r="E1007" s="116"/>
      <c r="F1007" s="116"/>
      <c r="G1007" s="116"/>
      <c r="H1007" s="116"/>
      <c r="I1007" s="116"/>
      <c r="J1007" s="116"/>
      <c r="K1007" s="103" t="s">
        <v>3928</v>
      </c>
    </row>
    <row r="1008" spans="1:11" ht="14.25" customHeight="1">
      <c r="A1008" s="104"/>
      <c r="B1008" s="104"/>
      <c r="C1008" s="140"/>
      <c r="D1008" s="104" t="s">
        <v>3929</v>
      </c>
      <c r="E1008" s="104" t="s">
        <v>3930</v>
      </c>
      <c r="F1008" s="104" t="s">
        <v>38</v>
      </c>
      <c r="G1008" s="104" t="s">
        <v>3931</v>
      </c>
      <c r="H1008" s="104" t="s">
        <v>3932</v>
      </c>
      <c r="I1008" s="106" t="s">
        <v>19</v>
      </c>
      <c r="J1008" s="104" t="s">
        <v>3933</v>
      </c>
      <c r="K1008" s="103" t="s">
        <v>3934</v>
      </c>
    </row>
    <row r="1009" spans="1:11" ht="14.25" customHeight="1">
      <c r="A1009" s="104"/>
      <c r="B1009" s="104"/>
      <c r="C1009" s="140"/>
      <c r="D1009" s="104"/>
      <c r="E1009" s="104"/>
      <c r="F1009" s="104"/>
      <c r="G1009" s="116"/>
      <c r="H1009" s="116"/>
      <c r="I1009" s="116"/>
      <c r="J1009" s="116"/>
      <c r="K1009" s="103" t="s">
        <v>3935</v>
      </c>
    </row>
    <row r="1010" spans="1:11" ht="14.25" customHeight="1">
      <c r="A1010" s="104"/>
      <c r="B1010" s="104"/>
      <c r="C1010" s="140"/>
      <c r="D1010" s="104"/>
      <c r="E1010" s="104"/>
      <c r="F1010" s="104"/>
      <c r="G1010" s="104" t="s">
        <v>3936</v>
      </c>
      <c r="H1010" s="104" t="s">
        <v>3937</v>
      </c>
      <c r="I1010" s="106" t="s">
        <v>19</v>
      </c>
      <c r="J1010" s="104" t="s">
        <v>3938</v>
      </c>
      <c r="K1010" s="103" t="s">
        <v>3939</v>
      </c>
    </row>
    <row r="1011" spans="1:11" ht="14.25" customHeight="1">
      <c r="A1011" s="104"/>
      <c r="B1011" s="104"/>
      <c r="C1011" s="141"/>
      <c r="D1011" s="116"/>
      <c r="E1011" s="116"/>
      <c r="F1011" s="116"/>
      <c r="G1011" s="116"/>
      <c r="H1011" s="116"/>
      <c r="I1011" s="116"/>
      <c r="J1011" s="116"/>
      <c r="K1011" s="103" t="s">
        <v>3940</v>
      </c>
    </row>
    <row r="1012" spans="1:11" ht="14.25" customHeight="1">
      <c r="A1012" s="104"/>
      <c r="B1012" s="104"/>
      <c r="C1012" s="148" t="s">
        <v>3941</v>
      </c>
      <c r="D1012" s="104" t="s">
        <v>3583</v>
      </c>
      <c r="E1012" s="104" t="s">
        <v>3942</v>
      </c>
      <c r="F1012" s="104" t="s">
        <v>38</v>
      </c>
      <c r="G1012" s="104" t="s">
        <v>3943</v>
      </c>
      <c r="H1012" s="104" t="s">
        <v>3944</v>
      </c>
      <c r="I1012" s="106" t="s">
        <v>19</v>
      </c>
      <c r="J1012" s="104" t="s">
        <v>3945</v>
      </c>
      <c r="K1012" s="103" t="s">
        <v>3946</v>
      </c>
    </row>
    <row r="1013" spans="1:11" ht="14.25" customHeight="1">
      <c r="A1013" s="104"/>
      <c r="B1013" s="104"/>
      <c r="C1013" s="140"/>
      <c r="D1013" s="104"/>
      <c r="E1013" s="104"/>
      <c r="F1013" s="104"/>
      <c r="G1013" s="104"/>
      <c r="H1013" s="116"/>
      <c r="I1013" s="116"/>
      <c r="J1013" s="116"/>
      <c r="K1013" s="103" t="s">
        <v>3947</v>
      </c>
    </row>
    <row r="1014" spans="1:11" ht="14.25" customHeight="1">
      <c r="A1014" s="104"/>
      <c r="B1014" s="104"/>
      <c r="C1014" s="140"/>
      <c r="D1014" s="104"/>
      <c r="E1014" s="104"/>
      <c r="F1014" s="104"/>
      <c r="G1014" s="104" t="s">
        <v>3948</v>
      </c>
      <c r="H1014" s="104" t="s">
        <v>3949</v>
      </c>
      <c r="I1014" s="106" t="s">
        <v>19</v>
      </c>
      <c r="J1014" s="104" t="s">
        <v>3950</v>
      </c>
      <c r="K1014" s="103" t="s">
        <v>3951</v>
      </c>
    </row>
    <row r="1015" spans="1:11" ht="14.25" customHeight="1">
      <c r="A1015" s="104"/>
      <c r="B1015" s="104"/>
      <c r="C1015" s="140"/>
      <c r="D1015" s="116"/>
      <c r="E1015" s="116"/>
      <c r="F1015" s="116"/>
      <c r="G1015" s="116"/>
      <c r="H1015" s="116"/>
      <c r="I1015" s="116"/>
      <c r="J1015" s="116"/>
      <c r="K1015" s="103" t="s">
        <v>3952</v>
      </c>
    </row>
    <row r="1016" spans="1:11" ht="14.25" customHeight="1">
      <c r="A1016" s="104"/>
      <c r="B1016" s="104"/>
      <c r="C1016" s="140"/>
      <c r="D1016" s="104" t="s">
        <v>3595</v>
      </c>
      <c r="E1016" s="104" t="s">
        <v>3953</v>
      </c>
      <c r="F1016" s="104" t="s">
        <v>16</v>
      </c>
      <c r="G1016" s="104" t="s">
        <v>3954</v>
      </c>
      <c r="H1016" s="104" t="s">
        <v>3955</v>
      </c>
      <c r="I1016" s="106" t="s">
        <v>19</v>
      </c>
      <c r="J1016" s="104" t="s">
        <v>3956</v>
      </c>
      <c r="K1016" s="103" t="s">
        <v>3957</v>
      </c>
    </row>
    <row r="1017" spans="1:11" ht="14.25" customHeight="1">
      <c r="A1017" s="104"/>
      <c r="B1017" s="104"/>
      <c r="C1017" s="140"/>
      <c r="D1017" s="104"/>
      <c r="E1017" s="104"/>
      <c r="F1017" s="104"/>
      <c r="G1017" s="116"/>
      <c r="H1017" s="116"/>
      <c r="I1017" s="116"/>
      <c r="J1017" s="116"/>
      <c r="K1017" s="103" t="s">
        <v>3958</v>
      </c>
    </row>
    <row r="1018" spans="1:11" ht="14.25" customHeight="1">
      <c r="A1018" s="104"/>
      <c r="B1018" s="104"/>
      <c r="C1018" s="140"/>
      <c r="D1018" s="104"/>
      <c r="E1018" s="104"/>
      <c r="F1018" s="104"/>
      <c r="G1018" s="104" t="s">
        <v>3959</v>
      </c>
      <c r="H1018" s="104" t="s">
        <v>3960</v>
      </c>
      <c r="I1018" s="105" t="s">
        <v>41</v>
      </c>
      <c r="J1018" s="104" t="s">
        <v>3961</v>
      </c>
      <c r="K1018" s="103" t="s">
        <v>3962</v>
      </c>
    </row>
    <row r="1019" spans="1:11" ht="14.25" customHeight="1">
      <c r="A1019" s="104"/>
      <c r="B1019" s="104"/>
      <c r="C1019" s="140"/>
      <c r="D1019" s="116"/>
      <c r="E1019" s="116"/>
      <c r="F1019" s="116"/>
      <c r="G1019" s="116"/>
      <c r="H1019" s="116"/>
      <c r="I1019" s="116"/>
      <c r="J1019" s="116"/>
      <c r="K1019" s="103" t="s">
        <v>3963</v>
      </c>
    </row>
    <row r="1020" spans="1:11" ht="14.25" customHeight="1">
      <c r="A1020" s="104"/>
      <c r="B1020" s="104"/>
      <c r="C1020" s="140"/>
      <c r="D1020" s="104" t="s">
        <v>3606</v>
      </c>
      <c r="E1020" s="104" t="s">
        <v>3964</v>
      </c>
      <c r="F1020" s="104" t="s">
        <v>38</v>
      </c>
      <c r="G1020" s="104" t="s">
        <v>3965</v>
      </c>
      <c r="H1020" s="104" t="s">
        <v>3966</v>
      </c>
      <c r="I1020" s="105" t="s">
        <v>41</v>
      </c>
      <c r="J1020" s="104" t="s">
        <v>3967</v>
      </c>
      <c r="K1020" s="103" t="s">
        <v>3968</v>
      </c>
    </row>
    <row r="1021" spans="1:11" ht="14.25" customHeight="1">
      <c r="A1021" s="104"/>
      <c r="B1021" s="104"/>
      <c r="C1021" s="140"/>
      <c r="D1021" s="104"/>
      <c r="E1021" s="104"/>
      <c r="F1021" s="104"/>
      <c r="G1021" s="116"/>
      <c r="H1021" s="116"/>
      <c r="I1021" s="116"/>
      <c r="J1021" s="116"/>
      <c r="K1021" s="103" t="s">
        <v>3969</v>
      </c>
    </row>
    <row r="1022" spans="1:11" ht="14.25" customHeight="1">
      <c r="A1022" s="104"/>
      <c r="B1022" s="104"/>
      <c r="C1022" s="140"/>
      <c r="D1022" s="104"/>
      <c r="E1022" s="104"/>
      <c r="F1022" s="104"/>
      <c r="G1022" s="104" t="s">
        <v>3970</v>
      </c>
      <c r="H1022" s="104" t="s">
        <v>3971</v>
      </c>
      <c r="I1022" s="105" t="s">
        <v>41</v>
      </c>
      <c r="J1022" s="104" t="s">
        <v>3972</v>
      </c>
      <c r="K1022" s="103" t="s">
        <v>3973</v>
      </c>
    </row>
    <row r="1023" spans="1:11" ht="14.25" customHeight="1">
      <c r="A1023" s="104"/>
      <c r="B1023" s="104"/>
      <c r="C1023" s="140"/>
      <c r="D1023" s="116"/>
      <c r="E1023" s="116"/>
      <c r="F1023" s="116"/>
      <c r="G1023" s="116"/>
      <c r="H1023" s="116"/>
      <c r="I1023" s="116"/>
      <c r="J1023" s="116"/>
      <c r="K1023" s="103" t="s">
        <v>3641</v>
      </c>
    </row>
    <row r="1024" spans="1:11" ht="14.25" customHeight="1">
      <c r="A1024" s="104"/>
      <c r="B1024" s="104"/>
      <c r="C1024" s="140"/>
      <c r="D1024" s="104" t="s">
        <v>3618</v>
      </c>
      <c r="E1024" s="104" t="s">
        <v>3974</v>
      </c>
      <c r="F1024" s="104" t="s">
        <v>38</v>
      </c>
      <c r="G1024" s="104" t="s">
        <v>3975</v>
      </c>
      <c r="H1024" s="104" t="s">
        <v>3976</v>
      </c>
      <c r="I1024" s="105" t="s">
        <v>41</v>
      </c>
      <c r="J1024" s="104" t="s">
        <v>3977</v>
      </c>
      <c r="K1024" s="103" t="s">
        <v>3978</v>
      </c>
    </row>
    <row r="1025" spans="1:11" ht="14.25" customHeight="1">
      <c r="A1025" s="104"/>
      <c r="B1025" s="104"/>
      <c r="C1025" s="140"/>
      <c r="D1025" s="104"/>
      <c r="E1025" s="104"/>
      <c r="F1025" s="104"/>
      <c r="G1025" s="116"/>
      <c r="H1025" s="116"/>
      <c r="I1025" s="116"/>
      <c r="J1025" s="116"/>
      <c r="K1025" s="103" t="s">
        <v>3979</v>
      </c>
    </row>
    <row r="1026" spans="1:11" ht="14.25" customHeight="1">
      <c r="A1026" s="104"/>
      <c r="B1026" s="104"/>
      <c r="C1026" s="140"/>
      <c r="D1026" s="104"/>
      <c r="E1026" s="104"/>
      <c r="F1026" s="104"/>
      <c r="G1026" s="104" t="s">
        <v>3980</v>
      </c>
      <c r="H1026" s="104" t="s">
        <v>3981</v>
      </c>
      <c r="I1026" s="105" t="s">
        <v>41</v>
      </c>
      <c r="J1026" s="104" t="s">
        <v>3982</v>
      </c>
      <c r="K1026" s="103" t="s">
        <v>3983</v>
      </c>
    </row>
    <row r="1027" spans="1:11" ht="14.25" customHeight="1">
      <c r="A1027" s="104"/>
      <c r="B1027" s="104"/>
      <c r="C1027" s="140"/>
      <c r="D1027" s="116"/>
      <c r="E1027" s="116"/>
      <c r="F1027" s="116"/>
      <c r="G1027" s="116"/>
      <c r="H1027" s="116"/>
      <c r="I1027" s="116"/>
      <c r="J1027" s="116"/>
      <c r="K1027" s="103" t="s">
        <v>3984</v>
      </c>
    </row>
    <row r="1028" spans="1:11" ht="14.25" customHeight="1">
      <c r="A1028" s="104"/>
      <c r="B1028" s="104"/>
      <c r="C1028" s="140"/>
      <c r="D1028" s="104" t="s">
        <v>3630</v>
      </c>
      <c r="E1028" s="104" t="s">
        <v>3985</v>
      </c>
      <c r="F1028" s="104" t="s">
        <v>38</v>
      </c>
      <c r="G1028" s="104" t="s">
        <v>3986</v>
      </c>
      <c r="H1028" s="104" t="s">
        <v>3987</v>
      </c>
      <c r="I1028" s="105" t="s">
        <v>41</v>
      </c>
      <c r="J1028" s="104" t="s">
        <v>3988</v>
      </c>
      <c r="K1028" s="103" t="s">
        <v>3989</v>
      </c>
    </row>
    <row r="1029" spans="1:11" ht="14.25" customHeight="1">
      <c r="A1029" s="104"/>
      <c r="B1029" s="104"/>
      <c r="C1029" s="140"/>
      <c r="D1029" s="104"/>
      <c r="E1029" s="104"/>
      <c r="F1029" s="104"/>
      <c r="G1029" s="116"/>
      <c r="H1029" s="116"/>
      <c r="I1029" s="104"/>
      <c r="J1029" s="116"/>
      <c r="K1029" s="103" t="s">
        <v>2706</v>
      </c>
    </row>
    <row r="1030" spans="1:11" ht="14.25" customHeight="1">
      <c r="A1030" s="104"/>
      <c r="B1030" s="104"/>
      <c r="C1030" s="140"/>
      <c r="D1030" s="104"/>
      <c r="E1030" s="104"/>
      <c r="F1030" s="104"/>
      <c r="G1030" s="104" t="s">
        <v>3990</v>
      </c>
      <c r="H1030" s="104" t="s">
        <v>3991</v>
      </c>
      <c r="I1030" s="105" t="s">
        <v>3992</v>
      </c>
      <c r="J1030" s="104" t="s">
        <v>3993</v>
      </c>
      <c r="K1030" s="103" t="s">
        <v>3994</v>
      </c>
    </row>
    <row r="1031" spans="1:11" ht="14.25" customHeight="1">
      <c r="A1031" s="104"/>
      <c r="B1031" s="104"/>
      <c r="C1031" s="141"/>
      <c r="D1031" s="116"/>
      <c r="E1031" s="116"/>
      <c r="F1031" s="116"/>
      <c r="G1031" s="116"/>
      <c r="H1031" s="116"/>
      <c r="I1031" s="116"/>
      <c r="J1031" s="116"/>
      <c r="K1031" s="103" t="s">
        <v>3995</v>
      </c>
    </row>
    <row r="1032" spans="1:11" ht="14.25" customHeight="1">
      <c r="A1032" s="104"/>
      <c r="B1032" s="104"/>
      <c r="C1032" s="139" t="s">
        <v>3996</v>
      </c>
      <c r="D1032" s="104" t="s">
        <v>3655</v>
      </c>
      <c r="E1032" s="104" t="s">
        <v>3997</v>
      </c>
      <c r="F1032" s="104" t="s">
        <v>38</v>
      </c>
      <c r="G1032" s="104" t="s">
        <v>3998</v>
      </c>
      <c r="H1032" s="104" t="s">
        <v>3999</v>
      </c>
      <c r="I1032" s="105" t="s">
        <v>41</v>
      </c>
      <c r="J1032" s="104" t="s">
        <v>4000</v>
      </c>
      <c r="K1032" s="103" t="s">
        <v>4001</v>
      </c>
    </row>
    <row r="1033" spans="1:11" ht="14.25" customHeight="1">
      <c r="A1033" s="104"/>
      <c r="B1033" s="104"/>
      <c r="C1033" s="140"/>
      <c r="D1033" s="104"/>
      <c r="E1033" s="104"/>
      <c r="F1033" s="104"/>
      <c r="G1033" s="116"/>
      <c r="H1033" s="116"/>
      <c r="I1033" s="116"/>
      <c r="J1033" s="116"/>
      <c r="K1033" s="103" t="s">
        <v>4002</v>
      </c>
    </row>
    <row r="1034" spans="1:11" ht="14.25" customHeight="1">
      <c r="A1034" s="104"/>
      <c r="B1034" s="104"/>
      <c r="C1034" s="140"/>
      <c r="D1034" s="104"/>
      <c r="E1034" s="104"/>
      <c r="F1034" s="104"/>
      <c r="G1034" s="104" t="s">
        <v>4003</v>
      </c>
      <c r="H1034" s="104" t="s">
        <v>4004</v>
      </c>
      <c r="I1034" s="105" t="s">
        <v>41</v>
      </c>
      <c r="J1034" s="104" t="s">
        <v>4005</v>
      </c>
      <c r="K1034" s="103" t="s">
        <v>4006</v>
      </c>
    </row>
    <row r="1035" spans="1:11" ht="14.25" customHeight="1">
      <c r="A1035" s="104"/>
      <c r="B1035" s="104"/>
      <c r="C1035" s="140"/>
      <c r="D1035" s="116"/>
      <c r="E1035" s="116"/>
      <c r="F1035" s="116"/>
      <c r="G1035" s="116"/>
      <c r="H1035" s="116"/>
      <c r="I1035" s="116"/>
      <c r="J1035" s="116"/>
      <c r="K1035" s="103" t="s">
        <v>4007</v>
      </c>
    </row>
    <row r="1036" spans="1:11" ht="14.25" customHeight="1">
      <c r="A1036" s="104"/>
      <c r="B1036" s="104"/>
      <c r="C1036" s="140"/>
      <c r="D1036" s="104" t="s">
        <v>3667</v>
      </c>
      <c r="E1036" s="104" t="s">
        <v>4008</v>
      </c>
      <c r="F1036" s="104" t="s">
        <v>16</v>
      </c>
      <c r="G1036" s="104" t="s">
        <v>4009</v>
      </c>
      <c r="H1036" s="104" t="s">
        <v>3982</v>
      </c>
      <c r="I1036" s="105" t="s">
        <v>41</v>
      </c>
      <c r="J1036" s="104" t="s">
        <v>4010</v>
      </c>
      <c r="K1036" s="103" t="s">
        <v>4011</v>
      </c>
    </row>
    <row r="1037" spans="1:11" ht="14.25" customHeight="1">
      <c r="A1037" s="104"/>
      <c r="B1037" s="104"/>
      <c r="C1037" s="140"/>
      <c r="D1037" s="104"/>
      <c r="E1037" s="104"/>
      <c r="F1037" s="104"/>
      <c r="G1037" s="116"/>
      <c r="H1037" s="116"/>
      <c r="I1037" s="116"/>
      <c r="J1037" s="116"/>
      <c r="K1037" s="103" t="s">
        <v>4012</v>
      </c>
    </row>
    <row r="1038" spans="1:11" ht="14.25" customHeight="1">
      <c r="A1038" s="104"/>
      <c r="B1038" s="104"/>
      <c r="C1038" s="140"/>
      <c r="D1038" s="104"/>
      <c r="E1038" s="104"/>
      <c r="F1038" s="104"/>
      <c r="G1038" s="104" t="s">
        <v>4013</v>
      </c>
      <c r="H1038" s="104" t="s">
        <v>4014</v>
      </c>
      <c r="I1038" s="105" t="s">
        <v>41</v>
      </c>
      <c r="J1038" s="104" t="s">
        <v>4015</v>
      </c>
      <c r="K1038" s="103" t="s">
        <v>4016</v>
      </c>
    </row>
    <row r="1039" spans="1:11" ht="14.25" customHeight="1">
      <c r="A1039" s="104"/>
      <c r="B1039" s="104"/>
      <c r="C1039" s="140"/>
      <c r="D1039" s="116"/>
      <c r="E1039" s="116"/>
      <c r="F1039" s="116"/>
      <c r="G1039" s="116"/>
      <c r="H1039" s="116"/>
      <c r="I1039" s="116"/>
      <c r="J1039" s="116"/>
      <c r="K1039" s="103" t="s">
        <v>4017</v>
      </c>
    </row>
    <row r="1040" spans="1:11" ht="14.25" customHeight="1">
      <c r="A1040" s="104"/>
      <c r="B1040" s="104"/>
      <c r="C1040" s="140"/>
      <c r="D1040" s="104" t="s">
        <v>3678</v>
      </c>
      <c r="E1040" s="104" t="s">
        <v>4018</v>
      </c>
      <c r="F1040" s="104" t="s">
        <v>16</v>
      </c>
      <c r="G1040" s="104" t="s">
        <v>4019</v>
      </c>
      <c r="H1040" s="104" t="s">
        <v>4020</v>
      </c>
      <c r="I1040" s="105" t="s">
        <v>41</v>
      </c>
      <c r="J1040" s="104" t="s">
        <v>4021</v>
      </c>
      <c r="K1040" s="103" t="s">
        <v>4022</v>
      </c>
    </row>
    <row r="1041" spans="1:11" ht="14.25" customHeight="1">
      <c r="A1041" s="104"/>
      <c r="B1041" s="104"/>
      <c r="C1041" s="140"/>
      <c r="D1041" s="104"/>
      <c r="E1041" s="104"/>
      <c r="F1041" s="104"/>
      <c r="G1041" s="116"/>
      <c r="H1041" s="116"/>
      <c r="I1041" s="116"/>
      <c r="J1041" s="116"/>
      <c r="K1041" s="103" t="s">
        <v>3923</v>
      </c>
    </row>
    <row r="1042" spans="1:11" ht="14.25" customHeight="1">
      <c r="A1042" s="104"/>
      <c r="B1042" s="104"/>
      <c r="C1042" s="140"/>
      <c r="D1042" s="104"/>
      <c r="E1042" s="104"/>
      <c r="F1042" s="104"/>
      <c r="G1042" s="104" t="s">
        <v>4023</v>
      </c>
      <c r="H1042" s="104" t="s">
        <v>4024</v>
      </c>
      <c r="I1042" s="105" t="s">
        <v>41</v>
      </c>
      <c r="J1042" s="104" t="s">
        <v>4025</v>
      </c>
      <c r="K1042" s="103" t="s">
        <v>4026</v>
      </c>
    </row>
    <row r="1043" spans="1:11" ht="14.25" customHeight="1">
      <c r="A1043" s="104"/>
      <c r="B1043" s="104"/>
      <c r="C1043" s="140"/>
      <c r="D1043" s="116"/>
      <c r="E1043" s="116"/>
      <c r="F1043" s="116"/>
      <c r="G1043" s="116"/>
      <c r="H1043" s="116"/>
      <c r="I1043" s="116"/>
      <c r="J1043" s="116"/>
      <c r="K1043" s="103" t="s">
        <v>4027</v>
      </c>
    </row>
    <row r="1044" spans="1:11" ht="14.25" customHeight="1">
      <c r="A1044" s="104"/>
      <c r="B1044" s="104"/>
      <c r="C1044" s="140"/>
      <c r="D1044" s="104" t="s">
        <v>4028</v>
      </c>
      <c r="E1044" s="104" t="s">
        <v>4029</v>
      </c>
      <c r="F1044" s="104" t="s">
        <v>16</v>
      </c>
      <c r="G1044" s="104" t="s">
        <v>4030</v>
      </c>
      <c r="H1044" s="104" t="s">
        <v>4005</v>
      </c>
      <c r="I1044" s="105" t="s">
        <v>41</v>
      </c>
      <c r="J1044" s="104" t="s">
        <v>4031</v>
      </c>
      <c r="K1044" s="103" t="s">
        <v>4032</v>
      </c>
    </row>
    <row r="1045" spans="1:11" ht="14.25" customHeight="1">
      <c r="A1045" s="104"/>
      <c r="B1045" s="104"/>
      <c r="C1045" s="140"/>
      <c r="D1045" s="104"/>
      <c r="E1045" s="104"/>
      <c r="F1045" s="104"/>
      <c r="G1045" s="116"/>
      <c r="H1045" s="116"/>
      <c r="I1045" s="116"/>
      <c r="J1045" s="116"/>
      <c r="K1045" s="103" t="s">
        <v>4033</v>
      </c>
    </row>
    <row r="1046" spans="1:11" ht="14.25" customHeight="1">
      <c r="A1046" s="104"/>
      <c r="B1046" s="104"/>
      <c r="C1046" s="140"/>
      <c r="D1046" s="104"/>
      <c r="E1046" s="104"/>
      <c r="F1046" s="104"/>
      <c r="G1046" s="104" t="s">
        <v>4034</v>
      </c>
      <c r="H1046" s="104" t="s">
        <v>4035</v>
      </c>
      <c r="I1046" s="105" t="s">
        <v>41</v>
      </c>
      <c r="J1046" s="104" t="s">
        <v>4036</v>
      </c>
      <c r="K1046" s="103" t="s">
        <v>4037</v>
      </c>
    </row>
    <row r="1047" spans="1:11" ht="14.25" customHeight="1">
      <c r="A1047" s="104"/>
      <c r="B1047" s="104"/>
      <c r="C1047" s="140"/>
      <c r="D1047" s="116"/>
      <c r="E1047" s="116"/>
      <c r="F1047" s="116"/>
      <c r="G1047" s="116"/>
      <c r="H1047" s="116"/>
      <c r="I1047" s="116"/>
      <c r="J1047" s="116"/>
      <c r="K1047" s="103" t="s">
        <v>4038</v>
      </c>
    </row>
    <row r="1048" spans="1:11" ht="14.25" customHeight="1">
      <c r="A1048" s="104"/>
      <c r="B1048" s="104"/>
      <c r="C1048" s="140"/>
      <c r="D1048" s="104" t="s">
        <v>4039</v>
      </c>
      <c r="E1048" s="104" t="s">
        <v>4040</v>
      </c>
      <c r="F1048" s="104" t="s">
        <v>38</v>
      </c>
      <c r="G1048" s="104" t="s">
        <v>4041</v>
      </c>
      <c r="H1048" s="104" t="s">
        <v>4042</v>
      </c>
      <c r="I1048" s="105" t="s">
        <v>41</v>
      </c>
      <c r="J1048" s="104" t="s">
        <v>4043</v>
      </c>
      <c r="K1048" s="103" t="s">
        <v>4044</v>
      </c>
    </row>
    <row r="1049" spans="1:11" ht="14.25" customHeight="1">
      <c r="A1049" s="104"/>
      <c r="B1049" s="104"/>
      <c r="C1049" s="140"/>
      <c r="D1049" s="104"/>
      <c r="E1049" s="104"/>
      <c r="F1049" s="104"/>
      <c r="G1049" s="116"/>
      <c r="H1049" s="116"/>
      <c r="I1049" s="116"/>
      <c r="J1049" s="116"/>
      <c r="K1049" s="103" t="s">
        <v>4045</v>
      </c>
    </row>
    <row r="1050" spans="1:11" ht="14.25" customHeight="1">
      <c r="A1050" s="104"/>
      <c r="B1050" s="104"/>
      <c r="C1050" s="140"/>
      <c r="D1050" s="104"/>
      <c r="E1050" s="104"/>
      <c r="F1050" s="104"/>
      <c r="G1050" s="104" t="s">
        <v>4046</v>
      </c>
      <c r="H1050" s="104" t="s">
        <v>4047</v>
      </c>
      <c r="I1050" s="105" t="s">
        <v>41</v>
      </c>
      <c r="J1050" s="104" t="s">
        <v>4048</v>
      </c>
      <c r="K1050" s="103" t="s">
        <v>4049</v>
      </c>
    </row>
    <row r="1051" spans="1:11" ht="14.25" customHeight="1">
      <c r="A1051" s="104"/>
      <c r="B1051" s="104"/>
      <c r="C1051" s="141"/>
      <c r="D1051" s="116"/>
      <c r="E1051" s="116"/>
      <c r="F1051" s="116"/>
      <c r="G1051" s="116"/>
      <c r="H1051" s="116"/>
      <c r="I1051" s="116"/>
      <c r="J1051" s="116"/>
      <c r="K1051" s="103" t="s">
        <v>4050</v>
      </c>
    </row>
    <row r="1052" spans="1:11" ht="14.25" customHeight="1">
      <c r="A1052" s="104"/>
      <c r="B1052" s="104"/>
      <c r="C1052" s="139" t="s">
        <v>4051</v>
      </c>
      <c r="D1052" s="104" t="s">
        <v>3701</v>
      </c>
      <c r="E1052" s="104" t="s">
        <v>4052</v>
      </c>
      <c r="F1052" s="104" t="s">
        <v>38</v>
      </c>
      <c r="G1052" s="104" t="s">
        <v>4053</v>
      </c>
      <c r="H1052" s="104" t="s">
        <v>4054</v>
      </c>
      <c r="I1052" s="105" t="s">
        <v>41</v>
      </c>
      <c r="J1052" s="104" t="s">
        <v>4055</v>
      </c>
      <c r="K1052" s="103" t="s">
        <v>4056</v>
      </c>
    </row>
    <row r="1053" spans="1:11" ht="14.25" customHeight="1">
      <c r="A1053" s="104"/>
      <c r="B1053" s="104"/>
      <c r="C1053" s="140"/>
      <c r="D1053" s="104"/>
      <c r="E1053" s="104"/>
      <c r="F1053" s="104"/>
      <c r="G1053" s="116"/>
      <c r="H1053" s="116"/>
      <c r="I1053" s="116"/>
      <c r="J1053" s="116"/>
      <c r="K1053" s="103" t="s">
        <v>4057</v>
      </c>
    </row>
    <row r="1054" spans="1:11" ht="14.25" customHeight="1">
      <c r="A1054" s="104"/>
      <c r="B1054" s="104"/>
      <c r="C1054" s="140"/>
      <c r="D1054" s="104"/>
      <c r="E1054" s="104"/>
      <c r="F1054" s="104"/>
      <c r="G1054" s="104" t="s">
        <v>4058</v>
      </c>
      <c r="H1054" s="104" t="s">
        <v>4059</v>
      </c>
      <c r="I1054" s="105" t="s">
        <v>41</v>
      </c>
      <c r="J1054" s="104" t="s">
        <v>4060</v>
      </c>
      <c r="K1054" s="103" t="s">
        <v>3865</v>
      </c>
    </row>
    <row r="1055" spans="1:11" ht="14.25" customHeight="1">
      <c r="A1055" s="104"/>
      <c r="B1055" s="104"/>
      <c r="C1055" s="140"/>
      <c r="D1055" s="116"/>
      <c r="E1055" s="116"/>
      <c r="F1055" s="116"/>
      <c r="G1055" s="116"/>
      <c r="H1055" s="116"/>
      <c r="I1055" s="116"/>
      <c r="J1055" s="116"/>
      <c r="K1055" s="103" t="s">
        <v>4061</v>
      </c>
    </row>
    <row r="1056" spans="1:11" ht="14.25" customHeight="1">
      <c r="A1056" s="104"/>
      <c r="B1056" s="104"/>
      <c r="C1056" s="140"/>
      <c r="D1056" s="104" t="s">
        <v>3713</v>
      </c>
      <c r="E1056" s="104" t="s">
        <v>4062</v>
      </c>
      <c r="F1056" s="104" t="s">
        <v>38</v>
      </c>
      <c r="G1056" s="104" t="s">
        <v>4063</v>
      </c>
      <c r="H1056" s="104" t="s">
        <v>4036</v>
      </c>
      <c r="I1056" s="105" t="s">
        <v>41</v>
      </c>
      <c r="J1056" s="104" t="s">
        <v>4064</v>
      </c>
      <c r="K1056" s="103" t="s">
        <v>4065</v>
      </c>
    </row>
    <row r="1057" spans="1:11" ht="14.25" customHeight="1">
      <c r="A1057" s="104"/>
      <c r="B1057" s="104"/>
      <c r="C1057" s="140"/>
      <c r="D1057" s="104"/>
      <c r="E1057" s="104"/>
      <c r="F1057" s="104"/>
      <c r="G1057" s="116"/>
      <c r="H1057" s="116"/>
      <c r="I1057" s="116"/>
      <c r="J1057" s="116"/>
      <c r="K1057" s="103" t="s">
        <v>4066</v>
      </c>
    </row>
    <row r="1058" spans="1:11" ht="14.25" customHeight="1">
      <c r="A1058" s="104"/>
      <c r="B1058" s="104"/>
      <c r="C1058" s="140"/>
      <c r="D1058" s="104"/>
      <c r="E1058" s="104"/>
      <c r="F1058" s="104"/>
      <c r="G1058" s="104" t="s">
        <v>4067</v>
      </c>
      <c r="H1058" s="104" t="s">
        <v>4068</v>
      </c>
      <c r="I1058" s="105" t="s">
        <v>41</v>
      </c>
      <c r="J1058" s="104" t="s">
        <v>4069</v>
      </c>
      <c r="K1058" s="103" t="s">
        <v>4070</v>
      </c>
    </row>
    <row r="1059" spans="1:11" ht="14.25" customHeight="1">
      <c r="A1059" s="104"/>
      <c r="B1059" s="104"/>
      <c r="C1059" s="140"/>
      <c r="D1059" s="116"/>
      <c r="E1059" s="116"/>
      <c r="F1059" s="116"/>
      <c r="G1059" s="116"/>
      <c r="H1059" s="116"/>
      <c r="I1059" s="116"/>
      <c r="J1059" s="116"/>
      <c r="K1059" s="103" t="s">
        <v>4071</v>
      </c>
    </row>
    <row r="1060" spans="1:11" ht="14.25" customHeight="1">
      <c r="A1060" s="104"/>
      <c r="B1060" s="104"/>
      <c r="C1060" s="140"/>
      <c r="D1060" s="104" t="s">
        <v>3725</v>
      </c>
      <c r="E1060" s="104" t="s">
        <v>4072</v>
      </c>
      <c r="F1060" s="104" t="s">
        <v>16</v>
      </c>
      <c r="G1060" s="104" t="s">
        <v>4073</v>
      </c>
      <c r="H1060" s="104" t="s">
        <v>4074</v>
      </c>
      <c r="I1060" s="105" t="s">
        <v>41</v>
      </c>
      <c r="J1060" s="104" t="s">
        <v>4075</v>
      </c>
      <c r="K1060" s="103" t="s">
        <v>4076</v>
      </c>
    </row>
    <row r="1061" spans="1:11" ht="14.25" customHeight="1">
      <c r="A1061" s="104"/>
      <c r="B1061" s="104"/>
      <c r="C1061" s="140"/>
      <c r="D1061" s="104"/>
      <c r="E1061" s="104"/>
      <c r="F1061" s="104"/>
      <c r="G1061" s="116"/>
      <c r="H1061" s="116"/>
      <c r="I1061" s="116"/>
      <c r="J1061" s="116"/>
      <c r="K1061" s="103" t="s">
        <v>4077</v>
      </c>
    </row>
    <row r="1062" spans="1:11" ht="14.25" customHeight="1">
      <c r="A1062" s="104"/>
      <c r="B1062" s="104"/>
      <c r="C1062" s="140"/>
      <c r="D1062" s="104"/>
      <c r="E1062" s="104"/>
      <c r="F1062" s="104"/>
      <c r="G1062" s="104" t="s">
        <v>4078</v>
      </c>
      <c r="H1062" s="104" t="s">
        <v>4079</v>
      </c>
      <c r="I1062" s="106" t="s">
        <v>19</v>
      </c>
      <c r="J1062" s="104" t="s">
        <v>4080</v>
      </c>
      <c r="K1062" s="103" t="s">
        <v>4081</v>
      </c>
    </row>
    <row r="1063" spans="1:11" ht="14.25" customHeight="1">
      <c r="A1063" s="104"/>
      <c r="B1063" s="104"/>
      <c r="C1063" s="140"/>
      <c r="D1063" s="116"/>
      <c r="E1063" s="116"/>
      <c r="F1063" s="116"/>
      <c r="G1063" s="116"/>
      <c r="H1063" s="116"/>
      <c r="I1063" s="116"/>
      <c r="J1063" s="116"/>
      <c r="K1063" s="103" t="s">
        <v>4082</v>
      </c>
    </row>
    <row r="1064" spans="1:11" ht="14.25" customHeight="1">
      <c r="A1064" s="104"/>
      <c r="B1064" s="104"/>
      <c r="C1064" s="140"/>
      <c r="D1064" s="104" t="s">
        <v>3737</v>
      </c>
      <c r="E1064" s="104" t="s">
        <v>4083</v>
      </c>
      <c r="F1064" s="104" t="s">
        <v>16</v>
      </c>
      <c r="G1064" s="104" t="s">
        <v>4084</v>
      </c>
      <c r="H1064" s="104" t="s">
        <v>4060</v>
      </c>
      <c r="I1064" s="106" t="s">
        <v>19</v>
      </c>
      <c r="J1064" s="104" t="s">
        <v>4085</v>
      </c>
      <c r="K1064" s="103" t="s">
        <v>4086</v>
      </c>
    </row>
    <row r="1065" spans="1:11" ht="14.25" customHeight="1">
      <c r="A1065" s="104"/>
      <c r="B1065" s="104"/>
      <c r="C1065" s="140"/>
      <c r="D1065" s="104"/>
      <c r="E1065" s="104"/>
      <c r="F1065" s="104"/>
      <c r="G1065" s="116"/>
      <c r="H1065" s="116"/>
      <c r="I1065" s="116"/>
      <c r="J1065" s="116"/>
      <c r="K1065" s="103" t="s">
        <v>4087</v>
      </c>
    </row>
    <row r="1066" spans="1:11" ht="14.25" customHeight="1">
      <c r="A1066" s="104"/>
      <c r="B1066" s="104"/>
      <c r="C1066" s="140"/>
      <c r="D1066" s="104"/>
      <c r="E1066" s="104"/>
      <c r="F1066" s="104"/>
      <c r="G1066" s="104" t="s">
        <v>4088</v>
      </c>
      <c r="H1066" s="104" t="s">
        <v>4089</v>
      </c>
      <c r="I1066" s="106" t="s">
        <v>19</v>
      </c>
      <c r="J1066" s="104" t="s">
        <v>4090</v>
      </c>
      <c r="K1066" s="103" t="s">
        <v>4091</v>
      </c>
    </row>
    <row r="1067" spans="1:11" ht="14.25" customHeight="1">
      <c r="A1067" s="104"/>
      <c r="B1067" s="104"/>
      <c r="C1067" s="140"/>
      <c r="D1067" s="116"/>
      <c r="E1067" s="116"/>
      <c r="F1067" s="104"/>
      <c r="G1067" s="116"/>
      <c r="H1067" s="116"/>
      <c r="I1067" s="116"/>
      <c r="J1067" s="116"/>
      <c r="K1067" s="103" t="s">
        <v>4092</v>
      </c>
    </row>
    <row r="1068" spans="1:11" ht="14.25" customHeight="1">
      <c r="A1068" s="104"/>
      <c r="B1068" s="104"/>
      <c r="C1068" s="140"/>
      <c r="D1068" s="104" t="s">
        <v>3749</v>
      </c>
      <c r="E1068" s="104" t="s">
        <v>4093</v>
      </c>
      <c r="F1068" s="104" t="s">
        <v>38</v>
      </c>
      <c r="G1068" s="104" t="s">
        <v>4094</v>
      </c>
      <c r="H1068" s="104" t="s">
        <v>4095</v>
      </c>
      <c r="I1068" s="106" t="s">
        <v>19</v>
      </c>
      <c r="J1068" s="104" t="s">
        <v>4096</v>
      </c>
      <c r="K1068" s="103" t="s">
        <v>4097</v>
      </c>
    </row>
    <row r="1069" spans="1:11" ht="14.25" customHeight="1">
      <c r="A1069" s="104"/>
      <c r="B1069" s="104"/>
      <c r="C1069" s="140"/>
      <c r="D1069" s="104"/>
      <c r="E1069" s="104"/>
      <c r="F1069" s="104"/>
      <c r="G1069" s="116"/>
      <c r="H1069" s="116"/>
      <c r="I1069" s="116"/>
      <c r="J1069" s="116"/>
      <c r="K1069" s="103" t="s">
        <v>4098</v>
      </c>
    </row>
    <row r="1070" spans="1:11" ht="14.25" customHeight="1">
      <c r="A1070" s="104"/>
      <c r="B1070" s="104"/>
      <c r="C1070" s="140"/>
      <c r="D1070" s="104"/>
      <c r="E1070" s="104"/>
      <c r="F1070" s="104"/>
      <c r="G1070" s="104" t="s">
        <v>4099</v>
      </c>
      <c r="H1070" s="104" t="s">
        <v>4075</v>
      </c>
      <c r="I1070" s="106" t="s">
        <v>19</v>
      </c>
      <c r="J1070" s="104" t="s">
        <v>4100</v>
      </c>
      <c r="K1070" s="103" t="s">
        <v>4101</v>
      </c>
    </row>
    <row r="1071" spans="1:11" ht="14.25" customHeight="1">
      <c r="A1071" s="104"/>
      <c r="B1071" s="116"/>
      <c r="C1071" s="141"/>
      <c r="D1071" s="116"/>
      <c r="E1071" s="116"/>
      <c r="F1071" s="116"/>
      <c r="G1071" s="116"/>
      <c r="H1071" s="116"/>
      <c r="I1071" s="116"/>
      <c r="J1071" s="116"/>
      <c r="K1071" s="103" t="s">
        <v>4102</v>
      </c>
    </row>
    <row r="1072" spans="1:11" ht="14.25" customHeight="1">
      <c r="A1072" s="104"/>
      <c r="B1072" s="99" t="s">
        <v>4103</v>
      </c>
      <c r="C1072" s="139" t="s">
        <v>4104</v>
      </c>
      <c r="D1072" s="104" t="s">
        <v>4105</v>
      </c>
      <c r="E1072" s="104" t="s">
        <v>4106</v>
      </c>
      <c r="F1072" s="104" t="s">
        <v>38</v>
      </c>
      <c r="G1072" s="104" t="s">
        <v>4107</v>
      </c>
      <c r="H1072" s="104" t="s">
        <v>4080</v>
      </c>
      <c r="I1072" s="106" t="s">
        <v>19</v>
      </c>
      <c r="J1072" s="104" t="s">
        <v>4108</v>
      </c>
      <c r="K1072" s="103" t="s">
        <v>4109</v>
      </c>
    </row>
    <row r="1073" spans="1:11" ht="14.25" customHeight="1">
      <c r="A1073" s="104"/>
      <c r="B1073" s="104"/>
      <c r="C1073" s="140"/>
      <c r="D1073" s="104"/>
      <c r="E1073" s="104"/>
      <c r="F1073" s="104"/>
      <c r="G1073" s="116"/>
      <c r="H1073" s="116"/>
      <c r="I1073" s="116"/>
      <c r="J1073" s="116"/>
      <c r="K1073" s="103" t="s">
        <v>4110</v>
      </c>
    </row>
    <row r="1074" spans="1:11" ht="14.25" customHeight="1">
      <c r="A1074" s="104"/>
      <c r="B1074" s="104"/>
      <c r="C1074" s="140"/>
      <c r="D1074" s="104"/>
      <c r="E1074" s="104"/>
      <c r="F1074" s="104"/>
      <c r="G1074" s="104" t="s">
        <v>4111</v>
      </c>
      <c r="H1074" s="104" t="s">
        <v>4085</v>
      </c>
      <c r="I1074" s="106" t="s">
        <v>19</v>
      </c>
      <c r="J1074" s="104" t="s">
        <v>4112</v>
      </c>
      <c r="K1074" s="103" t="s">
        <v>4113</v>
      </c>
    </row>
    <row r="1075" spans="1:11" ht="14.25" customHeight="1">
      <c r="A1075" s="104"/>
      <c r="B1075" s="104"/>
      <c r="C1075" s="140"/>
      <c r="D1075" s="116"/>
      <c r="E1075" s="116"/>
      <c r="F1075" s="116"/>
      <c r="G1075" s="116"/>
      <c r="H1075" s="116"/>
      <c r="I1075" s="116"/>
      <c r="J1075" s="116"/>
      <c r="K1075" s="103" t="s">
        <v>4114</v>
      </c>
    </row>
    <row r="1076" spans="1:11" ht="14.25" customHeight="1">
      <c r="A1076" s="104"/>
      <c r="B1076" s="104"/>
      <c r="C1076" s="140"/>
      <c r="D1076" s="104" t="s">
        <v>4115</v>
      </c>
      <c r="E1076" s="104" t="s">
        <v>4116</v>
      </c>
      <c r="F1076" s="104" t="s">
        <v>38</v>
      </c>
      <c r="G1076" s="104" t="s">
        <v>4117</v>
      </c>
      <c r="H1076" s="104" t="s">
        <v>4090</v>
      </c>
      <c r="I1076" s="106" t="s">
        <v>19</v>
      </c>
      <c r="J1076" s="104" t="s">
        <v>4118</v>
      </c>
      <c r="K1076" s="103" t="s">
        <v>4119</v>
      </c>
    </row>
    <row r="1077" spans="1:11" ht="14.25" customHeight="1">
      <c r="A1077" s="104"/>
      <c r="B1077" s="104"/>
      <c r="C1077" s="140"/>
      <c r="D1077" s="104"/>
      <c r="E1077" s="104"/>
      <c r="F1077" s="104"/>
      <c r="G1077" s="116"/>
      <c r="H1077" s="116"/>
      <c r="I1077" s="116"/>
      <c r="J1077" s="116"/>
      <c r="K1077" s="103" t="s">
        <v>4120</v>
      </c>
    </row>
    <row r="1078" spans="1:11" ht="14.25" customHeight="1">
      <c r="A1078" s="104"/>
      <c r="B1078" s="104"/>
      <c r="C1078" s="140"/>
      <c r="D1078" s="104"/>
      <c r="E1078" s="104"/>
      <c r="F1078" s="104"/>
      <c r="G1078" s="104" t="s">
        <v>4121</v>
      </c>
      <c r="H1078" s="104" t="s">
        <v>4096</v>
      </c>
      <c r="I1078" s="106" t="s">
        <v>19</v>
      </c>
      <c r="J1078" s="104" t="s">
        <v>4122</v>
      </c>
      <c r="K1078" s="103" t="s">
        <v>4123</v>
      </c>
    </row>
    <row r="1079" spans="1:11" ht="14.25" customHeight="1">
      <c r="A1079" s="104"/>
      <c r="B1079" s="104"/>
      <c r="C1079" s="140"/>
      <c r="D1079" s="116"/>
      <c r="E1079" s="116"/>
      <c r="F1079" s="116"/>
      <c r="G1079" s="116"/>
      <c r="H1079" s="116"/>
      <c r="I1079" s="116"/>
      <c r="J1079" s="116"/>
      <c r="K1079" s="103" t="s">
        <v>4124</v>
      </c>
    </row>
    <row r="1080" spans="1:11" ht="14.25" customHeight="1">
      <c r="A1080" s="104"/>
      <c r="B1080" s="104"/>
      <c r="C1080" s="140"/>
      <c r="D1080" s="104" t="s">
        <v>4125</v>
      </c>
      <c r="E1080" s="104" t="s">
        <v>4126</v>
      </c>
      <c r="F1080" s="104" t="s">
        <v>16</v>
      </c>
      <c r="G1080" s="104" t="s">
        <v>4127</v>
      </c>
      <c r="H1080" s="104" t="s">
        <v>4128</v>
      </c>
      <c r="I1080" s="106" t="s">
        <v>19</v>
      </c>
      <c r="J1080" s="104" t="s">
        <v>4129</v>
      </c>
      <c r="K1080" s="103" t="s">
        <v>4130</v>
      </c>
    </row>
    <row r="1081" spans="1:11" ht="14.25" customHeight="1">
      <c r="A1081" s="104"/>
      <c r="B1081" s="104"/>
      <c r="C1081" s="140"/>
      <c r="D1081" s="104"/>
      <c r="E1081" s="104"/>
      <c r="F1081" s="104"/>
      <c r="G1081" s="116"/>
      <c r="H1081" s="116"/>
      <c r="I1081" s="116"/>
      <c r="J1081" s="116"/>
      <c r="K1081" s="103" t="s">
        <v>4131</v>
      </c>
    </row>
    <row r="1082" spans="1:11" ht="14.25" customHeight="1">
      <c r="A1082" s="104"/>
      <c r="B1082" s="104"/>
      <c r="C1082" s="140"/>
      <c r="D1082" s="104"/>
      <c r="E1082" s="104"/>
      <c r="F1082" s="104"/>
      <c r="G1082" s="104" t="s">
        <v>4132</v>
      </c>
      <c r="H1082" s="104" t="s">
        <v>4108</v>
      </c>
      <c r="I1082" s="106" t="s">
        <v>19</v>
      </c>
      <c r="J1082" s="104" t="s">
        <v>4133</v>
      </c>
      <c r="K1082" s="103" t="s">
        <v>4134</v>
      </c>
    </row>
    <row r="1083" spans="1:11" ht="14.25" customHeight="1">
      <c r="A1083" s="104"/>
      <c r="B1083" s="104"/>
      <c r="C1083" s="140"/>
      <c r="D1083" s="116"/>
      <c r="E1083" s="116"/>
      <c r="F1083" s="116"/>
      <c r="G1083" s="116"/>
      <c r="H1083" s="116"/>
      <c r="I1083" s="116"/>
      <c r="J1083" s="116"/>
      <c r="K1083" s="103" t="s">
        <v>4135</v>
      </c>
    </row>
    <row r="1084" spans="1:11" ht="14.25" customHeight="1">
      <c r="A1084" s="104"/>
      <c r="B1084" s="104"/>
      <c r="C1084" s="140"/>
      <c r="D1084" s="104" t="s">
        <v>4136</v>
      </c>
      <c r="E1084" s="104" t="s">
        <v>4137</v>
      </c>
      <c r="F1084" s="104" t="s">
        <v>38</v>
      </c>
      <c r="G1084" s="104" t="s">
        <v>4138</v>
      </c>
      <c r="H1084" s="104" t="s">
        <v>4112</v>
      </c>
      <c r="I1084" s="106" t="s">
        <v>19</v>
      </c>
      <c r="J1084" s="104" t="s">
        <v>4139</v>
      </c>
      <c r="K1084" s="103" t="s">
        <v>4140</v>
      </c>
    </row>
    <row r="1085" spans="1:11" ht="14.25" customHeight="1">
      <c r="A1085" s="104"/>
      <c r="B1085" s="104"/>
      <c r="C1085" s="140"/>
      <c r="D1085" s="104"/>
      <c r="E1085" s="104"/>
      <c r="F1085" s="104"/>
      <c r="G1085" s="116"/>
      <c r="H1085" s="116"/>
      <c r="I1085" s="116"/>
      <c r="J1085" s="116"/>
      <c r="K1085" s="103" t="s">
        <v>4141</v>
      </c>
    </row>
    <row r="1086" spans="1:11" ht="14.25" customHeight="1">
      <c r="A1086" s="104"/>
      <c r="B1086" s="104"/>
      <c r="C1086" s="140"/>
      <c r="D1086" s="104"/>
      <c r="E1086" s="104"/>
      <c r="F1086" s="104"/>
      <c r="G1086" s="104" t="s">
        <v>4142</v>
      </c>
      <c r="H1086" s="104" t="s">
        <v>4118</v>
      </c>
      <c r="I1086" s="106" t="s">
        <v>19</v>
      </c>
      <c r="J1086" s="104" t="s">
        <v>4143</v>
      </c>
      <c r="K1086" s="103" t="s">
        <v>4144</v>
      </c>
    </row>
    <row r="1087" spans="1:11" ht="14.25" customHeight="1">
      <c r="A1087" s="104"/>
      <c r="B1087" s="104"/>
      <c r="C1087" s="140"/>
      <c r="D1087" s="116"/>
      <c r="E1087" s="116"/>
      <c r="F1087" s="116"/>
      <c r="G1087" s="116"/>
      <c r="H1087" s="116"/>
      <c r="I1087" s="116"/>
      <c r="J1087" s="116"/>
      <c r="K1087" s="103" t="s">
        <v>4145</v>
      </c>
    </row>
    <row r="1088" spans="1:11" ht="14.25" customHeight="1">
      <c r="A1088" s="104"/>
      <c r="B1088" s="104"/>
      <c r="C1088" s="140"/>
      <c r="D1088" s="104" t="s">
        <v>4146</v>
      </c>
      <c r="E1088" s="104" t="s">
        <v>4147</v>
      </c>
      <c r="F1088" s="104" t="s">
        <v>16</v>
      </c>
      <c r="G1088" s="104" t="s">
        <v>4148</v>
      </c>
      <c r="H1088" s="104" t="s">
        <v>4122</v>
      </c>
      <c r="I1088" s="106" t="s">
        <v>19</v>
      </c>
      <c r="J1088" s="104" t="s">
        <v>4149</v>
      </c>
      <c r="K1088" s="103" t="s">
        <v>4150</v>
      </c>
    </row>
    <row r="1089" spans="1:11" ht="14.25" customHeight="1">
      <c r="A1089" s="104"/>
      <c r="B1089" s="104"/>
      <c r="C1089" s="140"/>
      <c r="D1089" s="104"/>
      <c r="E1089" s="104"/>
      <c r="F1089" s="104"/>
      <c r="G1089" s="116"/>
      <c r="H1089" s="116"/>
      <c r="I1089" s="116"/>
      <c r="J1089" s="116"/>
      <c r="K1089" s="103" t="s">
        <v>4151</v>
      </c>
    </row>
    <row r="1090" spans="1:11" ht="14.25" customHeight="1">
      <c r="A1090" s="104"/>
      <c r="B1090" s="104"/>
      <c r="C1090" s="140"/>
      <c r="D1090" s="104"/>
      <c r="E1090" s="104"/>
      <c r="F1090" s="104"/>
      <c r="G1090" s="104" t="s">
        <v>4152</v>
      </c>
      <c r="H1090" s="104" t="s">
        <v>4129</v>
      </c>
      <c r="I1090" s="106" t="s">
        <v>19</v>
      </c>
      <c r="J1090" s="104" t="s">
        <v>4153</v>
      </c>
      <c r="K1090" s="103" t="s">
        <v>4154</v>
      </c>
    </row>
    <row r="1091" spans="1:11" ht="14.25" customHeight="1">
      <c r="A1091" s="104"/>
      <c r="B1091" s="104"/>
      <c r="C1091" s="141"/>
      <c r="D1091" s="116"/>
      <c r="E1091" s="116"/>
      <c r="F1091" s="116"/>
      <c r="G1091" s="116"/>
      <c r="H1091" s="116"/>
      <c r="I1091" s="116"/>
      <c r="J1091" s="116"/>
      <c r="K1091" s="103" t="s">
        <v>4155</v>
      </c>
    </row>
    <row r="1092" spans="1:11" ht="14.25" customHeight="1">
      <c r="A1092" s="104"/>
      <c r="B1092" s="104"/>
      <c r="C1092" s="139" t="s">
        <v>4156</v>
      </c>
      <c r="D1092" s="104" t="s">
        <v>4157</v>
      </c>
      <c r="E1092" s="104" t="s">
        <v>4158</v>
      </c>
      <c r="F1092" s="104" t="s">
        <v>38</v>
      </c>
      <c r="G1092" s="104" t="s">
        <v>4159</v>
      </c>
      <c r="H1092" s="104" t="s">
        <v>4133</v>
      </c>
      <c r="I1092" s="106" t="s">
        <v>19</v>
      </c>
      <c r="J1092" s="104" t="s">
        <v>4160</v>
      </c>
      <c r="K1092" s="103" t="s">
        <v>4161</v>
      </c>
    </row>
    <row r="1093" spans="1:11" ht="14.25" customHeight="1">
      <c r="A1093" s="104"/>
      <c r="B1093" s="104"/>
      <c r="C1093" s="140"/>
      <c r="D1093" s="104"/>
      <c r="E1093" s="104"/>
      <c r="F1093" s="104"/>
      <c r="G1093" s="116"/>
      <c r="H1093" s="116"/>
      <c r="I1093" s="116"/>
      <c r="J1093" s="116"/>
      <c r="K1093" s="103" t="s">
        <v>4162</v>
      </c>
    </row>
    <row r="1094" spans="1:11" ht="14.25" customHeight="1">
      <c r="A1094" s="104"/>
      <c r="B1094" s="104"/>
      <c r="C1094" s="140"/>
      <c r="D1094" s="104"/>
      <c r="E1094" s="104"/>
      <c r="F1094" s="104"/>
      <c r="G1094" s="104" t="s">
        <v>4163</v>
      </c>
      <c r="H1094" s="104" t="s">
        <v>4139</v>
      </c>
      <c r="I1094" s="106" t="s">
        <v>19</v>
      </c>
      <c r="J1094" s="104" t="s">
        <v>4164</v>
      </c>
      <c r="K1094" s="103" t="s">
        <v>4165</v>
      </c>
    </row>
    <row r="1095" spans="1:11" ht="14.25" customHeight="1">
      <c r="A1095" s="104"/>
      <c r="B1095" s="104"/>
      <c r="C1095" s="140"/>
      <c r="D1095" s="116"/>
      <c r="E1095" s="116"/>
      <c r="F1095" s="116"/>
      <c r="G1095" s="116"/>
      <c r="H1095" s="116"/>
      <c r="I1095" s="116"/>
      <c r="J1095" s="116"/>
      <c r="K1095" s="103" t="s">
        <v>4166</v>
      </c>
    </row>
    <row r="1096" spans="1:11" ht="14.25" customHeight="1">
      <c r="A1096" s="104"/>
      <c r="B1096" s="104"/>
      <c r="C1096" s="140"/>
      <c r="D1096" s="104" t="s">
        <v>4167</v>
      </c>
      <c r="E1096" s="104" t="s">
        <v>4168</v>
      </c>
      <c r="F1096" s="104" t="s">
        <v>16</v>
      </c>
      <c r="G1096" s="104" t="s">
        <v>4169</v>
      </c>
      <c r="H1096" s="104" t="s">
        <v>4143</v>
      </c>
      <c r="I1096" s="106" t="s">
        <v>19</v>
      </c>
      <c r="J1096" s="104" t="s">
        <v>4170</v>
      </c>
      <c r="K1096" s="103" t="s">
        <v>3742</v>
      </c>
    </row>
    <row r="1097" spans="1:11" ht="14.25" customHeight="1">
      <c r="A1097" s="104"/>
      <c r="B1097" s="104"/>
      <c r="C1097" s="140"/>
      <c r="D1097" s="104"/>
      <c r="E1097" s="104"/>
      <c r="F1097" s="104"/>
      <c r="G1097" s="116"/>
      <c r="H1097" s="116"/>
      <c r="I1097" s="116"/>
      <c r="J1097" s="116"/>
      <c r="K1097" s="103" t="s">
        <v>4171</v>
      </c>
    </row>
    <row r="1098" spans="1:11" ht="14.25" customHeight="1">
      <c r="A1098" s="104"/>
      <c r="B1098" s="104"/>
      <c r="C1098" s="140"/>
      <c r="D1098" s="104"/>
      <c r="E1098" s="104"/>
      <c r="F1098" s="104"/>
      <c r="G1098" s="104" t="s">
        <v>4172</v>
      </c>
      <c r="H1098" s="104" t="s">
        <v>4149</v>
      </c>
      <c r="I1098" s="106" t="s">
        <v>19</v>
      </c>
      <c r="J1098" s="104" t="s">
        <v>4173</v>
      </c>
      <c r="K1098" s="103" t="s">
        <v>4174</v>
      </c>
    </row>
    <row r="1099" spans="1:11" ht="14.25" customHeight="1">
      <c r="A1099" s="104"/>
      <c r="B1099" s="104"/>
      <c r="C1099" s="140"/>
      <c r="D1099" s="116"/>
      <c r="E1099" s="116"/>
      <c r="F1099" s="116"/>
      <c r="G1099" s="116"/>
      <c r="H1099" s="116"/>
      <c r="I1099" s="116"/>
      <c r="J1099" s="116"/>
      <c r="K1099" s="103" t="s">
        <v>4175</v>
      </c>
    </row>
    <row r="1100" spans="1:11" ht="14.25" customHeight="1">
      <c r="A1100" s="104"/>
      <c r="B1100" s="104"/>
      <c r="C1100" s="140"/>
      <c r="D1100" s="104" t="s">
        <v>4176</v>
      </c>
      <c r="E1100" s="104" t="s">
        <v>4177</v>
      </c>
      <c r="F1100" s="104" t="s">
        <v>38</v>
      </c>
      <c r="G1100" s="104" t="s">
        <v>4178</v>
      </c>
      <c r="H1100" s="104" t="s">
        <v>4153</v>
      </c>
      <c r="I1100" s="106" t="s">
        <v>19</v>
      </c>
      <c r="J1100" s="104" t="s">
        <v>4179</v>
      </c>
      <c r="K1100" s="103" t="s">
        <v>4180</v>
      </c>
    </row>
    <row r="1101" spans="1:11" ht="14.25" customHeight="1">
      <c r="A1101" s="104"/>
      <c r="B1101" s="104"/>
      <c r="C1101" s="140"/>
      <c r="D1101" s="104"/>
      <c r="E1101" s="104"/>
      <c r="F1101" s="104"/>
      <c r="G1101" s="116"/>
      <c r="H1101" s="116"/>
      <c r="I1101" s="116"/>
      <c r="J1101" s="116"/>
      <c r="K1101" s="103" t="s">
        <v>4181</v>
      </c>
    </row>
    <row r="1102" spans="1:11" ht="14.25" customHeight="1">
      <c r="A1102" s="104"/>
      <c r="B1102" s="104"/>
      <c r="C1102" s="140"/>
      <c r="D1102" s="104"/>
      <c r="E1102" s="104"/>
      <c r="F1102" s="104"/>
      <c r="G1102" s="104" t="s">
        <v>4182</v>
      </c>
      <c r="H1102" s="104" t="s">
        <v>4160</v>
      </c>
      <c r="I1102" s="106" t="s">
        <v>19</v>
      </c>
      <c r="J1102" s="104" t="s">
        <v>4183</v>
      </c>
      <c r="K1102" s="103" t="s">
        <v>4184</v>
      </c>
    </row>
    <row r="1103" spans="1:11" ht="14.25" customHeight="1">
      <c r="A1103" s="104"/>
      <c r="B1103" s="104"/>
      <c r="C1103" s="140"/>
      <c r="D1103" s="116"/>
      <c r="E1103" s="116"/>
      <c r="F1103" s="116"/>
      <c r="G1103" s="116"/>
      <c r="H1103" s="116"/>
      <c r="I1103" s="116"/>
      <c r="J1103" s="116"/>
      <c r="K1103" s="103" t="s">
        <v>4185</v>
      </c>
    </row>
    <row r="1104" spans="1:11" ht="14.25" customHeight="1">
      <c r="A1104" s="104"/>
      <c r="B1104" s="104"/>
      <c r="C1104" s="140"/>
      <c r="D1104" s="104" t="s">
        <v>4186</v>
      </c>
      <c r="E1104" s="104" t="s">
        <v>4187</v>
      </c>
      <c r="F1104" s="104" t="s">
        <v>16</v>
      </c>
      <c r="G1104" s="104" t="s">
        <v>4188</v>
      </c>
      <c r="H1104" s="104" t="s">
        <v>4164</v>
      </c>
      <c r="I1104" s="106" t="s">
        <v>19</v>
      </c>
      <c r="J1104" s="104" t="s">
        <v>4189</v>
      </c>
      <c r="K1104" s="103" t="s">
        <v>4190</v>
      </c>
    </row>
    <row r="1105" spans="1:11" ht="14.25" customHeight="1">
      <c r="A1105" s="104"/>
      <c r="B1105" s="104"/>
      <c r="C1105" s="140"/>
      <c r="D1105" s="104"/>
      <c r="E1105" s="104"/>
      <c r="F1105" s="104"/>
      <c r="G1105" s="116"/>
      <c r="H1105" s="116"/>
      <c r="I1105" s="116"/>
      <c r="J1105" s="116"/>
      <c r="K1105" s="103" t="s">
        <v>4191</v>
      </c>
    </row>
    <row r="1106" spans="1:11" ht="14.25" customHeight="1">
      <c r="A1106" s="104"/>
      <c r="B1106" s="104"/>
      <c r="C1106" s="140"/>
      <c r="D1106" s="104"/>
      <c r="E1106" s="104"/>
      <c r="F1106" s="104"/>
      <c r="G1106" s="104" t="s">
        <v>4192</v>
      </c>
      <c r="H1106" s="104" t="s">
        <v>4170</v>
      </c>
      <c r="I1106" s="106" t="s">
        <v>19</v>
      </c>
      <c r="J1106" s="104" t="s">
        <v>4193</v>
      </c>
      <c r="K1106" s="103" t="s">
        <v>4194</v>
      </c>
    </row>
    <row r="1107" spans="1:11" ht="14.25" customHeight="1">
      <c r="A1107" s="104"/>
      <c r="B1107" s="104"/>
      <c r="C1107" s="140"/>
      <c r="D1107" s="116"/>
      <c r="E1107" s="116"/>
      <c r="F1107" s="116"/>
      <c r="G1107" s="116"/>
      <c r="H1107" s="116"/>
      <c r="I1107" s="116"/>
      <c r="J1107" s="116"/>
      <c r="K1107" s="103" t="s">
        <v>4195</v>
      </c>
    </row>
    <row r="1108" spans="1:11" ht="14.25" customHeight="1">
      <c r="A1108" s="104"/>
      <c r="B1108" s="104"/>
      <c r="C1108" s="140"/>
      <c r="D1108" s="104" t="s">
        <v>4196</v>
      </c>
      <c r="E1108" s="104" t="s">
        <v>4197</v>
      </c>
      <c r="F1108" s="104" t="s">
        <v>16</v>
      </c>
      <c r="G1108" s="104" t="s">
        <v>4198</v>
      </c>
      <c r="H1108" s="104" t="s">
        <v>4173</v>
      </c>
      <c r="I1108" s="106" t="s">
        <v>19</v>
      </c>
      <c r="J1108" s="104" t="s">
        <v>4199</v>
      </c>
      <c r="K1108" s="103" t="s">
        <v>4200</v>
      </c>
    </row>
    <row r="1109" spans="1:11" ht="14.25" customHeight="1">
      <c r="A1109" s="104"/>
      <c r="B1109" s="104"/>
      <c r="C1109" s="140"/>
      <c r="D1109" s="104"/>
      <c r="E1109" s="104"/>
      <c r="F1109" s="104"/>
      <c r="G1109" s="116"/>
      <c r="H1109" s="116"/>
      <c r="I1109" s="116"/>
      <c r="J1109" s="116"/>
      <c r="K1109" s="103" t="s">
        <v>2706</v>
      </c>
    </row>
    <row r="1110" spans="1:11" ht="14.25" customHeight="1">
      <c r="A1110" s="104"/>
      <c r="B1110" s="104"/>
      <c r="C1110" s="140"/>
      <c r="D1110" s="104"/>
      <c r="E1110" s="104"/>
      <c r="F1110" s="104"/>
      <c r="G1110" s="104" t="s">
        <v>4201</v>
      </c>
      <c r="H1110" s="104" t="s">
        <v>4202</v>
      </c>
      <c r="I1110" s="106" t="s">
        <v>19</v>
      </c>
      <c r="J1110" s="104" t="s">
        <v>4203</v>
      </c>
      <c r="K1110" s="103" t="s">
        <v>4204</v>
      </c>
    </row>
    <row r="1111" spans="1:11" ht="14.25" customHeight="1">
      <c r="A1111" s="104"/>
      <c r="B1111" s="104"/>
      <c r="C1111" s="141"/>
      <c r="D1111" s="116"/>
      <c r="E1111" s="116"/>
      <c r="F1111" s="116"/>
      <c r="G1111" s="116"/>
      <c r="H1111" s="116"/>
      <c r="I1111" s="116"/>
      <c r="J1111" s="116"/>
      <c r="K1111" s="103" t="s">
        <v>4205</v>
      </c>
    </row>
    <row r="1112" spans="1:11" ht="14.25" customHeight="1">
      <c r="A1112" s="104"/>
      <c r="B1112" s="104"/>
      <c r="C1112" s="139" t="s">
        <v>4206</v>
      </c>
      <c r="D1112" s="104" t="s">
        <v>4207</v>
      </c>
      <c r="E1112" s="104" t="s">
        <v>4208</v>
      </c>
      <c r="F1112" s="104" t="s">
        <v>38</v>
      </c>
      <c r="G1112" s="104" t="s">
        <v>4209</v>
      </c>
      <c r="H1112" s="104" t="s">
        <v>4183</v>
      </c>
      <c r="I1112" s="106" t="s">
        <v>19</v>
      </c>
      <c r="J1112" s="104" t="s">
        <v>4210</v>
      </c>
      <c r="K1112" s="103" t="s">
        <v>4211</v>
      </c>
    </row>
    <row r="1113" spans="1:11" ht="14.25" customHeight="1">
      <c r="A1113" s="104"/>
      <c r="B1113" s="104"/>
      <c r="C1113" s="140"/>
      <c r="D1113" s="104"/>
      <c r="E1113" s="104"/>
      <c r="F1113" s="104"/>
      <c r="G1113" s="116"/>
      <c r="H1113" s="116"/>
      <c r="I1113" s="116"/>
      <c r="J1113" s="116"/>
      <c r="K1113" s="103" t="s">
        <v>4212</v>
      </c>
    </row>
    <row r="1114" spans="1:11" ht="14.25" customHeight="1">
      <c r="A1114" s="104"/>
      <c r="B1114" s="104"/>
      <c r="C1114" s="140"/>
      <c r="D1114" s="104"/>
      <c r="E1114" s="104"/>
      <c r="F1114" s="104"/>
      <c r="G1114" s="104" t="s">
        <v>4213</v>
      </c>
      <c r="H1114" s="104" t="s">
        <v>4214</v>
      </c>
      <c r="I1114" s="106" t="s">
        <v>19</v>
      </c>
      <c r="J1114" s="104" t="s">
        <v>4215</v>
      </c>
      <c r="K1114" s="103" t="s">
        <v>4216</v>
      </c>
    </row>
    <row r="1115" spans="1:11" ht="14.25" customHeight="1">
      <c r="A1115" s="104"/>
      <c r="B1115" s="104"/>
      <c r="C1115" s="140"/>
      <c r="D1115" s="116"/>
      <c r="E1115" s="116"/>
      <c r="F1115" s="116"/>
      <c r="G1115" s="116"/>
      <c r="H1115" s="116"/>
      <c r="I1115" s="116"/>
      <c r="J1115" s="116"/>
      <c r="K1115" s="103" t="s">
        <v>4217</v>
      </c>
    </row>
    <row r="1116" spans="1:11" ht="14.25" customHeight="1">
      <c r="A1116" s="104"/>
      <c r="B1116" s="104"/>
      <c r="C1116" s="140"/>
      <c r="D1116" s="104" t="s">
        <v>4218</v>
      </c>
      <c r="E1116" s="104" t="s">
        <v>4219</v>
      </c>
      <c r="F1116" s="104" t="s">
        <v>16</v>
      </c>
      <c r="G1116" s="104" t="s">
        <v>4220</v>
      </c>
      <c r="H1116" s="104" t="s">
        <v>4221</v>
      </c>
      <c r="I1116" s="106" t="s">
        <v>19</v>
      </c>
      <c r="J1116" s="104" t="s">
        <v>4222</v>
      </c>
      <c r="K1116" s="103" t="s">
        <v>4223</v>
      </c>
    </row>
    <row r="1117" spans="1:11" ht="14.25" customHeight="1">
      <c r="A1117" s="104"/>
      <c r="B1117" s="104"/>
      <c r="C1117" s="140"/>
      <c r="D1117" s="104"/>
      <c r="E1117" s="104"/>
      <c r="F1117" s="104"/>
      <c r="G1117" s="116"/>
      <c r="H1117" s="116"/>
      <c r="I1117" s="116"/>
      <c r="J1117" s="116"/>
      <c r="K1117" s="103" t="s">
        <v>4224</v>
      </c>
    </row>
    <row r="1118" spans="1:11" ht="14.25" customHeight="1">
      <c r="A1118" s="104"/>
      <c r="B1118" s="104"/>
      <c r="C1118" s="140"/>
      <c r="D1118" s="104"/>
      <c r="E1118" s="104"/>
      <c r="F1118" s="104"/>
      <c r="G1118" s="104" t="s">
        <v>4225</v>
      </c>
      <c r="H1118" s="104" t="s">
        <v>4226</v>
      </c>
      <c r="I1118" s="106" t="s">
        <v>19</v>
      </c>
      <c r="J1118" s="104" t="s">
        <v>4227</v>
      </c>
      <c r="K1118" s="103" t="s">
        <v>4228</v>
      </c>
    </row>
    <row r="1119" spans="1:11" ht="14.25" customHeight="1">
      <c r="A1119" s="104"/>
      <c r="B1119" s="104"/>
      <c r="C1119" s="140"/>
      <c r="D1119" s="116"/>
      <c r="E1119" s="116"/>
      <c r="F1119" s="116"/>
      <c r="G1119" s="116"/>
      <c r="H1119" s="116"/>
      <c r="I1119" s="116"/>
      <c r="J1119" s="116"/>
      <c r="K1119" s="103" t="s">
        <v>4229</v>
      </c>
    </row>
    <row r="1120" spans="1:11" ht="14.25" customHeight="1">
      <c r="A1120" s="104"/>
      <c r="B1120" s="104"/>
      <c r="C1120" s="140"/>
      <c r="D1120" s="104" t="s">
        <v>4230</v>
      </c>
      <c r="E1120" s="104" t="s">
        <v>4231</v>
      </c>
      <c r="F1120" s="104" t="s">
        <v>16</v>
      </c>
      <c r="G1120" s="104" t="s">
        <v>4232</v>
      </c>
      <c r="H1120" s="104" t="s">
        <v>4233</v>
      </c>
      <c r="I1120" s="105" t="s">
        <v>41</v>
      </c>
      <c r="J1120" s="104" t="s">
        <v>4234</v>
      </c>
      <c r="K1120" s="103" t="s">
        <v>4235</v>
      </c>
    </row>
    <row r="1121" spans="1:11" ht="14.25" customHeight="1">
      <c r="A1121" s="104"/>
      <c r="B1121" s="104"/>
      <c r="C1121" s="140"/>
      <c r="D1121" s="104"/>
      <c r="E1121" s="104"/>
      <c r="F1121" s="104"/>
      <c r="G1121" s="116"/>
      <c r="H1121" s="116"/>
      <c r="I1121" s="116"/>
      <c r="J1121" s="116"/>
      <c r="K1121" s="103" t="s">
        <v>4236</v>
      </c>
    </row>
    <row r="1122" spans="1:11" ht="14.25" customHeight="1">
      <c r="A1122" s="104"/>
      <c r="B1122" s="104"/>
      <c r="C1122" s="140"/>
      <c r="D1122" s="104"/>
      <c r="E1122" s="104"/>
      <c r="F1122" s="104"/>
      <c r="G1122" s="104" t="s">
        <v>4237</v>
      </c>
      <c r="H1122" s="104" t="s">
        <v>4238</v>
      </c>
      <c r="I1122" s="105" t="s">
        <v>41</v>
      </c>
      <c r="J1122" s="104" t="s">
        <v>4239</v>
      </c>
      <c r="K1122" s="103" t="s">
        <v>4240</v>
      </c>
    </row>
    <row r="1123" spans="1:11" ht="14.25" customHeight="1">
      <c r="A1123" s="104"/>
      <c r="B1123" s="104"/>
      <c r="C1123" s="140"/>
      <c r="D1123" s="116"/>
      <c r="E1123" s="116"/>
      <c r="F1123" s="116"/>
      <c r="G1123" s="116"/>
      <c r="H1123" s="116"/>
      <c r="I1123" s="116"/>
      <c r="J1123" s="116"/>
      <c r="K1123" s="103" t="s">
        <v>4241</v>
      </c>
    </row>
    <row r="1124" spans="1:11" ht="14.25" customHeight="1">
      <c r="A1124" s="104"/>
      <c r="B1124" s="104"/>
      <c r="C1124" s="140"/>
      <c r="D1124" s="104" t="s">
        <v>4242</v>
      </c>
      <c r="E1124" s="104" t="s">
        <v>4243</v>
      </c>
      <c r="F1124" s="104" t="s">
        <v>16</v>
      </c>
      <c r="G1124" s="104" t="s">
        <v>4244</v>
      </c>
      <c r="H1124" s="104" t="s">
        <v>4245</v>
      </c>
      <c r="I1124" s="106" t="s">
        <v>19</v>
      </c>
      <c r="J1124" s="104" t="s">
        <v>4246</v>
      </c>
      <c r="K1124" s="103" t="s">
        <v>4247</v>
      </c>
    </row>
    <row r="1125" spans="1:11" ht="14.25" customHeight="1">
      <c r="A1125" s="104"/>
      <c r="B1125" s="104"/>
      <c r="C1125" s="140"/>
      <c r="D1125" s="104"/>
      <c r="E1125" s="104"/>
      <c r="F1125" s="104"/>
      <c r="G1125" s="116"/>
      <c r="H1125" s="116"/>
      <c r="I1125" s="116"/>
      <c r="J1125" s="116"/>
      <c r="K1125" s="103" t="s">
        <v>4248</v>
      </c>
    </row>
    <row r="1126" spans="1:11" ht="14.25" customHeight="1">
      <c r="A1126" s="104"/>
      <c r="B1126" s="104"/>
      <c r="C1126" s="140"/>
      <c r="D1126" s="104"/>
      <c r="E1126" s="104"/>
      <c r="F1126" s="104"/>
      <c r="G1126" s="104" t="s">
        <v>4249</v>
      </c>
      <c r="H1126" s="104" t="s">
        <v>4250</v>
      </c>
      <c r="I1126" s="106" t="s">
        <v>19</v>
      </c>
      <c r="J1126" s="104" t="s">
        <v>4251</v>
      </c>
      <c r="K1126" s="103" t="s">
        <v>4252</v>
      </c>
    </row>
    <row r="1127" spans="1:11" ht="14.25" customHeight="1">
      <c r="A1127" s="104"/>
      <c r="B1127" s="104"/>
      <c r="C1127" s="140"/>
      <c r="D1127" s="116"/>
      <c r="E1127" s="116"/>
      <c r="F1127" s="116"/>
      <c r="G1127" s="116"/>
      <c r="H1127" s="116"/>
      <c r="I1127" s="116"/>
      <c r="J1127" s="116"/>
      <c r="K1127" s="103" t="s">
        <v>4253</v>
      </c>
    </row>
    <row r="1128" spans="1:11" ht="14.25" customHeight="1">
      <c r="A1128" s="104"/>
      <c r="B1128" s="104"/>
      <c r="C1128" s="140"/>
      <c r="D1128" s="104" t="s">
        <v>4254</v>
      </c>
      <c r="E1128" s="104" t="s">
        <v>4255</v>
      </c>
      <c r="F1128" s="104" t="s">
        <v>16</v>
      </c>
      <c r="G1128" s="104" t="s">
        <v>4256</v>
      </c>
      <c r="H1128" s="104" t="s">
        <v>4257</v>
      </c>
      <c r="I1128" s="106" t="s">
        <v>19</v>
      </c>
      <c r="J1128" s="104" t="s">
        <v>4258</v>
      </c>
      <c r="K1128" s="103" t="s">
        <v>4259</v>
      </c>
    </row>
    <row r="1129" spans="1:11" ht="14.25" customHeight="1">
      <c r="A1129" s="104"/>
      <c r="B1129" s="104"/>
      <c r="C1129" s="140"/>
      <c r="D1129" s="104"/>
      <c r="E1129" s="104"/>
      <c r="F1129" s="104"/>
      <c r="G1129" s="116"/>
      <c r="H1129" s="116"/>
      <c r="I1129" s="116"/>
      <c r="J1129" s="116"/>
      <c r="K1129" s="103" t="s">
        <v>4260</v>
      </c>
    </row>
    <row r="1130" spans="1:11" ht="14.25" customHeight="1">
      <c r="A1130" s="104"/>
      <c r="B1130" s="104"/>
      <c r="C1130" s="140"/>
      <c r="D1130" s="104"/>
      <c r="E1130" s="104"/>
      <c r="F1130" s="104"/>
      <c r="G1130" s="104" t="s">
        <v>4261</v>
      </c>
      <c r="H1130" s="104" t="s">
        <v>4262</v>
      </c>
      <c r="I1130" s="106" t="s">
        <v>19</v>
      </c>
      <c r="J1130" s="104" t="s">
        <v>4263</v>
      </c>
      <c r="K1130" s="103" t="s">
        <v>4264</v>
      </c>
    </row>
    <row r="1131" spans="1:11" ht="14.25" customHeight="1">
      <c r="A1131" s="104"/>
      <c r="B1131" s="104"/>
      <c r="C1131" s="141"/>
      <c r="D1131" s="116"/>
      <c r="E1131" s="116"/>
      <c r="F1131" s="116"/>
      <c r="G1131" s="116"/>
      <c r="H1131" s="116"/>
      <c r="I1131" s="116"/>
      <c r="J1131" s="116"/>
      <c r="K1131" s="103" t="s">
        <v>4265</v>
      </c>
    </row>
    <row r="1132" spans="1:11" ht="14.25" customHeight="1">
      <c r="A1132" s="104"/>
      <c r="B1132" s="104"/>
      <c r="C1132" s="140" t="s">
        <v>4266</v>
      </c>
      <c r="D1132" s="104" t="s">
        <v>4267</v>
      </c>
      <c r="E1132" s="104" t="s">
        <v>4268</v>
      </c>
      <c r="F1132" s="104" t="s">
        <v>16</v>
      </c>
      <c r="G1132" s="104" t="s">
        <v>4269</v>
      </c>
      <c r="H1132" s="104" t="s">
        <v>4270</v>
      </c>
      <c r="I1132" s="106" t="s">
        <v>19</v>
      </c>
      <c r="J1132" s="104" t="s">
        <v>4271</v>
      </c>
      <c r="K1132" s="103" t="s">
        <v>4272</v>
      </c>
    </row>
    <row r="1133" spans="1:11" ht="14.25" customHeight="1">
      <c r="A1133" s="104"/>
      <c r="B1133" s="104"/>
      <c r="C1133" s="140"/>
      <c r="D1133" s="104"/>
      <c r="E1133" s="104"/>
      <c r="F1133" s="104"/>
      <c r="G1133" s="116"/>
      <c r="H1133" s="116"/>
      <c r="I1133" s="116"/>
      <c r="J1133" s="116"/>
      <c r="K1133" s="103" t="s">
        <v>4273</v>
      </c>
    </row>
    <row r="1134" spans="1:11" ht="14.25" customHeight="1">
      <c r="A1134" s="104"/>
      <c r="B1134" s="104"/>
      <c r="C1134" s="140"/>
      <c r="D1134" s="104"/>
      <c r="E1134" s="104"/>
      <c r="F1134" s="104"/>
      <c r="G1134" s="104" t="s">
        <v>4274</v>
      </c>
      <c r="H1134" s="104" t="s">
        <v>4275</v>
      </c>
      <c r="I1134" s="106" t="s">
        <v>19</v>
      </c>
      <c r="J1134" s="104" t="s">
        <v>4276</v>
      </c>
      <c r="K1134" s="103" t="s">
        <v>4277</v>
      </c>
    </row>
    <row r="1135" spans="1:11" ht="14.25" customHeight="1">
      <c r="A1135" s="104"/>
      <c r="B1135" s="104"/>
      <c r="C1135" s="140"/>
      <c r="D1135" s="116"/>
      <c r="E1135" s="116"/>
      <c r="F1135" s="116"/>
      <c r="G1135" s="116"/>
      <c r="H1135" s="116"/>
      <c r="I1135" s="116"/>
      <c r="J1135" s="116"/>
      <c r="K1135" s="103" t="s">
        <v>4278</v>
      </c>
    </row>
    <row r="1136" spans="1:11" ht="14.25" customHeight="1">
      <c r="A1136" s="104"/>
      <c r="B1136" s="104"/>
      <c r="C1136" s="140"/>
      <c r="D1136" s="104" t="s">
        <v>4279</v>
      </c>
      <c r="E1136" s="104" t="s">
        <v>4280</v>
      </c>
      <c r="F1136" s="104" t="s">
        <v>16</v>
      </c>
      <c r="G1136" s="104" t="s">
        <v>4281</v>
      </c>
      <c r="H1136" s="104" t="s">
        <v>4282</v>
      </c>
      <c r="I1136" s="106" t="s">
        <v>19</v>
      </c>
      <c r="J1136" s="104" t="s">
        <v>4283</v>
      </c>
      <c r="K1136" s="103" t="s">
        <v>4284</v>
      </c>
    </row>
    <row r="1137" spans="1:11" ht="14.25" customHeight="1">
      <c r="A1137" s="104"/>
      <c r="B1137" s="104"/>
      <c r="C1137" s="140"/>
      <c r="D1137" s="104"/>
      <c r="E1137" s="104"/>
      <c r="F1137" s="104"/>
      <c r="G1137" s="116"/>
      <c r="H1137" s="116"/>
      <c r="I1137" s="116"/>
      <c r="J1137" s="116"/>
      <c r="K1137" s="103" t="s">
        <v>4285</v>
      </c>
    </row>
    <row r="1138" spans="1:11" ht="14.25" customHeight="1">
      <c r="A1138" s="104"/>
      <c r="B1138" s="104"/>
      <c r="C1138" s="140"/>
      <c r="D1138" s="104"/>
      <c r="E1138" s="104"/>
      <c r="F1138" s="104"/>
      <c r="G1138" s="104" t="s">
        <v>4286</v>
      </c>
      <c r="H1138" s="104" t="s">
        <v>4287</v>
      </c>
      <c r="I1138" s="106" t="s">
        <v>19</v>
      </c>
      <c r="J1138" s="104" t="s">
        <v>4288</v>
      </c>
      <c r="K1138" s="103" t="s">
        <v>4289</v>
      </c>
    </row>
    <row r="1139" spans="1:11" ht="14.25" customHeight="1">
      <c r="A1139" s="104"/>
      <c r="B1139" s="104"/>
      <c r="C1139" s="140"/>
      <c r="D1139" s="116"/>
      <c r="E1139" s="116"/>
      <c r="F1139" s="116"/>
      <c r="G1139" s="116"/>
      <c r="H1139" s="116"/>
      <c r="I1139" s="116"/>
      <c r="J1139" s="116"/>
      <c r="K1139" s="103" t="s">
        <v>4290</v>
      </c>
    </row>
    <row r="1140" spans="1:11" ht="14.25" customHeight="1">
      <c r="A1140" s="104"/>
      <c r="B1140" s="104"/>
      <c r="C1140" s="140"/>
      <c r="D1140" s="104" t="s">
        <v>4291</v>
      </c>
      <c r="E1140" s="104" t="s">
        <v>4292</v>
      </c>
      <c r="F1140" s="104" t="s">
        <v>16</v>
      </c>
      <c r="G1140" s="104" t="s">
        <v>4293</v>
      </c>
      <c r="H1140" s="104" t="s">
        <v>4294</v>
      </c>
      <c r="I1140" s="106" t="s">
        <v>19</v>
      </c>
      <c r="J1140" s="104" t="s">
        <v>4295</v>
      </c>
      <c r="K1140" s="103" t="s">
        <v>4296</v>
      </c>
    </row>
    <row r="1141" spans="1:11" ht="14.25" customHeight="1">
      <c r="A1141" s="104"/>
      <c r="B1141" s="104"/>
      <c r="C1141" s="140"/>
      <c r="D1141" s="104"/>
      <c r="E1141" s="104"/>
      <c r="F1141" s="104"/>
      <c r="G1141" s="116"/>
      <c r="H1141" s="116"/>
      <c r="I1141" s="116"/>
      <c r="J1141" s="116"/>
      <c r="K1141" s="103" t="s">
        <v>4297</v>
      </c>
    </row>
    <row r="1142" spans="1:11" ht="14.25" customHeight="1">
      <c r="A1142" s="104"/>
      <c r="B1142" s="104"/>
      <c r="C1142" s="140"/>
      <c r="D1142" s="104"/>
      <c r="E1142" s="104"/>
      <c r="F1142" s="104"/>
      <c r="G1142" s="104" t="s">
        <v>4298</v>
      </c>
      <c r="H1142" s="104" t="s">
        <v>4299</v>
      </c>
      <c r="I1142" s="106" t="s">
        <v>19</v>
      </c>
      <c r="J1142" s="104" t="s">
        <v>4300</v>
      </c>
      <c r="K1142" s="103" t="s">
        <v>4301</v>
      </c>
    </row>
    <row r="1143" spans="1:11" ht="14.25" customHeight="1">
      <c r="A1143" s="104"/>
      <c r="B1143" s="104"/>
      <c r="C1143" s="140"/>
      <c r="D1143" s="116"/>
      <c r="E1143" s="116"/>
      <c r="F1143" s="116"/>
      <c r="G1143" s="116"/>
      <c r="H1143" s="116"/>
      <c r="I1143" s="116"/>
      <c r="J1143" s="116"/>
      <c r="K1143" s="103" t="s">
        <v>4302</v>
      </c>
    </row>
    <row r="1144" spans="1:11" ht="14.25" customHeight="1">
      <c r="A1144" s="104"/>
      <c r="B1144" s="104"/>
      <c r="C1144" s="140"/>
      <c r="D1144" s="104" t="s">
        <v>4303</v>
      </c>
      <c r="E1144" s="104" t="s">
        <v>4304</v>
      </c>
      <c r="F1144" s="104" t="s">
        <v>16</v>
      </c>
      <c r="G1144" s="104" t="s">
        <v>4305</v>
      </c>
      <c r="H1144" s="104" t="s">
        <v>4306</v>
      </c>
      <c r="I1144" s="105" t="s">
        <v>41</v>
      </c>
      <c r="J1144" s="104" t="s">
        <v>4307</v>
      </c>
      <c r="K1144" s="103" t="s">
        <v>4308</v>
      </c>
    </row>
    <row r="1145" spans="1:11" ht="14.25" customHeight="1">
      <c r="A1145" s="104"/>
      <c r="B1145" s="104"/>
      <c r="C1145" s="140"/>
      <c r="D1145" s="104"/>
      <c r="E1145" s="104"/>
      <c r="F1145" s="104"/>
      <c r="G1145" s="116"/>
      <c r="H1145" s="116"/>
      <c r="I1145" s="116"/>
      <c r="J1145" s="116"/>
      <c r="K1145" s="103" t="s">
        <v>4309</v>
      </c>
    </row>
    <row r="1146" spans="1:11" ht="14.25" customHeight="1">
      <c r="A1146" s="104"/>
      <c r="B1146" s="104"/>
      <c r="C1146" s="140"/>
      <c r="D1146" s="104"/>
      <c r="E1146" s="104"/>
      <c r="F1146" s="104"/>
      <c r="G1146" s="104" t="s">
        <v>4310</v>
      </c>
      <c r="H1146" s="104" t="s">
        <v>4311</v>
      </c>
      <c r="I1146" s="105" t="s">
        <v>41</v>
      </c>
      <c r="J1146" s="104" t="s">
        <v>4312</v>
      </c>
      <c r="K1146" s="103" t="s">
        <v>4313</v>
      </c>
    </row>
    <row r="1147" spans="1:11" ht="14.25" customHeight="1">
      <c r="A1147" s="104"/>
      <c r="B1147" s="104"/>
      <c r="C1147" s="140"/>
      <c r="D1147" s="116"/>
      <c r="E1147" s="116"/>
      <c r="F1147" s="116"/>
      <c r="G1147" s="116"/>
      <c r="H1147" s="116"/>
      <c r="I1147" s="116"/>
      <c r="J1147" s="116"/>
      <c r="K1147" s="103" t="s">
        <v>4314</v>
      </c>
    </row>
    <row r="1148" spans="1:11" ht="14.25" customHeight="1">
      <c r="A1148" s="104"/>
      <c r="B1148" s="104"/>
      <c r="C1148" s="140"/>
      <c r="D1148" s="104" t="s">
        <v>4315</v>
      </c>
      <c r="E1148" s="104" t="s">
        <v>4316</v>
      </c>
      <c r="F1148" s="104" t="s">
        <v>16</v>
      </c>
      <c r="G1148" s="104" t="s">
        <v>4317</v>
      </c>
      <c r="H1148" s="104" t="s">
        <v>4318</v>
      </c>
      <c r="I1148" s="105" t="s">
        <v>41</v>
      </c>
      <c r="J1148" s="104" t="s">
        <v>4319</v>
      </c>
      <c r="K1148" s="103" t="s">
        <v>4320</v>
      </c>
    </row>
    <row r="1149" spans="1:11" ht="14.25" customHeight="1">
      <c r="A1149" s="104"/>
      <c r="B1149" s="104"/>
      <c r="C1149" s="140"/>
      <c r="D1149" s="104"/>
      <c r="E1149" s="104"/>
      <c r="F1149" s="104"/>
      <c r="G1149" s="116"/>
      <c r="H1149" s="116"/>
      <c r="I1149" s="116"/>
      <c r="J1149" s="116"/>
      <c r="K1149" s="103" t="s">
        <v>4321</v>
      </c>
    </row>
    <row r="1150" spans="1:11" ht="14.25" customHeight="1">
      <c r="A1150" s="104"/>
      <c r="B1150" s="104"/>
      <c r="C1150" s="140"/>
      <c r="D1150" s="104"/>
      <c r="E1150" s="104"/>
      <c r="F1150" s="104"/>
      <c r="G1150" s="104" t="s">
        <v>4322</v>
      </c>
      <c r="H1150" s="104" t="s">
        <v>4323</v>
      </c>
      <c r="I1150" s="105" t="s">
        <v>41</v>
      </c>
      <c r="J1150" s="104" t="s">
        <v>4324</v>
      </c>
      <c r="K1150" s="103" t="s">
        <v>4325</v>
      </c>
    </row>
    <row r="1151" spans="1:11" ht="14.25" customHeight="1">
      <c r="A1151" s="104"/>
      <c r="B1151" s="104"/>
      <c r="C1151" s="141"/>
      <c r="D1151" s="116"/>
      <c r="E1151" s="116"/>
      <c r="F1151" s="116"/>
      <c r="G1151" s="116"/>
      <c r="H1151" s="116"/>
      <c r="I1151" s="116"/>
      <c r="J1151" s="116"/>
      <c r="K1151" s="103" t="s">
        <v>4326</v>
      </c>
    </row>
    <row r="1152" spans="1:11" ht="14.25" customHeight="1">
      <c r="A1152" s="104"/>
      <c r="B1152" s="104"/>
      <c r="C1152" s="140" t="s">
        <v>4327</v>
      </c>
      <c r="D1152" s="104" t="s">
        <v>4328</v>
      </c>
      <c r="E1152" s="104" t="s">
        <v>4329</v>
      </c>
      <c r="F1152" s="104" t="s">
        <v>16</v>
      </c>
      <c r="G1152" s="104" t="s">
        <v>4330</v>
      </c>
      <c r="H1152" s="104" t="s">
        <v>4331</v>
      </c>
      <c r="I1152" s="105" t="s">
        <v>41</v>
      </c>
      <c r="J1152" s="104" t="s">
        <v>4332</v>
      </c>
      <c r="K1152" s="103" t="s">
        <v>4333</v>
      </c>
    </row>
    <row r="1153" spans="1:11" ht="14.25" customHeight="1">
      <c r="A1153" s="104"/>
      <c r="B1153" s="104"/>
      <c r="C1153" s="140"/>
      <c r="D1153" s="104"/>
      <c r="E1153" s="104"/>
      <c r="F1153" s="104"/>
      <c r="G1153" s="116"/>
      <c r="H1153" s="116"/>
      <c r="I1153" s="116"/>
      <c r="J1153" s="116"/>
      <c r="K1153" s="103" t="s">
        <v>4334</v>
      </c>
    </row>
    <row r="1154" spans="1:11" ht="14.25" customHeight="1">
      <c r="A1154" s="104"/>
      <c r="B1154" s="104"/>
      <c r="C1154" s="140"/>
      <c r="D1154" s="104"/>
      <c r="E1154" s="104"/>
      <c r="F1154" s="104"/>
      <c r="G1154" s="104" t="s">
        <v>4335</v>
      </c>
      <c r="H1154" s="104" t="s">
        <v>4336</v>
      </c>
      <c r="I1154" s="105" t="s">
        <v>41</v>
      </c>
      <c r="J1154" s="104" t="s">
        <v>4337</v>
      </c>
      <c r="K1154" s="103" t="s">
        <v>4338</v>
      </c>
    </row>
    <row r="1155" spans="1:11" ht="14.25" customHeight="1">
      <c r="A1155" s="104"/>
      <c r="B1155" s="104"/>
      <c r="C1155" s="140"/>
      <c r="D1155" s="116"/>
      <c r="E1155" s="116"/>
      <c r="F1155" s="116"/>
      <c r="G1155" s="116"/>
      <c r="H1155" s="116"/>
      <c r="I1155" s="116"/>
      <c r="J1155" s="116"/>
      <c r="K1155" s="103" t="s">
        <v>4339</v>
      </c>
    </row>
    <row r="1156" spans="1:11" ht="14.25" customHeight="1">
      <c r="A1156" s="104"/>
      <c r="B1156" s="104"/>
      <c r="C1156" s="140"/>
      <c r="D1156" s="104" t="s">
        <v>4340</v>
      </c>
      <c r="E1156" s="104" t="s">
        <v>4341</v>
      </c>
      <c r="F1156" s="104" t="s">
        <v>16</v>
      </c>
      <c r="G1156" s="104" t="s">
        <v>4342</v>
      </c>
      <c r="H1156" s="104" t="s">
        <v>3452</v>
      </c>
      <c r="I1156" s="105" t="s">
        <v>41</v>
      </c>
      <c r="J1156" s="104" t="s">
        <v>4343</v>
      </c>
      <c r="K1156" s="103" t="s">
        <v>4344</v>
      </c>
    </row>
    <row r="1157" spans="1:11" ht="14.25" customHeight="1">
      <c r="A1157" s="104"/>
      <c r="B1157" s="104"/>
      <c r="C1157" s="140"/>
      <c r="D1157" s="104"/>
      <c r="E1157" s="104"/>
      <c r="F1157" s="104"/>
      <c r="G1157" s="116"/>
      <c r="H1157" s="116"/>
      <c r="I1157" s="116"/>
      <c r="J1157" s="116"/>
      <c r="K1157" s="103" t="s">
        <v>4345</v>
      </c>
    </row>
    <row r="1158" spans="1:11" ht="14.25" customHeight="1">
      <c r="A1158" s="104"/>
      <c r="B1158" s="104"/>
      <c r="C1158" s="140"/>
      <c r="D1158" s="104"/>
      <c r="E1158" s="104"/>
      <c r="F1158" s="104"/>
      <c r="G1158" s="104" t="s">
        <v>4346</v>
      </c>
      <c r="H1158" s="104" t="s">
        <v>4347</v>
      </c>
      <c r="I1158" s="105" t="s">
        <v>41</v>
      </c>
      <c r="J1158" s="104" t="s">
        <v>4348</v>
      </c>
      <c r="K1158" s="103" t="s">
        <v>4349</v>
      </c>
    </row>
    <row r="1159" spans="1:11" ht="14.25" customHeight="1">
      <c r="A1159" s="104"/>
      <c r="B1159" s="104"/>
      <c r="C1159" s="140"/>
      <c r="D1159" s="116"/>
      <c r="E1159" s="116"/>
      <c r="F1159" s="116"/>
      <c r="G1159" s="116"/>
      <c r="H1159" s="116"/>
      <c r="I1159" s="116"/>
      <c r="J1159" s="116"/>
      <c r="K1159" s="103" t="s">
        <v>4350</v>
      </c>
    </row>
    <row r="1160" spans="1:11" ht="14.25" customHeight="1">
      <c r="A1160" s="104"/>
      <c r="B1160" s="104"/>
      <c r="C1160" s="140"/>
      <c r="D1160" s="104" t="s">
        <v>4351</v>
      </c>
      <c r="E1160" s="104" t="s">
        <v>4352</v>
      </c>
      <c r="F1160" s="104" t="s">
        <v>16</v>
      </c>
      <c r="G1160" s="104" t="s">
        <v>4353</v>
      </c>
      <c r="H1160" s="104" t="s">
        <v>4354</v>
      </c>
      <c r="I1160" s="105" t="s">
        <v>41</v>
      </c>
      <c r="J1160" s="104" t="s">
        <v>4355</v>
      </c>
      <c r="K1160" s="103" t="s">
        <v>3865</v>
      </c>
    </row>
    <row r="1161" spans="1:11" ht="14.25" customHeight="1">
      <c r="A1161" s="104"/>
      <c r="B1161" s="104"/>
      <c r="C1161" s="140"/>
      <c r="D1161" s="104"/>
      <c r="E1161" s="104"/>
      <c r="F1161" s="104"/>
      <c r="G1161" s="116"/>
      <c r="H1161" s="116"/>
      <c r="I1161" s="116"/>
      <c r="J1161" s="116"/>
      <c r="K1161" s="103" t="s">
        <v>4356</v>
      </c>
    </row>
    <row r="1162" spans="1:11" ht="14.25" customHeight="1">
      <c r="A1162" s="104"/>
      <c r="B1162" s="104"/>
      <c r="C1162" s="140"/>
      <c r="D1162" s="104"/>
      <c r="E1162" s="104"/>
      <c r="F1162" s="104"/>
      <c r="G1162" s="104" t="s">
        <v>4357</v>
      </c>
      <c r="H1162" s="104" t="s">
        <v>4358</v>
      </c>
      <c r="I1162" s="106" t="s">
        <v>19</v>
      </c>
      <c r="J1162" s="104" t="s">
        <v>4359</v>
      </c>
      <c r="K1162" s="103" t="s">
        <v>4360</v>
      </c>
    </row>
    <row r="1163" spans="1:11" ht="14.25" customHeight="1">
      <c r="A1163" s="104"/>
      <c r="B1163" s="104"/>
      <c r="C1163" s="140"/>
      <c r="D1163" s="116"/>
      <c r="E1163" s="116"/>
      <c r="F1163" s="116"/>
      <c r="G1163" s="104"/>
      <c r="H1163" s="116"/>
      <c r="I1163" s="116"/>
      <c r="J1163" s="116"/>
      <c r="K1163" s="103" t="s">
        <v>4361</v>
      </c>
    </row>
    <row r="1164" spans="1:11" ht="14.25" customHeight="1">
      <c r="A1164" s="104"/>
      <c r="B1164" s="104"/>
      <c r="C1164" s="140"/>
      <c r="D1164" s="104" t="s">
        <v>4362</v>
      </c>
      <c r="E1164" s="104" t="s">
        <v>4363</v>
      </c>
      <c r="F1164" s="104" t="s">
        <v>16</v>
      </c>
      <c r="G1164" s="104" t="s">
        <v>4364</v>
      </c>
      <c r="H1164" s="104" t="s">
        <v>4365</v>
      </c>
      <c r="I1164" s="106" t="s">
        <v>19</v>
      </c>
      <c r="J1164" s="104" t="s">
        <v>4366</v>
      </c>
      <c r="K1164" s="103" t="s">
        <v>4367</v>
      </c>
    </row>
    <row r="1165" spans="1:11" ht="14.25" customHeight="1">
      <c r="A1165" s="104"/>
      <c r="B1165" s="104"/>
      <c r="C1165" s="140"/>
      <c r="D1165" s="104"/>
      <c r="E1165" s="104"/>
      <c r="F1165" s="104"/>
      <c r="G1165" s="116"/>
      <c r="H1165" s="116"/>
      <c r="I1165" s="116"/>
      <c r="J1165" s="116"/>
      <c r="K1165" s="103" t="s">
        <v>4368</v>
      </c>
    </row>
    <row r="1166" spans="1:11" ht="14.25" customHeight="1">
      <c r="A1166" s="104"/>
      <c r="B1166" s="104"/>
      <c r="C1166" s="140"/>
      <c r="D1166" s="104"/>
      <c r="E1166" s="104"/>
      <c r="F1166" s="104"/>
      <c r="G1166" s="104" t="s">
        <v>4369</v>
      </c>
      <c r="H1166" s="104" t="s">
        <v>4370</v>
      </c>
      <c r="I1166" s="106" t="s">
        <v>19</v>
      </c>
      <c r="J1166" s="104" t="s">
        <v>4371</v>
      </c>
      <c r="K1166" s="103" t="s">
        <v>4372</v>
      </c>
    </row>
    <row r="1167" spans="1:11" ht="14.25" customHeight="1">
      <c r="A1167" s="104"/>
      <c r="B1167" s="104"/>
      <c r="C1167" s="140"/>
      <c r="D1167" s="116"/>
      <c r="E1167" s="116"/>
      <c r="F1167" s="116"/>
      <c r="G1167" s="116"/>
      <c r="H1167" s="116"/>
      <c r="I1167" s="116"/>
      <c r="J1167" s="116"/>
      <c r="K1167" s="103" t="s">
        <v>4373</v>
      </c>
    </row>
    <row r="1168" spans="1:11" ht="14.25" customHeight="1">
      <c r="A1168" s="104"/>
      <c r="B1168" s="104"/>
      <c r="C1168" s="140"/>
      <c r="D1168" s="104" t="s">
        <v>4374</v>
      </c>
      <c r="E1168" s="104" t="s">
        <v>4375</v>
      </c>
      <c r="F1168" s="104" t="s">
        <v>16</v>
      </c>
      <c r="G1168" s="104" t="s">
        <v>4376</v>
      </c>
      <c r="H1168" s="104" t="s">
        <v>4377</v>
      </c>
      <c r="I1168" s="106" t="s">
        <v>19</v>
      </c>
      <c r="J1168" s="104" t="s">
        <v>4378</v>
      </c>
      <c r="K1168" s="103" t="s">
        <v>4379</v>
      </c>
    </row>
    <row r="1169" spans="1:11" ht="14.25" customHeight="1">
      <c r="A1169" s="104"/>
      <c r="B1169" s="104"/>
      <c r="C1169" s="140"/>
      <c r="D1169" s="104"/>
      <c r="E1169" s="104"/>
      <c r="F1169" s="104"/>
      <c r="G1169" s="116"/>
      <c r="H1169" s="116"/>
      <c r="I1169" s="116"/>
      <c r="J1169" s="116"/>
      <c r="K1169" s="103" t="s">
        <v>4380</v>
      </c>
    </row>
    <row r="1170" spans="1:11" ht="14.25" customHeight="1">
      <c r="A1170" s="104"/>
      <c r="B1170" s="104"/>
      <c r="C1170" s="140"/>
      <c r="D1170" s="104"/>
      <c r="E1170" s="104"/>
      <c r="F1170" s="104"/>
      <c r="G1170" s="104" t="s">
        <v>4381</v>
      </c>
      <c r="H1170" s="104" t="s">
        <v>4382</v>
      </c>
      <c r="I1170" s="106" t="s">
        <v>19</v>
      </c>
      <c r="J1170" s="104" t="s">
        <v>4383</v>
      </c>
      <c r="K1170" s="103" t="s">
        <v>4384</v>
      </c>
    </row>
    <row r="1171" spans="1:11" ht="14.25" customHeight="1">
      <c r="A1171" s="104"/>
      <c r="B1171" s="104"/>
      <c r="C1171" s="141"/>
      <c r="D1171" s="116"/>
      <c r="E1171" s="116"/>
      <c r="F1171" s="116"/>
      <c r="G1171" s="116"/>
      <c r="H1171" s="116"/>
      <c r="I1171" s="116"/>
      <c r="J1171" s="116"/>
      <c r="K1171" s="103" t="s">
        <v>4385</v>
      </c>
    </row>
    <row r="1172" spans="1:11" ht="14.25" customHeight="1">
      <c r="A1172" s="104"/>
      <c r="B1172" s="104"/>
      <c r="C1172" s="148" t="s">
        <v>4386</v>
      </c>
      <c r="D1172" s="104" t="s">
        <v>4387</v>
      </c>
      <c r="E1172" s="104" t="s">
        <v>4388</v>
      </c>
      <c r="F1172" s="104" t="s">
        <v>16</v>
      </c>
      <c r="G1172" s="104" t="s">
        <v>4389</v>
      </c>
      <c r="H1172" s="104" t="s">
        <v>4390</v>
      </c>
      <c r="I1172" s="106" t="s">
        <v>19</v>
      </c>
      <c r="J1172" s="104" t="s">
        <v>4391</v>
      </c>
      <c r="K1172" s="103" t="s">
        <v>4392</v>
      </c>
    </row>
    <row r="1173" spans="1:11" ht="14.25" customHeight="1">
      <c r="A1173" s="104"/>
      <c r="B1173" s="104"/>
      <c r="C1173" s="140"/>
      <c r="D1173" s="104"/>
      <c r="E1173" s="104"/>
      <c r="F1173" s="104"/>
      <c r="G1173" s="116"/>
      <c r="H1173" s="116"/>
      <c r="I1173" s="116"/>
      <c r="J1173" s="116"/>
      <c r="K1173" s="103" t="s">
        <v>4393</v>
      </c>
    </row>
    <row r="1174" spans="1:11" ht="14.25" customHeight="1">
      <c r="A1174" s="104"/>
      <c r="B1174" s="104"/>
      <c r="C1174" s="140"/>
      <c r="D1174" s="104"/>
      <c r="E1174" s="104"/>
      <c r="F1174" s="104"/>
      <c r="G1174" s="104" t="s">
        <v>4394</v>
      </c>
      <c r="H1174" s="104" t="s">
        <v>4395</v>
      </c>
      <c r="I1174" s="106" t="s">
        <v>19</v>
      </c>
      <c r="J1174" s="104" t="s">
        <v>4396</v>
      </c>
      <c r="K1174" s="103" t="s">
        <v>4397</v>
      </c>
    </row>
    <row r="1175" spans="1:11" ht="14.25" customHeight="1">
      <c r="A1175" s="104"/>
      <c r="B1175" s="104"/>
      <c r="C1175" s="140"/>
      <c r="D1175" s="116"/>
      <c r="E1175" s="116"/>
      <c r="F1175" s="116"/>
      <c r="G1175" s="116"/>
      <c r="H1175" s="116"/>
      <c r="I1175" s="116"/>
      <c r="J1175" s="116"/>
      <c r="K1175" s="103" t="s">
        <v>4398</v>
      </c>
    </row>
    <row r="1176" spans="1:11" ht="14.25" customHeight="1">
      <c r="A1176" s="104"/>
      <c r="B1176" s="104"/>
      <c r="C1176" s="140"/>
      <c r="D1176" s="104" t="s">
        <v>4399</v>
      </c>
      <c r="E1176" s="104" t="s">
        <v>4400</v>
      </c>
      <c r="F1176" s="104" t="s">
        <v>16</v>
      </c>
      <c r="G1176" s="104" t="s">
        <v>4401</v>
      </c>
      <c r="H1176" s="104" t="s">
        <v>4402</v>
      </c>
      <c r="I1176" s="106" t="s">
        <v>19</v>
      </c>
      <c r="J1176" s="104" t="s">
        <v>4402</v>
      </c>
      <c r="K1176" s="103" t="s">
        <v>4403</v>
      </c>
    </row>
    <row r="1177" spans="1:11" ht="14.25" customHeight="1">
      <c r="A1177" s="104"/>
      <c r="B1177" s="104"/>
      <c r="C1177" s="140"/>
      <c r="D1177" s="104"/>
      <c r="E1177" s="104"/>
      <c r="F1177" s="104"/>
      <c r="G1177" s="116"/>
      <c r="H1177" s="116"/>
      <c r="I1177" s="116"/>
      <c r="J1177" s="116"/>
      <c r="K1177" s="103" t="s">
        <v>4404</v>
      </c>
    </row>
    <row r="1178" spans="1:11" ht="14.25" customHeight="1">
      <c r="A1178" s="104"/>
      <c r="B1178" s="104"/>
      <c r="C1178" s="140"/>
      <c r="D1178" s="104"/>
      <c r="E1178" s="104"/>
      <c r="F1178" s="104"/>
      <c r="G1178" s="104" t="s">
        <v>4405</v>
      </c>
      <c r="H1178" s="104" t="s">
        <v>4406</v>
      </c>
      <c r="I1178" s="106" t="s">
        <v>19</v>
      </c>
      <c r="J1178" s="104" t="s">
        <v>4407</v>
      </c>
      <c r="K1178" s="103" t="s">
        <v>4408</v>
      </c>
    </row>
    <row r="1179" spans="1:11" ht="14.25" customHeight="1">
      <c r="A1179" s="104"/>
      <c r="B1179" s="104"/>
      <c r="C1179" s="140"/>
      <c r="D1179" s="116"/>
      <c r="E1179" s="116"/>
      <c r="F1179" s="116"/>
      <c r="G1179" s="116"/>
      <c r="H1179" s="116"/>
      <c r="I1179" s="116"/>
      <c r="J1179" s="116"/>
      <c r="K1179" s="103" t="s">
        <v>4409</v>
      </c>
    </row>
    <row r="1180" spans="1:11" ht="14.25" customHeight="1">
      <c r="A1180" s="104"/>
      <c r="B1180" s="104"/>
      <c r="C1180" s="140"/>
      <c r="D1180" s="104" t="s">
        <v>4410</v>
      </c>
      <c r="E1180" s="104" t="s">
        <v>4411</v>
      </c>
      <c r="F1180" s="104" t="s">
        <v>16</v>
      </c>
      <c r="G1180" s="104" t="s">
        <v>4412</v>
      </c>
      <c r="H1180" s="104" t="s">
        <v>4413</v>
      </c>
      <c r="I1180" s="106" t="s">
        <v>19</v>
      </c>
      <c r="J1180" s="104" t="s">
        <v>4414</v>
      </c>
      <c r="K1180" s="103" t="s">
        <v>4415</v>
      </c>
    </row>
    <row r="1181" spans="1:11" ht="14.25" customHeight="1">
      <c r="A1181" s="104"/>
      <c r="B1181" s="104"/>
      <c r="C1181" s="140"/>
      <c r="D1181" s="104"/>
      <c r="E1181" s="104"/>
      <c r="F1181" s="104"/>
      <c r="G1181" s="116"/>
      <c r="H1181" s="116"/>
      <c r="I1181" s="116"/>
      <c r="J1181" s="116"/>
      <c r="K1181" s="103" t="s">
        <v>4416</v>
      </c>
    </row>
    <row r="1182" spans="1:11" ht="14.25" customHeight="1">
      <c r="A1182" s="104"/>
      <c r="B1182" s="104"/>
      <c r="C1182" s="140"/>
      <c r="D1182" s="104"/>
      <c r="E1182" s="104"/>
      <c r="F1182" s="104"/>
      <c r="G1182" s="104" t="s">
        <v>4417</v>
      </c>
      <c r="H1182" s="104" t="s">
        <v>4418</v>
      </c>
      <c r="I1182" s="106" t="s">
        <v>19</v>
      </c>
      <c r="J1182" s="104" t="s">
        <v>4418</v>
      </c>
      <c r="K1182" s="103" t="s">
        <v>4419</v>
      </c>
    </row>
    <row r="1183" spans="1:11" ht="14.25" customHeight="1">
      <c r="A1183" s="104"/>
      <c r="B1183" s="104"/>
      <c r="C1183" s="140"/>
      <c r="D1183" s="116"/>
      <c r="E1183" s="116"/>
      <c r="F1183" s="116"/>
      <c r="G1183" s="116"/>
      <c r="H1183" s="116"/>
      <c r="I1183" s="116"/>
      <c r="J1183" s="116"/>
      <c r="K1183" s="103" t="s">
        <v>4420</v>
      </c>
    </row>
    <row r="1184" spans="1:11" ht="14.25" customHeight="1">
      <c r="A1184" s="104"/>
      <c r="B1184" s="104"/>
      <c r="C1184" s="140"/>
      <c r="D1184" s="104" t="s">
        <v>4421</v>
      </c>
      <c r="E1184" s="104" t="s">
        <v>4422</v>
      </c>
      <c r="F1184" s="104" t="s">
        <v>16</v>
      </c>
      <c r="G1184" s="104" t="s">
        <v>4423</v>
      </c>
      <c r="H1184" s="104" t="s">
        <v>4424</v>
      </c>
      <c r="I1184" s="106" t="s">
        <v>19</v>
      </c>
      <c r="J1184" s="104" t="s">
        <v>4425</v>
      </c>
      <c r="K1184" s="103" t="s">
        <v>4426</v>
      </c>
    </row>
    <row r="1185" spans="1:11" ht="14.25" customHeight="1">
      <c r="A1185" s="104"/>
      <c r="B1185" s="104"/>
      <c r="C1185" s="140"/>
      <c r="D1185" s="104"/>
      <c r="E1185" s="104"/>
      <c r="F1185" s="104"/>
      <c r="G1185" s="116"/>
      <c r="H1185" s="116"/>
      <c r="I1185" s="116"/>
      <c r="J1185" s="116"/>
      <c r="K1185" s="103" t="s">
        <v>4427</v>
      </c>
    </row>
    <row r="1186" spans="1:11" ht="14.25" customHeight="1">
      <c r="A1186" s="104"/>
      <c r="B1186" s="104"/>
      <c r="C1186" s="140"/>
      <c r="D1186" s="104"/>
      <c r="E1186" s="104"/>
      <c r="F1186" s="104"/>
      <c r="G1186" s="104" t="s">
        <v>4428</v>
      </c>
      <c r="H1186" s="104" t="s">
        <v>4429</v>
      </c>
      <c r="I1186" s="106" t="s">
        <v>19</v>
      </c>
      <c r="J1186" s="104" t="s">
        <v>4430</v>
      </c>
      <c r="K1186" s="103" t="s">
        <v>4431</v>
      </c>
    </row>
    <row r="1187" spans="1:11" ht="14.25" customHeight="1">
      <c r="A1187" s="104"/>
      <c r="B1187" s="104"/>
      <c r="C1187" s="140"/>
      <c r="D1187" s="116"/>
      <c r="E1187" s="116"/>
      <c r="F1187" s="116"/>
      <c r="G1187" s="116"/>
      <c r="H1187" s="116"/>
      <c r="I1187" s="116"/>
      <c r="J1187" s="116"/>
      <c r="K1187" s="103" t="s">
        <v>4432</v>
      </c>
    </row>
    <row r="1188" spans="1:11" ht="14.25" customHeight="1">
      <c r="A1188" s="104"/>
      <c r="B1188" s="104"/>
      <c r="C1188" s="140"/>
      <c r="D1188" s="104" t="s">
        <v>4433</v>
      </c>
      <c r="E1188" s="104" t="s">
        <v>4434</v>
      </c>
      <c r="F1188" s="104" t="s">
        <v>16</v>
      </c>
      <c r="G1188" s="104" t="s">
        <v>4435</v>
      </c>
      <c r="H1188" s="104" t="s">
        <v>4436</v>
      </c>
      <c r="I1188" s="112" t="s">
        <v>41</v>
      </c>
      <c r="J1188" s="104" t="s">
        <v>4437</v>
      </c>
      <c r="K1188" s="103" t="s">
        <v>4438</v>
      </c>
    </row>
    <row r="1189" spans="1:11" ht="14.25" customHeight="1">
      <c r="A1189" s="104"/>
      <c r="B1189" s="104"/>
      <c r="C1189" s="140"/>
      <c r="D1189" s="104"/>
      <c r="E1189" s="104"/>
      <c r="F1189" s="104"/>
      <c r="G1189" s="116"/>
      <c r="H1189" s="116"/>
      <c r="I1189" s="113"/>
      <c r="J1189" s="116"/>
      <c r="K1189" s="103" t="s">
        <v>4439</v>
      </c>
    </row>
    <row r="1190" spans="1:11" ht="14.25" customHeight="1">
      <c r="A1190" s="104"/>
      <c r="B1190" s="104"/>
      <c r="C1190" s="140"/>
      <c r="D1190" s="104"/>
      <c r="E1190" s="104"/>
      <c r="F1190" s="104"/>
      <c r="G1190" s="104" t="s">
        <v>4440</v>
      </c>
      <c r="H1190" s="104" t="s">
        <v>4441</v>
      </c>
      <c r="I1190" s="105" t="s">
        <v>41</v>
      </c>
      <c r="J1190" s="104" t="s">
        <v>4441</v>
      </c>
      <c r="K1190" s="103" t="s">
        <v>4442</v>
      </c>
    </row>
    <row r="1191" spans="1:11" ht="14.25" customHeight="1">
      <c r="A1191" s="116"/>
      <c r="B1191" s="116"/>
      <c r="C1191" s="141"/>
      <c r="D1191" s="104"/>
      <c r="E1191" s="116"/>
      <c r="F1191" s="116"/>
      <c r="G1191" s="116"/>
      <c r="H1191" s="116"/>
      <c r="I1191" s="104"/>
      <c r="J1191" s="116"/>
      <c r="K1191" s="103" t="s">
        <v>4443</v>
      </c>
    </row>
    <row r="1192" spans="1:11" ht="14.25" customHeight="1">
      <c r="A1192" s="99" t="s">
        <v>4444</v>
      </c>
      <c r="B1192" s="99" t="s">
        <v>4445</v>
      </c>
      <c r="C1192" s="148" t="s">
        <v>4446</v>
      </c>
      <c r="D1192" s="104" t="s">
        <v>4447</v>
      </c>
      <c r="E1192" s="104" t="s">
        <v>4448</v>
      </c>
      <c r="F1192" s="104" t="s">
        <v>16</v>
      </c>
      <c r="G1192" s="104" t="s">
        <v>4449</v>
      </c>
      <c r="H1192" s="104" t="s">
        <v>4450</v>
      </c>
      <c r="I1192" s="105" t="s">
        <v>41</v>
      </c>
      <c r="J1192" s="104" t="s">
        <v>4451</v>
      </c>
      <c r="K1192" s="103" t="s">
        <v>4452</v>
      </c>
    </row>
    <row r="1193" spans="1:11" ht="14.25" customHeight="1">
      <c r="A1193" s="104"/>
      <c r="B1193" s="104"/>
      <c r="C1193" s="140"/>
      <c r="D1193" s="104"/>
      <c r="E1193" s="104"/>
      <c r="F1193" s="104"/>
      <c r="G1193" s="116"/>
      <c r="H1193" s="116"/>
      <c r="I1193" s="116"/>
      <c r="J1193" s="116"/>
      <c r="K1193" s="103" t="s">
        <v>4453</v>
      </c>
    </row>
    <row r="1194" spans="1:11" ht="14.25" customHeight="1">
      <c r="A1194" s="104"/>
      <c r="B1194" s="104"/>
      <c r="C1194" s="140"/>
      <c r="D1194" s="104"/>
      <c r="E1194" s="104"/>
      <c r="F1194" s="104"/>
      <c r="G1194" s="104" t="s">
        <v>4454</v>
      </c>
      <c r="H1194" s="104" t="s">
        <v>4455</v>
      </c>
      <c r="I1194" s="105" t="s">
        <v>41</v>
      </c>
      <c r="J1194" s="104" t="s">
        <v>4456</v>
      </c>
      <c r="K1194" s="103" t="s">
        <v>4457</v>
      </c>
    </row>
    <row r="1195" spans="1:11" ht="14.25" customHeight="1">
      <c r="A1195" s="104"/>
      <c r="B1195" s="104"/>
      <c r="C1195" s="140"/>
      <c r="D1195" s="116"/>
      <c r="E1195" s="116"/>
      <c r="F1195" s="116"/>
      <c r="G1195" s="116"/>
      <c r="H1195" s="116"/>
      <c r="I1195" s="116"/>
      <c r="J1195" s="116"/>
      <c r="K1195" s="103" t="s">
        <v>4458</v>
      </c>
    </row>
    <row r="1196" spans="1:11" ht="14.25" customHeight="1">
      <c r="A1196" s="104"/>
      <c r="B1196" s="104"/>
      <c r="C1196" s="140"/>
      <c r="D1196" s="104" t="s">
        <v>4459</v>
      </c>
      <c r="E1196" s="104" t="s">
        <v>4460</v>
      </c>
      <c r="F1196" s="104" t="s">
        <v>16</v>
      </c>
      <c r="G1196" s="104" t="s">
        <v>4461</v>
      </c>
      <c r="H1196" s="104" t="s">
        <v>4462</v>
      </c>
      <c r="I1196" s="105" t="s">
        <v>41</v>
      </c>
      <c r="J1196" s="104" t="s">
        <v>4463</v>
      </c>
      <c r="K1196" s="103" t="s">
        <v>4464</v>
      </c>
    </row>
    <row r="1197" spans="1:11" ht="14.25" customHeight="1">
      <c r="A1197" s="104"/>
      <c r="B1197" s="104"/>
      <c r="C1197" s="140"/>
      <c r="D1197" s="104"/>
      <c r="E1197" s="104"/>
      <c r="F1197" s="104"/>
      <c r="G1197" s="116"/>
      <c r="H1197" s="104"/>
      <c r="I1197" s="116"/>
      <c r="J1197" s="116"/>
      <c r="K1197" s="103" t="s">
        <v>4465</v>
      </c>
    </row>
    <row r="1198" spans="1:11" ht="14.25" customHeight="1">
      <c r="A1198" s="104"/>
      <c r="B1198" s="104"/>
      <c r="C1198" s="140"/>
      <c r="D1198" s="104"/>
      <c r="E1198" s="104"/>
      <c r="F1198" s="104"/>
      <c r="G1198" s="104" t="s">
        <v>4466</v>
      </c>
      <c r="H1198" s="104" t="s">
        <v>4467</v>
      </c>
      <c r="I1198" s="106" t="s">
        <v>19</v>
      </c>
      <c r="J1198" s="104" t="s">
        <v>4468</v>
      </c>
      <c r="K1198" s="103" t="s">
        <v>4469</v>
      </c>
    </row>
    <row r="1199" spans="1:11" ht="14.25" customHeight="1">
      <c r="A1199" s="104"/>
      <c r="B1199" s="104"/>
      <c r="C1199" s="140"/>
      <c r="D1199" s="116"/>
      <c r="E1199" s="116"/>
      <c r="F1199" s="116"/>
      <c r="G1199" s="116"/>
      <c r="H1199" s="116"/>
      <c r="I1199" s="116"/>
      <c r="J1199" s="116"/>
      <c r="K1199" s="103" t="s">
        <v>4470</v>
      </c>
    </row>
    <row r="1200" spans="1:11" ht="14.25" customHeight="1">
      <c r="A1200" s="104"/>
      <c r="B1200" s="104"/>
      <c r="C1200" s="140"/>
      <c r="D1200" s="104" t="s">
        <v>4471</v>
      </c>
      <c r="E1200" s="104" t="s">
        <v>4472</v>
      </c>
      <c r="F1200" s="104" t="s">
        <v>16</v>
      </c>
      <c r="G1200" s="104" t="s">
        <v>4473</v>
      </c>
      <c r="H1200" s="104" t="s">
        <v>4474</v>
      </c>
      <c r="I1200" s="106" t="s">
        <v>19</v>
      </c>
      <c r="J1200" s="104" t="s">
        <v>4475</v>
      </c>
      <c r="K1200" s="103" t="s">
        <v>4476</v>
      </c>
    </row>
    <row r="1201" spans="1:11" ht="14.25" customHeight="1">
      <c r="A1201" s="104"/>
      <c r="B1201" s="104"/>
      <c r="C1201" s="140"/>
      <c r="D1201" s="104"/>
      <c r="E1201" s="104"/>
      <c r="F1201" s="104"/>
      <c r="G1201" s="116"/>
      <c r="H1201" s="116"/>
      <c r="I1201" s="116"/>
      <c r="J1201" s="116"/>
      <c r="K1201" s="103" t="s">
        <v>4477</v>
      </c>
    </row>
    <row r="1202" spans="1:11" ht="14.25" customHeight="1">
      <c r="A1202" s="104"/>
      <c r="B1202" s="104"/>
      <c r="C1202" s="140"/>
      <c r="D1202" s="104"/>
      <c r="E1202" s="104"/>
      <c r="F1202" s="104"/>
      <c r="G1202" s="104" t="s">
        <v>4478</v>
      </c>
      <c r="H1202" s="104" t="s">
        <v>4479</v>
      </c>
      <c r="I1202" s="106" t="s">
        <v>19</v>
      </c>
      <c r="J1202" s="104" t="s">
        <v>4480</v>
      </c>
      <c r="K1202" s="103" t="s">
        <v>4481</v>
      </c>
    </row>
    <row r="1203" spans="1:11" ht="14.25" customHeight="1">
      <c r="A1203" s="104"/>
      <c r="B1203" s="104"/>
      <c r="C1203" s="140"/>
      <c r="D1203" s="116"/>
      <c r="E1203" s="116"/>
      <c r="F1203" s="116"/>
      <c r="G1203" s="116"/>
      <c r="H1203" s="116"/>
      <c r="I1203" s="116"/>
      <c r="J1203" s="116"/>
      <c r="K1203" s="103" t="s">
        <v>4482</v>
      </c>
    </row>
    <row r="1204" spans="1:11" ht="14.25" customHeight="1">
      <c r="A1204" s="104"/>
      <c r="B1204" s="104"/>
      <c r="C1204" s="140"/>
      <c r="D1204" s="104" t="s">
        <v>4483</v>
      </c>
      <c r="E1204" s="104" t="s">
        <v>4484</v>
      </c>
      <c r="F1204" s="104" t="s">
        <v>38</v>
      </c>
      <c r="G1204" s="104" t="s">
        <v>4485</v>
      </c>
      <c r="H1204" s="103" t="s">
        <v>4486</v>
      </c>
      <c r="I1204" s="114" t="s">
        <v>19</v>
      </c>
      <c r="J1204" s="103" t="s">
        <v>4487</v>
      </c>
      <c r="K1204" s="103" t="s">
        <v>4488</v>
      </c>
    </row>
    <row r="1205" spans="1:11" ht="14.25" customHeight="1">
      <c r="A1205" s="104"/>
      <c r="B1205" s="104"/>
      <c r="C1205" s="140"/>
      <c r="D1205" s="104"/>
      <c r="E1205" s="104"/>
      <c r="F1205" s="104"/>
      <c r="G1205" s="116"/>
      <c r="H1205" s="103"/>
      <c r="I1205" s="131"/>
      <c r="J1205" s="103"/>
      <c r="K1205" s="103" t="s">
        <v>2646</v>
      </c>
    </row>
    <row r="1206" spans="1:11" ht="14.25" customHeight="1">
      <c r="A1206" s="104"/>
      <c r="B1206" s="104"/>
      <c r="C1206" s="140"/>
      <c r="D1206" s="104"/>
      <c r="E1206" s="104"/>
      <c r="F1206" s="104"/>
      <c r="G1206" s="104" t="s">
        <v>4489</v>
      </c>
      <c r="H1206" s="104" t="s">
        <v>4490</v>
      </c>
      <c r="I1206" s="106" t="s">
        <v>19</v>
      </c>
      <c r="J1206" s="104" t="s">
        <v>4491</v>
      </c>
      <c r="K1206" s="103" t="s">
        <v>4492</v>
      </c>
    </row>
    <row r="1207" spans="1:11" ht="14.25" customHeight="1">
      <c r="A1207" s="104"/>
      <c r="B1207" s="104"/>
      <c r="C1207" s="140"/>
      <c r="D1207" s="116"/>
      <c r="E1207" s="116"/>
      <c r="F1207" s="116"/>
      <c r="G1207" s="116"/>
      <c r="H1207" s="116"/>
      <c r="I1207" s="116"/>
      <c r="J1207" s="116"/>
      <c r="K1207" s="103" t="s">
        <v>3253</v>
      </c>
    </row>
    <row r="1208" spans="1:11" ht="14.25" customHeight="1">
      <c r="A1208" s="104"/>
      <c r="B1208" s="104"/>
      <c r="C1208" s="140"/>
      <c r="D1208" s="104" t="s">
        <v>4493</v>
      </c>
      <c r="E1208" s="104" t="s">
        <v>4494</v>
      </c>
      <c r="F1208" s="104" t="s">
        <v>16</v>
      </c>
      <c r="G1208" s="104" t="s">
        <v>4495</v>
      </c>
      <c r="H1208" s="104" t="s">
        <v>4496</v>
      </c>
      <c r="I1208" s="106" t="s">
        <v>19</v>
      </c>
      <c r="J1208" s="104" t="s">
        <v>4497</v>
      </c>
      <c r="K1208" s="103" t="s">
        <v>4498</v>
      </c>
    </row>
    <row r="1209" spans="1:11" ht="14.25" customHeight="1">
      <c r="A1209" s="104"/>
      <c r="B1209" s="104"/>
      <c r="C1209" s="140"/>
      <c r="D1209" s="104"/>
      <c r="E1209" s="104"/>
      <c r="F1209" s="104"/>
      <c r="G1209" s="116"/>
      <c r="H1209" s="116"/>
      <c r="I1209" s="116"/>
      <c r="J1209" s="116"/>
      <c r="K1209" s="103" t="s">
        <v>4499</v>
      </c>
    </row>
    <row r="1210" spans="1:11" ht="14.25" customHeight="1">
      <c r="A1210" s="104"/>
      <c r="B1210" s="104"/>
      <c r="C1210" s="140"/>
      <c r="D1210" s="104"/>
      <c r="E1210" s="104"/>
      <c r="F1210" s="104"/>
      <c r="G1210" s="104" t="s">
        <v>4500</v>
      </c>
      <c r="H1210" s="104" t="s">
        <v>4501</v>
      </c>
      <c r="I1210" s="106" t="s">
        <v>19</v>
      </c>
      <c r="J1210" s="104" t="s">
        <v>4502</v>
      </c>
      <c r="K1210" s="103" t="s">
        <v>4503</v>
      </c>
    </row>
    <row r="1211" spans="1:11" ht="14.25" customHeight="1">
      <c r="A1211" s="104"/>
      <c r="B1211" s="104"/>
      <c r="C1211" s="141"/>
      <c r="D1211" s="116"/>
      <c r="E1211" s="116"/>
      <c r="F1211" s="116"/>
      <c r="G1211" s="116"/>
      <c r="H1211" s="116"/>
      <c r="I1211" s="116"/>
      <c r="J1211" s="116"/>
      <c r="K1211" s="103" t="s">
        <v>4504</v>
      </c>
    </row>
    <row r="1212" spans="1:11" ht="14.25" customHeight="1">
      <c r="A1212" s="104"/>
      <c r="B1212" s="104"/>
      <c r="C1212" s="148" t="s">
        <v>4505</v>
      </c>
      <c r="D1212" s="104" t="s">
        <v>4506</v>
      </c>
      <c r="E1212" s="104" t="s">
        <v>4507</v>
      </c>
      <c r="F1212" s="104" t="s">
        <v>16</v>
      </c>
      <c r="G1212" s="104" t="s">
        <v>4508</v>
      </c>
      <c r="H1212" s="104" t="s">
        <v>4509</v>
      </c>
      <c r="I1212" s="106" t="s">
        <v>19</v>
      </c>
      <c r="J1212" s="104" t="s">
        <v>4510</v>
      </c>
      <c r="K1212" s="103" t="s">
        <v>4511</v>
      </c>
    </row>
    <row r="1213" spans="1:11" ht="14.25" customHeight="1">
      <c r="A1213" s="104"/>
      <c r="B1213" s="104"/>
      <c r="C1213" s="140"/>
      <c r="D1213" s="104"/>
      <c r="E1213" s="104"/>
      <c r="F1213" s="104"/>
      <c r="G1213" s="116"/>
      <c r="H1213" s="116"/>
      <c r="I1213" s="116"/>
      <c r="J1213" s="116"/>
      <c r="K1213" s="103" t="s">
        <v>4512</v>
      </c>
    </row>
    <row r="1214" spans="1:11" ht="14.25" customHeight="1">
      <c r="A1214" s="104"/>
      <c r="B1214" s="104"/>
      <c r="C1214" s="140"/>
      <c r="D1214" s="104"/>
      <c r="E1214" s="104"/>
      <c r="F1214" s="104"/>
      <c r="G1214" s="104" t="s">
        <v>4513</v>
      </c>
      <c r="H1214" s="104" t="s">
        <v>4514</v>
      </c>
      <c r="I1214" s="106" t="s">
        <v>19</v>
      </c>
      <c r="J1214" s="104" t="s">
        <v>4515</v>
      </c>
      <c r="K1214" s="103" t="s">
        <v>4516</v>
      </c>
    </row>
    <row r="1215" spans="1:11" ht="14.25" customHeight="1">
      <c r="A1215" s="104"/>
      <c r="B1215" s="104"/>
      <c r="C1215" s="140"/>
      <c r="D1215" s="116"/>
      <c r="E1215" s="116"/>
      <c r="F1215" s="116"/>
      <c r="G1215" s="116"/>
      <c r="H1215" s="116"/>
      <c r="I1215" s="116"/>
      <c r="J1215" s="116"/>
      <c r="K1215" s="103" t="s">
        <v>4517</v>
      </c>
    </row>
    <row r="1216" spans="1:11" ht="14.25" customHeight="1">
      <c r="A1216" s="104"/>
      <c r="B1216" s="104"/>
      <c r="C1216" s="140"/>
      <c r="D1216" s="104" t="s">
        <v>4518</v>
      </c>
      <c r="E1216" s="104" t="s">
        <v>4519</v>
      </c>
      <c r="F1216" s="104" t="s">
        <v>16</v>
      </c>
      <c r="G1216" s="104" t="s">
        <v>4520</v>
      </c>
      <c r="H1216" s="104" t="s">
        <v>4521</v>
      </c>
      <c r="I1216" s="106" t="s">
        <v>19</v>
      </c>
      <c r="J1216" s="104" t="s">
        <v>4522</v>
      </c>
      <c r="K1216" s="103" t="s">
        <v>4523</v>
      </c>
    </row>
    <row r="1217" spans="1:11" ht="14.25" customHeight="1">
      <c r="A1217" s="104"/>
      <c r="B1217" s="104"/>
      <c r="C1217" s="140"/>
      <c r="D1217" s="104"/>
      <c r="E1217" s="104"/>
      <c r="F1217" s="104"/>
      <c r="G1217" s="116"/>
      <c r="H1217" s="116"/>
      <c r="I1217" s="116"/>
      <c r="J1217" s="116"/>
      <c r="K1217" s="103" t="s">
        <v>4524</v>
      </c>
    </row>
    <row r="1218" spans="1:11" ht="14.25" customHeight="1">
      <c r="A1218" s="104"/>
      <c r="B1218" s="104"/>
      <c r="C1218" s="140"/>
      <c r="D1218" s="104"/>
      <c r="E1218" s="104"/>
      <c r="F1218" s="104"/>
      <c r="G1218" s="104" t="s">
        <v>4525</v>
      </c>
      <c r="H1218" s="104" t="s">
        <v>4526</v>
      </c>
      <c r="I1218" s="106" t="s">
        <v>19</v>
      </c>
      <c r="J1218" s="104" t="s">
        <v>4526</v>
      </c>
      <c r="K1218" s="103" t="s">
        <v>3900</v>
      </c>
    </row>
    <row r="1219" spans="1:11" ht="14.25" customHeight="1">
      <c r="A1219" s="104"/>
      <c r="B1219" s="104"/>
      <c r="C1219" s="140"/>
      <c r="D1219" s="116"/>
      <c r="E1219" s="116"/>
      <c r="F1219" s="116"/>
      <c r="G1219" s="116"/>
      <c r="H1219" s="116"/>
      <c r="I1219" s="116"/>
      <c r="J1219" s="116"/>
      <c r="K1219" s="103" t="s">
        <v>4527</v>
      </c>
    </row>
    <row r="1220" spans="1:11" ht="14.25" customHeight="1">
      <c r="A1220" s="104"/>
      <c r="B1220" s="104"/>
      <c r="C1220" s="140"/>
      <c r="D1220" s="104" t="s">
        <v>4528</v>
      </c>
      <c r="E1220" s="104" t="s">
        <v>4529</v>
      </c>
      <c r="F1220" s="104" t="s">
        <v>16</v>
      </c>
      <c r="G1220" s="104" t="s">
        <v>4530</v>
      </c>
      <c r="H1220" s="104" t="s">
        <v>4531</v>
      </c>
      <c r="I1220" s="106" t="s">
        <v>19</v>
      </c>
      <c r="J1220" s="104" t="s">
        <v>4532</v>
      </c>
      <c r="K1220" s="103" t="s">
        <v>4533</v>
      </c>
    </row>
    <row r="1221" spans="1:11" ht="14.25" customHeight="1">
      <c r="A1221" s="104"/>
      <c r="B1221" s="104"/>
      <c r="C1221" s="140"/>
      <c r="D1221" s="104"/>
      <c r="E1221" s="104"/>
      <c r="F1221" s="104"/>
      <c r="G1221" s="116"/>
      <c r="H1221" s="116"/>
      <c r="I1221" s="116"/>
      <c r="J1221" s="116"/>
      <c r="K1221" s="103" t="s">
        <v>4534</v>
      </c>
    </row>
    <row r="1222" spans="1:11" ht="14.25" customHeight="1">
      <c r="A1222" s="104"/>
      <c r="B1222" s="104"/>
      <c r="C1222" s="140"/>
      <c r="D1222" s="104"/>
      <c r="E1222" s="104"/>
      <c r="F1222" s="104"/>
      <c r="G1222" s="104" t="s">
        <v>4535</v>
      </c>
      <c r="H1222" s="104" t="s">
        <v>4536</v>
      </c>
      <c r="I1222" s="106" t="s">
        <v>19</v>
      </c>
      <c r="J1222" s="104" t="s">
        <v>4537</v>
      </c>
      <c r="K1222" s="103" t="s">
        <v>4538</v>
      </c>
    </row>
    <row r="1223" spans="1:11" ht="14.25" customHeight="1">
      <c r="A1223" s="104"/>
      <c r="B1223" s="104"/>
      <c r="C1223" s="140"/>
      <c r="D1223" s="116"/>
      <c r="E1223" s="116"/>
      <c r="F1223" s="116"/>
      <c r="G1223" s="116"/>
      <c r="H1223" s="116"/>
      <c r="I1223" s="116"/>
      <c r="J1223" s="116"/>
      <c r="K1223" s="103" t="s">
        <v>4539</v>
      </c>
    </row>
    <row r="1224" spans="1:11" ht="14.25" customHeight="1">
      <c r="A1224" s="104"/>
      <c r="B1224" s="104"/>
      <c r="C1224" s="140"/>
      <c r="D1224" s="104" t="s">
        <v>4540</v>
      </c>
      <c r="E1224" s="104" t="s">
        <v>4541</v>
      </c>
      <c r="F1224" s="104" t="s">
        <v>16</v>
      </c>
      <c r="G1224" s="104" t="s">
        <v>4542</v>
      </c>
      <c r="H1224" s="104" t="s">
        <v>4543</v>
      </c>
      <c r="I1224" s="106" t="s">
        <v>19</v>
      </c>
      <c r="J1224" s="104" t="s">
        <v>4544</v>
      </c>
      <c r="K1224" s="103" t="s">
        <v>4545</v>
      </c>
    </row>
    <row r="1225" spans="1:11" ht="14.25" customHeight="1">
      <c r="A1225" s="104"/>
      <c r="B1225" s="104"/>
      <c r="C1225" s="140"/>
      <c r="D1225" s="104"/>
      <c r="E1225" s="104"/>
      <c r="F1225" s="104"/>
      <c r="G1225" s="116"/>
      <c r="H1225" s="116"/>
      <c r="I1225" s="116"/>
      <c r="J1225" s="116"/>
      <c r="K1225" s="103" t="s">
        <v>4546</v>
      </c>
    </row>
    <row r="1226" spans="1:11" ht="14.25" customHeight="1">
      <c r="A1226" s="104"/>
      <c r="B1226" s="104"/>
      <c r="C1226" s="140"/>
      <c r="D1226" s="104"/>
      <c r="E1226" s="104"/>
      <c r="F1226" s="104"/>
      <c r="G1226" s="104" t="s">
        <v>4547</v>
      </c>
      <c r="H1226" s="104" t="s">
        <v>4548</v>
      </c>
      <c r="I1226" s="106" t="s">
        <v>19</v>
      </c>
      <c r="J1226" s="104" t="s">
        <v>4549</v>
      </c>
      <c r="K1226" s="103" t="s">
        <v>4550</v>
      </c>
    </row>
    <row r="1227" spans="1:11" ht="14.25" customHeight="1">
      <c r="A1227" s="104"/>
      <c r="B1227" s="104"/>
      <c r="C1227" s="140"/>
      <c r="D1227" s="116"/>
      <c r="E1227" s="116"/>
      <c r="F1227" s="116"/>
      <c r="G1227" s="116"/>
      <c r="H1227" s="116"/>
      <c r="I1227" s="116"/>
      <c r="J1227" s="104"/>
      <c r="K1227" s="103" t="s">
        <v>4551</v>
      </c>
    </row>
    <row r="1228" spans="1:11" ht="14.25" customHeight="1">
      <c r="A1228" s="104"/>
      <c r="B1228" s="104"/>
      <c r="C1228" s="140"/>
      <c r="D1228" s="104" t="s">
        <v>4552</v>
      </c>
      <c r="E1228" s="104" t="s">
        <v>4553</v>
      </c>
      <c r="F1228" s="104" t="s">
        <v>16</v>
      </c>
      <c r="G1228" s="104" t="s">
        <v>4554</v>
      </c>
      <c r="H1228" s="104" t="s">
        <v>4555</v>
      </c>
      <c r="I1228" s="106" t="s">
        <v>19</v>
      </c>
      <c r="J1228" s="104" t="s">
        <v>4556</v>
      </c>
      <c r="K1228" s="103" t="s">
        <v>4557</v>
      </c>
    </row>
    <row r="1229" spans="1:11" ht="14.25" customHeight="1">
      <c r="A1229" s="104"/>
      <c r="B1229" s="104"/>
      <c r="C1229" s="140"/>
      <c r="D1229" s="104"/>
      <c r="E1229" s="104"/>
      <c r="F1229" s="104"/>
      <c r="G1229" s="116"/>
      <c r="H1229" s="116"/>
      <c r="I1229" s="116"/>
      <c r="J1229" s="116"/>
      <c r="K1229" s="103" t="s">
        <v>4558</v>
      </c>
    </row>
    <row r="1230" spans="1:11" ht="14.25" customHeight="1">
      <c r="A1230" s="104"/>
      <c r="B1230" s="104"/>
      <c r="C1230" s="140"/>
      <c r="D1230" s="104"/>
      <c r="E1230" s="104"/>
      <c r="F1230" s="104"/>
      <c r="G1230" s="104" t="s">
        <v>4559</v>
      </c>
      <c r="H1230" s="104" t="s">
        <v>4560</v>
      </c>
      <c r="I1230" s="106" t="s">
        <v>19</v>
      </c>
      <c r="J1230" s="104" t="s">
        <v>4560</v>
      </c>
      <c r="K1230" s="103" t="s">
        <v>4561</v>
      </c>
    </row>
    <row r="1231" spans="1:11" ht="14.25" customHeight="1">
      <c r="A1231" s="104"/>
      <c r="B1231" s="104"/>
      <c r="C1231" s="141"/>
      <c r="D1231" s="116"/>
      <c r="E1231" s="116"/>
      <c r="F1231" s="116"/>
      <c r="G1231" s="116"/>
      <c r="H1231" s="116"/>
      <c r="I1231" s="116"/>
      <c r="J1231" s="116"/>
      <c r="K1231" s="103" t="s">
        <v>4562</v>
      </c>
    </row>
    <row r="1232" spans="1:11" ht="14.25" customHeight="1">
      <c r="A1232" s="104"/>
      <c r="B1232" s="104"/>
      <c r="C1232" s="148" t="s">
        <v>4563</v>
      </c>
      <c r="D1232" s="104" t="s">
        <v>4564</v>
      </c>
      <c r="E1232" s="104" t="s">
        <v>4565</v>
      </c>
      <c r="F1232" s="104" t="s">
        <v>16</v>
      </c>
      <c r="G1232" s="104" t="s">
        <v>4566</v>
      </c>
      <c r="H1232" s="104" t="s">
        <v>4567</v>
      </c>
      <c r="I1232" s="106" t="s">
        <v>19</v>
      </c>
      <c r="J1232" s="104" t="s">
        <v>4568</v>
      </c>
      <c r="K1232" s="103" t="s">
        <v>4569</v>
      </c>
    </row>
    <row r="1233" spans="1:11" ht="14.25" customHeight="1">
      <c r="A1233" s="104"/>
      <c r="B1233" s="104"/>
      <c r="C1233" s="140"/>
      <c r="D1233" s="104"/>
      <c r="E1233" s="104"/>
      <c r="F1233" s="104"/>
      <c r="G1233" s="116"/>
      <c r="H1233" s="116"/>
      <c r="I1233" s="116"/>
      <c r="J1233" s="116"/>
      <c r="K1233" s="103" t="s">
        <v>4570</v>
      </c>
    </row>
    <row r="1234" spans="1:11" ht="14.25" customHeight="1">
      <c r="A1234" s="104"/>
      <c r="B1234" s="104"/>
      <c r="C1234" s="140"/>
      <c r="D1234" s="104"/>
      <c r="E1234" s="104"/>
      <c r="F1234" s="104"/>
      <c r="G1234" s="104" t="s">
        <v>4571</v>
      </c>
      <c r="H1234" s="104" t="s">
        <v>4572</v>
      </c>
      <c r="I1234" s="106" t="s">
        <v>19</v>
      </c>
      <c r="J1234" s="104" t="s">
        <v>4573</v>
      </c>
      <c r="K1234" s="103" t="s">
        <v>4574</v>
      </c>
    </row>
    <row r="1235" spans="1:11" ht="14.25" customHeight="1">
      <c r="A1235" s="104"/>
      <c r="B1235" s="104"/>
      <c r="C1235" s="140"/>
      <c r="D1235" s="116"/>
      <c r="E1235" s="116"/>
      <c r="F1235" s="116"/>
      <c r="G1235" s="116"/>
      <c r="H1235" s="116"/>
      <c r="I1235" s="116"/>
      <c r="J1235" s="116"/>
      <c r="K1235" s="103" t="s">
        <v>4575</v>
      </c>
    </row>
    <row r="1236" spans="1:11" ht="14.25" customHeight="1">
      <c r="A1236" s="104"/>
      <c r="B1236" s="104"/>
      <c r="C1236" s="140"/>
      <c r="D1236" s="104" t="s">
        <v>4576</v>
      </c>
      <c r="E1236" s="104" t="s">
        <v>4577</v>
      </c>
      <c r="F1236" s="104" t="s">
        <v>16</v>
      </c>
      <c r="G1236" s="104" t="s">
        <v>4578</v>
      </c>
      <c r="H1236" s="104" t="s">
        <v>4579</v>
      </c>
      <c r="I1236" s="106" t="s">
        <v>19</v>
      </c>
      <c r="J1236" s="104" t="s">
        <v>4579</v>
      </c>
      <c r="K1236" s="103" t="s">
        <v>4580</v>
      </c>
    </row>
    <row r="1237" spans="1:11" ht="14.25" customHeight="1">
      <c r="A1237" s="104"/>
      <c r="B1237" s="104"/>
      <c r="C1237" s="140"/>
      <c r="D1237" s="104"/>
      <c r="E1237" s="104"/>
      <c r="F1237" s="104"/>
      <c r="G1237" s="116"/>
      <c r="H1237" s="116"/>
      <c r="I1237" s="116"/>
      <c r="J1237" s="116"/>
      <c r="K1237" s="103" t="s">
        <v>4581</v>
      </c>
    </row>
    <row r="1238" spans="1:11" ht="14.25" customHeight="1">
      <c r="A1238" s="104"/>
      <c r="B1238" s="104"/>
      <c r="C1238" s="140"/>
      <c r="D1238" s="104"/>
      <c r="E1238" s="104"/>
      <c r="F1238" s="104"/>
      <c r="G1238" s="104" t="s">
        <v>4582</v>
      </c>
      <c r="H1238" s="104" t="s">
        <v>4583</v>
      </c>
      <c r="I1238" s="106" t="s">
        <v>19</v>
      </c>
      <c r="J1238" s="104" t="s">
        <v>4584</v>
      </c>
      <c r="K1238" s="103" t="s">
        <v>4585</v>
      </c>
    </row>
    <row r="1239" spans="1:11" ht="14.25" customHeight="1">
      <c r="A1239" s="104"/>
      <c r="B1239" s="104"/>
      <c r="C1239" s="140"/>
      <c r="D1239" s="116"/>
      <c r="E1239" s="116"/>
      <c r="F1239" s="116"/>
      <c r="G1239" s="116"/>
      <c r="H1239" s="116"/>
      <c r="I1239" s="116"/>
      <c r="J1239" s="116"/>
      <c r="K1239" s="103" t="s">
        <v>4586</v>
      </c>
    </row>
    <row r="1240" spans="1:11" ht="14.25" customHeight="1">
      <c r="A1240" s="104"/>
      <c r="B1240" s="104"/>
      <c r="C1240" s="140"/>
      <c r="D1240" s="104" t="s">
        <v>4587</v>
      </c>
      <c r="E1240" s="104" t="s">
        <v>4588</v>
      </c>
      <c r="F1240" s="104" t="s">
        <v>16</v>
      </c>
      <c r="G1240" s="104" t="s">
        <v>4589</v>
      </c>
      <c r="H1240" s="104" t="s">
        <v>4590</v>
      </c>
      <c r="I1240" s="106" t="s">
        <v>19</v>
      </c>
      <c r="J1240" s="104" t="s">
        <v>4591</v>
      </c>
      <c r="K1240" s="103" t="s">
        <v>4592</v>
      </c>
    </row>
    <row r="1241" spans="1:11" ht="14.25" customHeight="1">
      <c r="A1241" s="104"/>
      <c r="B1241" s="104"/>
      <c r="C1241" s="140"/>
      <c r="D1241" s="104"/>
      <c r="E1241" s="104"/>
      <c r="F1241" s="104"/>
      <c r="G1241" s="116"/>
      <c r="H1241" s="116"/>
      <c r="I1241" s="116"/>
      <c r="J1241" s="116"/>
      <c r="K1241" s="103" t="s">
        <v>4593</v>
      </c>
    </row>
    <row r="1242" spans="1:11" ht="14.25" customHeight="1">
      <c r="A1242" s="104"/>
      <c r="B1242" s="104"/>
      <c r="C1242" s="140"/>
      <c r="D1242" s="104"/>
      <c r="E1242" s="104"/>
      <c r="F1242" s="104"/>
      <c r="G1242" s="104" t="s">
        <v>4594</v>
      </c>
      <c r="H1242" s="104" t="s">
        <v>4595</v>
      </c>
      <c r="I1242" s="106" t="s">
        <v>19</v>
      </c>
      <c r="J1242" s="104" t="s">
        <v>4596</v>
      </c>
      <c r="K1242" s="103" t="s">
        <v>4597</v>
      </c>
    </row>
    <row r="1243" spans="1:11" ht="14.25" customHeight="1">
      <c r="A1243" s="104"/>
      <c r="B1243" s="104"/>
      <c r="C1243" s="140"/>
      <c r="D1243" s="116"/>
      <c r="E1243" s="116"/>
      <c r="F1243" s="116"/>
      <c r="G1243" s="116"/>
      <c r="H1243" s="116"/>
      <c r="I1243" s="116"/>
      <c r="J1243" s="116"/>
      <c r="K1243" s="103" t="s">
        <v>4598</v>
      </c>
    </row>
    <row r="1244" spans="1:11" ht="14.25" customHeight="1">
      <c r="A1244" s="104"/>
      <c r="B1244" s="104"/>
      <c r="C1244" s="140"/>
      <c r="D1244" s="104" t="s">
        <v>4599</v>
      </c>
      <c r="E1244" s="104" t="s">
        <v>4600</v>
      </c>
      <c r="F1244" s="104" t="s">
        <v>16</v>
      </c>
      <c r="G1244" s="104" t="s">
        <v>4601</v>
      </c>
      <c r="H1244" s="104" t="s">
        <v>4602</v>
      </c>
      <c r="I1244" s="106" t="s">
        <v>19</v>
      </c>
      <c r="J1244" s="104" t="s">
        <v>4602</v>
      </c>
      <c r="K1244" s="103" t="s">
        <v>4603</v>
      </c>
    </row>
    <row r="1245" spans="1:11" ht="14.25" customHeight="1">
      <c r="A1245" s="104"/>
      <c r="B1245" s="104"/>
      <c r="C1245" s="140"/>
      <c r="D1245" s="104"/>
      <c r="E1245" s="104"/>
      <c r="F1245" s="104"/>
      <c r="G1245" s="116"/>
      <c r="H1245" s="116"/>
      <c r="I1245" s="104"/>
      <c r="J1245" s="116"/>
      <c r="K1245" s="103" t="s">
        <v>4604</v>
      </c>
    </row>
    <row r="1246" spans="1:11" ht="14.25" customHeight="1">
      <c r="A1246" s="104"/>
      <c r="B1246" s="104"/>
      <c r="C1246" s="140"/>
      <c r="D1246" s="104"/>
      <c r="E1246" s="104"/>
      <c r="F1246" s="104"/>
      <c r="G1246" s="104" t="s">
        <v>4605</v>
      </c>
      <c r="H1246" s="104" t="s">
        <v>4606</v>
      </c>
      <c r="I1246" s="111" t="s">
        <v>33</v>
      </c>
      <c r="J1246" s="104" t="s">
        <v>4606</v>
      </c>
      <c r="K1246" s="103" t="s">
        <v>4607</v>
      </c>
    </row>
    <row r="1247" spans="1:11" ht="14.25" customHeight="1">
      <c r="A1247" s="104"/>
      <c r="B1247" s="104"/>
      <c r="C1247" s="140"/>
      <c r="D1247" s="116"/>
      <c r="E1247" s="116"/>
      <c r="F1247" s="116"/>
      <c r="G1247" s="116"/>
      <c r="H1247" s="116"/>
      <c r="I1247" s="116"/>
      <c r="J1247" s="116"/>
      <c r="K1247" s="103" t="s">
        <v>4608</v>
      </c>
    </row>
    <row r="1248" spans="1:11" ht="14.25" customHeight="1">
      <c r="A1248" s="104"/>
      <c r="B1248" s="104"/>
      <c r="C1248" s="140"/>
      <c r="D1248" s="104" t="s">
        <v>4609</v>
      </c>
      <c r="E1248" s="104" t="s">
        <v>4610</v>
      </c>
      <c r="F1248" s="104" t="s">
        <v>38</v>
      </c>
      <c r="G1248" s="104" t="s">
        <v>4611</v>
      </c>
      <c r="H1248" s="104" t="s">
        <v>4612</v>
      </c>
      <c r="I1248" s="106" t="s">
        <v>19</v>
      </c>
      <c r="J1248" s="104" t="s">
        <v>4613</v>
      </c>
      <c r="K1248" s="103" t="s">
        <v>4614</v>
      </c>
    </row>
    <row r="1249" spans="1:11" ht="14.25" customHeight="1">
      <c r="A1249" s="104"/>
      <c r="B1249" s="104"/>
      <c r="C1249" s="140"/>
      <c r="D1249" s="104"/>
      <c r="E1249" s="104"/>
      <c r="F1249" s="104"/>
      <c r="G1249" s="116"/>
      <c r="H1249" s="116"/>
      <c r="I1249" s="116"/>
      <c r="J1249" s="116"/>
      <c r="K1249" s="103" t="s">
        <v>4615</v>
      </c>
    </row>
    <row r="1250" spans="1:11" ht="14.25" customHeight="1">
      <c r="A1250" s="104"/>
      <c r="B1250" s="104"/>
      <c r="C1250" s="140"/>
      <c r="D1250" s="104"/>
      <c r="E1250" s="104"/>
      <c r="F1250" s="104"/>
      <c r="G1250" s="104" t="s">
        <v>4616</v>
      </c>
      <c r="H1250" s="104" t="s">
        <v>4617</v>
      </c>
      <c r="I1250" s="106" t="s">
        <v>19</v>
      </c>
      <c r="J1250" s="104" t="s">
        <v>4618</v>
      </c>
      <c r="K1250" s="103" t="s">
        <v>4619</v>
      </c>
    </row>
    <row r="1251" spans="1:11" ht="14.25" customHeight="1">
      <c r="A1251" s="104"/>
      <c r="B1251" s="104"/>
      <c r="C1251" s="141"/>
      <c r="D1251" s="116"/>
      <c r="E1251" s="116"/>
      <c r="F1251" s="116"/>
      <c r="G1251" s="116"/>
      <c r="H1251" s="116"/>
      <c r="I1251" s="116"/>
      <c r="J1251" s="116"/>
      <c r="K1251" s="103" t="s">
        <v>4620</v>
      </c>
    </row>
    <row r="1252" spans="1:11" ht="14.25" customHeight="1">
      <c r="A1252" s="104"/>
      <c r="B1252" s="104"/>
      <c r="C1252" s="148" t="s">
        <v>4621</v>
      </c>
      <c r="D1252" s="104" t="s">
        <v>4622</v>
      </c>
      <c r="E1252" s="104" t="s">
        <v>4623</v>
      </c>
      <c r="F1252" s="104" t="s">
        <v>16</v>
      </c>
      <c r="G1252" s="104" t="s">
        <v>4624</v>
      </c>
      <c r="H1252" s="104" t="s">
        <v>4625</v>
      </c>
      <c r="I1252" s="106" t="s">
        <v>19</v>
      </c>
      <c r="J1252" s="104" t="s">
        <v>4625</v>
      </c>
      <c r="K1252" s="103" t="s">
        <v>4626</v>
      </c>
    </row>
    <row r="1253" spans="1:11" ht="14.25" customHeight="1">
      <c r="A1253" s="104"/>
      <c r="B1253" s="104"/>
      <c r="C1253" s="140"/>
      <c r="D1253" s="104"/>
      <c r="E1253" s="104"/>
      <c r="F1253" s="104"/>
      <c r="G1253" s="116"/>
      <c r="H1253" s="116"/>
      <c r="I1253" s="116"/>
      <c r="J1253" s="116"/>
      <c r="K1253" s="103" t="s">
        <v>4627</v>
      </c>
    </row>
    <row r="1254" spans="1:11" ht="14.25" customHeight="1">
      <c r="A1254" s="104"/>
      <c r="B1254" s="104"/>
      <c r="C1254" s="140"/>
      <c r="D1254" s="104"/>
      <c r="E1254" s="104"/>
      <c r="F1254" s="104"/>
      <c r="G1254" s="104" t="s">
        <v>4628</v>
      </c>
      <c r="H1254" s="104" t="s">
        <v>4629</v>
      </c>
      <c r="I1254" s="106" t="s">
        <v>19</v>
      </c>
      <c r="J1254" s="104" t="s">
        <v>4629</v>
      </c>
      <c r="K1254" s="103" t="s">
        <v>4630</v>
      </c>
    </row>
    <row r="1255" spans="1:11" ht="14.25" customHeight="1">
      <c r="A1255" s="104"/>
      <c r="B1255" s="104"/>
      <c r="C1255" s="140"/>
      <c r="D1255" s="116"/>
      <c r="E1255" s="116"/>
      <c r="F1255" s="116"/>
      <c r="G1255" s="116"/>
      <c r="H1255" s="116"/>
      <c r="I1255" s="116"/>
      <c r="J1255" s="116"/>
      <c r="K1255" s="103" t="s">
        <v>4631</v>
      </c>
    </row>
    <row r="1256" spans="1:11" ht="14.25" customHeight="1">
      <c r="A1256" s="104"/>
      <c r="B1256" s="104"/>
      <c r="C1256" s="140"/>
      <c r="D1256" s="104" t="s">
        <v>4632</v>
      </c>
      <c r="E1256" s="104" t="s">
        <v>4633</v>
      </c>
      <c r="F1256" s="104" t="s">
        <v>16</v>
      </c>
      <c r="G1256" s="104" t="s">
        <v>4634</v>
      </c>
      <c r="H1256" s="104" t="s">
        <v>4635</v>
      </c>
      <c r="I1256" s="106" t="s">
        <v>19</v>
      </c>
      <c r="J1256" s="104" t="s">
        <v>4636</v>
      </c>
      <c r="K1256" s="103" t="s">
        <v>4637</v>
      </c>
    </row>
    <row r="1257" spans="1:11" ht="14.25" customHeight="1">
      <c r="A1257" s="104"/>
      <c r="B1257" s="104"/>
      <c r="C1257" s="140"/>
      <c r="D1257" s="104"/>
      <c r="E1257" s="104"/>
      <c r="F1257" s="104"/>
      <c r="G1257" s="116"/>
      <c r="H1257" s="116"/>
      <c r="I1257" s="116"/>
      <c r="J1257" s="116"/>
      <c r="K1257" s="103" t="s">
        <v>4638</v>
      </c>
    </row>
    <row r="1258" spans="1:11" ht="14.25" customHeight="1">
      <c r="A1258" s="104"/>
      <c r="B1258" s="104"/>
      <c r="C1258" s="140"/>
      <c r="D1258" s="104"/>
      <c r="E1258" s="104"/>
      <c r="F1258" s="104"/>
      <c r="G1258" s="104" t="s">
        <v>4639</v>
      </c>
      <c r="H1258" s="104" t="s">
        <v>4640</v>
      </c>
      <c r="I1258" s="106" t="s">
        <v>19</v>
      </c>
      <c r="J1258" s="104" t="s">
        <v>4640</v>
      </c>
      <c r="K1258" s="103" t="s">
        <v>4641</v>
      </c>
    </row>
    <row r="1259" spans="1:11" ht="14.25" customHeight="1">
      <c r="A1259" s="104"/>
      <c r="B1259" s="104"/>
      <c r="C1259" s="140"/>
      <c r="D1259" s="116"/>
      <c r="E1259" s="116"/>
      <c r="F1259" s="116"/>
      <c r="G1259" s="116"/>
      <c r="H1259" s="116"/>
      <c r="I1259" s="116"/>
      <c r="J1259" s="116"/>
      <c r="K1259" s="103" t="s">
        <v>4235</v>
      </c>
    </row>
    <row r="1260" spans="1:11" ht="14.25" customHeight="1">
      <c r="A1260" s="104"/>
      <c r="B1260" s="104"/>
      <c r="C1260" s="140"/>
      <c r="D1260" s="104" t="s">
        <v>4642</v>
      </c>
      <c r="E1260" s="104" t="s">
        <v>4643</v>
      </c>
      <c r="F1260" s="104" t="s">
        <v>16</v>
      </c>
      <c r="G1260" s="104" t="s">
        <v>4644</v>
      </c>
      <c r="H1260" s="104" t="s">
        <v>4645</v>
      </c>
      <c r="I1260" s="106" t="s">
        <v>19</v>
      </c>
      <c r="J1260" s="104" t="s">
        <v>4646</v>
      </c>
      <c r="K1260" s="103" t="s">
        <v>4647</v>
      </c>
    </row>
    <row r="1261" spans="1:11" ht="14.25" customHeight="1">
      <c r="A1261" s="104"/>
      <c r="B1261" s="104"/>
      <c r="C1261" s="140"/>
      <c r="D1261" s="104"/>
      <c r="E1261" s="104"/>
      <c r="F1261" s="104"/>
      <c r="G1261" s="116"/>
      <c r="H1261" s="116"/>
      <c r="I1261" s="116"/>
      <c r="J1261" s="116"/>
      <c r="K1261" s="103" t="s">
        <v>4648</v>
      </c>
    </row>
    <row r="1262" spans="1:11" ht="14.25" customHeight="1">
      <c r="A1262" s="104"/>
      <c r="B1262" s="104"/>
      <c r="C1262" s="140"/>
      <c r="D1262" s="104"/>
      <c r="E1262" s="104"/>
      <c r="F1262" s="104"/>
      <c r="G1262" s="104" t="s">
        <v>4649</v>
      </c>
      <c r="H1262" s="104" t="s">
        <v>4650</v>
      </c>
      <c r="I1262" s="106" t="s">
        <v>19</v>
      </c>
      <c r="J1262" s="104" t="s">
        <v>4651</v>
      </c>
      <c r="K1262" s="103" t="s">
        <v>4652</v>
      </c>
    </row>
    <row r="1263" spans="1:11" ht="14.25" customHeight="1">
      <c r="A1263" s="104"/>
      <c r="B1263" s="104"/>
      <c r="C1263" s="140"/>
      <c r="D1263" s="116"/>
      <c r="E1263" s="116"/>
      <c r="F1263" s="116"/>
      <c r="G1263" s="116"/>
      <c r="H1263" s="116"/>
      <c r="I1263" s="116"/>
      <c r="J1263" s="116"/>
      <c r="K1263" s="103" t="s">
        <v>4464</v>
      </c>
    </row>
    <row r="1264" spans="1:11" ht="14.25" customHeight="1">
      <c r="A1264" s="104"/>
      <c r="B1264" s="104"/>
      <c r="C1264" s="140"/>
      <c r="D1264" s="104" t="s">
        <v>4653</v>
      </c>
      <c r="E1264" s="104" t="s">
        <v>4654</v>
      </c>
      <c r="F1264" s="104" t="s">
        <v>16</v>
      </c>
      <c r="G1264" s="104" t="s">
        <v>4655</v>
      </c>
      <c r="H1264" s="104" t="s">
        <v>4656</v>
      </c>
      <c r="I1264" s="106" t="s">
        <v>19</v>
      </c>
      <c r="J1264" s="104" t="s">
        <v>4657</v>
      </c>
      <c r="K1264" s="103" t="s">
        <v>4658</v>
      </c>
    </row>
    <row r="1265" spans="1:11" ht="14.25" customHeight="1">
      <c r="A1265" s="104"/>
      <c r="B1265" s="104"/>
      <c r="C1265" s="140"/>
      <c r="D1265" s="104"/>
      <c r="E1265" s="104"/>
      <c r="F1265" s="104"/>
      <c r="G1265" s="116"/>
      <c r="H1265" s="116"/>
      <c r="I1265" s="116"/>
      <c r="J1265" s="116"/>
      <c r="K1265" s="103" t="s">
        <v>4659</v>
      </c>
    </row>
    <row r="1266" spans="1:11" ht="14.25" customHeight="1">
      <c r="A1266" s="104"/>
      <c r="B1266" s="104"/>
      <c r="C1266" s="140"/>
      <c r="D1266" s="104"/>
      <c r="E1266" s="104"/>
      <c r="F1266" s="104"/>
      <c r="G1266" s="104" t="s">
        <v>4660</v>
      </c>
      <c r="H1266" s="104" t="s">
        <v>4661</v>
      </c>
      <c r="I1266" s="105" t="s">
        <v>41</v>
      </c>
      <c r="J1266" s="104" t="s">
        <v>4662</v>
      </c>
      <c r="K1266" s="103" t="s">
        <v>4663</v>
      </c>
    </row>
    <row r="1267" spans="1:11" ht="14.25" customHeight="1">
      <c r="A1267" s="104"/>
      <c r="B1267" s="104"/>
      <c r="C1267" s="140"/>
      <c r="D1267" s="116"/>
      <c r="E1267" s="116"/>
      <c r="F1267" s="116"/>
      <c r="G1267" s="116"/>
      <c r="H1267" s="116"/>
      <c r="I1267" s="116"/>
      <c r="J1267" s="116"/>
      <c r="K1267" s="103" t="s">
        <v>4664</v>
      </c>
    </row>
    <row r="1268" spans="1:11" ht="14.25" customHeight="1">
      <c r="A1268" s="104"/>
      <c r="B1268" s="104"/>
      <c r="C1268" s="140"/>
      <c r="D1268" s="104" t="s">
        <v>4665</v>
      </c>
      <c r="E1268" s="104" t="s">
        <v>4666</v>
      </c>
      <c r="F1268" s="104" t="s">
        <v>16</v>
      </c>
      <c r="G1268" s="104" t="s">
        <v>4667</v>
      </c>
      <c r="H1268" s="104" t="s">
        <v>4668</v>
      </c>
      <c r="I1268" s="105" t="s">
        <v>41</v>
      </c>
      <c r="J1268" s="104" t="s">
        <v>2597</v>
      </c>
      <c r="K1268" s="103" t="s">
        <v>4669</v>
      </c>
    </row>
    <row r="1269" spans="1:11" ht="14.25" customHeight="1">
      <c r="A1269" s="104"/>
      <c r="B1269" s="104"/>
      <c r="C1269" s="140"/>
      <c r="D1269" s="104"/>
      <c r="E1269" s="104"/>
      <c r="F1269" s="104"/>
      <c r="G1269" s="116"/>
      <c r="H1269" s="116"/>
      <c r="I1269" s="116"/>
      <c r="J1269" s="104"/>
      <c r="K1269" s="103" t="s">
        <v>4670</v>
      </c>
    </row>
    <row r="1270" spans="1:11" ht="14.25" customHeight="1">
      <c r="A1270" s="104"/>
      <c r="B1270" s="104"/>
      <c r="C1270" s="140"/>
      <c r="D1270" s="104"/>
      <c r="E1270" s="104"/>
      <c r="F1270" s="104"/>
      <c r="G1270" s="104" t="s">
        <v>4671</v>
      </c>
      <c r="H1270" s="104" t="s">
        <v>4672</v>
      </c>
      <c r="I1270" s="105" t="s">
        <v>41</v>
      </c>
      <c r="J1270" s="104" t="s">
        <v>4673</v>
      </c>
      <c r="K1270" s="103" t="s">
        <v>4674</v>
      </c>
    </row>
    <row r="1271" spans="1:11" ht="14.25" customHeight="1">
      <c r="A1271" s="104"/>
      <c r="B1271" s="104"/>
      <c r="C1271" s="141"/>
      <c r="D1271" s="116"/>
      <c r="E1271" s="116"/>
      <c r="F1271" s="116"/>
      <c r="G1271" s="116"/>
      <c r="H1271" s="116"/>
      <c r="I1271" s="116"/>
      <c r="J1271" s="104"/>
      <c r="K1271" s="103" t="s">
        <v>4675</v>
      </c>
    </row>
    <row r="1272" spans="1:11" ht="14.25" customHeight="1">
      <c r="A1272" s="104"/>
      <c r="B1272" s="104"/>
      <c r="C1272" s="148" t="s">
        <v>4676</v>
      </c>
      <c r="D1272" s="104" t="s">
        <v>4677</v>
      </c>
      <c r="E1272" s="104" t="s">
        <v>4678</v>
      </c>
      <c r="F1272" s="104" t="s">
        <v>16</v>
      </c>
      <c r="G1272" s="104" t="s">
        <v>4679</v>
      </c>
      <c r="H1272" s="104" t="s">
        <v>4673</v>
      </c>
      <c r="I1272" s="105" t="s">
        <v>41</v>
      </c>
      <c r="J1272" s="104" t="s">
        <v>4680</v>
      </c>
      <c r="K1272" s="103" t="s">
        <v>4681</v>
      </c>
    </row>
    <row r="1273" spans="1:11" ht="14.25" customHeight="1">
      <c r="A1273" s="104"/>
      <c r="B1273" s="104"/>
      <c r="C1273" s="140"/>
      <c r="D1273" s="104"/>
      <c r="E1273" s="104"/>
      <c r="F1273" s="104"/>
      <c r="G1273" s="116"/>
      <c r="H1273" s="116"/>
      <c r="I1273" s="116"/>
      <c r="J1273" s="116"/>
      <c r="K1273" s="103" t="s">
        <v>4682</v>
      </c>
    </row>
    <row r="1274" spans="1:11" ht="14.25" customHeight="1">
      <c r="A1274" s="104"/>
      <c r="B1274" s="104"/>
      <c r="C1274" s="140"/>
      <c r="D1274" s="104"/>
      <c r="E1274" s="104"/>
      <c r="F1274" s="104"/>
      <c r="G1274" s="104" t="s">
        <v>4683</v>
      </c>
      <c r="H1274" s="104" t="s">
        <v>4684</v>
      </c>
      <c r="I1274" s="105" t="s">
        <v>41</v>
      </c>
      <c r="J1274" s="104" t="s">
        <v>4684</v>
      </c>
      <c r="K1274" s="103" t="s">
        <v>4685</v>
      </c>
    </row>
    <row r="1275" spans="1:11" ht="14.25" customHeight="1">
      <c r="A1275" s="104"/>
      <c r="B1275" s="104"/>
      <c r="C1275" s="140"/>
      <c r="D1275" s="116"/>
      <c r="E1275" s="116"/>
      <c r="F1275" s="116"/>
      <c r="G1275" s="116"/>
      <c r="H1275" s="116"/>
      <c r="I1275" s="116"/>
      <c r="J1275" s="116"/>
      <c r="K1275" s="103" t="s">
        <v>4686</v>
      </c>
    </row>
    <row r="1276" spans="1:11" ht="14.25" customHeight="1">
      <c r="A1276" s="104"/>
      <c r="B1276" s="104"/>
      <c r="C1276" s="140"/>
      <c r="D1276" s="104" t="s">
        <v>4687</v>
      </c>
      <c r="E1276" s="104" t="s">
        <v>4688</v>
      </c>
      <c r="F1276" s="104" t="s">
        <v>16</v>
      </c>
      <c r="G1276" s="104" t="s">
        <v>4689</v>
      </c>
      <c r="H1276" s="104" t="s">
        <v>4690</v>
      </c>
      <c r="I1276" s="105" t="s">
        <v>41</v>
      </c>
      <c r="J1276" s="104" t="s">
        <v>4690</v>
      </c>
      <c r="K1276" s="103" t="s">
        <v>4691</v>
      </c>
    </row>
    <row r="1277" spans="1:11" ht="14.25" customHeight="1">
      <c r="A1277" s="104"/>
      <c r="B1277" s="104"/>
      <c r="C1277" s="140"/>
      <c r="D1277" s="104"/>
      <c r="E1277" s="104"/>
      <c r="F1277" s="104"/>
      <c r="G1277" s="116"/>
      <c r="H1277" s="116"/>
      <c r="I1277" s="116"/>
      <c r="J1277" s="116"/>
      <c r="K1277" s="103" t="s">
        <v>4692</v>
      </c>
    </row>
    <row r="1278" spans="1:11" ht="14.25" customHeight="1">
      <c r="A1278" s="104"/>
      <c r="B1278" s="104"/>
      <c r="C1278" s="140"/>
      <c r="D1278" s="104"/>
      <c r="E1278" s="104"/>
      <c r="F1278" s="104"/>
      <c r="G1278" s="104" t="s">
        <v>4693</v>
      </c>
      <c r="H1278" s="104" t="s">
        <v>4694</v>
      </c>
      <c r="I1278" s="105" t="s">
        <v>41</v>
      </c>
      <c r="J1278" s="104" t="s">
        <v>4695</v>
      </c>
      <c r="K1278" s="103" t="s">
        <v>4696</v>
      </c>
    </row>
    <row r="1279" spans="1:11" ht="14.25" customHeight="1">
      <c r="A1279" s="104"/>
      <c r="B1279" s="104"/>
      <c r="C1279" s="140"/>
      <c r="D1279" s="116"/>
      <c r="E1279" s="116"/>
      <c r="F1279" s="116"/>
      <c r="G1279" s="116"/>
      <c r="H1279" s="116"/>
      <c r="I1279" s="116"/>
      <c r="J1279" s="116"/>
      <c r="K1279" s="103" t="s">
        <v>4697</v>
      </c>
    </row>
    <row r="1280" spans="1:11" ht="14.25" customHeight="1">
      <c r="A1280" s="104"/>
      <c r="B1280" s="104"/>
      <c r="C1280" s="140"/>
      <c r="D1280" s="104" t="s">
        <v>4698</v>
      </c>
      <c r="E1280" s="104" t="s">
        <v>4699</v>
      </c>
      <c r="F1280" s="104" t="s">
        <v>16</v>
      </c>
      <c r="G1280" s="104" t="s">
        <v>4700</v>
      </c>
      <c r="H1280" s="104" t="s">
        <v>4701</v>
      </c>
      <c r="I1280" s="105" t="s">
        <v>41</v>
      </c>
      <c r="J1280" s="104" t="s">
        <v>4702</v>
      </c>
      <c r="K1280" s="103" t="s">
        <v>4703</v>
      </c>
    </row>
    <row r="1281" spans="1:11" ht="14.25" customHeight="1">
      <c r="A1281" s="104"/>
      <c r="B1281" s="104"/>
      <c r="C1281" s="140"/>
      <c r="D1281" s="104"/>
      <c r="E1281" s="104"/>
      <c r="F1281" s="104"/>
      <c r="G1281" s="116"/>
      <c r="H1281" s="116"/>
      <c r="I1281" s="116"/>
      <c r="J1281" s="116"/>
      <c r="K1281" s="103" t="s">
        <v>4704</v>
      </c>
    </row>
    <row r="1282" spans="1:11" ht="14.25" customHeight="1">
      <c r="A1282" s="104"/>
      <c r="B1282" s="104"/>
      <c r="C1282" s="140"/>
      <c r="D1282" s="104"/>
      <c r="E1282" s="104"/>
      <c r="F1282" s="104"/>
      <c r="G1282" s="104" t="s">
        <v>4705</v>
      </c>
      <c r="H1282" s="104" t="s">
        <v>4706</v>
      </c>
      <c r="I1282" s="105" t="s">
        <v>41</v>
      </c>
      <c r="J1282" s="104" t="s">
        <v>4707</v>
      </c>
      <c r="K1282" s="103" t="s">
        <v>4708</v>
      </c>
    </row>
    <row r="1283" spans="1:11" ht="14.25" customHeight="1">
      <c r="A1283" s="104"/>
      <c r="B1283" s="104"/>
      <c r="C1283" s="140"/>
      <c r="D1283" s="116"/>
      <c r="E1283" s="116"/>
      <c r="F1283" s="116"/>
      <c r="G1283" s="116"/>
      <c r="H1283" s="116"/>
      <c r="I1283" s="116"/>
      <c r="J1283" s="116"/>
      <c r="K1283" s="103" t="s">
        <v>4709</v>
      </c>
    </row>
    <row r="1284" spans="1:11" ht="14.25" customHeight="1">
      <c r="A1284" s="104"/>
      <c r="B1284" s="104"/>
      <c r="C1284" s="140"/>
      <c r="D1284" s="104" t="s">
        <v>4710</v>
      </c>
      <c r="E1284" s="104" t="s">
        <v>4711</v>
      </c>
      <c r="F1284" s="104" t="s">
        <v>16</v>
      </c>
      <c r="G1284" s="104" t="s">
        <v>4712</v>
      </c>
      <c r="H1284" s="104" t="s">
        <v>4713</v>
      </c>
      <c r="I1284" s="105" t="s">
        <v>41</v>
      </c>
      <c r="J1284" s="104" t="s">
        <v>4714</v>
      </c>
      <c r="K1284" s="103" t="s">
        <v>4715</v>
      </c>
    </row>
    <row r="1285" spans="1:11" ht="14.25" customHeight="1">
      <c r="A1285" s="104"/>
      <c r="B1285" s="104"/>
      <c r="C1285" s="140"/>
      <c r="D1285" s="104"/>
      <c r="E1285" s="104"/>
      <c r="F1285" s="104"/>
      <c r="G1285" s="116"/>
      <c r="H1285" s="116"/>
      <c r="I1285" s="116"/>
      <c r="J1285" s="116"/>
      <c r="K1285" s="103" t="s">
        <v>4716</v>
      </c>
    </row>
    <row r="1286" spans="1:11" ht="14.25" customHeight="1">
      <c r="A1286" s="104"/>
      <c r="B1286" s="104"/>
      <c r="C1286" s="140"/>
      <c r="D1286" s="104"/>
      <c r="E1286" s="104"/>
      <c r="F1286" s="104"/>
      <c r="G1286" s="104" t="s">
        <v>4717</v>
      </c>
      <c r="H1286" s="104" t="s">
        <v>4718</v>
      </c>
      <c r="I1286" s="105" t="s">
        <v>41</v>
      </c>
      <c r="J1286" s="104" t="s">
        <v>4719</v>
      </c>
      <c r="K1286" s="103" t="s">
        <v>4720</v>
      </c>
    </row>
    <row r="1287" spans="1:11" ht="14.25" customHeight="1">
      <c r="A1287" s="104"/>
      <c r="B1287" s="104"/>
      <c r="C1287" s="140"/>
      <c r="D1287" s="116"/>
      <c r="E1287" s="116"/>
      <c r="F1287" s="116"/>
      <c r="G1287" s="116"/>
      <c r="H1287" s="116"/>
      <c r="I1287" s="116"/>
      <c r="J1287" s="116"/>
      <c r="K1287" s="103" t="s">
        <v>4721</v>
      </c>
    </row>
    <row r="1288" spans="1:11" ht="14.25" customHeight="1">
      <c r="A1288" s="104"/>
      <c r="B1288" s="104"/>
      <c r="C1288" s="140"/>
      <c r="D1288" s="104" t="s">
        <v>4722</v>
      </c>
      <c r="E1288" s="104" t="s">
        <v>4723</v>
      </c>
      <c r="F1288" s="104" t="s">
        <v>16</v>
      </c>
      <c r="G1288" s="104" t="s">
        <v>4724</v>
      </c>
      <c r="H1288" s="104" t="s">
        <v>4725</v>
      </c>
      <c r="I1288" s="105" t="s">
        <v>41</v>
      </c>
      <c r="J1288" s="104" t="s">
        <v>4726</v>
      </c>
      <c r="K1288" s="103" t="s">
        <v>4727</v>
      </c>
    </row>
    <row r="1289" spans="1:11" ht="14.25" customHeight="1">
      <c r="A1289" s="104"/>
      <c r="B1289" s="104"/>
      <c r="C1289" s="140"/>
      <c r="D1289" s="104"/>
      <c r="E1289" s="104"/>
      <c r="F1289" s="104"/>
      <c r="G1289" s="116"/>
      <c r="H1289" s="116"/>
      <c r="I1289" s="116"/>
      <c r="J1289" s="116"/>
      <c r="K1289" s="103" t="s">
        <v>4728</v>
      </c>
    </row>
    <row r="1290" spans="1:11" ht="14.25" customHeight="1">
      <c r="A1290" s="104"/>
      <c r="B1290" s="104"/>
      <c r="C1290" s="140"/>
      <c r="D1290" s="104"/>
      <c r="E1290" s="104"/>
      <c r="F1290" s="104"/>
      <c r="G1290" s="104" t="s">
        <v>4729</v>
      </c>
      <c r="H1290" s="104" t="s">
        <v>4730</v>
      </c>
      <c r="I1290" s="105" t="s">
        <v>41</v>
      </c>
      <c r="J1290" s="104" t="s">
        <v>4731</v>
      </c>
      <c r="K1290" s="103" t="s">
        <v>4732</v>
      </c>
    </row>
    <row r="1291" spans="1:11" ht="14.25" customHeight="1">
      <c r="A1291" s="104"/>
      <c r="B1291" s="104"/>
      <c r="C1291" s="141"/>
      <c r="D1291" s="116"/>
      <c r="E1291" s="116"/>
      <c r="F1291" s="116"/>
      <c r="G1291" s="116"/>
      <c r="H1291" s="116"/>
      <c r="I1291" s="116"/>
      <c r="J1291" s="116"/>
      <c r="K1291" s="103" t="s">
        <v>4733</v>
      </c>
    </row>
    <row r="1292" spans="1:11" ht="14.25" customHeight="1">
      <c r="A1292" s="104"/>
      <c r="B1292" s="104"/>
      <c r="C1292" s="148" t="s">
        <v>4734</v>
      </c>
      <c r="D1292" s="104" t="s">
        <v>4735</v>
      </c>
      <c r="E1292" s="104" t="s">
        <v>4736</v>
      </c>
      <c r="F1292" s="104" t="s">
        <v>16</v>
      </c>
      <c r="G1292" s="104" t="s">
        <v>4737</v>
      </c>
      <c r="H1292" s="104" t="s">
        <v>4738</v>
      </c>
      <c r="I1292" s="106" t="s">
        <v>19</v>
      </c>
      <c r="J1292" s="104" t="s">
        <v>4739</v>
      </c>
      <c r="K1292" s="103" t="s">
        <v>4740</v>
      </c>
    </row>
    <row r="1293" spans="1:11" ht="14.25" customHeight="1">
      <c r="A1293" s="104"/>
      <c r="B1293" s="104"/>
      <c r="C1293" s="140"/>
      <c r="D1293" s="104"/>
      <c r="E1293" s="104"/>
      <c r="F1293" s="104"/>
      <c r="G1293" s="116"/>
      <c r="H1293" s="116"/>
      <c r="I1293" s="116"/>
      <c r="J1293" s="116"/>
      <c r="K1293" s="103" t="s">
        <v>4741</v>
      </c>
    </row>
    <row r="1294" spans="1:11" ht="14.25" customHeight="1">
      <c r="A1294" s="104"/>
      <c r="B1294" s="104"/>
      <c r="C1294" s="140"/>
      <c r="D1294" s="104"/>
      <c r="E1294" s="104"/>
      <c r="F1294" s="104"/>
      <c r="G1294" s="104" t="s">
        <v>4742</v>
      </c>
      <c r="H1294" s="104" t="s">
        <v>4743</v>
      </c>
      <c r="I1294" s="106" t="s">
        <v>19</v>
      </c>
      <c r="J1294" s="104" t="s">
        <v>4744</v>
      </c>
      <c r="K1294" s="103" t="s">
        <v>4745</v>
      </c>
    </row>
    <row r="1295" spans="1:11" ht="14.25" customHeight="1">
      <c r="A1295" s="104"/>
      <c r="B1295" s="104"/>
      <c r="C1295" s="140"/>
      <c r="D1295" s="116"/>
      <c r="E1295" s="116"/>
      <c r="F1295" s="116"/>
      <c r="G1295" s="116"/>
      <c r="H1295" s="116"/>
      <c r="I1295" s="116"/>
      <c r="J1295" s="116"/>
      <c r="K1295" s="103" t="s">
        <v>4746</v>
      </c>
    </row>
    <row r="1296" spans="1:11" ht="14.25" customHeight="1">
      <c r="A1296" s="104"/>
      <c r="B1296" s="104"/>
      <c r="C1296" s="140"/>
      <c r="D1296" s="104" t="s">
        <v>4747</v>
      </c>
      <c r="E1296" s="104" t="s">
        <v>4748</v>
      </c>
      <c r="F1296" s="104" t="s">
        <v>16</v>
      </c>
      <c r="G1296" s="104" t="s">
        <v>4749</v>
      </c>
      <c r="H1296" s="104" t="s">
        <v>4750</v>
      </c>
      <c r="I1296" s="106" t="s">
        <v>19</v>
      </c>
      <c r="J1296" s="104" t="s">
        <v>4751</v>
      </c>
      <c r="K1296" s="103" t="s">
        <v>4752</v>
      </c>
    </row>
    <row r="1297" spans="1:11" ht="14.25" customHeight="1">
      <c r="A1297" s="104"/>
      <c r="B1297" s="104"/>
      <c r="C1297" s="140"/>
      <c r="D1297" s="104"/>
      <c r="E1297" s="104"/>
      <c r="F1297" s="104"/>
      <c r="G1297" s="116"/>
      <c r="H1297" s="116"/>
      <c r="I1297" s="116"/>
      <c r="J1297" s="116"/>
      <c r="K1297" s="103" t="s">
        <v>4753</v>
      </c>
    </row>
    <row r="1298" spans="1:11" ht="14.25" customHeight="1">
      <c r="A1298" s="104"/>
      <c r="B1298" s="104"/>
      <c r="C1298" s="140"/>
      <c r="D1298" s="104"/>
      <c r="E1298" s="104"/>
      <c r="F1298" s="104"/>
      <c r="G1298" s="104" t="s">
        <v>4754</v>
      </c>
      <c r="H1298" s="104" t="s">
        <v>4755</v>
      </c>
      <c r="I1298" s="106" t="s">
        <v>19</v>
      </c>
      <c r="J1298" s="104" t="s">
        <v>4756</v>
      </c>
      <c r="K1298" s="103" t="s">
        <v>4757</v>
      </c>
    </row>
    <row r="1299" spans="1:11" ht="14.25" customHeight="1">
      <c r="A1299" s="104"/>
      <c r="B1299" s="104"/>
      <c r="C1299" s="140"/>
      <c r="D1299" s="116"/>
      <c r="E1299" s="116"/>
      <c r="F1299" s="116"/>
      <c r="G1299" s="116"/>
      <c r="H1299" s="116"/>
      <c r="I1299" s="116"/>
      <c r="J1299" s="116"/>
      <c r="K1299" s="103" t="s">
        <v>4758</v>
      </c>
    </row>
    <row r="1300" spans="1:11" ht="14.25" customHeight="1">
      <c r="A1300" s="104"/>
      <c r="B1300" s="104"/>
      <c r="C1300" s="140"/>
      <c r="D1300" s="104" t="s">
        <v>4759</v>
      </c>
      <c r="E1300" s="104" t="s">
        <v>4760</v>
      </c>
      <c r="F1300" s="104" t="s">
        <v>16</v>
      </c>
      <c r="G1300" s="104" t="s">
        <v>4761</v>
      </c>
      <c r="H1300" s="104" t="s">
        <v>4762</v>
      </c>
      <c r="I1300" s="106" t="s">
        <v>19</v>
      </c>
      <c r="J1300" s="104" t="s">
        <v>4763</v>
      </c>
      <c r="K1300" s="103" t="s">
        <v>4764</v>
      </c>
    </row>
    <row r="1301" spans="1:11" ht="14.25" customHeight="1">
      <c r="A1301" s="104"/>
      <c r="B1301" s="104"/>
      <c r="C1301" s="140"/>
      <c r="D1301" s="104"/>
      <c r="E1301" s="104"/>
      <c r="F1301" s="104"/>
      <c r="G1301" s="116"/>
      <c r="H1301" s="116"/>
      <c r="I1301" s="116"/>
      <c r="J1301" s="116"/>
      <c r="K1301" s="103" t="s">
        <v>4765</v>
      </c>
    </row>
    <row r="1302" spans="1:11" ht="14.25" customHeight="1">
      <c r="A1302" s="104"/>
      <c r="B1302" s="104"/>
      <c r="C1302" s="140"/>
      <c r="D1302" s="104"/>
      <c r="E1302" s="104"/>
      <c r="F1302" s="104"/>
      <c r="G1302" s="104" t="s">
        <v>4766</v>
      </c>
      <c r="H1302" s="104" t="s">
        <v>4767</v>
      </c>
      <c r="I1302" s="106" t="s">
        <v>19</v>
      </c>
      <c r="J1302" s="104" t="s">
        <v>4768</v>
      </c>
      <c r="K1302" s="103" t="s">
        <v>4769</v>
      </c>
    </row>
    <row r="1303" spans="1:11" ht="14.25" customHeight="1">
      <c r="A1303" s="104"/>
      <c r="B1303" s="104"/>
      <c r="C1303" s="140"/>
      <c r="D1303" s="116"/>
      <c r="E1303" s="116"/>
      <c r="F1303" s="116"/>
      <c r="G1303" s="116"/>
      <c r="H1303" s="116"/>
      <c r="I1303" s="116"/>
      <c r="J1303" s="116"/>
      <c r="K1303" s="103" t="s">
        <v>4770</v>
      </c>
    </row>
    <row r="1304" spans="1:11" ht="14.25" customHeight="1">
      <c r="A1304" s="104"/>
      <c r="B1304" s="104"/>
      <c r="C1304" s="140"/>
      <c r="D1304" s="104" t="s">
        <v>4771</v>
      </c>
      <c r="E1304" s="104" t="s">
        <v>4772</v>
      </c>
      <c r="F1304" s="104" t="s">
        <v>16</v>
      </c>
      <c r="G1304" s="104" t="s">
        <v>4773</v>
      </c>
      <c r="H1304" s="104" t="s">
        <v>4774</v>
      </c>
      <c r="I1304" s="106" t="s">
        <v>19</v>
      </c>
      <c r="J1304" s="104" t="s">
        <v>4775</v>
      </c>
      <c r="K1304" s="103" t="s">
        <v>4776</v>
      </c>
    </row>
    <row r="1305" spans="1:11" ht="14.25" customHeight="1">
      <c r="A1305" s="104"/>
      <c r="B1305" s="104"/>
      <c r="C1305" s="140"/>
      <c r="D1305" s="104"/>
      <c r="E1305" s="104"/>
      <c r="F1305" s="104"/>
      <c r="G1305" s="116"/>
      <c r="H1305" s="116"/>
      <c r="I1305" s="116"/>
      <c r="J1305" s="116"/>
      <c r="K1305" s="103" t="s">
        <v>4777</v>
      </c>
    </row>
    <row r="1306" spans="1:11" ht="14.25" customHeight="1">
      <c r="A1306" s="104"/>
      <c r="B1306" s="104"/>
      <c r="C1306" s="140"/>
      <c r="D1306" s="104"/>
      <c r="E1306" s="104"/>
      <c r="F1306" s="104"/>
      <c r="G1306" s="104" t="s">
        <v>4778</v>
      </c>
      <c r="H1306" s="104" t="s">
        <v>4779</v>
      </c>
      <c r="I1306" s="106" t="s">
        <v>19</v>
      </c>
      <c r="J1306" s="104" t="s">
        <v>4780</v>
      </c>
      <c r="K1306" s="103" t="s">
        <v>4781</v>
      </c>
    </row>
    <row r="1307" spans="1:11" ht="14.25" customHeight="1">
      <c r="A1307" s="104"/>
      <c r="B1307" s="104"/>
      <c r="C1307" s="140"/>
      <c r="D1307" s="116"/>
      <c r="E1307" s="116"/>
      <c r="F1307" s="116"/>
      <c r="G1307" s="116"/>
      <c r="H1307" s="116"/>
      <c r="I1307" s="116"/>
      <c r="J1307" s="116"/>
      <c r="K1307" s="103" t="s">
        <v>4782</v>
      </c>
    </row>
    <row r="1308" spans="1:11" ht="14.25" customHeight="1">
      <c r="A1308" s="104"/>
      <c r="B1308" s="104"/>
      <c r="C1308" s="140"/>
      <c r="D1308" s="104" t="s">
        <v>4783</v>
      </c>
      <c r="E1308" s="104" t="s">
        <v>4784</v>
      </c>
      <c r="F1308" s="104" t="s">
        <v>16</v>
      </c>
      <c r="G1308" s="104" t="s">
        <v>4785</v>
      </c>
      <c r="H1308" s="104" t="s">
        <v>4786</v>
      </c>
      <c r="I1308" s="106" t="s">
        <v>19</v>
      </c>
      <c r="J1308" s="104" t="s">
        <v>4786</v>
      </c>
      <c r="K1308" s="103" t="s">
        <v>4787</v>
      </c>
    </row>
    <row r="1309" spans="1:11" ht="14.25" customHeight="1">
      <c r="A1309" s="104"/>
      <c r="B1309" s="104"/>
      <c r="C1309" s="140"/>
      <c r="D1309" s="104"/>
      <c r="E1309" s="104"/>
      <c r="F1309" s="104"/>
      <c r="G1309" s="116"/>
      <c r="H1309" s="116"/>
      <c r="I1309" s="116"/>
      <c r="J1309" s="116"/>
      <c r="K1309" s="103" t="s">
        <v>4427</v>
      </c>
    </row>
    <row r="1310" spans="1:11" ht="14.25" customHeight="1">
      <c r="A1310" s="104"/>
      <c r="B1310" s="104"/>
      <c r="C1310" s="140"/>
      <c r="D1310" s="104"/>
      <c r="E1310" s="104"/>
      <c r="F1310" s="104"/>
      <c r="G1310" s="104" t="s">
        <v>4788</v>
      </c>
      <c r="H1310" s="104" t="s">
        <v>4789</v>
      </c>
      <c r="I1310" s="106" t="s">
        <v>19</v>
      </c>
      <c r="J1310" s="104" t="s">
        <v>4790</v>
      </c>
      <c r="K1310" s="103" t="s">
        <v>4791</v>
      </c>
    </row>
    <row r="1311" spans="1:11" ht="14.25" customHeight="1">
      <c r="A1311" s="104"/>
      <c r="B1311" s="116"/>
      <c r="C1311" s="141"/>
      <c r="D1311" s="116"/>
      <c r="E1311" s="116"/>
      <c r="F1311" s="116"/>
      <c r="G1311" s="116"/>
      <c r="H1311" s="116"/>
      <c r="I1311" s="116"/>
      <c r="J1311" s="116"/>
      <c r="K1311" s="103" t="s">
        <v>4792</v>
      </c>
    </row>
    <row r="1312" spans="1:11" ht="14.25" customHeight="1">
      <c r="A1312" s="3"/>
      <c r="B1312" s="3"/>
      <c r="C1312" s="149"/>
      <c r="D1312" s="3"/>
      <c r="E1312" s="4"/>
      <c r="F1312" s="3"/>
      <c r="G1312" s="2"/>
      <c r="H1312" s="2"/>
      <c r="I1312" s="2"/>
      <c r="J1312" s="2"/>
      <c r="K1312" s="2"/>
    </row>
    <row r="1313" spans="1:11" ht="14.25" customHeight="1">
      <c r="A1313" s="3"/>
      <c r="B1313" s="3"/>
      <c r="C1313" s="149"/>
      <c r="D1313" s="3"/>
      <c r="E1313" s="4"/>
      <c r="F1313" s="3"/>
      <c r="G1313" s="2"/>
      <c r="H1313" s="2"/>
      <c r="I1313" s="2"/>
      <c r="J1313" s="2"/>
      <c r="K1313" s="2"/>
    </row>
    <row r="1314" spans="1:11" ht="14.25" customHeight="1">
      <c r="A1314" s="3"/>
      <c r="B1314" s="3"/>
      <c r="C1314" s="149"/>
      <c r="D1314" s="3"/>
      <c r="E1314" s="4"/>
      <c r="F1314" s="3"/>
      <c r="G1314" s="2"/>
      <c r="H1314" s="2"/>
      <c r="I1314" s="2"/>
      <c r="J1314" s="2"/>
      <c r="K1314" s="2"/>
    </row>
    <row r="1315" spans="1:11" ht="14.25" customHeight="1">
      <c r="A1315" s="3"/>
      <c r="B1315" s="3"/>
      <c r="C1315" s="149"/>
      <c r="D1315" s="3"/>
      <c r="E1315" s="4"/>
      <c r="F1315" s="3"/>
      <c r="G1315" s="2"/>
      <c r="H1315" s="2"/>
      <c r="I1315" s="2"/>
      <c r="J1315" s="2"/>
      <c r="K1315" s="2"/>
    </row>
    <row r="1316" spans="1:11" ht="14.25" customHeight="1">
      <c r="A1316" s="3"/>
      <c r="B1316" s="3"/>
      <c r="C1316" s="149"/>
      <c r="D1316" s="3"/>
      <c r="E1316" s="4"/>
      <c r="F1316" s="3"/>
      <c r="G1316" s="2"/>
      <c r="H1316" s="2"/>
      <c r="I1316" s="2"/>
      <c r="J1316" s="2"/>
      <c r="K1316" s="2"/>
    </row>
    <row r="1317" spans="1:11" ht="14.25" customHeight="1">
      <c r="A1317" s="3"/>
      <c r="B1317" s="3"/>
      <c r="C1317" s="149"/>
      <c r="D1317" s="3"/>
      <c r="E1317" s="4"/>
      <c r="F1317" s="3"/>
      <c r="G1317" s="2"/>
      <c r="H1317" s="2"/>
      <c r="I1317" s="2"/>
      <c r="J1317" s="2"/>
      <c r="K1317" s="2"/>
    </row>
    <row r="1318" spans="1:11" ht="14.25" customHeight="1">
      <c r="A1318" s="3"/>
      <c r="B1318" s="3"/>
      <c r="C1318" s="149"/>
      <c r="D1318" s="3"/>
      <c r="E1318" s="4"/>
      <c r="F1318" s="3"/>
      <c r="G1318" s="2"/>
      <c r="H1318" s="2"/>
      <c r="I1318" s="2"/>
      <c r="J1318" s="2"/>
      <c r="K1318" s="2"/>
    </row>
    <row r="1319" spans="1:11" ht="14.25" customHeight="1">
      <c r="A1319" s="3"/>
      <c r="B1319" s="3"/>
      <c r="C1319" s="149"/>
      <c r="D1319" s="3"/>
      <c r="E1319" s="4"/>
      <c r="F1319" s="3"/>
      <c r="G1319" s="2"/>
      <c r="H1319" s="2"/>
      <c r="I1319" s="2"/>
      <c r="J1319" s="2"/>
      <c r="K1319" s="2"/>
    </row>
    <row r="1320" spans="1:11" ht="14.25" customHeight="1">
      <c r="A1320" s="3"/>
      <c r="B1320" s="3"/>
      <c r="C1320" s="149"/>
      <c r="D1320" s="3"/>
      <c r="E1320" s="4"/>
      <c r="F1320" s="3"/>
      <c r="G1320" s="2"/>
      <c r="H1320" s="2"/>
      <c r="I1320" s="2"/>
      <c r="J1320" s="2"/>
      <c r="K1320" s="2"/>
    </row>
    <row r="1321" spans="1:11" ht="14.25" customHeight="1">
      <c r="A1321" s="3"/>
      <c r="B1321" s="3"/>
      <c r="C1321" s="149"/>
      <c r="D1321" s="3"/>
      <c r="E1321" s="4"/>
      <c r="F1321" s="3"/>
      <c r="G1321" s="2"/>
      <c r="H1321" s="2"/>
      <c r="I1321" s="2"/>
      <c r="J1321" s="2"/>
      <c r="K1321" s="2"/>
    </row>
    <row r="1322" spans="1:11" ht="14.25" customHeight="1">
      <c r="A1322" s="3"/>
      <c r="B1322" s="3"/>
      <c r="C1322" s="149"/>
      <c r="D1322" s="3"/>
      <c r="E1322" s="4"/>
      <c r="F1322" s="3"/>
      <c r="G1322" s="2"/>
      <c r="H1322" s="2"/>
      <c r="I1322" s="2"/>
      <c r="J1322" s="2"/>
      <c r="K1322" s="2"/>
    </row>
    <row r="1323" spans="1:11" ht="14.25" customHeight="1">
      <c r="A1323" s="3"/>
      <c r="B1323" s="3"/>
      <c r="C1323" s="149"/>
      <c r="D1323" s="3"/>
      <c r="E1323" s="4"/>
      <c r="F1323" s="3"/>
      <c r="G1323" s="2"/>
      <c r="H1323" s="2"/>
      <c r="I1323" s="2"/>
      <c r="J1323" s="2"/>
      <c r="K1323" s="2"/>
    </row>
    <row r="1324" spans="1:11" ht="14.25" customHeight="1">
      <c r="A1324" s="3"/>
      <c r="B1324" s="3"/>
      <c r="C1324" s="149"/>
      <c r="D1324" s="3"/>
      <c r="E1324" s="4"/>
      <c r="F1324" s="3"/>
      <c r="G1324" s="2"/>
      <c r="H1324" s="2"/>
      <c r="I1324" s="2"/>
      <c r="J1324" s="2"/>
      <c r="K1324" s="2"/>
    </row>
    <row r="1325" spans="1:11" ht="14.25" customHeight="1">
      <c r="A1325" s="3"/>
      <c r="B1325" s="3"/>
      <c r="C1325" s="149"/>
      <c r="D1325" s="3"/>
      <c r="E1325" s="4"/>
      <c r="F1325" s="3"/>
      <c r="G1325" s="2"/>
      <c r="H1325" s="2"/>
      <c r="I1325" s="2"/>
      <c r="J1325" s="2"/>
      <c r="K1325" s="2"/>
    </row>
    <row r="1326" spans="1:11" ht="14.25" customHeight="1">
      <c r="A1326" s="3"/>
      <c r="B1326" s="3"/>
      <c r="C1326" s="149"/>
      <c r="D1326" s="3"/>
      <c r="E1326" s="4"/>
      <c r="F1326" s="3"/>
      <c r="G1326" s="2"/>
      <c r="H1326" s="2"/>
      <c r="I1326" s="2"/>
      <c r="J1326" s="2"/>
      <c r="K1326" s="2"/>
    </row>
    <row r="1327" spans="1:11" ht="14.25" customHeight="1">
      <c r="A1327" s="3"/>
      <c r="B1327" s="3"/>
      <c r="C1327" s="149"/>
      <c r="D1327" s="3"/>
      <c r="E1327" s="4"/>
      <c r="F1327" s="3"/>
      <c r="G1327" s="2"/>
      <c r="H1327" s="2"/>
      <c r="I1327" s="2"/>
      <c r="J1327" s="2"/>
      <c r="K1327" s="2"/>
    </row>
    <row r="1328" spans="1:11" ht="14.25" customHeight="1">
      <c r="A1328" s="3"/>
      <c r="B1328" s="3"/>
      <c r="C1328" s="149"/>
      <c r="D1328" s="3"/>
      <c r="E1328" s="4"/>
      <c r="F1328" s="3"/>
      <c r="G1328" s="2"/>
      <c r="H1328" s="2"/>
      <c r="I1328" s="2"/>
      <c r="J1328" s="2"/>
      <c r="K1328" s="2"/>
    </row>
    <row r="1329" spans="1:11" ht="14.25" customHeight="1">
      <c r="A1329" s="3"/>
      <c r="B1329" s="3"/>
      <c r="C1329" s="149"/>
      <c r="D1329" s="3"/>
      <c r="E1329" s="4"/>
      <c r="F1329" s="3"/>
      <c r="G1329" s="2"/>
      <c r="H1329" s="2"/>
      <c r="I1329" s="2"/>
      <c r="J1329" s="2"/>
      <c r="K1329" s="2"/>
    </row>
    <row r="1330" spans="1:11" ht="14.25" customHeight="1">
      <c r="A1330" s="3"/>
      <c r="B1330" s="3"/>
      <c r="C1330" s="149"/>
      <c r="D1330" s="3"/>
      <c r="E1330" s="4"/>
      <c r="F1330" s="3"/>
      <c r="G1330" s="2"/>
      <c r="H1330" s="2"/>
      <c r="I1330" s="2"/>
      <c r="J1330" s="2"/>
      <c r="K1330" s="2"/>
    </row>
    <row r="1331" spans="1:11" ht="14.25" customHeight="1">
      <c r="A1331" s="3"/>
      <c r="B1331" s="3"/>
      <c r="C1331" s="149"/>
      <c r="D1331" s="3"/>
      <c r="E1331" s="4"/>
      <c r="F1331" s="3"/>
      <c r="G1331" s="2"/>
      <c r="H1331" s="2"/>
      <c r="I1331" s="2"/>
      <c r="J1331" s="2"/>
      <c r="K1331" s="2"/>
    </row>
    <row r="1332" spans="1:11" ht="14.25" customHeight="1">
      <c r="A1332" s="3"/>
      <c r="B1332" s="3"/>
      <c r="C1332" s="149"/>
      <c r="D1332" s="3"/>
      <c r="E1332" s="4"/>
      <c r="F1332" s="3"/>
      <c r="G1332" s="2"/>
      <c r="H1332" s="2"/>
      <c r="I1332" s="2"/>
      <c r="J1332" s="2"/>
      <c r="K1332" s="2"/>
    </row>
    <row r="1333" spans="1:11" ht="14.25" customHeight="1">
      <c r="A1333" s="3"/>
      <c r="B1333" s="3"/>
      <c r="C1333" s="149"/>
      <c r="D1333" s="3"/>
      <c r="E1333" s="4"/>
      <c r="F1333" s="3"/>
      <c r="G1333" s="2"/>
      <c r="H1333" s="2"/>
      <c r="I1333" s="2"/>
      <c r="J1333" s="2"/>
      <c r="K1333" s="2"/>
    </row>
    <row r="1334" spans="1:11" ht="14.25" customHeight="1">
      <c r="A1334" s="3"/>
      <c r="B1334" s="3"/>
      <c r="C1334" s="149"/>
      <c r="D1334" s="3"/>
      <c r="E1334" s="4"/>
      <c r="F1334" s="3"/>
      <c r="G1334" s="2"/>
      <c r="H1334" s="2"/>
      <c r="I1334" s="2"/>
      <c r="J1334" s="2"/>
      <c r="K1334" s="2"/>
    </row>
    <row r="1335" spans="1:11" ht="14.25" customHeight="1">
      <c r="A1335" s="3"/>
      <c r="B1335" s="3"/>
      <c r="C1335" s="149"/>
      <c r="D1335" s="3"/>
      <c r="E1335" s="4"/>
      <c r="F1335" s="3"/>
      <c r="G1335" s="2"/>
      <c r="H1335" s="2"/>
      <c r="I1335" s="2"/>
      <c r="J1335" s="2"/>
      <c r="K1335" s="2"/>
    </row>
    <row r="1336" spans="1:11" ht="14.25" customHeight="1">
      <c r="A1336" s="3"/>
      <c r="B1336" s="3"/>
      <c r="C1336" s="149"/>
      <c r="D1336" s="3"/>
      <c r="E1336" s="4"/>
      <c r="F1336" s="3"/>
      <c r="G1336" s="2"/>
      <c r="H1336" s="2"/>
      <c r="I1336" s="2"/>
      <c r="J1336" s="2"/>
      <c r="K1336" s="2"/>
    </row>
    <row r="1337" spans="1:11" ht="14.25" customHeight="1">
      <c r="A1337" s="3"/>
      <c r="B1337" s="3"/>
      <c r="C1337" s="149"/>
      <c r="D1337" s="3"/>
      <c r="E1337" s="4"/>
      <c r="F1337" s="3"/>
      <c r="G1337" s="2"/>
      <c r="H1337" s="2"/>
      <c r="I1337" s="2"/>
      <c r="J1337" s="2"/>
      <c r="K1337" s="2"/>
    </row>
    <row r="1338" spans="1:11" ht="14.25" customHeight="1">
      <c r="A1338" s="3"/>
      <c r="B1338" s="3"/>
      <c r="C1338" s="149"/>
      <c r="D1338" s="3"/>
      <c r="E1338" s="4"/>
      <c r="F1338" s="3"/>
      <c r="G1338" s="2"/>
      <c r="H1338" s="2"/>
      <c r="I1338" s="2"/>
      <c r="J1338" s="2"/>
      <c r="K1338" s="2"/>
    </row>
    <row r="1339" spans="1:11" ht="14.25" customHeight="1">
      <c r="A1339" s="3"/>
      <c r="B1339" s="3"/>
      <c r="C1339" s="149"/>
      <c r="D1339" s="3"/>
      <c r="E1339" s="4"/>
      <c r="F1339" s="3"/>
      <c r="G1339" s="2"/>
      <c r="H1339" s="2"/>
      <c r="I1339" s="2"/>
      <c r="J1339" s="2"/>
      <c r="K1339" s="2"/>
    </row>
    <row r="1340" spans="1:11" ht="14.25" customHeight="1">
      <c r="A1340" s="3"/>
      <c r="B1340" s="3"/>
      <c r="C1340" s="149"/>
      <c r="D1340" s="3"/>
      <c r="E1340" s="4"/>
      <c r="F1340" s="3"/>
      <c r="G1340" s="2"/>
      <c r="H1340" s="2"/>
      <c r="I1340" s="2"/>
      <c r="J1340" s="2"/>
      <c r="K1340" s="2"/>
    </row>
    <row r="1341" spans="1:11" ht="14.25" customHeight="1">
      <c r="A1341" s="3"/>
      <c r="B1341" s="3"/>
      <c r="C1341" s="149"/>
      <c r="D1341" s="3"/>
      <c r="E1341" s="4"/>
      <c r="F1341" s="3"/>
      <c r="G1341" s="2"/>
      <c r="H1341" s="2"/>
      <c r="I1341" s="2"/>
      <c r="J1341" s="2"/>
      <c r="K1341" s="2"/>
    </row>
    <row r="1342" spans="1:11" ht="14.25" customHeight="1">
      <c r="A1342" s="3"/>
      <c r="B1342" s="3"/>
      <c r="C1342" s="149"/>
      <c r="D1342" s="3"/>
      <c r="E1342" s="4"/>
      <c r="F1342" s="3"/>
      <c r="G1342" s="2"/>
      <c r="H1342" s="2"/>
      <c r="I1342" s="2"/>
      <c r="J1342" s="2"/>
      <c r="K1342" s="2"/>
    </row>
    <row r="1343" spans="1:11" ht="14.25" customHeight="1">
      <c r="A1343" s="3"/>
      <c r="B1343" s="3"/>
      <c r="C1343" s="149"/>
      <c r="D1343" s="3"/>
      <c r="E1343" s="4"/>
      <c r="F1343" s="3"/>
      <c r="G1343" s="2"/>
      <c r="H1343" s="2"/>
      <c r="I1343" s="2"/>
      <c r="J1343" s="2"/>
      <c r="K1343" s="2"/>
    </row>
    <row r="1344" spans="1:11" ht="14.25" customHeight="1">
      <c r="A1344" s="3"/>
      <c r="B1344" s="3"/>
      <c r="C1344" s="149"/>
      <c r="D1344" s="3"/>
      <c r="E1344" s="4"/>
      <c r="F1344" s="3"/>
      <c r="G1344" s="2"/>
      <c r="H1344" s="2"/>
      <c r="I1344" s="2"/>
      <c r="J1344" s="2"/>
      <c r="K1344" s="2"/>
    </row>
    <row r="1345" spans="1:11" ht="14.25" customHeight="1">
      <c r="A1345" s="3"/>
      <c r="B1345" s="3"/>
      <c r="C1345" s="149"/>
      <c r="D1345" s="3"/>
      <c r="E1345" s="4"/>
      <c r="F1345" s="3"/>
      <c r="G1345" s="2"/>
      <c r="H1345" s="2"/>
      <c r="I1345" s="2"/>
      <c r="J1345" s="2"/>
      <c r="K1345" s="2"/>
    </row>
    <row r="1346" spans="1:11" ht="14.25" customHeight="1">
      <c r="A1346" s="3"/>
      <c r="B1346" s="3"/>
      <c r="C1346" s="149"/>
      <c r="D1346" s="3"/>
      <c r="E1346" s="4"/>
      <c r="F1346" s="3"/>
      <c r="G1346" s="2"/>
      <c r="H1346" s="2"/>
      <c r="I1346" s="2"/>
      <c r="J1346" s="2"/>
      <c r="K1346" s="2"/>
    </row>
    <row r="1347" spans="1:11" ht="14.25" customHeight="1">
      <c r="A1347" s="3"/>
      <c r="B1347" s="3"/>
      <c r="C1347" s="149"/>
      <c r="D1347" s="3"/>
      <c r="E1347" s="4"/>
      <c r="F1347" s="3"/>
      <c r="G1347" s="2"/>
      <c r="H1347" s="2"/>
      <c r="I1347" s="2"/>
      <c r="J1347" s="2"/>
      <c r="K1347" s="2"/>
    </row>
    <row r="1348" spans="1:11" ht="14.25" customHeight="1">
      <c r="A1348" s="3"/>
      <c r="B1348" s="3"/>
      <c r="C1348" s="149"/>
      <c r="D1348" s="3"/>
      <c r="E1348" s="4"/>
      <c r="F1348" s="3"/>
      <c r="G1348" s="2"/>
      <c r="H1348" s="2"/>
      <c r="I1348" s="2"/>
      <c r="J1348" s="2"/>
      <c r="K1348" s="2"/>
    </row>
    <row r="1349" spans="1:11" ht="14.25" customHeight="1">
      <c r="A1349" s="3"/>
      <c r="B1349" s="3"/>
      <c r="C1349" s="149"/>
      <c r="D1349" s="3"/>
      <c r="E1349" s="4"/>
      <c r="F1349" s="3"/>
      <c r="G1349" s="2"/>
      <c r="H1349" s="2"/>
      <c r="I1349" s="2"/>
      <c r="J1349" s="2"/>
      <c r="K1349" s="2"/>
    </row>
    <row r="1350" spans="1:11" ht="14.25" customHeight="1">
      <c r="A1350" s="3"/>
      <c r="B1350" s="3"/>
      <c r="C1350" s="149"/>
      <c r="D1350" s="3"/>
      <c r="E1350" s="4"/>
      <c r="F1350" s="3"/>
      <c r="G1350" s="2"/>
      <c r="H1350" s="2"/>
      <c r="I1350" s="2"/>
      <c r="J1350" s="2"/>
      <c r="K1350" s="2"/>
    </row>
    <row r="1351" spans="1:11" ht="14.25" customHeight="1">
      <c r="A1351" s="3"/>
      <c r="B1351" s="3"/>
      <c r="C1351" s="149"/>
      <c r="D1351" s="3"/>
      <c r="E1351" s="4"/>
      <c r="F1351" s="3"/>
      <c r="G1351" s="2"/>
      <c r="H1351" s="2"/>
      <c r="I1351" s="2"/>
      <c r="J1351" s="2"/>
      <c r="K1351" s="2"/>
    </row>
    <row r="1352" spans="1:11" ht="14.25" customHeight="1">
      <c r="A1352" s="3"/>
      <c r="B1352" s="3"/>
      <c r="C1352" s="149"/>
      <c r="D1352" s="3"/>
      <c r="E1352" s="4"/>
      <c r="F1352" s="3"/>
      <c r="G1352" s="2"/>
      <c r="H1352" s="2"/>
      <c r="I1352" s="2"/>
      <c r="J1352" s="2"/>
      <c r="K1352" s="2"/>
    </row>
    <row r="1353" spans="1:11" ht="14.25" customHeight="1">
      <c r="A1353" s="3"/>
      <c r="B1353" s="3"/>
      <c r="C1353" s="149"/>
      <c r="D1353" s="3"/>
      <c r="E1353" s="4"/>
      <c r="F1353" s="3"/>
      <c r="G1353" s="2"/>
      <c r="H1353" s="2"/>
      <c r="I1353" s="2"/>
      <c r="J1353" s="2"/>
      <c r="K1353" s="2"/>
    </row>
    <row r="1354" spans="1:11" ht="14.25" customHeight="1">
      <c r="A1354" s="3"/>
      <c r="B1354" s="3"/>
      <c r="C1354" s="149"/>
      <c r="D1354" s="3"/>
      <c r="E1354" s="4"/>
      <c r="F1354" s="3"/>
      <c r="G1354" s="2"/>
      <c r="H1354" s="2"/>
      <c r="I1354" s="2"/>
      <c r="J1354" s="2"/>
      <c r="K1354" s="2"/>
    </row>
    <row r="1355" spans="1:11" ht="14.25" customHeight="1">
      <c r="A1355" s="3"/>
      <c r="B1355" s="3"/>
      <c r="C1355" s="149"/>
      <c r="D1355" s="3"/>
      <c r="E1355" s="4"/>
      <c r="F1355" s="3"/>
      <c r="G1355" s="2"/>
      <c r="H1355" s="2"/>
      <c r="I1355" s="2"/>
      <c r="J1355" s="2"/>
      <c r="K1355" s="2"/>
    </row>
    <row r="1356" spans="1:11" ht="14.25" customHeight="1">
      <c r="A1356" s="3"/>
      <c r="B1356" s="3"/>
      <c r="C1356" s="149"/>
      <c r="D1356" s="3"/>
      <c r="E1356" s="4"/>
      <c r="F1356" s="3"/>
      <c r="G1356" s="2"/>
      <c r="H1356" s="2"/>
      <c r="I1356" s="2"/>
      <c r="J1356" s="2"/>
      <c r="K1356" s="2"/>
    </row>
    <row r="1357" spans="1:11" ht="14.25" customHeight="1">
      <c r="A1357" s="3"/>
      <c r="B1357" s="3"/>
      <c r="C1357" s="149"/>
      <c r="D1357" s="3"/>
      <c r="E1357" s="4"/>
      <c r="F1357" s="3"/>
      <c r="G1357" s="2"/>
      <c r="H1357" s="2"/>
      <c r="I1357" s="2"/>
      <c r="J1357" s="2"/>
      <c r="K1357" s="2"/>
    </row>
    <row r="1358" spans="1:11" ht="14.25" customHeight="1">
      <c r="A1358" s="3"/>
      <c r="B1358" s="3"/>
      <c r="C1358" s="149"/>
      <c r="D1358" s="3"/>
      <c r="E1358" s="4"/>
      <c r="F1358" s="3"/>
      <c r="G1358" s="2"/>
      <c r="H1358" s="2"/>
      <c r="I1358" s="2"/>
      <c r="J1358" s="2"/>
      <c r="K1358" s="2"/>
    </row>
    <row r="1359" spans="1:11" ht="14.25" customHeight="1">
      <c r="A1359" s="3"/>
      <c r="B1359" s="3"/>
      <c r="C1359" s="149"/>
      <c r="D1359" s="3"/>
      <c r="E1359" s="4"/>
      <c r="F1359" s="3"/>
      <c r="G1359" s="2"/>
      <c r="H1359" s="2"/>
      <c r="I1359" s="2"/>
      <c r="J1359" s="2"/>
      <c r="K1359" s="2"/>
    </row>
    <row r="1360" spans="1:11" ht="14.25" customHeight="1">
      <c r="A1360" s="3"/>
      <c r="B1360" s="3"/>
      <c r="C1360" s="149"/>
      <c r="D1360" s="3"/>
      <c r="E1360" s="4"/>
      <c r="F1360" s="3"/>
      <c r="G1360" s="2"/>
      <c r="H1360" s="2"/>
      <c r="I1360" s="2"/>
      <c r="J1360" s="2"/>
      <c r="K1360" s="2"/>
    </row>
    <row r="1361" spans="1:11" ht="14.25" customHeight="1">
      <c r="A1361" s="3"/>
      <c r="B1361" s="3"/>
      <c r="C1361" s="149"/>
      <c r="D1361" s="3"/>
      <c r="E1361" s="4"/>
      <c r="F1361" s="3"/>
      <c r="G1361" s="2"/>
      <c r="H1361" s="2"/>
      <c r="I1361" s="2"/>
      <c r="J1361" s="2"/>
      <c r="K1361" s="2"/>
    </row>
    <row r="1362" spans="1:11" ht="14.25" customHeight="1">
      <c r="A1362" s="3"/>
      <c r="B1362" s="3"/>
      <c r="C1362" s="149"/>
      <c r="D1362" s="3"/>
      <c r="E1362" s="4"/>
      <c r="F1362" s="3"/>
      <c r="G1362" s="2"/>
      <c r="H1362" s="2"/>
      <c r="I1362" s="2"/>
      <c r="J1362" s="2"/>
      <c r="K1362" s="2"/>
    </row>
    <row r="1363" spans="1:11" ht="14.25" customHeight="1">
      <c r="A1363" s="3"/>
      <c r="B1363" s="3"/>
      <c r="C1363" s="149"/>
      <c r="D1363" s="3"/>
      <c r="E1363" s="4"/>
      <c r="F1363" s="3"/>
      <c r="G1363" s="2"/>
      <c r="H1363" s="2"/>
      <c r="I1363" s="2"/>
      <c r="J1363" s="2"/>
      <c r="K1363" s="2"/>
    </row>
    <row r="1364" spans="1:11" ht="14.25" customHeight="1">
      <c r="A1364" s="3"/>
      <c r="B1364" s="3"/>
      <c r="C1364" s="149"/>
      <c r="D1364" s="3"/>
      <c r="E1364" s="4"/>
      <c r="F1364" s="3"/>
      <c r="G1364" s="2"/>
      <c r="H1364" s="2"/>
      <c r="I1364" s="2"/>
      <c r="J1364" s="2"/>
      <c r="K1364" s="2"/>
    </row>
    <row r="1365" spans="1:11" ht="14.25" customHeight="1">
      <c r="A1365" s="3"/>
      <c r="B1365" s="3"/>
      <c r="C1365" s="149"/>
      <c r="D1365" s="3"/>
      <c r="E1365" s="4"/>
      <c r="F1365" s="3"/>
      <c r="G1365" s="2"/>
      <c r="H1365" s="2"/>
      <c r="I1365" s="2"/>
      <c r="J1365" s="2"/>
      <c r="K1365" s="2"/>
    </row>
    <row r="1366" spans="1:11" ht="14.25" customHeight="1">
      <c r="A1366" s="3"/>
      <c r="B1366" s="3"/>
      <c r="C1366" s="149"/>
      <c r="D1366" s="3"/>
      <c r="E1366" s="4"/>
      <c r="F1366" s="3"/>
      <c r="G1366" s="2"/>
      <c r="H1366" s="2"/>
      <c r="I1366" s="2"/>
      <c r="J1366" s="2"/>
      <c r="K1366" s="2"/>
    </row>
    <row r="1367" spans="1:11" ht="14.25" customHeight="1">
      <c r="A1367" s="3"/>
      <c r="B1367" s="3"/>
      <c r="C1367" s="149"/>
      <c r="D1367" s="3"/>
      <c r="E1367" s="4"/>
      <c r="F1367" s="3"/>
      <c r="G1367" s="2"/>
      <c r="H1367" s="2"/>
      <c r="I1367" s="2"/>
      <c r="J1367" s="2"/>
      <c r="K1367" s="2"/>
    </row>
    <row r="1368" spans="1:11" ht="14.25" customHeight="1">
      <c r="A1368" s="3"/>
      <c r="B1368" s="3"/>
      <c r="C1368" s="149"/>
      <c r="D1368" s="3"/>
      <c r="E1368" s="4"/>
      <c r="F1368" s="3"/>
      <c r="G1368" s="2"/>
      <c r="H1368" s="2"/>
      <c r="I1368" s="2"/>
      <c r="J1368" s="2"/>
      <c r="K1368" s="2"/>
    </row>
    <row r="1369" spans="1:11" ht="14.25" customHeight="1">
      <c r="A1369" s="3"/>
      <c r="B1369" s="3"/>
      <c r="C1369" s="149"/>
      <c r="D1369" s="3"/>
      <c r="E1369" s="4"/>
      <c r="F1369" s="3"/>
      <c r="G1369" s="2"/>
      <c r="H1369" s="2"/>
      <c r="I1369" s="2"/>
      <c r="J1369" s="2"/>
      <c r="K1369" s="2"/>
    </row>
    <row r="1370" spans="1:11" ht="14.25" customHeight="1">
      <c r="A1370" s="3"/>
      <c r="B1370" s="3"/>
      <c r="C1370" s="149"/>
      <c r="D1370" s="3"/>
      <c r="E1370" s="4"/>
      <c r="F1370" s="3"/>
      <c r="G1370" s="2"/>
      <c r="H1370" s="2"/>
      <c r="I1370" s="2"/>
      <c r="J1370" s="2"/>
      <c r="K1370" s="2"/>
    </row>
    <row r="1371" spans="1:11" ht="14.25" customHeight="1">
      <c r="A1371" s="3"/>
      <c r="B1371" s="3"/>
      <c r="C1371" s="149"/>
      <c r="D1371" s="3"/>
      <c r="E1371" s="4"/>
      <c r="F1371" s="3"/>
      <c r="G1371" s="2"/>
      <c r="H1371" s="2"/>
      <c r="I1371" s="2"/>
      <c r="J1371" s="2"/>
      <c r="K1371" s="2"/>
    </row>
    <row r="1372" spans="1:11" ht="14.25" customHeight="1">
      <c r="A1372" s="3"/>
      <c r="B1372" s="3"/>
      <c r="C1372" s="149"/>
      <c r="D1372" s="3"/>
      <c r="E1372" s="4"/>
      <c r="F1372" s="3"/>
      <c r="G1372" s="2"/>
      <c r="H1372" s="2"/>
      <c r="I1372" s="2"/>
      <c r="J1372" s="2"/>
      <c r="K1372" s="2"/>
    </row>
    <row r="1373" spans="1:11" ht="14.25" customHeight="1">
      <c r="A1373" s="3"/>
      <c r="B1373" s="3"/>
      <c r="C1373" s="149"/>
      <c r="D1373" s="3"/>
      <c r="E1373" s="4"/>
      <c r="F1373" s="3"/>
      <c r="G1373" s="2"/>
      <c r="H1373" s="2"/>
      <c r="I1373" s="2"/>
      <c r="J1373" s="2"/>
      <c r="K1373" s="2"/>
    </row>
    <row r="1374" spans="1:11" ht="14.25" customHeight="1">
      <c r="A1374" s="3"/>
      <c r="B1374" s="3"/>
      <c r="C1374" s="149"/>
      <c r="D1374" s="3"/>
      <c r="E1374" s="4"/>
      <c r="F1374" s="3"/>
      <c r="G1374" s="2"/>
      <c r="H1374" s="2"/>
      <c r="I1374" s="2"/>
      <c r="J1374" s="2"/>
      <c r="K1374" s="2"/>
    </row>
    <row r="1375" spans="1:11" ht="14.25" customHeight="1">
      <c r="A1375" s="3"/>
      <c r="B1375" s="3"/>
      <c r="C1375" s="149"/>
      <c r="D1375" s="3"/>
      <c r="E1375" s="4"/>
      <c r="F1375" s="3"/>
      <c r="G1375" s="2"/>
      <c r="H1375" s="2"/>
      <c r="I1375" s="2"/>
      <c r="J1375" s="2"/>
      <c r="K1375" s="2"/>
    </row>
    <row r="1376" spans="1:11" ht="14.25" customHeight="1">
      <c r="A1376" s="3"/>
      <c r="B1376" s="3"/>
      <c r="C1376" s="149"/>
      <c r="D1376" s="3"/>
      <c r="E1376" s="4"/>
      <c r="F1376" s="3"/>
      <c r="G1376" s="2"/>
      <c r="H1376" s="2"/>
      <c r="I1376" s="2"/>
      <c r="J1376" s="2"/>
      <c r="K1376" s="2"/>
    </row>
    <row r="1377" spans="1:11" ht="14.25" customHeight="1">
      <c r="A1377" s="3"/>
      <c r="B1377" s="3"/>
      <c r="C1377" s="149"/>
      <c r="D1377" s="3"/>
      <c r="E1377" s="4"/>
      <c r="F1377" s="3"/>
      <c r="G1377" s="2"/>
      <c r="H1377" s="2"/>
      <c r="I1377" s="2"/>
      <c r="J1377" s="2"/>
      <c r="K1377" s="2"/>
    </row>
    <row r="1378" spans="1:11" ht="14.25" customHeight="1">
      <c r="A1378" s="3"/>
      <c r="B1378" s="3"/>
      <c r="C1378" s="149"/>
      <c r="D1378" s="3"/>
      <c r="E1378" s="4"/>
      <c r="F1378" s="3"/>
      <c r="G1378" s="2"/>
      <c r="H1378" s="2"/>
      <c r="I1378" s="2"/>
      <c r="J1378" s="2"/>
      <c r="K1378" s="2"/>
    </row>
    <row r="1379" spans="1:11" ht="14.25" customHeight="1">
      <c r="A1379" s="3"/>
      <c r="B1379" s="3"/>
      <c r="C1379" s="149"/>
      <c r="D1379" s="3"/>
      <c r="E1379" s="4"/>
      <c r="F1379" s="3"/>
      <c r="G1379" s="2"/>
      <c r="H1379" s="2"/>
      <c r="I1379" s="2"/>
      <c r="J1379" s="2"/>
      <c r="K1379" s="2"/>
    </row>
    <row r="1380" spans="1:11" ht="14.25" customHeight="1">
      <c r="A1380" s="3"/>
      <c r="B1380" s="3"/>
      <c r="C1380" s="149"/>
      <c r="D1380" s="3"/>
      <c r="E1380" s="4"/>
      <c r="F1380" s="3"/>
      <c r="G1380" s="2"/>
      <c r="H1380" s="2"/>
      <c r="I1380" s="2"/>
      <c r="J1380" s="2"/>
      <c r="K1380" s="2"/>
    </row>
    <row r="1381" spans="1:11" ht="14.25" customHeight="1">
      <c r="A1381" s="3"/>
      <c r="B1381" s="3"/>
      <c r="C1381" s="149"/>
      <c r="D1381" s="3"/>
      <c r="E1381" s="4"/>
      <c r="F1381" s="3"/>
      <c r="G1381" s="2"/>
      <c r="H1381" s="2"/>
      <c r="I1381" s="2"/>
      <c r="J1381" s="2"/>
      <c r="K1381" s="2"/>
    </row>
    <row r="1382" spans="1:11" ht="14.25" customHeight="1">
      <c r="A1382" s="3"/>
      <c r="B1382" s="3"/>
      <c r="C1382" s="149"/>
      <c r="D1382" s="3"/>
      <c r="E1382" s="4"/>
      <c r="F1382" s="3"/>
      <c r="G1382" s="2"/>
      <c r="H1382" s="2"/>
      <c r="I1382" s="2"/>
      <c r="J1382" s="2"/>
      <c r="K1382" s="2"/>
    </row>
    <row r="1383" spans="1:11" ht="14.25" customHeight="1">
      <c r="A1383" s="3"/>
      <c r="B1383" s="3"/>
      <c r="C1383" s="149"/>
      <c r="D1383" s="3"/>
      <c r="E1383" s="4"/>
      <c r="F1383" s="3"/>
      <c r="G1383" s="2"/>
      <c r="H1383" s="2"/>
      <c r="I1383" s="2"/>
      <c r="J1383" s="2"/>
      <c r="K1383" s="2"/>
    </row>
    <row r="1384" spans="1:11" ht="14.25" customHeight="1">
      <c r="A1384" s="3"/>
      <c r="B1384" s="3"/>
      <c r="C1384" s="149"/>
      <c r="D1384" s="3"/>
      <c r="E1384" s="4"/>
      <c r="F1384" s="3"/>
      <c r="G1384" s="2"/>
      <c r="H1384" s="2"/>
      <c r="I1384" s="2"/>
      <c r="J1384" s="2"/>
      <c r="K1384" s="2"/>
    </row>
    <row r="1385" spans="1:11" ht="14.25" customHeight="1">
      <c r="A1385" s="3"/>
      <c r="B1385" s="3"/>
      <c r="C1385" s="149"/>
      <c r="D1385" s="3"/>
      <c r="E1385" s="4"/>
      <c r="F1385" s="3"/>
      <c r="G1385" s="2"/>
      <c r="H1385" s="2"/>
      <c r="I1385" s="2"/>
      <c r="J1385" s="2"/>
      <c r="K1385" s="2"/>
    </row>
    <row r="1386" spans="1:11" ht="14.25" customHeight="1">
      <c r="A1386" s="3"/>
      <c r="B1386" s="3"/>
      <c r="C1386" s="149"/>
      <c r="D1386" s="3"/>
      <c r="E1386" s="4"/>
      <c r="F1386" s="3"/>
      <c r="G1386" s="2"/>
      <c r="H1386" s="2"/>
      <c r="I1386" s="2"/>
      <c r="J1386" s="2"/>
      <c r="K1386" s="2"/>
    </row>
    <row r="1387" spans="1:11" ht="14.25" customHeight="1">
      <c r="A1387" s="3"/>
      <c r="B1387" s="3"/>
      <c r="C1387" s="149"/>
      <c r="D1387" s="3"/>
      <c r="E1387" s="4"/>
      <c r="F1387" s="3"/>
      <c r="G1387" s="2"/>
      <c r="H1387" s="2"/>
      <c r="I1387" s="2"/>
      <c r="J1387" s="2"/>
      <c r="K1387" s="2"/>
    </row>
    <row r="1388" spans="1:11" ht="14.25" customHeight="1">
      <c r="A1388" s="3"/>
      <c r="B1388" s="3"/>
      <c r="C1388" s="149"/>
      <c r="D1388" s="3"/>
      <c r="E1388" s="4"/>
      <c r="F1388" s="3"/>
      <c r="G1388" s="2"/>
      <c r="H1388" s="2"/>
      <c r="I1388" s="2"/>
      <c r="J1388" s="2"/>
      <c r="K1388" s="2"/>
    </row>
    <row r="1389" spans="1:11" ht="14.25" customHeight="1">
      <c r="A1389" s="3"/>
      <c r="B1389" s="3"/>
      <c r="C1389" s="149"/>
      <c r="D1389" s="3"/>
      <c r="E1389" s="4"/>
      <c r="F1389" s="3"/>
      <c r="G1389" s="2"/>
      <c r="H1389" s="2"/>
      <c r="I1389" s="2"/>
      <c r="J1389" s="2"/>
      <c r="K1389" s="2"/>
    </row>
    <row r="1390" spans="1:11" ht="14.25" customHeight="1">
      <c r="A1390" s="3"/>
      <c r="B1390" s="3"/>
      <c r="C1390" s="149"/>
      <c r="D1390" s="3"/>
      <c r="E1390" s="4"/>
      <c r="F1390" s="3"/>
      <c r="G1390" s="2"/>
      <c r="H1390" s="2"/>
      <c r="I1390" s="2"/>
      <c r="J1390" s="2"/>
      <c r="K1390" s="2"/>
    </row>
    <row r="1391" spans="1:11" ht="14.25" customHeight="1">
      <c r="A1391" s="3"/>
      <c r="B1391" s="3"/>
      <c r="C1391" s="149"/>
      <c r="D1391" s="3"/>
      <c r="E1391" s="4"/>
      <c r="F1391" s="3"/>
      <c r="G1391" s="2"/>
      <c r="H1391" s="2"/>
      <c r="I1391" s="2"/>
      <c r="J1391" s="2"/>
      <c r="K1391" s="2"/>
    </row>
    <row r="1392" spans="1:11" ht="14.25" customHeight="1">
      <c r="A1392" s="3"/>
      <c r="B1392" s="3"/>
      <c r="C1392" s="149"/>
      <c r="D1392" s="3"/>
      <c r="E1392" s="4"/>
      <c r="F1392" s="3"/>
      <c r="G1392" s="2"/>
      <c r="H1392" s="2"/>
      <c r="I1392" s="2"/>
      <c r="J1392" s="2"/>
      <c r="K1392" s="2"/>
    </row>
    <row r="1393" spans="1:11" ht="14.25" customHeight="1">
      <c r="A1393" s="3"/>
      <c r="B1393" s="3"/>
      <c r="C1393" s="149"/>
      <c r="D1393" s="3"/>
      <c r="E1393" s="4"/>
      <c r="F1393" s="3"/>
      <c r="G1393" s="2"/>
      <c r="H1393" s="2"/>
      <c r="I1393" s="2"/>
      <c r="J1393" s="2"/>
      <c r="K1393" s="2"/>
    </row>
    <row r="1394" spans="1:11" ht="14.25" customHeight="1">
      <c r="A1394" s="3"/>
      <c r="B1394" s="3"/>
      <c r="C1394" s="149"/>
      <c r="D1394" s="3"/>
      <c r="E1394" s="4"/>
      <c r="F1394" s="3"/>
      <c r="G1394" s="2"/>
      <c r="H1394" s="2"/>
      <c r="I1394" s="2"/>
      <c r="J1394" s="2"/>
      <c r="K1394" s="2"/>
    </row>
    <row r="1395" spans="1:11" ht="14.25" customHeight="1">
      <c r="A1395" s="3"/>
      <c r="B1395" s="3"/>
      <c r="C1395" s="149"/>
      <c r="D1395" s="3"/>
      <c r="E1395" s="4"/>
      <c r="F1395" s="3"/>
      <c r="G1395" s="2"/>
      <c r="H1395" s="2"/>
      <c r="I1395" s="2"/>
      <c r="J1395" s="2"/>
      <c r="K1395" s="2"/>
    </row>
    <row r="1396" spans="1:11" ht="14.25" customHeight="1">
      <c r="A1396" s="3"/>
      <c r="B1396" s="3"/>
      <c r="C1396" s="149"/>
      <c r="D1396" s="3"/>
      <c r="E1396" s="4"/>
      <c r="F1396" s="3"/>
      <c r="G1396" s="2"/>
      <c r="H1396" s="2"/>
      <c r="I1396" s="2"/>
      <c r="J1396" s="2"/>
      <c r="K1396" s="2"/>
    </row>
    <row r="1397" spans="1:11" ht="14.25" customHeight="1">
      <c r="A1397" s="3"/>
      <c r="B1397" s="3"/>
      <c r="C1397" s="149"/>
      <c r="D1397" s="3"/>
      <c r="E1397" s="4"/>
      <c r="F1397" s="3"/>
      <c r="G1397" s="2"/>
      <c r="H1397" s="2"/>
      <c r="I1397" s="2"/>
      <c r="J1397" s="2"/>
      <c r="K1397" s="2"/>
    </row>
    <row r="1398" spans="1:11" ht="14.25" customHeight="1">
      <c r="A1398" s="3"/>
      <c r="B1398" s="3"/>
      <c r="C1398" s="149"/>
      <c r="D1398" s="3"/>
      <c r="E1398" s="4"/>
      <c r="F1398" s="3"/>
      <c r="G1398" s="2"/>
      <c r="H1398" s="2"/>
      <c r="I1398" s="2"/>
      <c r="J1398" s="2"/>
      <c r="K1398" s="2"/>
    </row>
    <row r="1399" spans="1:11" ht="14.25" customHeight="1">
      <c r="A1399" s="3"/>
      <c r="B1399" s="3"/>
      <c r="C1399" s="149"/>
      <c r="D1399" s="3"/>
      <c r="E1399" s="4"/>
      <c r="F1399" s="3"/>
      <c r="G1399" s="2"/>
      <c r="H1399" s="2"/>
      <c r="I1399" s="2"/>
      <c r="J1399" s="2"/>
      <c r="K1399" s="2"/>
    </row>
    <row r="1400" spans="1:11" ht="14.25" customHeight="1">
      <c r="A1400" s="3"/>
      <c r="B1400" s="3"/>
      <c r="C1400" s="149"/>
      <c r="D1400" s="3"/>
      <c r="E1400" s="4"/>
      <c r="F1400" s="3"/>
      <c r="G1400" s="2"/>
      <c r="H1400" s="2"/>
      <c r="I1400" s="2"/>
      <c r="J1400" s="2"/>
      <c r="K1400" s="2"/>
    </row>
    <row r="1401" spans="1:11" ht="14.25" customHeight="1">
      <c r="A1401" s="3"/>
      <c r="B1401" s="3"/>
      <c r="C1401" s="149"/>
      <c r="D1401" s="3"/>
      <c r="E1401" s="4"/>
      <c r="F1401" s="3"/>
      <c r="G1401" s="2"/>
      <c r="H1401" s="2"/>
      <c r="I1401" s="2"/>
      <c r="J1401" s="2"/>
      <c r="K1401" s="2"/>
    </row>
    <row r="1402" spans="1:11" ht="14.25" customHeight="1">
      <c r="A1402" s="3"/>
      <c r="B1402" s="3"/>
      <c r="C1402" s="149"/>
      <c r="D1402" s="3"/>
      <c r="E1402" s="4"/>
      <c r="F1402" s="3"/>
      <c r="G1402" s="2"/>
      <c r="H1402" s="2"/>
      <c r="I1402" s="2"/>
      <c r="J1402" s="2"/>
      <c r="K1402" s="2"/>
    </row>
    <row r="1403" spans="1:11" ht="14.25" customHeight="1">
      <c r="A1403" s="3"/>
      <c r="B1403" s="3"/>
      <c r="C1403" s="149"/>
      <c r="D1403" s="3"/>
      <c r="E1403" s="4"/>
      <c r="F1403" s="3"/>
      <c r="G1403" s="2"/>
      <c r="H1403" s="2"/>
      <c r="I1403" s="2"/>
      <c r="J1403" s="2"/>
      <c r="K1403" s="2"/>
    </row>
    <row r="1404" spans="1:11" ht="14.25" customHeight="1">
      <c r="A1404" s="3"/>
      <c r="B1404" s="3"/>
      <c r="C1404" s="149"/>
      <c r="D1404" s="3"/>
      <c r="E1404" s="4"/>
      <c r="F1404" s="3"/>
      <c r="G1404" s="2"/>
      <c r="H1404" s="2"/>
      <c r="I1404" s="2"/>
      <c r="J1404" s="2"/>
      <c r="K1404" s="2"/>
    </row>
    <row r="1405" spans="1:11" ht="14.25" customHeight="1">
      <c r="A1405" s="3"/>
      <c r="B1405" s="3"/>
      <c r="C1405" s="149"/>
      <c r="D1405" s="3"/>
      <c r="E1405" s="4"/>
      <c r="F1405" s="3"/>
      <c r="G1405" s="2"/>
      <c r="H1405" s="2"/>
      <c r="I1405" s="2"/>
      <c r="J1405" s="2"/>
      <c r="K1405" s="2"/>
    </row>
    <row r="1406" spans="1:11" ht="14.25" customHeight="1">
      <c r="A1406" s="3"/>
      <c r="B1406" s="3"/>
      <c r="C1406" s="149"/>
      <c r="D1406" s="3"/>
      <c r="E1406" s="4"/>
      <c r="F1406" s="3"/>
      <c r="G1406" s="2"/>
      <c r="H1406" s="2"/>
      <c r="I1406" s="2"/>
      <c r="J1406" s="2"/>
      <c r="K1406" s="2"/>
    </row>
    <row r="1407" spans="1:11" ht="14.25" customHeight="1">
      <c r="A1407" s="3"/>
      <c r="B1407" s="3"/>
      <c r="C1407" s="149"/>
      <c r="D1407" s="3"/>
      <c r="E1407" s="4"/>
      <c r="F1407" s="3"/>
      <c r="G1407" s="2"/>
      <c r="H1407" s="2"/>
      <c r="I1407" s="2"/>
      <c r="J1407" s="2"/>
      <c r="K1407" s="2"/>
    </row>
    <row r="1408" spans="1:11" ht="14.25" customHeight="1">
      <c r="A1408" s="3"/>
      <c r="B1408" s="3"/>
      <c r="C1408" s="149"/>
      <c r="D1408" s="3"/>
      <c r="E1408" s="4"/>
      <c r="F1408" s="3"/>
      <c r="G1408" s="2"/>
      <c r="H1408" s="2"/>
      <c r="I1408" s="2"/>
      <c r="J1408" s="2"/>
      <c r="K1408" s="2"/>
    </row>
    <row r="1409" spans="1:11" ht="14.25" customHeight="1">
      <c r="A1409" s="3"/>
      <c r="B1409" s="3"/>
      <c r="C1409" s="149"/>
      <c r="D1409" s="3"/>
      <c r="E1409" s="4"/>
      <c r="F1409" s="3"/>
      <c r="G1409" s="2"/>
      <c r="H1409" s="2"/>
      <c r="I1409" s="2"/>
      <c r="J1409" s="2"/>
      <c r="K1409" s="2"/>
    </row>
    <row r="1410" spans="1:11" ht="14.25" customHeight="1">
      <c r="A1410" s="3"/>
      <c r="B1410" s="3"/>
      <c r="C1410" s="149"/>
      <c r="D1410" s="3"/>
      <c r="E1410" s="4"/>
      <c r="F1410" s="3"/>
      <c r="G1410" s="2"/>
      <c r="H1410" s="2"/>
      <c r="I1410" s="2"/>
      <c r="J1410" s="2"/>
      <c r="K1410" s="2"/>
    </row>
    <row r="1411" spans="1:11" ht="14.25" customHeight="1">
      <c r="A1411" s="3"/>
      <c r="B1411" s="3"/>
      <c r="C1411" s="149"/>
      <c r="D1411" s="3"/>
      <c r="E1411" s="4"/>
      <c r="F1411" s="3"/>
      <c r="G1411" s="2"/>
      <c r="H1411" s="2"/>
      <c r="I1411" s="2"/>
      <c r="J1411" s="2"/>
      <c r="K1411" s="2"/>
    </row>
    <row r="1412" spans="1:11" ht="14.25" customHeight="1">
      <c r="A1412" s="3"/>
      <c r="B1412" s="3"/>
      <c r="C1412" s="149"/>
      <c r="D1412" s="3"/>
      <c r="E1412" s="4"/>
      <c r="F1412" s="3"/>
      <c r="G1412" s="2"/>
      <c r="H1412" s="2"/>
      <c r="I1412" s="2"/>
      <c r="J1412" s="2"/>
      <c r="K1412" s="2"/>
    </row>
    <row r="1413" spans="1:11" ht="14.25" customHeight="1">
      <c r="A1413" s="3"/>
      <c r="B1413" s="3"/>
      <c r="C1413" s="149"/>
      <c r="D1413" s="3"/>
      <c r="E1413" s="4"/>
      <c r="F1413" s="3"/>
      <c r="G1413" s="2"/>
      <c r="H1413" s="2"/>
      <c r="I1413" s="2"/>
      <c r="J1413" s="2"/>
      <c r="K1413" s="2"/>
    </row>
    <row r="1414" spans="1:11" ht="14.25" customHeight="1">
      <c r="A1414" s="3"/>
      <c r="B1414" s="3"/>
      <c r="C1414" s="149"/>
      <c r="D1414" s="3"/>
      <c r="E1414" s="4"/>
      <c r="F1414" s="3"/>
      <c r="G1414" s="2"/>
      <c r="H1414" s="2"/>
      <c r="I1414" s="2"/>
      <c r="J1414" s="2"/>
      <c r="K1414" s="2"/>
    </row>
    <row r="1415" spans="1:11" ht="14.25" customHeight="1">
      <c r="A1415" s="3"/>
      <c r="B1415" s="3"/>
      <c r="C1415" s="149"/>
      <c r="D1415" s="3"/>
      <c r="E1415" s="4"/>
      <c r="F1415" s="3"/>
      <c r="G1415" s="2"/>
      <c r="H1415" s="2"/>
      <c r="I1415" s="2"/>
      <c r="J1415" s="2"/>
      <c r="K1415" s="2"/>
    </row>
    <row r="1416" spans="1:11" ht="14.25" customHeight="1">
      <c r="A1416" s="3"/>
      <c r="B1416" s="3"/>
      <c r="C1416" s="149"/>
      <c r="D1416" s="3"/>
      <c r="E1416" s="4"/>
      <c r="F1416" s="3"/>
      <c r="G1416" s="2"/>
      <c r="H1416" s="2"/>
      <c r="I1416" s="2"/>
      <c r="J1416" s="2"/>
      <c r="K1416" s="2"/>
    </row>
    <row r="1417" spans="1:11" ht="14.25" customHeight="1">
      <c r="A1417" s="3"/>
      <c r="B1417" s="3"/>
      <c r="C1417" s="149"/>
      <c r="D1417" s="3"/>
      <c r="E1417" s="4"/>
      <c r="F1417" s="3"/>
      <c r="G1417" s="2"/>
      <c r="H1417" s="2"/>
      <c r="I1417" s="2"/>
      <c r="J1417" s="2"/>
      <c r="K1417" s="2"/>
    </row>
    <row r="1418" spans="1:11" ht="14.25" customHeight="1">
      <c r="A1418" s="3"/>
      <c r="B1418" s="3"/>
      <c r="C1418" s="149"/>
      <c r="D1418" s="3"/>
      <c r="E1418" s="4"/>
      <c r="F1418" s="3"/>
      <c r="G1418" s="2"/>
      <c r="H1418" s="2"/>
      <c r="I1418" s="2"/>
      <c r="J1418" s="2"/>
      <c r="K1418" s="2"/>
    </row>
    <row r="1419" spans="1:11" ht="14.25" customHeight="1">
      <c r="A1419" s="3"/>
      <c r="B1419" s="3"/>
      <c r="C1419" s="149"/>
      <c r="D1419" s="3"/>
      <c r="E1419" s="4"/>
      <c r="F1419" s="3"/>
      <c r="G1419" s="2"/>
      <c r="H1419" s="2"/>
      <c r="I1419" s="2"/>
      <c r="J1419" s="2"/>
      <c r="K1419" s="2"/>
    </row>
    <row r="1420" spans="1:11" ht="14.25" customHeight="1">
      <c r="A1420" s="3"/>
      <c r="B1420" s="3"/>
      <c r="C1420" s="149"/>
      <c r="D1420" s="3"/>
      <c r="E1420" s="4"/>
      <c r="F1420" s="3"/>
      <c r="G1420" s="2"/>
      <c r="H1420" s="2"/>
      <c r="I1420" s="2"/>
      <c r="J1420" s="2"/>
      <c r="K1420" s="2"/>
    </row>
    <row r="1421" spans="1:11" ht="14.25" customHeight="1">
      <c r="A1421" s="3"/>
      <c r="B1421" s="3"/>
      <c r="C1421" s="149"/>
      <c r="D1421" s="3"/>
      <c r="E1421" s="4"/>
      <c r="F1421" s="3"/>
      <c r="G1421" s="2"/>
      <c r="H1421" s="2"/>
      <c r="I1421" s="2"/>
      <c r="J1421" s="2"/>
      <c r="K1421" s="2"/>
    </row>
    <row r="1422" spans="1:11" ht="14.25" customHeight="1">
      <c r="A1422" s="3"/>
      <c r="B1422" s="3"/>
      <c r="C1422" s="149"/>
      <c r="D1422" s="3"/>
      <c r="E1422" s="4"/>
      <c r="F1422" s="3"/>
      <c r="G1422" s="2"/>
      <c r="H1422" s="2"/>
      <c r="I1422" s="2"/>
      <c r="J1422" s="2"/>
      <c r="K1422" s="2"/>
    </row>
    <row r="1423" spans="1:11" ht="14.25" customHeight="1">
      <c r="A1423" s="3"/>
      <c r="B1423" s="3"/>
      <c r="C1423" s="149"/>
      <c r="D1423" s="3"/>
      <c r="E1423" s="4"/>
      <c r="F1423" s="3"/>
      <c r="G1423" s="2"/>
      <c r="H1423" s="2"/>
      <c r="I1423" s="2"/>
      <c r="J1423" s="2"/>
      <c r="K1423" s="2"/>
    </row>
    <row r="1424" spans="1:11" ht="14.25" customHeight="1">
      <c r="A1424" s="3"/>
      <c r="B1424" s="3"/>
      <c r="C1424" s="149"/>
      <c r="D1424" s="3"/>
      <c r="E1424" s="4"/>
      <c r="F1424" s="3"/>
      <c r="G1424" s="2"/>
      <c r="H1424" s="2"/>
      <c r="I1424" s="2"/>
      <c r="J1424" s="2"/>
      <c r="K1424" s="2"/>
    </row>
    <row r="1425" spans="1:11" ht="14.25" customHeight="1">
      <c r="A1425" s="3"/>
      <c r="B1425" s="3"/>
      <c r="C1425" s="149"/>
      <c r="D1425" s="3"/>
      <c r="E1425" s="4"/>
      <c r="F1425" s="3"/>
      <c r="G1425" s="2"/>
      <c r="H1425" s="2"/>
      <c r="I1425" s="2"/>
      <c r="J1425" s="2"/>
      <c r="K1425" s="2"/>
    </row>
    <row r="1426" spans="1:11" ht="14.25" customHeight="1">
      <c r="A1426" s="3"/>
      <c r="B1426" s="3"/>
      <c r="C1426" s="149"/>
      <c r="D1426" s="3"/>
      <c r="E1426" s="4"/>
      <c r="F1426" s="3"/>
      <c r="G1426" s="2"/>
      <c r="H1426" s="2"/>
      <c r="I1426" s="2"/>
      <c r="J1426" s="2"/>
      <c r="K1426" s="2"/>
    </row>
    <row r="1427" spans="1:11" ht="14.25" customHeight="1">
      <c r="A1427" s="3"/>
      <c r="B1427" s="3"/>
      <c r="C1427" s="149"/>
      <c r="D1427" s="3"/>
      <c r="E1427" s="4"/>
      <c r="F1427" s="3"/>
      <c r="G1427" s="2"/>
      <c r="H1427" s="2"/>
      <c r="I1427" s="2"/>
      <c r="J1427" s="2"/>
      <c r="K1427" s="2"/>
    </row>
    <row r="1428" spans="1:11" ht="14.25" customHeight="1">
      <c r="A1428" s="3"/>
      <c r="B1428" s="3"/>
      <c r="C1428" s="149"/>
      <c r="D1428" s="3"/>
      <c r="E1428" s="4"/>
      <c r="F1428" s="3"/>
      <c r="G1428" s="2"/>
      <c r="H1428" s="2"/>
      <c r="I1428" s="2"/>
      <c r="J1428" s="2"/>
      <c r="K1428" s="2"/>
    </row>
    <row r="1429" spans="1:11" ht="14.25" customHeight="1">
      <c r="A1429" s="3"/>
      <c r="B1429" s="3"/>
      <c r="C1429" s="149"/>
      <c r="D1429" s="3"/>
      <c r="E1429" s="4"/>
      <c r="F1429" s="3"/>
      <c r="G1429" s="2"/>
      <c r="H1429" s="2"/>
      <c r="I1429" s="2"/>
      <c r="J1429" s="2"/>
      <c r="K1429" s="2"/>
    </row>
    <row r="1430" spans="1:11" ht="14.25" customHeight="1">
      <c r="A1430" s="3"/>
      <c r="B1430" s="3"/>
      <c r="C1430" s="149"/>
      <c r="D1430" s="3"/>
      <c r="E1430" s="4"/>
      <c r="F1430" s="3"/>
      <c r="G1430" s="2"/>
      <c r="H1430" s="2"/>
      <c r="I1430" s="2"/>
      <c r="J1430" s="2"/>
      <c r="K1430" s="2"/>
    </row>
    <row r="1431" spans="1:11" ht="14.25" customHeight="1">
      <c r="A1431" s="3"/>
      <c r="B1431" s="3"/>
      <c r="C1431" s="149"/>
      <c r="D1431" s="3"/>
      <c r="E1431" s="4"/>
      <c r="F1431" s="3"/>
      <c r="G1431" s="2"/>
      <c r="H1431" s="2"/>
      <c r="I1431" s="2"/>
      <c r="J1431" s="2"/>
      <c r="K1431" s="2"/>
    </row>
    <row r="1432" spans="1:11" ht="14.25" customHeight="1">
      <c r="A1432" s="3"/>
      <c r="B1432" s="3"/>
      <c r="C1432" s="149"/>
      <c r="D1432" s="3"/>
      <c r="E1432" s="4"/>
      <c r="F1432" s="3"/>
      <c r="G1432" s="2"/>
      <c r="H1432" s="2"/>
      <c r="I1432" s="2"/>
      <c r="J1432" s="2"/>
      <c r="K1432" s="2"/>
    </row>
    <row r="1433" spans="1:11" ht="14.25" customHeight="1">
      <c r="A1433" s="3"/>
      <c r="B1433" s="3"/>
      <c r="C1433" s="149"/>
      <c r="D1433" s="3"/>
      <c r="E1433" s="4"/>
      <c r="F1433" s="3"/>
      <c r="G1433" s="2"/>
      <c r="H1433" s="2"/>
      <c r="I1433" s="2"/>
      <c r="J1433" s="2"/>
      <c r="K1433" s="2"/>
    </row>
    <row r="1434" spans="1:11" ht="14.25" customHeight="1">
      <c r="A1434" s="3"/>
      <c r="B1434" s="3"/>
      <c r="C1434" s="149"/>
      <c r="D1434" s="3"/>
      <c r="E1434" s="4"/>
      <c r="F1434" s="3"/>
      <c r="G1434" s="2"/>
      <c r="H1434" s="2"/>
      <c r="I1434" s="2"/>
      <c r="J1434" s="2"/>
      <c r="K1434" s="2"/>
    </row>
    <row r="1435" spans="1:11" ht="14.25" customHeight="1">
      <c r="A1435" s="3"/>
      <c r="B1435" s="3"/>
      <c r="C1435" s="149"/>
      <c r="D1435" s="3"/>
      <c r="E1435" s="4"/>
      <c r="F1435" s="3"/>
      <c r="G1435" s="2"/>
      <c r="H1435" s="2"/>
      <c r="I1435" s="2"/>
      <c r="J1435" s="2"/>
      <c r="K1435" s="2"/>
    </row>
    <row r="1436" spans="1:11" ht="14.25" customHeight="1">
      <c r="A1436" s="3"/>
      <c r="B1436" s="3"/>
      <c r="C1436" s="149"/>
      <c r="D1436" s="3"/>
      <c r="E1436" s="4"/>
      <c r="F1436" s="3"/>
      <c r="G1436" s="2"/>
      <c r="H1436" s="2"/>
      <c r="I1436" s="2"/>
      <c r="J1436" s="2"/>
      <c r="K1436" s="2"/>
    </row>
    <row r="1437" spans="1:11" ht="14.25" customHeight="1">
      <c r="A1437" s="3"/>
      <c r="B1437" s="3"/>
      <c r="C1437" s="149"/>
      <c r="D1437" s="3"/>
      <c r="E1437" s="4"/>
      <c r="F1437" s="3"/>
      <c r="G1437" s="2"/>
      <c r="H1437" s="2"/>
      <c r="I1437" s="2"/>
      <c r="J1437" s="2"/>
      <c r="K1437" s="2"/>
    </row>
    <row r="1438" spans="1:11" ht="14.25" customHeight="1">
      <c r="A1438" s="3"/>
      <c r="B1438" s="3"/>
      <c r="C1438" s="149"/>
      <c r="D1438" s="3"/>
      <c r="E1438" s="4"/>
      <c r="F1438" s="3"/>
      <c r="G1438" s="2"/>
      <c r="H1438" s="2"/>
      <c r="I1438" s="2"/>
      <c r="J1438" s="2"/>
      <c r="K1438" s="2"/>
    </row>
    <row r="1439" spans="1:11" ht="14.25" customHeight="1">
      <c r="A1439" s="3"/>
      <c r="B1439" s="3"/>
      <c r="C1439" s="149"/>
      <c r="D1439" s="3"/>
      <c r="E1439" s="4"/>
      <c r="F1439" s="3"/>
      <c r="G1439" s="2"/>
      <c r="H1439" s="2"/>
      <c r="I1439" s="2"/>
      <c r="J1439" s="2"/>
      <c r="K1439" s="2"/>
    </row>
    <row r="1440" spans="1:11" ht="14.25" customHeight="1">
      <c r="A1440" s="3"/>
      <c r="B1440" s="3"/>
      <c r="C1440" s="149"/>
      <c r="D1440" s="3"/>
      <c r="E1440" s="4"/>
      <c r="F1440" s="3"/>
      <c r="G1440" s="2"/>
      <c r="H1440" s="2"/>
      <c r="I1440" s="2"/>
      <c r="J1440" s="2"/>
      <c r="K1440" s="2"/>
    </row>
    <row r="1441" spans="1:11" ht="14.25" customHeight="1">
      <c r="A1441" s="3"/>
      <c r="B1441" s="3"/>
      <c r="C1441" s="149"/>
      <c r="D1441" s="3"/>
      <c r="E1441" s="4"/>
      <c r="F1441" s="3"/>
      <c r="G1441" s="2"/>
      <c r="H1441" s="2"/>
      <c r="I1441" s="2"/>
      <c r="J1441" s="2"/>
      <c r="K1441" s="2"/>
    </row>
    <row r="1442" spans="1:11" ht="14.25" customHeight="1">
      <c r="A1442" s="3"/>
      <c r="B1442" s="3"/>
      <c r="C1442" s="149"/>
      <c r="D1442" s="3"/>
      <c r="E1442" s="4"/>
      <c r="F1442" s="3"/>
      <c r="G1442" s="2"/>
      <c r="H1442" s="2"/>
      <c r="I1442" s="2"/>
      <c r="J1442" s="2"/>
      <c r="K1442" s="2"/>
    </row>
    <row r="1443" spans="1:11" ht="14.25" customHeight="1">
      <c r="A1443" s="3"/>
      <c r="B1443" s="3"/>
      <c r="C1443" s="149"/>
      <c r="D1443" s="3"/>
      <c r="E1443" s="4"/>
      <c r="F1443" s="3"/>
      <c r="G1443" s="2"/>
      <c r="H1443" s="2"/>
      <c r="I1443" s="2"/>
      <c r="J1443" s="2"/>
      <c r="K1443" s="2"/>
    </row>
    <row r="1444" spans="1:11" ht="14.25" customHeight="1">
      <c r="A1444" s="3"/>
      <c r="B1444" s="3"/>
      <c r="C1444" s="149"/>
      <c r="D1444" s="3"/>
      <c r="E1444" s="4"/>
      <c r="F1444" s="3"/>
      <c r="G1444" s="2"/>
      <c r="H1444" s="2"/>
      <c r="I1444" s="2"/>
      <c r="J1444" s="2"/>
      <c r="K1444" s="2"/>
    </row>
    <row r="1445" spans="1:11" ht="14.25" customHeight="1">
      <c r="A1445" s="3"/>
      <c r="B1445" s="3"/>
      <c r="C1445" s="149"/>
      <c r="D1445" s="3"/>
      <c r="E1445" s="4"/>
      <c r="F1445" s="3"/>
      <c r="G1445" s="2"/>
      <c r="H1445" s="2"/>
      <c r="I1445" s="2"/>
      <c r="J1445" s="2"/>
      <c r="K1445" s="2"/>
    </row>
    <row r="1446" spans="1:11" ht="14.25" customHeight="1">
      <c r="A1446" s="3"/>
      <c r="B1446" s="3"/>
      <c r="C1446" s="149"/>
      <c r="D1446" s="3"/>
      <c r="E1446" s="4"/>
      <c r="F1446" s="3"/>
      <c r="G1446" s="2"/>
      <c r="H1446" s="2"/>
      <c r="I1446" s="2"/>
      <c r="J1446" s="2"/>
      <c r="K1446" s="2"/>
    </row>
    <row r="1447" spans="1:11" ht="14.25" customHeight="1">
      <c r="A1447" s="3"/>
      <c r="B1447" s="3"/>
      <c r="C1447" s="149"/>
      <c r="D1447" s="3"/>
      <c r="E1447" s="4"/>
      <c r="F1447" s="3"/>
      <c r="G1447" s="2"/>
      <c r="H1447" s="2"/>
      <c r="I1447" s="2"/>
      <c r="J1447" s="2"/>
      <c r="K1447" s="2"/>
    </row>
    <row r="1448" spans="1:11" ht="14.25" customHeight="1">
      <c r="A1448" s="3"/>
      <c r="B1448" s="3"/>
      <c r="C1448" s="149"/>
      <c r="D1448" s="3"/>
      <c r="E1448" s="4"/>
      <c r="F1448" s="3"/>
      <c r="G1448" s="2"/>
      <c r="H1448" s="2"/>
      <c r="I1448" s="2"/>
      <c r="J1448" s="2"/>
      <c r="K1448" s="2"/>
    </row>
    <row r="1449" spans="1:11" ht="14.25" customHeight="1">
      <c r="A1449" s="3"/>
      <c r="B1449" s="3"/>
      <c r="C1449" s="149"/>
      <c r="D1449" s="3"/>
      <c r="E1449" s="4"/>
      <c r="F1449" s="3"/>
      <c r="G1449" s="2"/>
      <c r="H1449" s="2"/>
      <c r="I1449" s="2"/>
      <c r="J1449" s="2"/>
      <c r="K1449" s="2"/>
    </row>
    <row r="1450" spans="1:11" ht="14.25" customHeight="1">
      <c r="A1450" s="3"/>
      <c r="B1450" s="3"/>
      <c r="C1450" s="149"/>
      <c r="D1450" s="3"/>
      <c r="E1450" s="4"/>
      <c r="F1450" s="3"/>
      <c r="G1450" s="2"/>
      <c r="H1450" s="2"/>
      <c r="I1450" s="2"/>
      <c r="J1450" s="2"/>
      <c r="K1450" s="2"/>
    </row>
    <row r="1451" spans="1:11" ht="14.25" customHeight="1">
      <c r="A1451" s="3"/>
      <c r="B1451" s="3"/>
      <c r="C1451" s="149"/>
      <c r="D1451" s="3"/>
      <c r="E1451" s="4"/>
      <c r="F1451" s="3"/>
      <c r="G1451" s="2"/>
      <c r="H1451" s="2"/>
      <c r="I1451" s="2"/>
      <c r="J1451" s="2"/>
      <c r="K1451" s="2"/>
    </row>
    <row r="1452" spans="1:11" ht="14.25" customHeight="1">
      <c r="A1452" s="3"/>
      <c r="B1452" s="3"/>
      <c r="C1452" s="149"/>
      <c r="D1452" s="3"/>
      <c r="E1452" s="4"/>
      <c r="F1452" s="3"/>
      <c r="G1452" s="2"/>
      <c r="H1452" s="2"/>
      <c r="I1452" s="2"/>
      <c r="J1452" s="2"/>
      <c r="K1452" s="2"/>
    </row>
    <row r="1453" spans="1:11" ht="14.25" customHeight="1">
      <c r="A1453" s="3"/>
      <c r="B1453" s="3"/>
      <c r="C1453" s="149"/>
      <c r="D1453" s="3"/>
      <c r="E1453" s="4"/>
      <c r="F1453" s="3"/>
      <c r="G1453" s="2"/>
      <c r="H1453" s="2"/>
      <c r="I1453" s="2"/>
      <c r="J1453" s="2"/>
      <c r="K1453" s="2"/>
    </row>
    <row r="1454" spans="1:11" ht="14.25" customHeight="1">
      <c r="A1454" s="3"/>
      <c r="B1454" s="3"/>
      <c r="C1454" s="149"/>
      <c r="D1454" s="3"/>
      <c r="E1454" s="4"/>
      <c r="F1454" s="3"/>
      <c r="G1454" s="2"/>
      <c r="H1454" s="2"/>
      <c r="I1454" s="2"/>
      <c r="J1454" s="2"/>
      <c r="K1454" s="2"/>
    </row>
    <row r="1455" spans="1:11" ht="14.25" customHeight="1">
      <c r="A1455" s="3"/>
      <c r="B1455" s="3"/>
      <c r="C1455" s="149"/>
      <c r="D1455" s="3"/>
      <c r="E1455" s="4"/>
      <c r="F1455" s="3"/>
      <c r="G1455" s="2"/>
      <c r="H1455" s="2"/>
      <c r="I1455" s="2"/>
      <c r="J1455" s="2"/>
      <c r="K1455" s="2"/>
    </row>
    <row r="1456" spans="1:11" ht="14.25" customHeight="1">
      <c r="A1456" s="3"/>
      <c r="B1456" s="3"/>
      <c r="C1456" s="149"/>
      <c r="D1456" s="3"/>
      <c r="E1456" s="4"/>
      <c r="F1456" s="3"/>
      <c r="G1456" s="2"/>
      <c r="H1456" s="2"/>
      <c r="I1456" s="2"/>
      <c r="J1456" s="2"/>
      <c r="K1456" s="2"/>
    </row>
    <row r="1457" spans="1:11" ht="14.25" customHeight="1">
      <c r="A1457" s="3"/>
      <c r="B1457" s="3"/>
      <c r="C1457" s="149"/>
      <c r="D1457" s="3"/>
      <c r="E1457" s="4"/>
      <c r="F1457" s="3"/>
      <c r="G1457" s="2"/>
      <c r="H1457" s="2"/>
      <c r="I1457" s="2"/>
      <c r="J1457" s="2"/>
      <c r="K1457" s="2"/>
    </row>
    <row r="1458" spans="1:11" ht="14.25" customHeight="1">
      <c r="A1458" s="3"/>
      <c r="B1458" s="3"/>
      <c r="C1458" s="149"/>
      <c r="D1458" s="3"/>
      <c r="E1458" s="4"/>
      <c r="F1458" s="3"/>
      <c r="G1458" s="2"/>
      <c r="H1458" s="2"/>
      <c r="I1458" s="2"/>
      <c r="J1458" s="2"/>
      <c r="K1458" s="2"/>
    </row>
    <row r="1459" spans="1:11" ht="14.25" customHeight="1">
      <c r="A1459" s="3"/>
      <c r="B1459" s="3"/>
      <c r="C1459" s="149"/>
      <c r="D1459" s="3"/>
      <c r="E1459" s="4"/>
      <c r="F1459" s="3"/>
      <c r="G1459" s="2"/>
      <c r="H1459" s="2"/>
      <c r="I1459" s="2"/>
      <c r="J1459" s="2"/>
      <c r="K1459" s="2"/>
    </row>
    <row r="1460" spans="1:11" ht="14.25" customHeight="1">
      <c r="A1460" s="3"/>
      <c r="B1460" s="3"/>
      <c r="C1460" s="149"/>
      <c r="D1460" s="3"/>
      <c r="E1460" s="4"/>
      <c r="F1460" s="3"/>
      <c r="G1460" s="2"/>
      <c r="H1460" s="2"/>
      <c r="I1460" s="2"/>
      <c r="J1460" s="2"/>
      <c r="K1460" s="2"/>
    </row>
    <row r="1461" spans="1:11" ht="14.25" customHeight="1">
      <c r="A1461" s="3"/>
      <c r="B1461" s="3"/>
      <c r="C1461" s="149"/>
      <c r="D1461" s="3"/>
      <c r="E1461" s="4"/>
      <c r="F1461" s="3"/>
      <c r="G1461" s="2"/>
      <c r="H1461" s="2"/>
      <c r="I1461" s="2"/>
      <c r="J1461" s="2"/>
      <c r="K1461" s="2"/>
    </row>
    <row r="1462" spans="1:11" ht="14.25" customHeight="1">
      <c r="A1462" s="3"/>
      <c r="B1462" s="3"/>
      <c r="C1462" s="149"/>
      <c r="D1462" s="3"/>
      <c r="E1462" s="4"/>
      <c r="F1462" s="3"/>
      <c r="G1462" s="2"/>
      <c r="H1462" s="2"/>
      <c r="I1462" s="2"/>
      <c r="J1462" s="2"/>
      <c r="K1462" s="2"/>
    </row>
    <row r="1463" spans="1:11" ht="14.25" customHeight="1">
      <c r="A1463" s="3"/>
      <c r="B1463" s="3"/>
      <c r="C1463" s="149"/>
      <c r="D1463" s="3"/>
      <c r="E1463" s="4"/>
      <c r="F1463" s="3"/>
      <c r="G1463" s="2"/>
      <c r="H1463" s="2"/>
      <c r="I1463" s="2"/>
      <c r="J1463" s="2"/>
      <c r="K1463" s="2"/>
    </row>
    <row r="1464" spans="1:11" ht="14.25" customHeight="1">
      <c r="A1464" s="3"/>
      <c r="B1464" s="3"/>
      <c r="C1464" s="149"/>
      <c r="D1464" s="3"/>
      <c r="E1464" s="4"/>
      <c r="F1464" s="3"/>
      <c r="G1464" s="2"/>
      <c r="H1464" s="2"/>
      <c r="I1464" s="2"/>
      <c r="J1464" s="2"/>
      <c r="K1464" s="2"/>
    </row>
    <row r="1465" spans="1:11" ht="14.25" customHeight="1">
      <c r="A1465" s="3"/>
      <c r="B1465" s="3"/>
      <c r="C1465" s="149"/>
      <c r="D1465" s="3"/>
      <c r="E1465" s="4"/>
      <c r="F1465" s="3"/>
      <c r="G1465" s="2"/>
      <c r="H1465" s="2"/>
      <c r="I1465" s="2"/>
      <c r="J1465" s="2"/>
      <c r="K1465" s="2"/>
    </row>
    <row r="1466" spans="1:11" ht="14.25" customHeight="1">
      <c r="A1466" s="3"/>
      <c r="B1466" s="3"/>
      <c r="C1466" s="149"/>
      <c r="D1466" s="3"/>
      <c r="E1466" s="4"/>
      <c r="F1466" s="3"/>
      <c r="G1466" s="2"/>
      <c r="H1466" s="2"/>
      <c r="I1466" s="2"/>
      <c r="J1466" s="2"/>
      <c r="K1466" s="2"/>
    </row>
    <row r="1467" spans="1:11" ht="14.25" customHeight="1">
      <c r="A1467" s="3"/>
      <c r="B1467" s="3"/>
      <c r="C1467" s="149"/>
      <c r="D1467" s="3"/>
      <c r="E1467" s="4"/>
      <c r="F1467" s="3"/>
      <c r="G1467" s="2"/>
      <c r="H1467" s="2"/>
      <c r="I1467" s="2"/>
      <c r="J1467" s="2"/>
      <c r="K1467" s="2"/>
    </row>
    <row r="1468" spans="1:11" ht="14.25" customHeight="1">
      <c r="A1468" s="3"/>
      <c r="B1468" s="3"/>
      <c r="C1468" s="149"/>
      <c r="D1468" s="3"/>
      <c r="E1468" s="4"/>
      <c r="F1468" s="3"/>
      <c r="G1468" s="2"/>
      <c r="H1468" s="2"/>
      <c r="I1468" s="2"/>
      <c r="J1468" s="2"/>
      <c r="K1468" s="2"/>
    </row>
    <row r="1469" spans="1:11" ht="14.25" customHeight="1">
      <c r="A1469" s="3"/>
      <c r="B1469" s="3"/>
      <c r="C1469" s="149"/>
      <c r="D1469" s="3"/>
      <c r="E1469" s="4"/>
      <c r="F1469" s="3"/>
      <c r="G1469" s="2"/>
      <c r="H1469" s="2"/>
      <c r="I1469" s="2"/>
      <c r="J1469" s="2"/>
      <c r="K1469" s="2"/>
    </row>
    <row r="1470" spans="1:11" ht="14.25" customHeight="1">
      <c r="A1470" s="3"/>
      <c r="B1470" s="3"/>
      <c r="C1470" s="149"/>
      <c r="D1470" s="3"/>
      <c r="E1470" s="4"/>
      <c r="F1470" s="3"/>
      <c r="G1470" s="2"/>
      <c r="H1470" s="2"/>
      <c r="I1470" s="2"/>
      <c r="J1470" s="2"/>
      <c r="K1470" s="2"/>
    </row>
    <row r="1471" spans="1:11" ht="14.25" customHeight="1">
      <c r="A1471" s="3"/>
      <c r="B1471" s="3"/>
      <c r="C1471" s="149"/>
      <c r="D1471" s="3"/>
      <c r="E1471" s="4"/>
      <c r="F1471" s="3"/>
      <c r="G1471" s="2"/>
      <c r="H1471" s="2"/>
      <c r="I1471" s="2"/>
      <c r="J1471" s="2"/>
      <c r="K1471" s="2"/>
    </row>
  </sheetData>
  <mergeCells count="3123">
    <mergeCell ref="E6:E7"/>
    <mergeCell ref="F6:F7"/>
    <mergeCell ref="D8:D9"/>
    <mergeCell ref="E8:E9"/>
    <mergeCell ref="F8:F9"/>
    <mergeCell ref="D10:D11"/>
    <mergeCell ref="E10:E11"/>
    <mergeCell ref="F10:F11"/>
    <mergeCell ref="A2:A220"/>
    <mergeCell ref="B2:B50"/>
    <mergeCell ref="C2:C11"/>
    <mergeCell ref="D2:D3"/>
    <mergeCell ref="E2:E3"/>
    <mergeCell ref="F2:F3"/>
    <mergeCell ref="D4:D5"/>
    <mergeCell ref="E4:E5"/>
    <mergeCell ref="F4:F5"/>
    <mergeCell ref="D6:D7"/>
    <mergeCell ref="D28:D29"/>
    <mergeCell ref="E28:E29"/>
    <mergeCell ref="F28:F29"/>
    <mergeCell ref="D30:D31"/>
    <mergeCell ref="E30:E31"/>
    <mergeCell ref="F30:F31"/>
    <mergeCell ref="C22:C31"/>
    <mergeCell ref="D22:D23"/>
    <mergeCell ref="E22:E23"/>
    <mergeCell ref="F22:F23"/>
    <mergeCell ref="D24:D25"/>
    <mergeCell ref="E24:E25"/>
    <mergeCell ref="F24:F25"/>
    <mergeCell ref="D26:D27"/>
    <mergeCell ref="E26:E27"/>
    <mergeCell ref="F26:F27"/>
    <mergeCell ref="D18:D19"/>
    <mergeCell ref="E18:E19"/>
    <mergeCell ref="F18:F19"/>
    <mergeCell ref="D20:D21"/>
    <mergeCell ref="E20:E21"/>
    <mergeCell ref="F20:F21"/>
    <mergeCell ref="C12:C21"/>
    <mergeCell ref="D12:D13"/>
    <mergeCell ref="E12:E13"/>
    <mergeCell ref="F12:F13"/>
    <mergeCell ref="D14:D15"/>
    <mergeCell ref="E14:E15"/>
    <mergeCell ref="F14:F15"/>
    <mergeCell ref="D16:D17"/>
    <mergeCell ref="E16:E17"/>
    <mergeCell ref="F16:F17"/>
    <mergeCell ref="D48:D49"/>
    <mergeCell ref="E48:E49"/>
    <mergeCell ref="F48:F49"/>
    <mergeCell ref="D50:D51"/>
    <mergeCell ref="E50:E51"/>
    <mergeCell ref="F50:F51"/>
    <mergeCell ref="C42:C51"/>
    <mergeCell ref="D42:D43"/>
    <mergeCell ref="E42:E43"/>
    <mergeCell ref="F42:F43"/>
    <mergeCell ref="D44:D45"/>
    <mergeCell ref="E44:E45"/>
    <mergeCell ref="F44:F45"/>
    <mergeCell ref="D46:D47"/>
    <mergeCell ref="E46:E47"/>
    <mergeCell ref="F46:F47"/>
    <mergeCell ref="D38:D39"/>
    <mergeCell ref="E38:E39"/>
    <mergeCell ref="F38:F39"/>
    <mergeCell ref="D40:D41"/>
    <mergeCell ref="E40:E41"/>
    <mergeCell ref="F40:F41"/>
    <mergeCell ref="C32:C41"/>
    <mergeCell ref="D32:D33"/>
    <mergeCell ref="E32:E33"/>
    <mergeCell ref="F32:F33"/>
    <mergeCell ref="D34:D35"/>
    <mergeCell ref="E34:E35"/>
    <mergeCell ref="F34:F35"/>
    <mergeCell ref="D36:D37"/>
    <mergeCell ref="E36:E37"/>
    <mergeCell ref="F36:F37"/>
    <mergeCell ref="F56:F57"/>
    <mergeCell ref="D58:D59"/>
    <mergeCell ref="E58:E59"/>
    <mergeCell ref="F58:F59"/>
    <mergeCell ref="D60:D61"/>
    <mergeCell ref="E60:E61"/>
    <mergeCell ref="F60:F61"/>
    <mergeCell ref="B52:B110"/>
    <mergeCell ref="C52:C60"/>
    <mergeCell ref="D52:D53"/>
    <mergeCell ref="E52:E53"/>
    <mergeCell ref="F52:F53"/>
    <mergeCell ref="D54:D55"/>
    <mergeCell ref="E54:E55"/>
    <mergeCell ref="F54:F55"/>
    <mergeCell ref="D56:D57"/>
    <mergeCell ref="E56:E57"/>
    <mergeCell ref="D78:D79"/>
    <mergeCell ref="E78:E79"/>
    <mergeCell ref="F78:F79"/>
    <mergeCell ref="D80:D81"/>
    <mergeCell ref="E80:E81"/>
    <mergeCell ref="F80:F81"/>
    <mergeCell ref="C72:C81"/>
    <mergeCell ref="D72:D73"/>
    <mergeCell ref="E72:E73"/>
    <mergeCell ref="F72:F73"/>
    <mergeCell ref="D74:D75"/>
    <mergeCell ref="E74:E75"/>
    <mergeCell ref="F74:F75"/>
    <mergeCell ref="D76:D77"/>
    <mergeCell ref="E76:E77"/>
    <mergeCell ref="F76:F77"/>
    <mergeCell ref="D68:D69"/>
    <mergeCell ref="E68:E69"/>
    <mergeCell ref="F68:F69"/>
    <mergeCell ref="D70:D71"/>
    <mergeCell ref="E70:E71"/>
    <mergeCell ref="F70:F71"/>
    <mergeCell ref="C62:C70"/>
    <mergeCell ref="D62:D63"/>
    <mergeCell ref="E62:E63"/>
    <mergeCell ref="F62:F63"/>
    <mergeCell ref="D64:D65"/>
    <mergeCell ref="E64:E65"/>
    <mergeCell ref="F64:F65"/>
    <mergeCell ref="D66:D67"/>
    <mergeCell ref="E66:E67"/>
    <mergeCell ref="F66:F67"/>
    <mergeCell ref="D98:D99"/>
    <mergeCell ref="E98:E99"/>
    <mergeCell ref="F98:F99"/>
    <mergeCell ref="D100:D101"/>
    <mergeCell ref="E100:E101"/>
    <mergeCell ref="F100:F101"/>
    <mergeCell ref="C92:C101"/>
    <mergeCell ref="D92:D93"/>
    <mergeCell ref="E92:E93"/>
    <mergeCell ref="F92:F93"/>
    <mergeCell ref="D94:D95"/>
    <mergeCell ref="E94:E95"/>
    <mergeCell ref="F94:F95"/>
    <mergeCell ref="D96:D97"/>
    <mergeCell ref="E96:E97"/>
    <mergeCell ref="F96:F97"/>
    <mergeCell ref="D88:D89"/>
    <mergeCell ref="E88:E89"/>
    <mergeCell ref="F88:F89"/>
    <mergeCell ref="D90:D91"/>
    <mergeCell ref="E90:E91"/>
    <mergeCell ref="F90:F91"/>
    <mergeCell ref="C82:C91"/>
    <mergeCell ref="D82:D83"/>
    <mergeCell ref="E82:E83"/>
    <mergeCell ref="F82:F83"/>
    <mergeCell ref="D84:D85"/>
    <mergeCell ref="E84:E85"/>
    <mergeCell ref="F84:F85"/>
    <mergeCell ref="D86:D87"/>
    <mergeCell ref="E86:E87"/>
    <mergeCell ref="F86:F87"/>
    <mergeCell ref="B112:B170"/>
    <mergeCell ref="C112:C121"/>
    <mergeCell ref="D112:D113"/>
    <mergeCell ref="E112:E113"/>
    <mergeCell ref="F112:F113"/>
    <mergeCell ref="D114:D115"/>
    <mergeCell ref="E114:E115"/>
    <mergeCell ref="F114:F115"/>
    <mergeCell ref="D116:D117"/>
    <mergeCell ref="E116:E117"/>
    <mergeCell ref="D108:D109"/>
    <mergeCell ref="E108:E109"/>
    <mergeCell ref="F108:F109"/>
    <mergeCell ref="D110:D111"/>
    <mergeCell ref="E110:E111"/>
    <mergeCell ref="F110:F111"/>
    <mergeCell ref="C102:C111"/>
    <mergeCell ref="D102:D103"/>
    <mergeCell ref="E102:E103"/>
    <mergeCell ref="F102:F103"/>
    <mergeCell ref="D104:D105"/>
    <mergeCell ref="E104:E105"/>
    <mergeCell ref="F104:F105"/>
    <mergeCell ref="D106:D107"/>
    <mergeCell ref="E106:E107"/>
    <mergeCell ref="F106:F107"/>
    <mergeCell ref="D128:D129"/>
    <mergeCell ref="E128:E129"/>
    <mergeCell ref="F128:F129"/>
    <mergeCell ref="D130:D131"/>
    <mergeCell ref="E130:E131"/>
    <mergeCell ref="F130:F131"/>
    <mergeCell ref="C122:C131"/>
    <mergeCell ref="D122:D123"/>
    <mergeCell ref="E122:E123"/>
    <mergeCell ref="F122:F123"/>
    <mergeCell ref="D124:D125"/>
    <mergeCell ref="E124:E125"/>
    <mergeCell ref="F124:F125"/>
    <mergeCell ref="D126:D127"/>
    <mergeCell ref="E126:E127"/>
    <mergeCell ref="F126:F127"/>
    <mergeCell ref="F116:F117"/>
    <mergeCell ref="D118:D119"/>
    <mergeCell ref="E118:E119"/>
    <mergeCell ref="F118:F119"/>
    <mergeCell ref="D120:D121"/>
    <mergeCell ref="E120:E121"/>
    <mergeCell ref="F120:F121"/>
    <mergeCell ref="D148:D149"/>
    <mergeCell ref="E148:E149"/>
    <mergeCell ref="F148:F149"/>
    <mergeCell ref="D150:D151"/>
    <mergeCell ref="E150:E151"/>
    <mergeCell ref="F150:F151"/>
    <mergeCell ref="C142:C151"/>
    <mergeCell ref="D142:D143"/>
    <mergeCell ref="E142:E143"/>
    <mergeCell ref="F142:F143"/>
    <mergeCell ref="D144:D145"/>
    <mergeCell ref="E144:E145"/>
    <mergeCell ref="F144:F145"/>
    <mergeCell ref="D146:D147"/>
    <mergeCell ref="E146:E147"/>
    <mergeCell ref="F146:F147"/>
    <mergeCell ref="D138:D139"/>
    <mergeCell ref="E138:E139"/>
    <mergeCell ref="F138:F139"/>
    <mergeCell ref="D140:D141"/>
    <mergeCell ref="E140:E141"/>
    <mergeCell ref="F140:F141"/>
    <mergeCell ref="C132:C141"/>
    <mergeCell ref="D132:D133"/>
    <mergeCell ref="E132:E133"/>
    <mergeCell ref="F132:F133"/>
    <mergeCell ref="D134:D135"/>
    <mergeCell ref="E134:E135"/>
    <mergeCell ref="F134:F135"/>
    <mergeCell ref="D136:D137"/>
    <mergeCell ref="E136:E137"/>
    <mergeCell ref="F136:F137"/>
    <mergeCell ref="D168:D169"/>
    <mergeCell ref="E168:E169"/>
    <mergeCell ref="F168:F169"/>
    <mergeCell ref="D170:D171"/>
    <mergeCell ref="E170:E171"/>
    <mergeCell ref="F170:F171"/>
    <mergeCell ref="C162:C171"/>
    <mergeCell ref="D162:D163"/>
    <mergeCell ref="E162:E163"/>
    <mergeCell ref="F162:F163"/>
    <mergeCell ref="D164:D165"/>
    <mergeCell ref="E164:E165"/>
    <mergeCell ref="F164:F165"/>
    <mergeCell ref="D166:D167"/>
    <mergeCell ref="E166:E167"/>
    <mergeCell ref="F166:F167"/>
    <mergeCell ref="D158:D159"/>
    <mergeCell ref="E158:E159"/>
    <mergeCell ref="F158:F159"/>
    <mergeCell ref="D160:D161"/>
    <mergeCell ref="E160:E161"/>
    <mergeCell ref="F160:F161"/>
    <mergeCell ref="C152:C161"/>
    <mergeCell ref="D152:D153"/>
    <mergeCell ref="E152:E153"/>
    <mergeCell ref="F152:F153"/>
    <mergeCell ref="D154:D155"/>
    <mergeCell ref="E154:E155"/>
    <mergeCell ref="F154:F155"/>
    <mergeCell ref="D156:D157"/>
    <mergeCell ref="E156:E157"/>
    <mergeCell ref="F156:F157"/>
    <mergeCell ref="F176:F177"/>
    <mergeCell ref="D178:D179"/>
    <mergeCell ref="E178:E179"/>
    <mergeCell ref="F178:F179"/>
    <mergeCell ref="D180:D181"/>
    <mergeCell ref="E180:E181"/>
    <mergeCell ref="F180:F181"/>
    <mergeCell ref="B172:B220"/>
    <mergeCell ref="C172:C181"/>
    <mergeCell ref="D172:D173"/>
    <mergeCell ref="E172:E173"/>
    <mergeCell ref="F172:F173"/>
    <mergeCell ref="D174:D175"/>
    <mergeCell ref="E174:E175"/>
    <mergeCell ref="F174:F175"/>
    <mergeCell ref="D176:D177"/>
    <mergeCell ref="E176:E177"/>
    <mergeCell ref="D198:D199"/>
    <mergeCell ref="E198:E199"/>
    <mergeCell ref="F198:F199"/>
    <mergeCell ref="D200:D201"/>
    <mergeCell ref="E200:E201"/>
    <mergeCell ref="F200:F201"/>
    <mergeCell ref="C192:C201"/>
    <mergeCell ref="D192:D193"/>
    <mergeCell ref="E192:E193"/>
    <mergeCell ref="F192:F193"/>
    <mergeCell ref="D194:D195"/>
    <mergeCell ref="E194:E195"/>
    <mergeCell ref="F194:F195"/>
    <mergeCell ref="D196:D197"/>
    <mergeCell ref="E196:E197"/>
    <mergeCell ref="F196:F197"/>
    <mergeCell ref="D188:D189"/>
    <mergeCell ref="E188:E189"/>
    <mergeCell ref="F188:F189"/>
    <mergeCell ref="D190:D191"/>
    <mergeCell ref="E190:E191"/>
    <mergeCell ref="F190:F191"/>
    <mergeCell ref="C182:C191"/>
    <mergeCell ref="D182:D183"/>
    <mergeCell ref="E182:E183"/>
    <mergeCell ref="F182:F183"/>
    <mergeCell ref="D184:D185"/>
    <mergeCell ref="E184:E185"/>
    <mergeCell ref="F184:F185"/>
    <mergeCell ref="D186:D187"/>
    <mergeCell ref="E186:E187"/>
    <mergeCell ref="F186:F187"/>
    <mergeCell ref="D218:D219"/>
    <mergeCell ref="E218:E219"/>
    <mergeCell ref="F218:F219"/>
    <mergeCell ref="D220:D221"/>
    <mergeCell ref="E220:E221"/>
    <mergeCell ref="F220:F221"/>
    <mergeCell ref="C212:C221"/>
    <mergeCell ref="D212:D213"/>
    <mergeCell ref="E212:E213"/>
    <mergeCell ref="F212:F213"/>
    <mergeCell ref="D214:D215"/>
    <mergeCell ref="E214:E215"/>
    <mergeCell ref="F214:F215"/>
    <mergeCell ref="D216:D217"/>
    <mergeCell ref="E216:E217"/>
    <mergeCell ref="F216:F217"/>
    <mergeCell ref="D208:D209"/>
    <mergeCell ref="E208:E209"/>
    <mergeCell ref="F208:F209"/>
    <mergeCell ref="D210:D211"/>
    <mergeCell ref="E210:E211"/>
    <mergeCell ref="F210:F211"/>
    <mergeCell ref="C202:C211"/>
    <mergeCell ref="D202:D203"/>
    <mergeCell ref="E202:E203"/>
    <mergeCell ref="F202:F203"/>
    <mergeCell ref="D204:D205"/>
    <mergeCell ref="E204:E205"/>
    <mergeCell ref="F204:F205"/>
    <mergeCell ref="D206:D207"/>
    <mergeCell ref="E206:E207"/>
    <mergeCell ref="F206:F207"/>
    <mergeCell ref="D238:D239"/>
    <mergeCell ref="E238:E239"/>
    <mergeCell ref="F238:F239"/>
    <mergeCell ref="D240:D241"/>
    <mergeCell ref="E240:E241"/>
    <mergeCell ref="F240:F241"/>
    <mergeCell ref="C232:C241"/>
    <mergeCell ref="D232:D233"/>
    <mergeCell ref="E232:E233"/>
    <mergeCell ref="F232:F233"/>
    <mergeCell ref="D234:D235"/>
    <mergeCell ref="E234:E235"/>
    <mergeCell ref="F234:F235"/>
    <mergeCell ref="D236:D237"/>
    <mergeCell ref="E236:E237"/>
    <mergeCell ref="F236:F237"/>
    <mergeCell ref="E226:E227"/>
    <mergeCell ref="F226:F227"/>
    <mergeCell ref="D228:D229"/>
    <mergeCell ref="E228:E229"/>
    <mergeCell ref="F228:F229"/>
    <mergeCell ref="D230:D231"/>
    <mergeCell ref="E230:E231"/>
    <mergeCell ref="F230:F231"/>
    <mergeCell ref="C222:C231"/>
    <mergeCell ref="D222:D223"/>
    <mergeCell ref="E222:E223"/>
    <mergeCell ref="F222:F223"/>
    <mergeCell ref="D224:D225"/>
    <mergeCell ref="E224:E225"/>
    <mergeCell ref="F224:F225"/>
    <mergeCell ref="D226:D227"/>
    <mergeCell ref="D258:D259"/>
    <mergeCell ref="E258:E259"/>
    <mergeCell ref="F258:F259"/>
    <mergeCell ref="D260:D261"/>
    <mergeCell ref="E260:E261"/>
    <mergeCell ref="F260:F261"/>
    <mergeCell ref="C252:C261"/>
    <mergeCell ref="D252:D253"/>
    <mergeCell ref="E252:E253"/>
    <mergeCell ref="F252:F253"/>
    <mergeCell ref="D254:D255"/>
    <mergeCell ref="E254:E255"/>
    <mergeCell ref="F254:F255"/>
    <mergeCell ref="D256:D257"/>
    <mergeCell ref="E256:E257"/>
    <mergeCell ref="F256:F257"/>
    <mergeCell ref="D248:D249"/>
    <mergeCell ref="E248:E249"/>
    <mergeCell ref="F248:F249"/>
    <mergeCell ref="D250:D251"/>
    <mergeCell ref="E250:E251"/>
    <mergeCell ref="F250:F251"/>
    <mergeCell ref="C242:C251"/>
    <mergeCell ref="D242:D243"/>
    <mergeCell ref="E242:E243"/>
    <mergeCell ref="F242:F243"/>
    <mergeCell ref="D244:D245"/>
    <mergeCell ref="E244:E245"/>
    <mergeCell ref="F244:F245"/>
    <mergeCell ref="D246:D247"/>
    <mergeCell ref="E246:E247"/>
    <mergeCell ref="F246:F247"/>
    <mergeCell ref="D278:D279"/>
    <mergeCell ref="E278:E279"/>
    <mergeCell ref="F278:F279"/>
    <mergeCell ref="D280:D281"/>
    <mergeCell ref="E280:E281"/>
    <mergeCell ref="F280:F281"/>
    <mergeCell ref="C272:C281"/>
    <mergeCell ref="D272:D273"/>
    <mergeCell ref="E272:E273"/>
    <mergeCell ref="F272:F273"/>
    <mergeCell ref="D274:D275"/>
    <mergeCell ref="E274:E275"/>
    <mergeCell ref="F274:F275"/>
    <mergeCell ref="D276:D277"/>
    <mergeCell ref="E276:E277"/>
    <mergeCell ref="F276:F277"/>
    <mergeCell ref="D268:D269"/>
    <mergeCell ref="E268:E269"/>
    <mergeCell ref="F268:F269"/>
    <mergeCell ref="D270:D271"/>
    <mergeCell ref="E270:E271"/>
    <mergeCell ref="F270:F271"/>
    <mergeCell ref="C262:C271"/>
    <mergeCell ref="D262:D263"/>
    <mergeCell ref="E262:E263"/>
    <mergeCell ref="F262:F263"/>
    <mergeCell ref="D264:D265"/>
    <mergeCell ref="E264:E265"/>
    <mergeCell ref="F264:F265"/>
    <mergeCell ref="D266:D267"/>
    <mergeCell ref="E266:E267"/>
    <mergeCell ref="F266:F267"/>
    <mergeCell ref="D298:D299"/>
    <mergeCell ref="E298:E299"/>
    <mergeCell ref="F298:F299"/>
    <mergeCell ref="D300:D301"/>
    <mergeCell ref="E300:E301"/>
    <mergeCell ref="F300:F301"/>
    <mergeCell ref="C292:C301"/>
    <mergeCell ref="D292:D293"/>
    <mergeCell ref="E292:E293"/>
    <mergeCell ref="F292:F293"/>
    <mergeCell ref="D294:D295"/>
    <mergeCell ref="E294:E295"/>
    <mergeCell ref="F294:F295"/>
    <mergeCell ref="D296:D297"/>
    <mergeCell ref="E296:E297"/>
    <mergeCell ref="F296:F297"/>
    <mergeCell ref="F286:F287"/>
    <mergeCell ref="D288:D289"/>
    <mergeCell ref="E288:E289"/>
    <mergeCell ref="F288:F289"/>
    <mergeCell ref="D290:D291"/>
    <mergeCell ref="E290:E291"/>
    <mergeCell ref="F290:F291"/>
    <mergeCell ref="C282:C291"/>
    <mergeCell ref="D282:D283"/>
    <mergeCell ref="E282:E283"/>
    <mergeCell ref="F282:F283"/>
    <mergeCell ref="D284:D285"/>
    <mergeCell ref="E284:E285"/>
    <mergeCell ref="F284:F285"/>
    <mergeCell ref="D286:D287"/>
    <mergeCell ref="E286:E287"/>
    <mergeCell ref="D318:D319"/>
    <mergeCell ref="E318:E319"/>
    <mergeCell ref="F318:F319"/>
    <mergeCell ref="D320:D321"/>
    <mergeCell ref="E320:E321"/>
    <mergeCell ref="F320:F321"/>
    <mergeCell ref="C312:C321"/>
    <mergeCell ref="D312:D313"/>
    <mergeCell ref="E312:E313"/>
    <mergeCell ref="F312:F313"/>
    <mergeCell ref="D314:D315"/>
    <mergeCell ref="E314:E315"/>
    <mergeCell ref="F314:F315"/>
    <mergeCell ref="D316:D317"/>
    <mergeCell ref="E316:E317"/>
    <mergeCell ref="F316:F317"/>
    <mergeCell ref="D308:D309"/>
    <mergeCell ref="E308:E309"/>
    <mergeCell ref="F308:F309"/>
    <mergeCell ref="D310:D311"/>
    <mergeCell ref="E310:E311"/>
    <mergeCell ref="F310:F311"/>
    <mergeCell ref="C302:C311"/>
    <mergeCell ref="D302:D303"/>
    <mergeCell ref="E302:E303"/>
    <mergeCell ref="F302:F303"/>
    <mergeCell ref="D304:D305"/>
    <mergeCell ref="E304:E305"/>
    <mergeCell ref="F304:F305"/>
    <mergeCell ref="D306:D307"/>
    <mergeCell ref="E306:E307"/>
    <mergeCell ref="F306:F307"/>
    <mergeCell ref="B332:B390"/>
    <mergeCell ref="C332:C341"/>
    <mergeCell ref="D332:D333"/>
    <mergeCell ref="E332:E333"/>
    <mergeCell ref="F332:F333"/>
    <mergeCell ref="D334:D335"/>
    <mergeCell ref="E334:E335"/>
    <mergeCell ref="F334:F335"/>
    <mergeCell ref="D336:D337"/>
    <mergeCell ref="E336:E337"/>
    <mergeCell ref="D328:D329"/>
    <mergeCell ref="E328:E329"/>
    <mergeCell ref="F328:F329"/>
    <mergeCell ref="D330:D331"/>
    <mergeCell ref="E330:E331"/>
    <mergeCell ref="F330:F331"/>
    <mergeCell ref="C322:C331"/>
    <mergeCell ref="D322:D323"/>
    <mergeCell ref="E322:E323"/>
    <mergeCell ref="F322:F323"/>
    <mergeCell ref="D324:D325"/>
    <mergeCell ref="E324:E325"/>
    <mergeCell ref="F324:F325"/>
    <mergeCell ref="D326:D327"/>
    <mergeCell ref="E326:E327"/>
    <mergeCell ref="F326:F327"/>
    <mergeCell ref="B282:B330"/>
    <mergeCell ref="D348:D349"/>
    <mergeCell ref="E348:E349"/>
    <mergeCell ref="F348:F349"/>
    <mergeCell ref="D350:D351"/>
    <mergeCell ref="E350:E351"/>
    <mergeCell ref="F350:F351"/>
    <mergeCell ref="C342:C351"/>
    <mergeCell ref="D342:D343"/>
    <mergeCell ref="E342:E343"/>
    <mergeCell ref="F342:F343"/>
    <mergeCell ref="D344:D345"/>
    <mergeCell ref="E344:E345"/>
    <mergeCell ref="F344:F345"/>
    <mergeCell ref="D346:D347"/>
    <mergeCell ref="E346:E347"/>
    <mergeCell ref="F346:F347"/>
    <mergeCell ref="F336:F337"/>
    <mergeCell ref="D338:D339"/>
    <mergeCell ref="E338:E339"/>
    <mergeCell ref="F338:F339"/>
    <mergeCell ref="D340:D341"/>
    <mergeCell ref="E340:E341"/>
    <mergeCell ref="F340:F341"/>
    <mergeCell ref="D368:D369"/>
    <mergeCell ref="E368:E369"/>
    <mergeCell ref="F368:F369"/>
    <mergeCell ref="D370:D371"/>
    <mergeCell ref="E370:E371"/>
    <mergeCell ref="F370:F371"/>
    <mergeCell ref="C362:C371"/>
    <mergeCell ref="D362:D363"/>
    <mergeCell ref="E362:E363"/>
    <mergeCell ref="F362:F363"/>
    <mergeCell ref="D364:D365"/>
    <mergeCell ref="E364:E365"/>
    <mergeCell ref="F364:F365"/>
    <mergeCell ref="D366:D367"/>
    <mergeCell ref="E366:E367"/>
    <mergeCell ref="F366:F367"/>
    <mergeCell ref="D358:D359"/>
    <mergeCell ref="E358:E359"/>
    <mergeCell ref="F358:F359"/>
    <mergeCell ref="D360:D361"/>
    <mergeCell ref="E360:E361"/>
    <mergeCell ref="F360:F361"/>
    <mergeCell ref="C352:C361"/>
    <mergeCell ref="D352:D353"/>
    <mergeCell ref="E352:E353"/>
    <mergeCell ref="F352:F353"/>
    <mergeCell ref="D354:D355"/>
    <mergeCell ref="E354:E355"/>
    <mergeCell ref="F354:F355"/>
    <mergeCell ref="D356:D357"/>
    <mergeCell ref="E356:E357"/>
    <mergeCell ref="F356:F357"/>
    <mergeCell ref="D388:D389"/>
    <mergeCell ref="E388:E389"/>
    <mergeCell ref="F388:F389"/>
    <mergeCell ref="D390:D391"/>
    <mergeCell ref="E390:E391"/>
    <mergeCell ref="F390:F391"/>
    <mergeCell ref="C382:C391"/>
    <mergeCell ref="D382:D383"/>
    <mergeCell ref="E382:E383"/>
    <mergeCell ref="F382:F383"/>
    <mergeCell ref="D384:D385"/>
    <mergeCell ref="E384:E385"/>
    <mergeCell ref="F384:F385"/>
    <mergeCell ref="D386:D387"/>
    <mergeCell ref="E386:E387"/>
    <mergeCell ref="F386:F387"/>
    <mergeCell ref="D378:D379"/>
    <mergeCell ref="E378:E379"/>
    <mergeCell ref="F378:F379"/>
    <mergeCell ref="D380:D381"/>
    <mergeCell ref="E380:E381"/>
    <mergeCell ref="F380:F381"/>
    <mergeCell ref="C372:C381"/>
    <mergeCell ref="D372:D373"/>
    <mergeCell ref="E372:E373"/>
    <mergeCell ref="F372:F373"/>
    <mergeCell ref="D374:D375"/>
    <mergeCell ref="E374:E375"/>
    <mergeCell ref="F374:F375"/>
    <mergeCell ref="D376:D377"/>
    <mergeCell ref="E376:E377"/>
    <mergeCell ref="F376:F377"/>
    <mergeCell ref="F396:F397"/>
    <mergeCell ref="D398:D399"/>
    <mergeCell ref="E398:E399"/>
    <mergeCell ref="F398:F399"/>
    <mergeCell ref="D400:D401"/>
    <mergeCell ref="E400:E401"/>
    <mergeCell ref="F400:F401"/>
    <mergeCell ref="B392:B450"/>
    <mergeCell ref="C392:C401"/>
    <mergeCell ref="D392:D393"/>
    <mergeCell ref="E392:E393"/>
    <mergeCell ref="F392:F393"/>
    <mergeCell ref="D394:D395"/>
    <mergeCell ref="E394:E395"/>
    <mergeCell ref="F394:F395"/>
    <mergeCell ref="D396:D397"/>
    <mergeCell ref="E396:E397"/>
    <mergeCell ref="D418:D419"/>
    <mergeCell ref="E418:E419"/>
    <mergeCell ref="F418:F419"/>
    <mergeCell ref="D420:D421"/>
    <mergeCell ref="E420:E421"/>
    <mergeCell ref="F420:F421"/>
    <mergeCell ref="C412:C421"/>
    <mergeCell ref="D412:D413"/>
    <mergeCell ref="E412:E413"/>
    <mergeCell ref="F412:F413"/>
    <mergeCell ref="D414:D415"/>
    <mergeCell ref="E414:E415"/>
    <mergeCell ref="F414:F415"/>
    <mergeCell ref="D416:D417"/>
    <mergeCell ref="E416:E417"/>
    <mergeCell ref="F416:F417"/>
    <mergeCell ref="D408:D409"/>
    <mergeCell ref="E408:E409"/>
    <mergeCell ref="F408:F409"/>
    <mergeCell ref="D410:D411"/>
    <mergeCell ref="E410:E411"/>
    <mergeCell ref="F410:F411"/>
    <mergeCell ref="C402:C411"/>
    <mergeCell ref="D402:D403"/>
    <mergeCell ref="E402:E403"/>
    <mergeCell ref="F402:F403"/>
    <mergeCell ref="D404:D405"/>
    <mergeCell ref="E404:E405"/>
    <mergeCell ref="F404:F405"/>
    <mergeCell ref="D406:D407"/>
    <mergeCell ref="E406:E407"/>
    <mergeCell ref="F406:F407"/>
    <mergeCell ref="D438:D439"/>
    <mergeCell ref="E438:E439"/>
    <mergeCell ref="F438:F439"/>
    <mergeCell ref="D440:D441"/>
    <mergeCell ref="E440:E441"/>
    <mergeCell ref="F440:F441"/>
    <mergeCell ref="C432:C441"/>
    <mergeCell ref="D432:D433"/>
    <mergeCell ref="E432:E433"/>
    <mergeCell ref="F432:F433"/>
    <mergeCell ref="D434:D435"/>
    <mergeCell ref="E434:E435"/>
    <mergeCell ref="F434:F435"/>
    <mergeCell ref="D436:D437"/>
    <mergeCell ref="E436:E437"/>
    <mergeCell ref="F436:F437"/>
    <mergeCell ref="D428:D429"/>
    <mergeCell ref="E428:E429"/>
    <mergeCell ref="F428:F429"/>
    <mergeCell ref="D430:D431"/>
    <mergeCell ref="E430:E431"/>
    <mergeCell ref="F430:F431"/>
    <mergeCell ref="C422:C431"/>
    <mergeCell ref="D422:D423"/>
    <mergeCell ref="E422:E423"/>
    <mergeCell ref="F422:F423"/>
    <mergeCell ref="D424:D425"/>
    <mergeCell ref="E424:E425"/>
    <mergeCell ref="F424:F425"/>
    <mergeCell ref="D426:D427"/>
    <mergeCell ref="E426:E427"/>
    <mergeCell ref="F426:F427"/>
    <mergeCell ref="A452:A471"/>
    <mergeCell ref="B452:B471"/>
    <mergeCell ref="C452:C461"/>
    <mergeCell ref="D452:D453"/>
    <mergeCell ref="E452:E453"/>
    <mergeCell ref="F452:F453"/>
    <mergeCell ref="D454:D455"/>
    <mergeCell ref="E454:E455"/>
    <mergeCell ref="F454:F455"/>
    <mergeCell ref="D456:D457"/>
    <mergeCell ref="D448:D449"/>
    <mergeCell ref="E448:E449"/>
    <mergeCell ref="F448:F449"/>
    <mergeCell ref="D450:D451"/>
    <mergeCell ref="E450:E451"/>
    <mergeCell ref="F450:F451"/>
    <mergeCell ref="C442:C451"/>
    <mergeCell ref="D442:D443"/>
    <mergeCell ref="E442:E443"/>
    <mergeCell ref="F442:F443"/>
    <mergeCell ref="D444:D445"/>
    <mergeCell ref="E444:E445"/>
    <mergeCell ref="F444:F445"/>
    <mergeCell ref="D446:D447"/>
    <mergeCell ref="E446:E447"/>
    <mergeCell ref="F446:F447"/>
    <mergeCell ref="A222:A450"/>
    <mergeCell ref="B222:B280"/>
    <mergeCell ref="D468:D469"/>
    <mergeCell ref="E468:E469"/>
    <mergeCell ref="F468:F469"/>
    <mergeCell ref="D470:D471"/>
    <mergeCell ref="E470:E471"/>
    <mergeCell ref="F470:F471"/>
    <mergeCell ref="C462:C470"/>
    <mergeCell ref="D462:D463"/>
    <mergeCell ref="E462:E463"/>
    <mergeCell ref="F462:F463"/>
    <mergeCell ref="D464:D465"/>
    <mergeCell ref="E464:E465"/>
    <mergeCell ref="F464:F465"/>
    <mergeCell ref="D466:D467"/>
    <mergeCell ref="E466:E467"/>
    <mergeCell ref="F466:F467"/>
    <mergeCell ref="E456:E457"/>
    <mergeCell ref="F456:F457"/>
    <mergeCell ref="D458:D459"/>
    <mergeCell ref="E458:E459"/>
    <mergeCell ref="F458:F459"/>
    <mergeCell ref="D460:D461"/>
    <mergeCell ref="E460:E461"/>
    <mergeCell ref="F460:F461"/>
    <mergeCell ref="G472:G473"/>
    <mergeCell ref="H472:H473"/>
    <mergeCell ref="I472:I473"/>
    <mergeCell ref="J472:J473"/>
    <mergeCell ref="G474:G475"/>
    <mergeCell ref="H474:H475"/>
    <mergeCell ref="I474:I475"/>
    <mergeCell ref="J474:J475"/>
    <mergeCell ref="A472:A831"/>
    <mergeCell ref="B472:B531"/>
    <mergeCell ref="C472:C491"/>
    <mergeCell ref="D472:D475"/>
    <mergeCell ref="E472:E475"/>
    <mergeCell ref="F472:F475"/>
    <mergeCell ref="D476:D479"/>
    <mergeCell ref="E476:E479"/>
    <mergeCell ref="F476:F479"/>
    <mergeCell ref="D480:D483"/>
    <mergeCell ref="E480:E483"/>
    <mergeCell ref="F480:F483"/>
    <mergeCell ref="G480:G481"/>
    <mergeCell ref="H480:H481"/>
    <mergeCell ref="I480:I481"/>
    <mergeCell ref="J480:J481"/>
    <mergeCell ref="G482:G483"/>
    <mergeCell ref="H482:H483"/>
    <mergeCell ref="I482:I483"/>
    <mergeCell ref="J482:J483"/>
    <mergeCell ref="G476:G477"/>
    <mergeCell ref="H476:H477"/>
    <mergeCell ref="I476:I477"/>
    <mergeCell ref="J476:J477"/>
    <mergeCell ref="G478:G479"/>
    <mergeCell ref="H478:H479"/>
    <mergeCell ref="I478:I479"/>
    <mergeCell ref="J478:J479"/>
    <mergeCell ref="I488:I489"/>
    <mergeCell ref="J488:J489"/>
    <mergeCell ref="G490:G491"/>
    <mergeCell ref="H490:H491"/>
    <mergeCell ref="I490:I491"/>
    <mergeCell ref="J490:J491"/>
    <mergeCell ref="J484:J485"/>
    <mergeCell ref="G486:G487"/>
    <mergeCell ref="H486:H487"/>
    <mergeCell ref="I486:I487"/>
    <mergeCell ref="J486:J487"/>
    <mergeCell ref="D488:D491"/>
    <mergeCell ref="E488:E491"/>
    <mergeCell ref="F488:F491"/>
    <mergeCell ref="G488:G489"/>
    <mergeCell ref="H488:H489"/>
    <mergeCell ref="D484:D487"/>
    <mergeCell ref="E484:E487"/>
    <mergeCell ref="F484:F487"/>
    <mergeCell ref="G484:G485"/>
    <mergeCell ref="H484:H485"/>
    <mergeCell ref="I484:I485"/>
    <mergeCell ref="H496:H497"/>
    <mergeCell ref="I496:I497"/>
    <mergeCell ref="J496:J497"/>
    <mergeCell ref="G498:G499"/>
    <mergeCell ref="H498:H499"/>
    <mergeCell ref="I498:I499"/>
    <mergeCell ref="J498:J499"/>
    <mergeCell ref="I492:I493"/>
    <mergeCell ref="J492:J493"/>
    <mergeCell ref="G494:G495"/>
    <mergeCell ref="H494:H495"/>
    <mergeCell ref="I494:I495"/>
    <mergeCell ref="J494:J495"/>
    <mergeCell ref="C492:C511"/>
    <mergeCell ref="D492:D495"/>
    <mergeCell ref="E492:E495"/>
    <mergeCell ref="F492:F495"/>
    <mergeCell ref="G492:G493"/>
    <mergeCell ref="H492:H493"/>
    <mergeCell ref="D496:D499"/>
    <mergeCell ref="E496:E499"/>
    <mergeCell ref="F496:F499"/>
    <mergeCell ref="G496:G497"/>
    <mergeCell ref="I504:I505"/>
    <mergeCell ref="J504:J505"/>
    <mergeCell ref="G506:G507"/>
    <mergeCell ref="H506:H507"/>
    <mergeCell ref="I506:I507"/>
    <mergeCell ref="J506:J507"/>
    <mergeCell ref="J500:J501"/>
    <mergeCell ref="G502:G503"/>
    <mergeCell ref="H502:H503"/>
    <mergeCell ref="I502:I503"/>
    <mergeCell ref="J502:J503"/>
    <mergeCell ref="D504:D507"/>
    <mergeCell ref="E504:E507"/>
    <mergeCell ref="F504:F507"/>
    <mergeCell ref="G504:G505"/>
    <mergeCell ref="H504:H505"/>
    <mergeCell ref="D500:D503"/>
    <mergeCell ref="E500:E503"/>
    <mergeCell ref="F500:F503"/>
    <mergeCell ref="G500:G501"/>
    <mergeCell ref="H500:H501"/>
    <mergeCell ref="I500:I501"/>
    <mergeCell ref="H512:H513"/>
    <mergeCell ref="I512:I513"/>
    <mergeCell ref="J512:J513"/>
    <mergeCell ref="G514:G515"/>
    <mergeCell ref="H514:H515"/>
    <mergeCell ref="I514:I515"/>
    <mergeCell ref="J514:J515"/>
    <mergeCell ref="J508:J509"/>
    <mergeCell ref="G510:G511"/>
    <mergeCell ref="H510:H511"/>
    <mergeCell ref="I510:I511"/>
    <mergeCell ref="J510:J511"/>
    <mergeCell ref="C512:C531"/>
    <mergeCell ref="D512:D515"/>
    <mergeCell ref="E512:E515"/>
    <mergeCell ref="F512:F515"/>
    <mergeCell ref="G512:G513"/>
    <mergeCell ref="D508:D511"/>
    <mergeCell ref="E508:E511"/>
    <mergeCell ref="F508:F511"/>
    <mergeCell ref="G508:G509"/>
    <mergeCell ref="H508:H509"/>
    <mergeCell ref="I508:I509"/>
    <mergeCell ref="I520:I521"/>
    <mergeCell ref="J520:J521"/>
    <mergeCell ref="G522:G523"/>
    <mergeCell ref="H522:H523"/>
    <mergeCell ref="I522:I523"/>
    <mergeCell ref="J522:J523"/>
    <mergeCell ref="J516:J517"/>
    <mergeCell ref="G518:G519"/>
    <mergeCell ref="H518:H519"/>
    <mergeCell ref="I518:I519"/>
    <mergeCell ref="J518:J519"/>
    <mergeCell ref="D520:D523"/>
    <mergeCell ref="E520:E523"/>
    <mergeCell ref="F520:F523"/>
    <mergeCell ref="G520:G521"/>
    <mergeCell ref="H520:H521"/>
    <mergeCell ref="D516:D519"/>
    <mergeCell ref="E516:E519"/>
    <mergeCell ref="F516:F519"/>
    <mergeCell ref="G516:G517"/>
    <mergeCell ref="H516:H517"/>
    <mergeCell ref="I516:I517"/>
    <mergeCell ref="I528:I529"/>
    <mergeCell ref="J528:J529"/>
    <mergeCell ref="G530:G531"/>
    <mergeCell ref="H530:H531"/>
    <mergeCell ref="I530:I531"/>
    <mergeCell ref="J530:J531"/>
    <mergeCell ref="J524:J525"/>
    <mergeCell ref="G526:G527"/>
    <mergeCell ref="H526:H527"/>
    <mergeCell ref="I526:I527"/>
    <mergeCell ref="J526:J527"/>
    <mergeCell ref="D528:D531"/>
    <mergeCell ref="E528:E531"/>
    <mergeCell ref="F528:F531"/>
    <mergeCell ref="G528:G529"/>
    <mergeCell ref="H528:H529"/>
    <mergeCell ref="D524:D527"/>
    <mergeCell ref="E524:E527"/>
    <mergeCell ref="F524:F527"/>
    <mergeCell ref="G524:G525"/>
    <mergeCell ref="H524:H525"/>
    <mergeCell ref="I524:I525"/>
    <mergeCell ref="H536:H537"/>
    <mergeCell ref="I536:I537"/>
    <mergeCell ref="J536:J537"/>
    <mergeCell ref="G538:G539"/>
    <mergeCell ref="H538:H539"/>
    <mergeCell ref="I538:I539"/>
    <mergeCell ref="J538:J539"/>
    <mergeCell ref="H532:H533"/>
    <mergeCell ref="I532:I533"/>
    <mergeCell ref="J532:J533"/>
    <mergeCell ref="G534:G535"/>
    <mergeCell ref="H534:H535"/>
    <mergeCell ref="I534:I535"/>
    <mergeCell ref="J534:J535"/>
    <mergeCell ref="B532:B651"/>
    <mergeCell ref="C532:C551"/>
    <mergeCell ref="D532:D535"/>
    <mergeCell ref="E532:E535"/>
    <mergeCell ref="F532:F535"/>
    <mergeCell ref="G532:G533"/>
    <mergeCell ref="D536:D539"/>
    <mergeCell ref="E536:E539"/>
    <mergeCell ref="F536:F539"/>
    <mergeCell ref="G536:G537"/>
    <mergeCell ref="I544:I545"/>
    <mergeCell ref="J544:J545"/>
    <mergeCell ref="G546:G547"/>
    <mergeCell ref="H546:H547"/>
    <mergeCell ref="I546:I547"/>
    <mergeCell ref="J546:J547"/>
    <mergeCell ref="J540:J541"/>
    <mergeCell ref="G542:G543"/>
    <mergeCell ref="H542:H543"/>
    <mergeCell ref="I542:I543"/>
    <mergeCell ref="J542:J543"/>
    <mergeCell ref="D544:D547"/>
    <mergeCell ref="E544:E547"/>
    <mergeCell ref="F544:F547"/>
    <mergeCell ref="G544:G545"/>
    <mergeCell ref="H544:H545"/>
    <mergeCell ref="D540:D543"/>
    <mergeCell ref="E540:E543"/>
    <mergeCell ref="F540:F543"/>
    <mergeCell ref="G540:G541"/>
    <mergeCell ref="H540:H541"/>
    <mergeCell ref="I540:I541"/>
    <mergeCell ref="H552:H553"/>
    <mergeCell ref="I552:I553"/>
    <mergeCell ref="J552:J553"/>
    <mergeCell ref="G554:G555"/>
    <mergeCell ref="H554:H555"/>
    <mergeCell ref="I554:I555"/>
    <mergeCell ref="J554:J555"/>
    <mergeCell ref="J548:J549"/>
    <mergeCell ref="G550:G551"/>
    <mergeCell ref="H550:H551"/>
    <mergeCell ref="I550:I551"/>
    <mergeCell ref="J550:J551"/>
    <mergeCell ref="C552:C571"/>
    <mergeCell ref="D552:D555"/>
    <mergeCell ref="E552:E555"/>
    <mergeCell ref="F552:F555"/>
    <mergeCell ref="G552:G553"/>
    <mergeCell ref="D548:D551"/>
    <mergeCell ref="E548:E551"/>
    <mergeCell ref="F548:F551"/>
    <mergeCell ref="G548:G549"/>
    <mergeCell ref="H548:H549"/>
    <mergeCell ref="I548:I549"/>
    <mergeCell ref="I560:I561"/>
    <mergeCell ref="J560:J561"/>
    <mergeCell ref="G562:G563"/>
    <mergeCell ref="H562:H563"/>
    <mergeCell ref="I562:I563"/>
    <mergeCell ref="J562:J563"/>
    <mergeCell ref="J556:J557"/>
    <mergeCell ref="G558:G559"/>
    <mergeCell ref="H558:H559"/>
    <mergeCell ref="I558:I559"/>
    <mergeCell ref="J558:J559"/>
    <mergeCell ref="D560:D563"/>
    <mergeCell ref="E560:E563"/>
    <mergeCell ref="F560:F563"/>
    <mergeCell ref="G560:G561"/>
    <mergeCell ref="H560:H561"/>
    <mergeCell ref="D556:D559"/>
    <mergeCell ref="E556:E559"/>
    <mergeCell ref="F556:F559"/>
    <mergeCell ref="G556:G557"/>
    <mergeCell ref="H556:H557"/>
    <mergeCell ref="I556:I557"/>
    <mergeCell ref="I568:I569"/>
    <mergeCell ref="J568:J569"/>
    <mergeCell ref="G570:G571"/>
    <mergeCell ref="H570:H571"/>
    <mergeCell ref="I570:I571"/>
    <mergeCell ref="J570:J571"/>
    <mergeCell ref="J564:J565"/>
    <mergeCell ref="G566:G567"/>
    <mergeCell ref="H566:H567"/>
    <mergeCell ref="I566:I567"/>
    <mergeCell ref="J566:J567"/>
    <mergeCell ref="D568:D571"/>
    <mergeCell ref="E568:E571"/>
    <mergeCell ref="F568:F571"/>
    <mergeCell ref="G568:G569"/>
    <mergeCell ref="H568:H569"/>
    <mergeCell ref="D564:D567"/>
    <mergeCell ref="E564:E567"/>
    <mergeCell ref="F564:F567"/>
    <mergeCell ref="G564:G565"/>
    <mergeCell ref="H564:H565"/>
    <mergeCell ref="I564:I565"/>
    <mergeCell ref="H576:H577"/>
    <mergeCell ref="I576:I577"/>
    <mergeCell ref="J576:J577"/>
    <mergeCell ref="G578:G579"/>
    <mergeCell ref="H578:H579"/>
    <mergeCell ref="I578:I579"/>
    <mergeCell ref="J578:J579"/>
    <mergeCell ref="I572:I573"/>
    <mergeCell ref="J572:J573"/>
    <mergeCell ref="G574:G575"/>
    <mergeCell ref="H574:H575"/>
    <mergeCell ref="I574:I575"/>
    <mergeCell ref="J574:J575"/>
    <mergeCell ref="C572:C591"/>
    <mergeCell ref="D572:D575"/>
    <mergeCell ref="E572:E575"/>
    <mergeCell ref="F572:F575"/>
    <mergeCell ref="G572:G573"/>
    <mergeCell ref="H572:H573"/>
    <mergeCell ref="D576:D579"/>
    <mergeCell ref="E576:E579"/>
    <mergeCell ref="F576:F579"/>
    <mergeCell ref="G576:G577"/>
    <mergeCell ref="I584:I585"/>
    <mergeCell ref="J584:J585"/>
    <mergeCell ref="G586:G587"/>
    <mergeCell ref="H586:H587"/>
    <mergeCell ref="I586:I587"/>
    <mergeCell ref="J586:J587"/>
    <mergeCell ref="J580:J581"/>
    <mergeCell ref="G582:G583"/>
    <mergeCell ref="H582:H583"/>
    <mergeCell ref="I582:I583"/>
    <mergeCell ref="J582:J583"/>
    <mergeCell ref="D584:D587"/>
    <mergeCell ref="E584:E587"/>
    <mergeCell ref="F584:F587"/>
    <mergeCell ref="G584:G585"/>
    <mergeCell ref="H584:H585"/>
    <mergeCell ref="D580:D583"/>
    <mergeCell ref="E580:E583"/>
    <mergeCell ref="F580:F583"/>
    <mergeCell ref="G580:G581"/>
    <mergeCell ref="H580:H581"/>
    <mergeCell ref="I580:I581"/>
    <mergeCell ref="H592:H593"/>
    <mergeCell ref="I592:I593"/>
    <mergeCell ref="J592:J593"/>
    <mergeCell ref="G594:G595"/>
    <mergeCell ref="H594:H595"/>
    <mergeCell ref="I594:I595"/>
    <mergeCell ref="J594:J595"/>
    <mergeCell ref="J588:J589"/>
    <mergeCell ref="G590:G591"/>
    <mergeCell ref="H590:H591"/>
    <mergeCell ref="I590:I591"/>
    <mergeCell ref="J590:J591"/>
    <mergeCell ref="C592:C611"/>
    <mergeCell ref="D592:D595"/>
    <mergeCell ref="E592:E595"/>
    <mergeCell ref="F592:F595"/>
    <mergeCell ref="G592:G593"/>
    <mergeCell ref="D588:D591"/>
    <mergeCell ref="E588:E591"/>
    <mergeCell ref="F588:F591"/>
    <mergeCell ref="G588:G589"/>
    <mergeCell ref="H588:H589"/>
    <mergeCell ref="I588:I589"/>
    <mergeCell ref="I600:I601"/>
    <mergeCell ref="J600:J601"/>
    <mergeCell ref="G602:G603"/>
    <mergeCell ref="H602:H603"/>
    <mergeCell ref="I602:I603"/>
    <mergeCell ref="J602:J603"/>
    <mergeCell ref="J596:J597"/>
    <mergeCell ref="G598:G599"/>
    <mergeCell ref="H598:H599"/>
    <mergeCell ref="I598:I599"/>
    <mergeCell ref="J598:J599"/>
    <mergeCell ref="D600:D603"/>
    <mergeCell ref="E600:E603"/>
    <mergeCell ref="F600:F603"/>
    <mergeCell ref="G600:G601"/>
    <mergeCell ref="H600:H601"/>
    <mergeCell ref="D596:D599"/>
    <mergeCell ref="E596:E599"/>
    <mergeCell ref="F596:F599"/>
    <mergeCell ref="G596:G597"/>
    <mergeCell ref="H596:H597"/>
    <mergeCell ref="I596:I597"/>
    <mergeCell ref="I608:I609"/>
    <mergeCell ref="J608:J609"/>
    <mergeCell ref="G610:G611"/>
    <mergeCell ref="H610:H611"/>
    <mergeCell ref="I610:I611"/>
    <mergeCell ref="J610:J611"/>
    <mergeCell ref="J604:J605"/>
    <mergeCell ref="G606:G607"/>
    <mergeCell ref="H606:H607"/>
    <mergeCell ref="I606:I607"/>
    <mergeCell ref="J606:J607"/>
    <mergeCell ref="D608:D611"/>
    <mergeCell ref="E608:E611"/>
    <mergeCell ref="F608:F611"/>
    <mergeCell ref="G608:G609"/>
    <mergeCell ref="H608:H609"/>
    <mergeCell ref="D604:D607"/>
    <mergeCell ref="E604:E607"/>
    <mergeCell ref="F604:F607"/>
    <mergeCell ref="G604:G605"/>
    <mergeCell ref="H604:H605"/>
    <mergeCell ref="I604:I605"/>
    <mergeCell ref="H616:H617"/>
    <mergeCell ref="I616:I617"/>
    <mergeCell ref="J616:J617"/>
    <mergeCell ref="G618:G619"/>
    <mergeCell ref="H618:H619"/>
    <mergeCell ref="I618:I619"/>
    <mergeCell ref="J618:J619"/>
    <mergeCell ref="I612:I613"/>
    <mergeCell ref="J612:J613"/>
    <mergeCell ref="G614:G615"/>
    <mergeCell ref="H614:H615"/>
    <mergeCell ref="I614:I615"/>
    <mergeCell ref="J614:J615"/>
    <mergeCell ref="C612:C631"/>
    <mergeCell ref="D612:D615"/>
    <mergeCell ref="E612:E615"/>
    <mergeCell ref="F612:F615"/>
    <mergeCell ref="G612:G613"/>
    <mergeCell ref="H612:H613"/>
    <mergeCell ref="D616:D619"/>
    <mergeCell ref="E616:E619"/>
    <mergeCell ref="F616:F619"/>
    <mergeCell ref="G616:G617"/>
    <mergeCell ref="I624:I625"/>
    <mergeCell ref="J624:J625"/>
    <mergeCell ref="G626:G627"/>
    <mergeCell ref="H626:H627"/>
    <mergeCell ref="I626:I627"/>
    <mergeCell ref="J626:J627"/>
    <mergeCell ref="J620:J621"/>
    <mergeCell ref="G622:G623"/>
    <mergeCell ref="H622:H623"/>
    <mergeCell ref="I622:I623"/>
    <mergeCell ref="J622:J623"/>
    <mergeCell ref="D624:D627"/>
    <mergeCell ref="E624:E627"/>
    <mergeCell ref="F624:F627"/>
    <mergeCell ref="G624:G625"/>
    <mergeCell ref="H624:H625"/>
    <mergeCell ref="D620:D623"/>
    <mergeCell ref="E620:E623"/>
    <mergeCell ref="F620:F623"/>
    <mergeCell ref="G620:G621"/>
    <mergeCell ref="H620:H621"/>
    <mergeCell ref="I620:I621"/>
    <mergeCell ref="H632:H633"/>
    <mergeCell ref="I632:I633"/>
    <mergeCell ref="J632:J633"/>
    <mergeCell ref="G634:G635"/>
    <mergeCell ref="H634:H635"/>
    <mergeCell ref="I634:I635"/>
    <mergeCell ref="J634:J635"/>
    <mergeCell ref="J628:J629"/>
    <mergeCell ref="G630:G631"/>
    <mergeCell ref="H630:H631"/>
    <mergeCell ref="I630:I631"/>
    <mergeCell ref="J630:J631"/>
    <mergeCell ref="C632:C651"/>
    <mergeCell ref="D632:D635"/>
    <mergeCell ref="E632:E635"/>
    <mergeCell ref="F632:F635"/>
    <mergeCell ref="G632:G633"/>
    <mergeCell ref="D628:D631"/>
    <mergeCell ref="E628:E631"/>
    <mergeCell ref="F628:F631"/>
    <mergeCell ref="G628:G629"/>
    <mergeCell ref="H628:H629"/>
    <mergeCell ref="I628:I629"/>
    <mergeCell ref="I640:I641"/>
    <mergeCell ref="J640:J641"/>
    <mergeCell ref="G642:G643"/>
    <mergeCell ref="H642:H643"/>
    <mergeCell ref="I642:I643"/>
    <mergeCell ref="J642:J643"/>
    <mergeCell ref="J636:J637"/>
    <mergeCell ref="G638:G639"/>
    <mergeCell ref="H638:H639"/>
    <mergeCell ref="I638:I639"/>
    <mergeCell ref="J638:J639"/>
    <mergeCell ref="D640:D643"/>
    <mergeCell ref="E640:E643"/>
    <mergeCell ref="F640:F643"/>
    <mergeCell ref="G640:G641"/>
    <mergeCell ref="H640:H641"/>
    <mergeCell ref="D636:D639"/>
    <mergeCell ref="E636:E639"/>
    <mergeCell ref="F636:F639"/>
    <mergeCell ref="G636:G637"/>
    <mergeCell ref="H636:H637"/>
    <mergeCell ref="I636:I637"/>
    <mergeCell ref="I648:I649"/>
    <mergeCell ref="J648:J649"/>
    <mergeCell ref="G650:G651"/>
    <mergeCell ref="H650:H651"/>
    <mergeCell ref="I650:I651"/>
    <mergeCell ref="J650:J651"/>
    <mergeCell ref="J644:J645"/>
    <mergeCell ref="G646:G647"/>
    <mergeCell ref="H646:H647"/>
    <mergeCell ref="I646:I647"/>
    <mergeCell ref="J646:J647"/>
    <mergeCell ref="D648:D651"/>
    <mergeCell ref="E648:E651"/>
    <mergeCell ref="F648:F651"/>
    <mergeCell ref="G648:G649"/>
    <mergeCell ref="H648:H649"/>
    <mergeCell ref="D644:D647"/>
    <mergeCell ref="E644:E647"/>
    <mergeCell ref="F644:F647"/>
    <mergeCell ref="G644:G645"/>
    <mergeCell ref="H644:H645"/>
    <mergeCell ref="I644:I645"/>
    <mergeCell ref="H656:H657"/>
    <mergeCell ref="I656:I657"/>
    <mergeCell ref="J656:J657"/>
    <mergeCell ref="G658:G659"/>
    <mergeCell ref="H658:H659"/>
    <mergeCell ref="I658:I659"/>
    <mergeCell ref="J658:J659"/>
    <mergeCell ref="H652:H653"/>
    <mergeCell ref="I652:I653"/>
    <mergeCell ref="J652:J653"/>
    <mergeCell ref="G654:G655"/>
    <mergeCell ref="H654:H655"/>
    <mergeCell ref="I654:I655"/>
    <mergeCell ref="J654:J655"/>
    <mergeCell ref="B652:B831"/>
    <mergeCell ref="C652:C671"/>
    <mergeCell ref="D652:D655"/>
    <mergeCell ref="E652:E655"/>
    <mergeCell ref="F652:F655"/>
    <mergeCell ref="G652:G653"/>
    <mergeCell ref="D656:D659"/>
    <mergeCell ref="E656:E659"/>
    <mergeCell ref="F656:F659"/>
    <mergeCell ref="G656:G657"/>
    <mergeCell ref="I664:I665"/>
    <mergeCell ref="J664:J665"/>
    <mergeCell ref="G666:G667"/>
    <mergeCell ref="H666:H667"/>
    <mergeCell ref="I666:I667"/>
    <mergeCell ref="J666:J667"/>
    <mergeCell ref="J660:J661"/>
    <mergeCell ref="G662:G663"/>
    <mergeCell ref="H662:H663"/>
    <mergeCell ref="I662:I663"/>
    <mergeCell ref="J662:J663"/>
    <mergeCell ref="D664:D667"/>
    <mergeCell ref="E664:E667"/>
    <mergeCell ref="F664:F667"/>
    <mergeCell ref="G664:G665"/>
    <mergeCell ref="H664:H665"/>
    <mergeCell ref="D660:D663"/>
    <mergeCell ref="E660:E663"/>
    <mergeCell ref="F660:F663"/>
    <mergeCell ref="G660:G661"/>
    <mergeCell ref="H660:H661"/>
    <mergeCell ref="I660:I661"/>
    <mergeCell ref="H672:H673"/>
    <mergeCell ref="I672:I673"/>
    <mergeCell ref="J672:J673"/>
    <mergeCell ref="G674:G675"/>
    <mergeCell ref="H674:H675"/>
    <mergeCell ref="I674:I675"/>
    <mergeCell ref="J674:J675"/>
    <mergeCell ref="J668:J669"/>
    <mergeCell ref="G670:G671"/>
    <mergeCell ref="H670:H671"/>
    <mergeCell ref="I670:I671"/>
    <mergeCell ref="J670:J671"/>
    <mergeCell ref="C672:C691"/>
    <mergeCell ref="D672:D675"/>
    <mergeCell ref="E672:E675"/>
    <mergeCell ref="F672:F675"/>
    <mergeCell ref="G672:G673"/>
    <mergeCell ref="D668:D671"/>
    <mergeCell ref="E668:E671"/>
    <mergeCell ref="F668:F671"/>
    <mergeCell ref="G668:G669"/>
    <mergeCell ref="H668:H669"/>
    <mergeCell ref="I668:I669"/>
    <mergeCell ref="I680:I681"/>
    <mergeCell ref="J680:J681"/>
    <mergeCell ref="G682:G683"/>
    <mergeCell ref="H682:H683"/>
    <mergeCell ref="I682:I683"/>
    <mergeCell ref="J682:J683"/>
    <mergeCell ref="J676:J677"/>
    <mergeCell ref="G678:G679"/>
    <mergeCell ref="H678:H679"/>
    <mergeCell ref="I678:I679"/>
    <mergeCell ref="J678:J679"/>
    <mergeCell ref="D680:D683"/>
    <mergeCell ref="E680:E683"/>
    <mergeCell ref="F680:F683"/>
    <mergeCell ref="G680:G681"/>
    <mergeCell ref="H680:H681"/>
    <mergeCell ref="D676:D679"/>
    <mergeCell ref="E676:E679"/>
    <mergeCell ref="F676:F679"/>
    <mergeCell ref="G676:G677"/>
    <mergeCell ref="H676:H677"/>
    <mergeCell ref="I676:I677"/>
    <mergeCell ref="I688:I689"/>
    <mergeCell ref="J688:J689"/>
    <mergeCell ref="G690:G691"/>
    <mergeCell ref="H690:H691"/>
    <mergeCell ref="I690:I691"/>
    <mergeCell ref="J690:J691"/>
    <mergeCell ref="J684:J685"/>
    <mergeCell ref="G686:G687"/>
    <mergeCell ref="H686:H687"/>
    <mergeCell ref="I686:I687"/>
    <mergeCell ref="J686:J687"/>
    <mergeCell ref="D688:D691"/>
    <mergeCell ref="E688:E691"/>
    <mergeCell ref="F688:F691"/>
    <mergeCell ref="G688:G689"/>
    <mergeCell ref="H688:H689"/>
    <mergeCell ref="D684:D687"/>
    <mergeCell ref="E684:E687"/>
    <mergeCell ref="F684:F687"/>
    <mergeCell ref="G684:G685"/>
    <mergeCell ref="H684:H685"/>
    <mergeCell ref="I684:I685"/>
    <mergeCell ref="H696:H697"/>
    <mergeCell ref="I696:I697"/>
    <mergeCell ref="J696:J697"/>
    <mergeCell ref="G698:G699"/>
    <mergeCell ref="H698:H699"/>
    <mergeCell ref="I698:I699"/>
    <mergeCell ref="J698:J699"/>
    <mergeCell ref="I692:I693"/>
    <mergeCell ref="J692:J693"/>
    <mergeCell ref="G694:G695"/>
    <mergeCell ref="H694:H695"/>
    <mergeCell ref="I694:I695"/>
    <mergeCell ref="J694:J695"/>
    <mergeCell ref="C692:C711"/>
    <mergeCell ref="D692:D695"/>
    <mergeCell ref="E692:E695"/>
    <mergeCell ref="F692:F695"/>
    <mergeCell ref="G692:G693"/>
    <mergeCell ref="H692:H693"/>
    <mergeCell ref="D696:D699"/>
    <mergeCell ref="E696:E699"/>
    <mergeCell ref="F696:F699"/>
    <mergeCell ref="G696:G697"/>
    <mergeCell ref="I704:I705"/>
    <mergeCell ref="J704:J705"/>
    <mergeCell ref="G706:G707"/>
    <mergeCell ref="H706:H707"/>
    <mergeCell ref="I706:I707"/>
    <mergeCell ref="J706:J707"/>
    <mergeCell ref="J700:J701"/>
    <mergeCell ref="G702:G703"/>
    <mergeCell ref="H702:H703"/>
    <mergeCell ref="I702:I703"/>
    <mergeCell ref="J702:J703"/>
    <mergeCell ref="D704:D707"/>
    <mergeCell ref="E704:E707"/>
    <mergeCell ref="F704:F707"/>
    <mergeCell ref="G704:G705"/>
    <mergeCell ref="H704:H705"/>
    <mergeCell ref="D700:D703"/>
    <mergeCell ref="E700:E703"/>
    <mergeCell ref="F700:F703"/>
    <mergeCell ref="G700:G701"/>
    <mergeCell ref="H700:H701"/>
    <mergeCell ref="I700:I701"/>
    <mergeCell ref="H712:H713"/>
    <mergeCell ref="I712:I713"/>
    <mergeCell ref="J712:J713"/>
    <mergeCell ref="G714:G715"/>
    <mergeCell ref="H714:H715"/>
    <mergeCell ref="I714:I715"/>
    <mergeCell ref="J714:J715"/>
    <mergeCell ref="J708:J709"/>
    <mergeCell ref="G710:G711"/>
    <mergeCell ref="H710:H711"/>
    <mergeCell ref="I710:I711"/>
    <mergeCell ref="J710:J711"/>
    <mergeCell ref="C712:C731"/>
    <mergeCell ref="D712:D715"/>
    <mergeCell ref="E712:E715"/>
    <mergeCell ref="F712:F715"/>
    <mergeCell ref="G712:G713"/>
    <mergeCell ref="D708:D711"/>
    <mergeCell ref="E708:E711"/>
    <mergeCell ref="F708:F711"/>
    <mergeCell ref="G708:G709"/>
    <mergeCell ref="H708:H709"/>
    <mergeCell ref="I708:I709"/>
    <mergeCell ref="I720:I721"/>
    <mergeCell ref="J720:J721"/>
    <mergeCell ref="G722:G723"/>
    <mergeCell ref="H722:H723"/>
    <mergeCell ref="I722:I723"/>
    <mergeCell ref="J722:J723"/>
    <mergeCell ref="J716:J717"/>
    <mergeCell ref="G718:G719"/>
    <mergeCell ref="H718:H719"/>
    <mergeCell ref="I718:I719"/>
    <mergeCell ref="J718:J719"/>
    <mergeCell ref="D720:D723"/>
    <mergeCell ref="E720:E723"/>
    <mergeCell ref="F720:F723"/>
    <mergeCell ref="G720:G721"/>
    <mergeCell ref="H720:H721"/>
    <mergeCell ref="D716:D719"/>
    <mergeCell ref="E716:E719"/>
    <mergeCell ref="F716:F719"/>
    <mergeCell ref="G716:G717"/>
    <mergeCell ref="H716:H717"/>
    <mergeCell ref="I716:I717"/>
    <mergeCell ref="I728:I729"/>
    <mergeCell ref="J728:J729"/>
    <mergeCell ref="G730:G731"/>
    <mergeCell ref="H730:H731"/>
    <mergeCell ref="I730:I731"/>
    <mergeCell ref="J730:J731"/>
    <mergeCell ref="J724:J725"/>
    <mergeCell ref="G726:G727"/>
    <mergeCell ref="H726:H727"/>
    <mergeCell ref="I726:I727"/>
    <mergeCell ref="J726:J727"/>
    <mergeCell ref="D728:D731"/>
    <mergeCell ref="E728:E731"/>
    <mergeCell ref="F728:F731"/>
    <mergeCell ref="G728:G729"/>
    <mergeCell ref="H728:H729"/>
    <mergeCell ref="D724:D727"/>
    <mergeCell ref="E724:E727"/>
    <mergeCell ref="F724:F727"/>
    <mergeCell ref="G724:G725"/>
    <mergeCell ref="H724:H725"/>
    <mergeCell ref="I724:I725"/>
    <mergeCell ref="H736:H737"/>
    <mergeCell ref="I736:I737"/>
    <mergeCell ref="J736:J737"/>
    <mergeCell ref="G738:G739"/>
    <mergeCell ref="H738:H739"/>
    <mergeCell ref="I738:I739"/>
    <mergeCell ref="J738:J739"/>
    <mergeCell ref="I732:I733"/>
    <mergeCell ref="J732:J733"/>
    <mergeCell ref="G734:G735"/>
    <mergeCell ref="H734:H735"/>
    <mergeCell ref="I734:I735"/>
    <mergeCell ref="J734:J735"/>
    <mergeCell ref="C732:C751"/>
    <mergeCell ref="D732:D735"/>
    <mergeCell ref="E732:E735"/>
    <mergeCell ref="F732:F735"/>
    <mergeCell ref="G732:G733"/>
    <mergeCell ref="H732:H733"/>
    <mergeCell ref="D736:D739"/>
    <mergeCell ref="E736:E739"/>
    <mergeCell ref="F736:F739"/>
    <mergeCell ref="G736:G737"/>
    <mergeCell ref="I744:I745"/>
    <mergeCell ref="J744:J745"/>
    <mergeCell ref="G746:G747"/>
    <mergeCell ref="H746:H747"/>
    <mergeCell ref="I746:I747"/>
    <mergeCell ref="J746:J747"/>
    <mergeCell ref="J740:J741"/>
    <mergeCell ref="G742:G743"/>
    <mergeCell ref="H742:H743"/>
    <mergeCell ref="I742:I743"/>
    <mergeCell ref="J742:J743"/>
    <mergeCell ref="D744:D747"/>
    <mergeCell ref="E744:E747"/>
    <mergeCell ref="F744:F747"/>
    <mergeCell ref="G744:G745"/>
    <mergeCell ref="H744:H745"/>
    <mergeCell ref="D740:D743"/>
    <mergeCell ref="E740:E743"/>
    <mergeCell ref="F740:F743"/>
    <mergeCell ref="G740:G741"/>
    <mergeCell ref="H740:H741"/>
    <mergeCell ref="I740:I741"/>
    <mergeCell ref="H752:H753"/>
    <mergeCell ref="I752:I753"/>
    <mergeCell ref="J752:J753"/>
    <mergeCell ref="G754:G755"/>
    <mergeCell ref="H754:H755"/>
    <mergeCell ref="I754:I755"/>
    <mergeCell ref="J754:J755"/>
    <mergeCell ref="J748:J749"/>
    <mergeCell ref="G750:G751"/>
    <mergeCell ref="H750:H751"/>
    <mergeCell ref="I750:I751"/>
    <mergeCell ref="J750:J751"/>
    <mergeCell ref="C752:C771"/>
    <mergeCell ref="D752:D755"/>
    <mergeCell ref="E752:E755"/>
    <mergeCell ref="F752:F755"/>
    <mergeCell ref="G752:G753"/>
    <mergeCell ref="D748:D751"/>
    <mergeCell ref="E748:E751"/>
    <mergeCell ref="F748:F751"/>
    <mergeCell ref="G748:G749"/>
    <mergeCell ref="H748:H749"/>
    <mergeCell ref="I748:I749"/>
    <mergeCell ref="I760:I761"/>
    <mergeCell ref="J760:J761"/>
    <mergeCell ref="G762:G763"/>
    <mergeCell ref="H762:H763"/>
    <mergeCell ref="I762:I763"/>
    <mergeCell ref="J762:J763"/>
    <mergeCell ref="J756:J757"/>
    <mergeCell ref="G758:G759"/>
    <mergeCell ref="H758:H759"/>
    <mergeCell ref="I758:I759"/>
    <mergeCell ref="J758:J759"/>
    <mergeCell ref="D760:D763"/>
    <mergeCell ref="E760:E763"/>
    <mergeCell ref="F760:F763"/>
    <mergeCell ref="G760:G761"/>
    <mergeCell ref="H760:H761"/>
    <mergeCell ref="D756:D759"/>
    <mergeCell ref="E756:E759"/>
    <mergeCell ref="F756:F759"/>
    <mergeCell ref="G756:G757"/>
    <mergeCell ref="H756:H757"/>
    <mergeCell ref="I756:I757"/>
    <mergeCell ref="I768:I769"/>
    <mergeCell ref="J768:J769"/>
    <mergeCell ref="G770:G771"/>
    <mergeCell ref="H770:H771"/>
    <mergeCell ref="I770:I771"/>
    <mergeCell ref="J770:J771"/>
    <mergeCell ref="J764:J765"/>
    <mergeCell ref="G766:G767"/>
    <mergeCell ref="H766:H767"/>
    <mergeCell ref="I766:I767"/>
    <mergeCell ref="J766:J767"/>
    <mergeCell ref="D768:D771"/>
    <mergeCell ref="E768:E771"/>
    <mergeCell ref="F768:F771"/>
    <mergeCell ref="G768:G769"/>
    <mergeCell ref="H768:H769"/>
    <mergeCell ref="D764:D767"/>
    <mergeCell ref="E764:E767"/>
    <mergeCell ref="F764:F767"/>
    <mergeCell ref="G764:G765"/>
    <mergeCell ref="H764:H765"/>
    <mergeCell ref="I764:I765"/>
    <mergeCell ref="H776:H777"/>
    <mergeCell ref="I776:I777"/>
    <mergeCell ref="J776:J777"/>
    <mergeCell ref="G778:G779"/>
    <mergeCell ref="H778:H779"/>
    <mergeCell ref="I778:I779"/>
    <mergeCell ref="J778:J779"/>
    <mergeCell ref="I772:I773"/>
    <mergeCell ref="J772:J773"/>
    <mergeCell ref="G774:G775"/>
    <mergeCell ref="H774:H775"/>
    <mergeCell ref="I774:I775"/>
    <mergeCell ref="J774:J775"/>
    <mergeCell ref="C772:C791"/>
    <mergeCell ref="D772:D775"/>
    <mergeCell ref="E772:E775"/>
    <mergeCell ref="F772:F775"/>
    <mergeCell ref="G772:G773"/>
    <mergeCell ref="H772:H773"/>
    <mergeCell ref="D776:D779"/>
    <mergeCell ref="E776:E779"/>
    <mergeCell ref="F776:F779"/>
    <mergeCell ref="G776:G777"/>
    <mergeCell ref="I784:I785"/>
    <mergeCell ref="J784:J785"/>
    <mergeCell ref="G786:G787"/>
    <mergeCell ref="H786:H787"/>
    <mergeCell ref="I786:I787"/>
    <mergeCell ref="J786:J787"/>
    <mergeCell ref="J780:J781"/>
    <mergeCell ref="G782:G783"/>
    <mergeCell ref="H782:H783"/>
    <mergeCell ref="I782:I783"/>
    <mergeCell ref="J782:J783"/>
    <mergeCell ref="D784:D787"/>
    <mergeCell ref="E784:E787"/>
    <mergeCell ref="F784:F787"/>
    <mergeCell ref="G784:G785"/>
    <mergeCell ref="H784:H785"/>
    <mergeCell ref="D780:D783"/>
    <mergeCell ref="E780:E783"/>
    <mergeCell ref="F780:F783"/>
    <mergeCell ref="G780:G781"/>
    <mergeCell ref="H780:H781"/>
    <mergeCell ref="I780:I781"/>
    <mergeCell ref="H792:H793"/>
    <mergeCell ref="I792:I793"/>
    <mergeCell ref="J792:J793"/>
    <mergeCell ref="G794:G795"/>
    <mergeCell ref="H794:H795"/>
    <mergeCell ref="I794:I795"/>
    <mergeCell ref="J794:J795"/>
    <mergeCell ref="J788:J789"/>
    <mergeCell ref="G790:G791"/>
    <mergeCell ref="H790:H791"/>
    <mergeCell ref="I790:I791"/>
    <mergeCell ref="J790:J791"/>
    <mergeCell ref="C792:C811"/>
    <mergeCell ref="D792:D795"/>
    <mergeCell ref="E792:E795"/>
    <mergeCell ref="F792:F795"/>
    <mergeCell ref="G792:G793"/>
    <mergeCell ref="D788:D791"/>
    <mergeCell ref="E788:E791"/>
    <mergeCell ref="F788:F791"/>
    <mergeCell ref="G788:G789"/>
    <mergeCell ref="H788:H789"/>
    <mergeCell ref="I788:I789"/>
    <mergeCell ref="I800:I801"/>
    <mergeCell ref="J800:J801"/>
    <mergeCell ref="G802:G803"/>
    <mergeCell ref="H802:H803"/>
    <mergeCell ref="I802:I803"/>
    <mergeCell ref="J802:J803"/>
    <mergeCell ref="J796:J797"/>
    <mergeCell ref="G798:G799"/>
    <mergeCell ref="H798:H799"/>
    <mergeCell ref="I798:I799"/>
    <mergeCell ref="J798:J799"/>
    <mergeCell ref="D800:D803"/>
    <mergeCell ref="E800:E803"/>
    <mergeCell ref="F800:F803"/>
    <mergeCell ref="G800:G801"/>
    <mergeCell ref="H800:H801"/>
    <mergeCell ref="D796:D799"/>
    <mergeCell ref="E796:E799"/>
    <mergeCell ref="F796:F799"/>
    <mergeCell ref="G796:G797"/>
    <mergeCell ref="H796:H797"/>
    <mergeCell ref="I796:I797"/>
    <mergeCell ref="I808:I809"/>
    <mergeCell ref="J808:J809"/>
    <mergeCell ref="G810:G811"/>
    <mergeCell ref="H810:H811"/>
    <mergeCell ref="I810:I811"/>
    <mergeCell ref="J810:J811"/>
    <mergeCell ref="J804:J805"/>
    <mergeCell ref="G806:G807"/>
    <mergeCell ref="H806:H807"/>
    <mergeCell ref="I806:I807"/>
    <mergeCell ref="J806:J807"/>
    <mergeCell ref="D808:D811"/>
    <mergeCell ref="E808:E811"/>
    <mergeCell ref="F808:F811"/>
    <mergeCell ref="G808:G809"/>
    <mergeCell ref="H808:H809"/>
    <mergeCell ref="D804:D807"/>
    <mergeCell ref="E804:E807"/>
    <mergeCell ref="F804:F807"/>
    <mergeCell ref="G804:G805"/>
    <mergeCell ref="H804:H805"/>
    <mergeCell ref="I804:I805"/>
    <mergeCell ref="H816:H817"/>
    <mergeCell ref="I816:I817"/>
    <mergeCell ref="J816:J817"/>
    <mergeCell ref="G818:G819"/>
    <mergeCell ref="H818:H819"/>
    <mergeCell ref="I818:I819"/>
    <mergeCell ref="J818:J819"/>
    <mergeCell ref="I812:I813"/>
    <mergeCell ref="J812:J813"/>
    <mergeCell ref="G814:G815"/>
    <mergeCell ref="H814:H815"/>
    <mergeCell ref="I814:I815"/>
    <mergeCell ref="J814:J815"/>
    <mergeCell ref="C812:C831"/>
    <mergeCell ref="D812:D815"/>
    <mergeCell ref="E812:E815"/>
    <mergeCell ref="F812:F815"/>
    <mergeCell ref="G812:G813"/>
    <mergeCell ref="H812:H813"/>
    <mergeCell ref="D816:D819"/>
    <mergeCell ref="E816:E819"/>
    <mergeCell ref="F816:F819"/>
    <mergeCell ref="G816:G817"/>
    <mergeCell ref="I824:I825"/>
    <mergeCell ref="J824:J825"/>
    <mergeCell ref="G826:G827"/>
    <mergeCell ref="H826:H827"/>
    <mergeCell ref="I826:I827"/>
    <mergeCell ref="J826:J827"/>
    <mergeCell ref="J820:J821"/>
    <mergeCell ref="G822:G823"/>
    <mergeCell ref="H822:H823"/>
    <mergeCell ref="I822:I823"/>
    <mergeCell ref="J822:J823"/>
    <mergeCell ref="D824:D827"/>
    <mergeCell ref="E824:E827"/>
    <mergeCell ref="F824:F827"/>
    <mergeCell ref="G824:G825"/>
    <mergeCell ref="H824:H825"/>
    <mergeCell ref="D820:D823"/>
    <mergeCell ref="E820:E823"/>
    <mergeCell ref="F820:F823"/>
    <mergeCell ref="G820:G821"/>
    <mergeCell ref="H820:H821"/>
    <mergeCell ref="I820:I821"/>
    <mergeCell ref="F832:F835"/>
    <mergeCell ref="G832:G833"/>
    <mergeCell ref="H832:H833"/>
    <mergeCell ref="I832:I833"/>
    <mergeCell ref="J832:J833"/>
    <mergeCell ref="G834:G835"/>
    <mergeCell ref="H834:H835"/>
    <mergeCell ref="I834:I835"/>
    <mergeCell ref="J834:J835"/>
    <mergeCell ref="J828:J829"/>
    <mergeCell ref="G830:G831"/>
    <mergeCell ref="H830:H831"/>
    <mergeCell ref="I830:I831"/>
    <mergeCell ref="J830:J831"/>
    <mergeCell ref="A832:A1191"/>
    <mergeCell ref="B832:B951"/>
    <mergeCell ref="C832:C851"/>
    <mergeCell ref="D832:D835"/>
    <mergeCell ref="E832:E835"/>
    <mergeCell ref="D828:D831"/>
    <mergeCell ref="E828:E831"/>
    <mergeCell ref="F828:F831"/>
    <mergeCell ref="G828:G829"/>
    <mergeCell ref="H828:H829"/>
    <mergeCell ref="I828:I829"/>
    <mergeCell ref="I840:I841"/>
    <mergeCell ref="J840:J841"/>
    <mergeCell ref="G842:G843"/>
    <mergeCell ref="H842:H843"/>
    <mergeCell ref="I842:I843"/>
    <mergeCell ref="J842:J843"/>
    <mergeCell ref="J836:J837"/>
    <mergeCell ref="G838:G839"/>
    <mergeCell ref="H838:H839"/>
    <mergeCell ref="I838:I839"/>
    <mergeCell ref="J838:J839"/>
    <mergeCell ref="D840:D843"/>
    <mergeCell ref="E840:E843"/>
    <mergeCell ref="F840:F843"/>
    <mergeCell ref="G840:G841"/>
    <mergeCell ref="H840:H841"/>
    <mergeCell ref="D836:D839"/>
    <mergeCell ref="E836:E839"/>
    <mergeCell ref="F836:F839"/>
    <mergeCell ref="G836:G837"/>
    <mergeCell ref="H836:H837"/>
    <mergeCell ref="I836:I837"/>
    <mergeCell ref="I848:I849"/>
    <mergeCell ref="J848:J849"/>
    <mergeCell ref="G850:G851"/>
    <mergeCell ref="H850:H851"/>
    <mergeCell ref="I850:I851"/>
    <mergeCell ref="J850:J851"/>
    <mergeCell ref="J844:J845"/>
    <mergeCell ref="G846:G847"/>
    <mergeCell ref="H846:H847"/>
    <mergeCell ref="I846:I847"/>
    <mergeCell ref="J846:J847"/>
    <mergeCell ref="D848:D851"/>
    <mergeCell ref="E848:E851"/>
    <mergeCell ref="F848:F851"/>
    <mergeCell ref="G848:G849"/>
    <mergeCell ref="H848:H849"/>
    <mergeCell ref="D844:D847"/>
    <mergeCell ref="E844:E847"/>
    <mergeCell ref="F844:F847"/>
    <mergeCell ref="G844:G845"/>
    <mergeCell ref="H844:H845"/>
    <mergeCell ref="I844:I845"/>
    <mergeCell ref="H856:H857"/>
    <mergeCell ref="I856:I857"/>
    <mergeCell ref="J856:J857"/>
    <mergeCell ref="G858:G859"/>
    <mergeCell ref="H858:H859"/>
    <mergeCell ref="I858:I859"/>
    <mergeCell ref="J858:J859"/>
    <mergeCell ref="I852:I853"/>
    <mergeCell ref="J852:J853"/>
    <mergeCell ref="G854:G855"/>
    <mergeCell ref="H854:H855"/>
    <mergeCell ref="I854:I855"/>
    <mergeCell ref="J854:J855"/>
    <mergeCell ref="C852:C871"/>
    <mergeCell ref="D852:D855"/>
    <mergeCell ref="E852:E855"/>
    <mergeCell ref="F852:F855"/>
    <mergeCell ref="G852:G853"/>
    <mergeCell ref="H852:H853"/>
    <mergeCell ref="D856:D859"/>
    <mergeCell ref="E856:E859"/>
    <mergeCell ref="F856:F859"/>
    <mergeCell ref="G856:G857"/>
    <mergeCell ref="I864:I865"/>
    <mergeCell ref="J864:J865"/>
    <mergeCell ref="G866:G867"/>
    <mergeCell ref="H866:H867"/>
    <mergeCell ref="I866:I867"/>
    <mergeCell ref="J866:J867"/>
    <mergeCell ref="J860:J861"/>
    <mergeCell ref="G862:G863"/>
    <mergeCell ref="H862:H863"/>
    <mergeCell ref="I862:I863"/>
    <mergeCell ref="J862:J863"/>
    <mergeCell ref="D864:D867"/>
    <mergeCell ref="E864:E867"/>
    <mergeCell ref="F864:F867"/>
    <mergeCell ref="G864:G865"/>
    <mergeCell ref="H864:H865"/>
    <mergeCell ref="D860:D863"/>
    <mergeCell ref="E860:E863"/>
    <mergeCell ref="F860:F863"/>
    <mergeCell ref="G860:G861"/>
    <mergeCell ref="H860:H861"/>
    <mergeCell ref="I860:I861"/>
    <mergeCell ref="H872:H873"/>
    <mergeCell ref="I872:I873"/>
    <mergeCell ref="J872:J873"/>
    <mergeCell ref="G874:G875"/>
    <mergeCell ref="H874:H875"/>
    <mergeCell ref="I874:I875"/>
    <mergeCell ref="J874:J875"/>
    <mergeCell ref="J868:J869"/>
    <mergeCell ref="G870:G871"/>
    <mergeCell ref="H870:H871"/>
    <mergeCell ref="I870:I871"/>
    <mergeCell ref="J870:J871"/>
    <mergeCell ref="C872:C891"/>
    <mergeCell ref="D872:D875"/>
    <mergeCell ref="E872:E875"/>
    <mergeCell ref="F872:F875"/>
    <mergeCell ref="G872:G873"/>
    <mergeCell ref="D868:D871"/>
    <mergeCell ref="E868:E871"/>
    <mergeCell ref="F868:F871"/>
    <mergeCell ref="G868:G869"/>
    <mergeCell ref="H868:H869"/>
    <mergeCell ref="I868:I869"/>
    <mergeCell ref="I880:I881"/>
    <mergeCell ref="J880:J881"/>
    <mergeCell ref="G882:G883"/>
    <mergeCell ref="H882:H883"/>
    <mergeCell ref="I882:I883"/>
    <mergeCell ref="J882:J883"/>
    <mergeCell ref="J876:J877"/>
    <mergeCell ref="G878:G879"/>
    <mergeCell ref="H878:H879"/>
    <mergeCell ref="I878:I879"/>
    <mergeCell ref="J878:J879"/>
    <mergeCell ref="D880:D883"/>
    <mergeCell ref="E880:E883"/>
    <mergeCell ref="F880:F883"/>
    <mergeCell ref="G880:G881"/>
    <mergeCell ref="H880:H881"/>
    <mergeCell ref="D876:D879"/>
    <mergeCell ref="E876:E879"/>
    <mergeCell ref="F876:F879"/>
    <mergeCell ref="G876:G877"/>
    <mergeCell ref="H876:H877"/>
    <mergeCell ref="I876:I877"/>
    <mergeCell ref="I888:I889"/>
    <mergeCell ref="J888:J889"/>
    <mergeCell ref="G890:G891"/>
    <mergeCell ref="H890:H891"/>
    <mergeCell ref="I890:I891"/>
    <mergeCell ref="J890:J891"/>
    <mergeCell ref="J884:J885"/>
    <mergeCell ref="G886:G887"/>
    <mergeCell ref="H886:H887"/>
    <mergeCell ref="I886:I887"/>
    <mergeCell ref="J886:J887"/>
    <mergeCell ref="D888:D891"/>
    <mergeCell ref="E888:E891"/>
    <mergeCell ref="F888:F891"/>
    <mergeCell ref="G888:G889"/>
    <mergeCell ref="H888:H889"/>
    <mergeCell ref="D884:D887"/>
    <mergeCell ref="E884:E887"/>
    <mergeCell ref="F884:F887"/>
    <mergeCell ref="G884:G885"/>
    <mergeCell ref="H884:H885"/>
    <mergeCell ref="I884:I885"/>
    <mergeCell ref="H896:H897"/>
    <mergeCell ref="I896:I897"/>
    <mergeCell ref="J896:J897"/>
    <mergeCell ref="G898:G899"/>
    <mergeCell ref="H898:H899"/>
    <mergeCell ref="I898:I899"/>
    <mergeCell ref="J898:J899"/>
    <mergeCell ref="I892:I893"/>
    <mergeCell ref="J892:J893"/>
    <mergeCell ref="G894:G895"/>
    <mergeCell ref="H894:H895"/>
    <mergeCell ref="I894:I895"/>
    <mergeCell ref="J894:J895"/>
    <mergeCell ref="C892:C911"/>
    <mergeCell ref="D892:D895"/>
    <mergeCell ref="E892:E895"/>
    <mergeCell ref="F892:F895"/>
    <mergeCell ref="G892:G893"/>
    <mergeCell ref="H892:H893"/>
    <mergeCell ref="D896:D899"/>
    <mergeCell ref="E896:E899"/>
    <mergeCell ref="F896:F899"/>
    <mergeCell ref="G896:G897"/>
    <mergeCell ref="I904:I905"/>
    <mergeCell ref="J904:J905"/>
    <mergeCell ref="G906:G907"/>
    <mergeCell ref="H906:H907"/>
    <mergeCell ref="I906:I907"/>
    <mergeCell ref="J906:J907"/>
    <mergeCell ref="J900:J901"/>
    <mergeCell ref="G902:G903"/>
    <mergeCell ref="H902:H903"/>
    <mergeCell ref="I902:I903"/>
    <mergeCell ref="J902:J903"/>
    <mergeCell ref="D904:D907"/>
    <mergeCell ref="E904:E907"/>
    <mergeCell ref="F904:F907"/>
    <mergeCell ref="G904:G905"/>
    <mergeCell ref="H904:H905"/>
    <mergeCell ref="D900:D903"/>
    <mergeCell ref="E900:E903"/>
    <mergeCell ref="F900:F903"/>
    <mergeCell ref="G900:G901"/>
    <mergeCell ref="H900:H901"/>
    <mergeCell ref="I900:I901"/>
    <mergeCell ref="H912:H913"/>
    <mergeCell ref="I912:I913"/>
    <mergeCell ref="J912:J913"/>
    <mergeCell ref="G914:G915"/>
    <mergeCell ref="H914:H915"/>
    <mergeCell ref="I914:I915"/>
    <mergeCell ref="J914:J915"/>
    <mergeCell ref="J908:J909"/>
    <mergeCell ref="G910:G911"/>
    <mergeCell ref="H910:H911"/>
    <mergeCell ref="I910:I911"/>
    <mergeCell ref="J910:J911"/>
    <mergeCell ref="C912:C931"/>
    <mergeCell ref="D912:D915"/>
    <mergeCell ref="E912:E915"/>
    <mergeCell ref="F912:F915"/>
    <mergeCell ref="G912:G913"/>
    <mergeCell ref="D908:D911"/>
    <mergeCell ref="E908:E911"/>
    <mergeCell ref="F908:F911"/>
    <mergeCell ref="G908:G909"/>
    <mergeCell ref="H908:H909"/>
    <mergeCell ref="I908:I909"/>
    <mergeCell ref="I920:I921"/>
    <mergeCell ref="J920:J921"/>
    <mergeCell ref="G922:G923"/>
    <mergeCell ref="H922:H923"/>
    <mergeCell ref="I922:I923"/>
    <mergeCell ref="J922:J923"/>
    <mergeCell ref="J916:J917"/>
    <mergeCell ref="G918:G919"/>
    <mergeCell ref="H918:H919"/>
    <mergeCell ref="I918:I919"/>
    <mergeCell ref="J918:J919"/>
    <mergeCell ref="D920:D923"/>
    <mergeCell ref="E920:E923"/>
    <mergeCell ref="F920:F923"/>
    <mergeCell ref="G920:G921"/>
    <mergeCell ref="H920:H921"/>
    <mergeCell ref="D916:D919"/>
    <mergeCell ref="E916:E919"/>
    <mergeCell ref="F916:F919"/>
    <mergeCell ref="G916:G917"/>
    <mergeCell ref="H916:H917"/>
    <mergeCell ref="I916:I917"/>
    <mergeCell ref="I928:I929"/>
    <mergeCell ref="J928:J929"/>
    <mergeCell ref="G930:G931"/>
    <mergeCell ref="H930:H931"/>
    <mergeCell ref="I930:I931"/>
    <mergeCell ref="J930:J931"/>
    <mergeCell ref="J924:J925"/>
    <mergeCell ref="G926:G927"/>
    <mergeCell ref="H926:H927"/>
    <mergeCell ref="I926:I927"/>
    <mergeCell ref="J926:J927"/>
    <mergeCell ref="D928:D931"/>
    <mergeCell ref="E928:E931"/>
    <mergeCell ref="F928:F931"/>
    <mergeCell ref="G928:G929"/>
    <mergeCell ref="H928:H929"/>
    <mergeCell ref="D924:D927"/>
    <mergeCell ref="E924:E927"/>
    <mergeCell ref="F924:F927"/>
    <mergeCell ref="G924:G925"/>
    <mergeCell ref="H924:H925"/>
    <mergeCell ref="I924:I925"/>
    <mergeCell ref="H936:H937"/>
    <mergeCell ref="I936:I937"/>
    <mergeCell ref="J936:J937"/>
    <mergeCell ref="G938:G939"/>
    <mergeCell ref="H938:H939"/>
    <mergeCell ref="I938:I939"/>
    <mergeCell ref="J938:J939"/>
    <mergeCell ref="I932:I933"/>
    <mergeCell ref="J932:J933"/>
    <mergeCell ref="G934:G935"/>
    <mergeCell ref="H934:H935"/>
    <mergeCell ref="I934:I935"/>
    <mergeCell ref="J934:J935"/>
    <mergeCell ref="C932:C951"/>
    <mergeCell ref="D932:D935"/>
    <mergeCell ref="E932:E935"/>
    <mergeCell ref="F932:F935"/>
    <mergeCell ref="G932:G933"/>
    <mergeCell ref="H932:H933"/>
    <mergeCell ref="D936:D939"/>
    <mergeCell ref="E936:E939"/>
    <mergeCell ref="F936:F939"/>
    <mergeCell ref="G936:G937"/>
    <mergeCell ref="I944:I945"/>
    <mergeCell ref="J944:J945"/>
    <mergeCell ref="G946:G947"/>
    <mergeCell ref="H946:H947"/>
    <mergeCell ref="I946:I947"/>
    <mergeCell ref="J946:J947"/>
    <mergeCell ref="J940:J941"/>
    <mergeCell ref="G942:G943"/>
    <mergeCell ref="H942:H943"/>
    <mergeCell ref="I942:I943"/>
    <mergeCell ref="J942:J943"/>
    <mergeCell ref="D944:D947"/>
    <mergeCell ref="E944:E947"/>
    <mergeCell ref="F944:F947"/>
    <mergeCell ref="G944:G945"/>
    <mergeCell ref="H944:H945"/>
    <mergeCell ref="D940:D943"/>
    <mergeCell ref="E940:E943"/>
    <mergeCell ref="F940:F943"/>
    <mergeCell ref="G940:G941"/>
    <mergeCell ref="H940:H941"/>
    <mergeCell ref="I940:I941"/>
    <mergeCell ref="G952:G953"/>
    <mergeCell ref="H952:H953"/>
    <mergeCell ref="I952:I953"/>
    <mergeCell ref="J952:J953"/>
    <mergeCell ref="G954:G955"/>
    <mergeCell ref="H954:H955"/>
    <mergeCell ref="I954:I955"/>
    <mergeCell ref="J954:J955"/>
    <mergeCell ref="J948:J949"/>
    <mergeCell ref="G950:G951"/>
    <mergeCell ref="H950:H951"/>
    <mergeCell ref="I950:I951"/>
    <mergeCell ref="J950:J951"/>
    <mergeCell ref="B952:B1071"/>
    <mergeCell ref="C952:C971"/>
    <mergeCell ref="D952:D955"/>
    <mergeCell ref="E952:E955"/>
    <mergeCell ref="F952:F955"/>
    <mergeCell ref="D948:D951"/>
    <mergeCell ref="E948:E951"/>
    <mergeCell ref="F948:F951"/>
    <mergeCell ref="G948:G949"/>
    <mergeCell ref="H948:H949"/>
    <mergeCell ref="I948:I949"/>
    <mergeCell ref="I960:I961"/>
    <mergeCell ref="J960:J961"/>
    <mergeCell ref="G962:G963"/>
    <mergeCell ref="H962:H963"/>
    <mergeCell ref="I962:I963"/>
    <mergeCell ref="J962:J963"/>
    <mergeCell ref="J956:J957"/>
    <mergeCell ref="G958:G959"/>
    <mergeCell ref="H958:H959"/>
    <mergeCell ref="I958:I959"/>
    <mergeCell ref="J958:J959"/>
    <mergeCell ref="D960:D963"/>
    <mergeCell ref="E960:E963"/>
    <mergeCell ref="F960:F963"/>
    <mergeCell ref="G960:G961"/>
    <mergeCell ref="H960:H961"/>
    <mergeCell ref="D956:D959"/>
    <mergeCell ref="E956:E959"/>
    <mergeCell ref="F956:F959"/>
    <mergeCell ref="G956:G957"/>
    <mergeCell ref="H956:H957"/>
    <mergeCell ref="I956:I957"/>
    <mergeCell ref="I968:I969"/>
    <mergeCell ref="J968:J969"/>
    <mergeCell ref="G970:G971"/>
    <mergeCell ref="H970:H971"/>
    <mergeCell ref="I970:I971"/>
    <mergeCell ref="J970:J971"/>
    <mergeCell ref="J964:J965"/>
    <mergeCell ref="G966:G967"/>
    <mergeCell ref="H966:H967"/>
    <mergeCell ref="I966:I967"/>
    <mergeCell ref="J966:J967"/>
    <mergeCell ref="D968:D971"/>
    <mergeCell ref="E968:E971"/>
    <mergeCell ref="F968:F971"/>
    <mergeCell ref="G968:G969"/>
    <mergeCell ref="H968:H969"/>
    <mergeCell ref="D964:D967"/>
    <mergeCell ref="E964:E967"/>
    <mergeCell ref="F964:F967"/>
    <mergeCell ref="G964:G965"/>
    <mergeCell ref="H964:H965"/>
    <mergeCell ref="I964:I965"/>
    <mergeCell ref="H976:H977"/>
    <mergeCell ref="I976:I977"/>
    <mergeCell ref="J976:J977"/>
    <mergeCell ref="G978:G979"/>
    <mergeCell ref="H978:H979"/>
    <mergeCell ref="I978:I979"/>
    <mergeCell ref="J978:J979"/>
    <mergeCell ref="I972:I973"/>
    <mergeCell ref="J972:J973"/>
    <mergeCell ref="G974:G975"/>
    <mergeCell ref="H974:H975"/>
    <mergeCell ref="I974:I975"/>
    <mergeCell ref="J974:J975"/>
    <mergeCell ref="C972:C991"/>
    <mergeCell ref="D972:D975"/>
    <mergeCell ref="E972:E975"/>
    <mergeCell ref="F972:F975"/>
    <mergeCell ref="G972:G973"/>
    <mergeCell ref="H972:H973"/>
    <mergeCell ref="D976:D979"/>
    <mergeCell ref="E976:E979"/>
    <mergeCell ref="F976:F979"/>
    <mergeCell ref="G976:G977"/>
    <mergeCell ref="I984:I985"/>
    <mergeCell ref="J984:J985"/>
    <mergeCell ref="G986:G987"/>
    <mergeCell ref="H986:H987"/>
    <mergeCell ref="I986:I987"/>
    <mergeCell ref="J986:J987"/>
    <mergeCell ref="J980:J981"/>
    <mergeCell ref="G982:G983"/>
    <mergeCell ref="H982:H983"/>
    <mergeCell ref="I982:I983"/>
    <mergeCell ref="J982:J983"/>
    <mergeCell ref="D984:D987"/>
    <mergeCell ref="E984:E987"/>
    <mergeCell ref="F984:F987"/>
    <mergeCell ref="G984:G985"/>
    <mergeCell ref="H984:H985"/>
    <mergeCell ref="D980:D983"/>
    <mergeCell ref="E980:E983"/>
    <mergeCell ref="F980:F983"/>
    <mergeCell ref="G980:G981"/>
    <mergeCell ref="H980:H981"/>
    <mergeCell ref="I980:I981"/>
    <mergeCell ref="H992:H993"/>
    <mergeCell ref="I992:I993"/>
    <mergeCell ref="J992:J993"/>
    <mergeCell ref="G994:G995"/>
    <mergeCell ref="H994:H995"/>
    <mergeCell ref="I994:I995"/>
    <mergeCell ref="J994:J995"/>
    <mergeCell ref="J988:J989"/>
    <mergeCell ref="G990:G991"/>
    <mergeCell ref="H990:H991"/>
    <mergeCell ref="I990:I991"/>
    <mergeCell ref="J990:J991"/>
    <mergeCell ref="C992:C1011"/>
    <mergeCell ref="D992:D995"/>
    <mergeCell ref="E992:E995"/>
    <mergeCell ref="F992:F995"/>
    <mergeCell ref="G992:G993"/>
    <mergeCell ref="D988:D991"/>
    <mergeCell ref="E988:E991"/>
    <mergeCell ref="F988:F991"/>
    <mergeCell ref="G988:G989"/>
    <mergeCell ref="H988:H989"/>
    <mergeCell ref="I988:I989"/>
    <mergeCell ref="I1000:I1001"/>
    <mergeCell ref="J1000:J1001"/>
    <mergeCell ref="G1002:G1003"/>
    <mergeCell ref="H1002:H1003"/>
    <mergeCell ref="I1002:I1003"/>
    <mergeCell ref="J1002:J1003"/>
    <mergeCell ref="J996:J997"/>
    <mergeCell ref="G998:G999"/>
    <mergeCell ref="H998:H999"/>
    <mergeCell ref="I998:I999"/>
    <mergeCell ref="J998:J999"/>
    <mergeCell ref="D1000:D1003"/>
    <mergeCell ref="E1000:E1003"/>
    <mergeCell ref="F1000:F1003"/>
    <mergeCell ref="G1000:G1001"/>
    <mergeCell ref="H1000:H1001"/>
    <mergeCell ref="D996:D999"/>
    <mergeCell ref="E996:E999"/>
    <mergeCell ref="F996:F999"/>
    <mergeCell ref="G996:G997"/>
    <mergeCell ref="H996:H997"/>
    <mergeCell ref="I996:I997"/>
    <mergeCell ref="I1008:I1009"/>
    <mergeCell ref="J1008:J1009"/>
    <mergeCell ref="G1010:G1011"/>
    <mergeCell ref="H1010:H1011"/>
    <mergeCell ref="I1010:I1011"/>
    <mergeCell ref="J1010:J1011"/>
    <mergeCell ref="J1004:J1005"/>
    <mergeCell ref="G1006:G1007"/>
    <mergeCell ref="H1006:H1007"/>
    <mergeCell ref="I1006:I1007"/>
    <mergeCell ref="J1006:J1007"/>
    <mergeCell ref="D1008:D1011"/>
    <mergeCell ref="E1008:E1011"/>
    <mergeCell ref="F1008:F1011"/>
    <mergeCell ref="G1008:G1009"/>
    <mergeCell ref="H1008:H1009"/>
    <mergeCell ref="D1004:D1007"/>
    <mergeCell ref="E1004:E1007"/>
    <mergeCell ref="F1004:F1007"/>
    <mergeCell ref="G1004:G1005"/>
    <mergeCell ref="H1004:H1005"/>
    <mergeCell ref="I1004:I1005"/>
    <mergeCell ref="H1016:H1017"/>
    <mergeCell ref="I1016:I1017"/>
    <mergeCell ref="J1016:J1017"/>
    <mergeCell ref="G1018:G1019"/>
    <mergeCell ref="H1018:H1019"/>
    <mergeCell ref="I1018:I1019"/>
    <mergeCell ref="J1018:J1019"/>
    <mergeCell ref="I1012:I1013"/>
    <mergeCell ref="J1012:J1013"/>
    <mergeCell ref="G1014:G1015"/>
    <mergeCell ref="H1014:H1015"/>
    <mergeCell ref="I1014:I1015"/>
    <mergeCell ref="J1014:J1015"/>
    <mergeCell ref="C1012:C1031"/>
    <mergeCell ref="D1012:D1015"/>
    <mergeCell ref="E1012:E1015"/>
    <mergeCell ref="F1012:F1015"/>
    <mergeCell ref="G1012:G1013"/>
    <mergeCell ref="H1012:H1013"/>
    <mergeCell ref="D1016:D1019"/>
    <mergeCell ref="E1016:E1019"/>
    <mergeCell ref="F1016:F1019"/>
    <mergeCell ref="G1016:G1017"/>
    <mergeCell ref="I1024:I1025"/>
    <mergeCell ref="J1024:J1025"/>
    <mergeCell ref="G1026:G1027"/>
    <mergeCell ref="H1026:H1027"/>
    <mergeCell ref="I1026:I1027"/>
    <mergeCell ref="J1026:J1027"/>
    <mergeCell ref="J1020:J1021"/>
    <mergeCell ref="G1022:G1023"/>
    <mergeCell ref="H1022:H1023"/>
    <mergeCell ref="I1022:I1023"/>
    <mergeCell ref="J1022:J1023"/>
    <mergeCell ref="D1024:D1027"/>
    <mergeCell ref="E1024:E1027"/>
    <mergeCell ref="F1024:F1027"/>
    <mergeCell ref="G1024:G1025"/>
    <mergeCell ref="H1024:H1025"/>
    <mergeCell ref="D1020:D1023"/>
    <mergeCell ref="E1020:E1023"/>
    <mergeCell ref="F1020:F1023"/>
    <mergeCell ref="G1020:G1021"/>
    <mergeCell ref="H1020:H1021"/>
    <mergeCell ref="I1020:I1021"/>
    <mergeCell ref="H1032:H1033"/>
    <mergeCell ref="I1032:I1033"/>
    <mergeCell ref="J1032:J1033"/>
    <mergeCell ref="G1034:G1035"/>
    <mergeCell ref="H1034:H1035"/>
    <mergeCell ref="I1034:I1035"/>
    <mergeCell ref="J1034:J1035"/>
    <mergeCell ref="J1028:J1029"/>
    <mergeCell ref="G1030:G1031"/>
    <mergeCell ref="H1030:H1031"/>
    <mergeCell ref="I1030:I1031"/>
    <mergeCell ref="J1030:J1031"/>
    <mergeCell ref="C1032:C1051"/>
    <mergeCell ref="D1032:D1035"/>
    <mergeCell ref="E1032:E1035"/>
    <mergeCell ref="F1032:F1035"/>
    <mergeCell ref="G1032:G1033"/>
    <mergeCell ref="D1028:D1031"/>
    <mergeCell ref="E1028:E1031"/>
    <mergeCell ref="F1028:F1031"/>
    <mergeCell ref="G1028:G1029"/>
    <mergeCell ref="H1028:H1029"/>
    <mergeCell ref="I1028:I1029"/>
    <mergeCell ref="I1040:I1041"/>
    <mergeCell ref="J1040:J1041"/>
    <mergeCell ref="G1042:G1043"/>
    <mergeCell ref="H1042:H1043"/>
    <mergeCell ref="I1042:I1043"/>
    <mergeCell ref="J1042:J1043"/>
    <mergeCell ref="J1036:J1037"/>
    <mergeCell ref="G1038:G1039"/>
    <mergeCell ref="H1038:H1039"/>
    <mergeCell ref="I1038:I1039"/>
    <mergeCell ref="J1038:J1039"/>
    <mergeCell ref="D1040:D1043"/>
    <mergeCell ref="E1040:E1043"/>
    <mergeCell ref="F1040:F1043"/>
    <mergeCell ref="G1040:G1041"/>
    <mergeCell ref="H1040:H1041"/>
    <mergeCell ref="D1036:D1039"/>
    <mergeCell ref="E1036:E1039"/>
    <mergeCell ref="F1036:F1039"/>
    <mergeCell ref="G1036:G1037"/>
    <mergeCell ref="H1036:H1037"/>
    <mergeCell ref="I1036:I1037"/>
    <mergeCell ref="I1048:I1049"/>
    <mergeCell ref="J1048:J1049"/>
    <mergeCell ref="G1050:G1051"/>
    <mergeCell ref="H1050:H1051"/>
    <mergeCell ref="I1050:I1051"/>
    <mergeCell ref="J1050:J1051"/>
    <mergeCell ref="J1044:J1045"/>
    <mergeCell ref="G1046:G1047"/>
    <mergeCell ref="H1046:H1047"/>
    <mergeCell ref="I1046:I1047"/>
    <mergeCell ref="J1046:J1047"/>
    <mergeCell ref="D1048:D1051"/>
    <mergeCell ref="E1048:E1051"/>
    <mergeCell ref="F1048:F1051"/>
    <mergeCell ref="G1048:G1049"/>
    <mergeCell ref="H1048:H1049"/>
    <mergeCell ref="D1044:D1047"/>
    <mergeCell ref="E1044:E1047"/>
    <mergeCell ref="F1044:F1047"/>
    <mergeCell ref="G1044:G1045"/>
    <mergeCell ref="H1044:H1045"/>
    <mergeCell ref="I1044:I1045"/>
    <mergeCell ref="H1056:H1057"/>
    <mergeCell ref="I1056:I1057"/>
    <mergeCell ref="J1056:J1057"/>
    <mergeCell ref="G1058:G1059"/>
    <mergeCell ref="H1058:H1059"/>
    <mergeCell ref="I1058:I1059"/>
    <mergeCell ref="J1058:J1059"/>
    <mergeCell ref="I1052:I1053"/>
    <mergeCell ref="J1052:J1053"/>
    <mergeCell ref="G1054:G1055"/>
    <mergeCell ref="H1054:H1055"/>
    <mergeCell ref="I1054:I1055"/>
    <mergeCell ref="J1054:J1055"/>
    <mergeCell ref="C1052:C1071"/>
    <mergeCell ref="D1052:D1055"/>
    <mergeCell ref="E1052:E1055"/>
    <mergeCell ref="F1052:F1055"/>
    <mergeCell ref="G1052:G1053"/>
    <mergeCell ref="H1052:H1053"/>
    <mergeCell ref="D1056:D1059"/>
    <mergeCell ref="E1056:E1059"/>
    <mergeCell ref="F1056:F1059"/>
    <mergeCell ref="G1056:G1057"/>
    <mergeCell ref="I1064:I1065"/>
    <mergeCell ref="J1064:J1065"/>
    <mergeCell ref="G1066:G1067"/>
    <mergeCell ref="H1066:H1067"/>
    <mergeCell ref="I1066:I1067"/>
    <mergeCell ref="J1066:J1067"/>
    <mergeCell ref="J1060:J1061"/>
    <mergeCell ref="G1062:G1063"/>
    <mergeCell ref="H1062:H1063"/>
    <mergeCell ref="I1062:I1063"/>
    <mergeCell ref="J1062:J1063"/>
    <mergeCell ref="D1064:D1067"/>
    <mergeCell ref="E1064:E1067"/>
    <mergeCell ref="F1064:F1067"/>
    <mergeCell ref="G1064:G1065"/>
    <mergeCell ref="H1064:H1065"/>
    <mergeCell ref="D1060:D1063"/>
    <mergeCell ref="E1060:E1063"/>
    <mergeCell ref="F1060:F1063"/>
    <mergeCell ref="G1060:G1061"/>
    <mergeCell ref="H1060:H1061"/>
    <mergeCell ref="I1060:I1061"/>
    <mergeCell ref="G1072:G1073"/>
    <mergeCell ref="H1072:H1073"/>
    <mergeCell ref="I1072:I1073"/>
    <mergeCell ref="J1072:J1073"/>
    <mergeCell ref="G1074:G1075"/>
    <mergeCell ref="H1074:H1075"/>
    <mergeCell ref="I1074:I1075"/>
    <mergeCell ref="J1074:J1075"/>
    <mergeCell ref="J1068:J1069"/>
    <mergeCell ref="G1070:G1071"/>
    <mergeCell ref="H1070:H1071"/>
    <mergeCell ref="I1070:I1071"/>
    <mergeCell ref="J1070:J1071"/>
    <mergeCell ref="B1072:B1191"/>
    <mergeCell ref="C1072:C1091"/>
    <mergeCell ref="D1072:D1075"/>
    <mergeCell ref="E1072:E1075"/>
    <mergeCell ref="F1072:F1075"/>
    <mergeCell ref="D1068:D1071"/>
    <mergeCell ref="E1068:E1071"/>
    <mergeCell ref="F1068:F1071"/>
    <mergeCell ref="G1068:G1069"/>
    <mergeCell ref="H1068:H1069"/>
    <mergeCell ref="I1068:I1069"/>
    <mergeCell ref="I1080:I1081"/>
    <mergeCell ref="J1080:J1081"/>
    <mergeCell ref="G1082:G1083"/>
    <mergeCell ref="H1082:H1083"/>
    <mergeCell ref="I1082:I1083"/>
    <mergeCell ref="J1082:J1083"/>
    <mergeCell ref="J1076:J1077"/>
    <mergeCell ref="G1078:G1079"/>
    <mergeCell ref="H1078:H1079"/>
    <mergeCell ref="I1078:I1079"/>
    <mergeCell ref="J1078:J1079"/>
    <mergeCell ref="D1080:D1083"/>
    <mergeCell ref="E1080:E1083"/>
    <mergeCell ref="F1080:F1083"/>
    <mergeCell ref="G1080:G1081"/>
    <mergeCell ref="H1080:H1081"/>
    <mergeCell ref="D1076:D1079"/>
    <mergeCell ref="E1076:E1079"/>
    <mergeCell ref="F1076:F1079"/>
    <mergeCell ref="G1076:G1077"/>
    <mergeCell ref="H1076:H1077"/>
    <mergeCell ref="I1076:I1077"/>
    <mergeCell ref="I1088:I1089"/>
    <mergeCell ref="J1088:J1089"/>
    <mergeCell ref="G1090:G1091"/>
    <mergeCell ref="H1090:H1091"/>
    <mergeCell ref="I1090:I1091"/>
    <mergeCell ref="J1090:J1091"/>
    <mergeCell ref="J1084:J1085"/>
    <mergeCell ref="G1086:G1087"/>
    <mergeCell ref="H1086:H1087"/>
    <mergeCell ref="I1086:I1087"/>
    <mergeCell ref="J1086:J1087"/>
    <mergeCell ref="D1088:D1091"/>
    <mergeCell ref="E1088:E1091"/>
    <mergeCell ref="F1088:F1091"/>
    <mergeCell ref="G1088:G1089"/>
    <mergeCell ref="H1088:H1089"/>
    <mergeCell ref="D1084:D1087"/>
    <mergeCell ref="E1084:E1087"/>
    <mergeCell ref="F1084:F1087"/>
    <mergeCell ref="G1084:G1085"/>
    <mergeCell ref="H1084:H1085"/>
    <mergeCell ref="I1084:I1085"/>
    <mergeCell ref="H1096:H1097"/>
    <mergeCell ref="I1096:I1097"/>
    <mergeCell ref="J1096:J1097"/>
    <mergeCell ref="G1098:G1099"/>
    <mergeCell ref="H1098:H1099"/>
    <mergeCell ref="I1098:I1099"/>
    <mergeCell ref="J1098:J1099"/>
    <mergeCell ref="I1092:I1093"/>
    <mergeCell ref="J1092:J1093"/>
    <mergeCell ref="G1094:G1095"/>
    <mergeCell ref="H1094:H1095"/>
    <mergeCell ref="I1094:I1095"/>
    <mergeCell ref="J1094:J1095"/>
    <mergeCell ref="C1092:C1111"/>
    <mergeCell ref="D1092:D1095"/>
    <mergeCell ref="E1092:E1095"/>
    <mergeCell ref="F1092:F1095"/>
    <mergeCell ref="G1092:G1093"/>
    <mergeCell ref="H1092:H1093"/>
    <mergeCell ref="D1096:D1099"/>
    <mergeCell ref="E1096:E1099"/>
    <mergeCell ref="F1096:F1099"/>
    <mergeCell ref="G1096:G1097"/>
    <mergeCell ref="I1104:I1105"/>
    <mergeCell ref="J1104:J1105"/>
    <mergeCell ref="G1106:G1107"/>
    <mergeCell ref="H1106:H1107"/>
    <mergeCell ref="I1106:I1107"/>
    <mergeCell ref="J1106:J1107"/>
    <mergeCell ref="J1100:J1101"/>
    <mergeCell ref="G1102:G1103"/>
    <mergeCell ref="H1102:H1103"/>
    <mergeCell ref="I1102:I1103"/>
    <mergeCell ref="J1102:J1103"/>
    <mergeCell ref="D1104:D1107"/>
    <mergeCell ref="E1104:E1107"/>
    <mergeCell ref="F1104:F1107"/>
    <mergeCell ref="G1104:G1105"/>
    <mergeCell ref="H1104:H1105"/>
    <mergeCell ref="D1100:D1103"/>
    <mergeCell ref="E1100:E1103"/>
    <mergeCell ref="F1100:F1103"/>
    <mergeCell ref="G1100:G1101"/>
    <mergeCell ref="H1100:H1101"/>
    <mergeCell ref="I1100:I1101"/>
    <mergeCell ref="H1112:H1113"/>
    <mergeCell ref="I1112:I1113"/>
    <mergeCell ref="J1112:J1113"/>
    <mergeCell ref="G1114:G1115"/>
    <mergeCell ref="H1114:H1115"/>
    <mergeCell ref="I1114:I1115"/>
    <mergeCell ref="J1114:J1115"/>
    <mergeCell ref="J1108:J1109"/>
    <mergeCell ref="G1110:G1111"/>
    <mergeCell ref="H1110:H1111"/>
    <mergeCell ref="I1110:I1111"/>
    <mergeCell ref="J1110:J1111"/>
    <mergeCell ref="C1112:C1131"/>
    <mergeCell ref="D1112:D1115"/>
    <mergeCell ref="E1112:E1115"/>
    <mergeCell ref="F1112:F1115"/>
    <mergeCell ref="G1112:G1113"/>
    <mergeCell ref="D1108:D1111"/>
    <mergeCell ref="E1108:E1111"/>
    <mergeCell ref="F1108:F1111"/>
    <mergeCell ref="G1108:G1109"/>
    <mergeCell ref="H1108:H1109"/>
    <mergeCell ref="I1108:I1109"/>
    <mergeCell ref="I1120:I1121"/>
    <mergeCell ref="J1120:J1121"/>
    <mergeCell ref="G1122:G1123"/>
    <mergeCell ref="H1122:H1123"/>
    <mergeCell ref="I1122:I1123"/>
    <mergeCell ref="J1122:J1123"/>
    <mergeCell ref="J1116:J1117"/>
    <mergeCell ref="G1118:G1119"/>
    <mergeCell ref="H1118:H1119"/>
    <mergeCell ref="I1118:I1119"/>
    <mergeCell ref="J1118:J1119"/>
    <mergeCell ref="D1120:D1123"/>
    <mergeCell ref="E1120:E1123"/>
    <mergeCell ref="F1120:F1123"/>
    <mergeCell ref="G1120:G1121"/>
    <mergeCell ref="H1120:H1121"/>
    <mergeCell ref="D1116:D1119"/>
    <mergeCell ref="E1116:E1119"/>
    <mergeCell ref="F1116:F1119"/>
    <mergeCell ref="G1116:G1117"/>
    <mergeCell ref="H1116:H1117"/>
    <mergeCell ref="I1116:I1117"/>
    <mergeCell ref="I1128:I1129"/>
    <mergeCell ref="J1128:J1129"/>
    <mergeCell ref="G1130:G1131"/>
    <mergeCell ref="H1130:H1131"/>
    <mergeCell ref="I1130:I1131"/>
    <mergeCell ref="J1130:J1131"/>
    <mergeCell ref="J1124:J1125"/>
    <mergeCell ref="G1126:G1127"/>
    <mergeCell ref="H1126:H1127"/>
    <mergeCell ref="I1126:I1127"/>
    <mergeCell ref="J1126:J1127"/>
    <mergeCell ref="D1128:D1131"/>
    <mergeCell ref="E1128:E1131"/>
    <mergeCell ref="F1128:F1131"/>
    <mergeCell ref="G1128:G1129"/>
    <mergeCell ref="H1128:H1129"/>
    <mergeCell ref="D1124:D1127"/>
    <mergeCell ref="E1124:E1127"/>
    <mergeCell ref="F1124:F1127"/>
    <mergeCell ref="G1124:G1125"/>
    <mergeCell ref="H1124:H1125"/>
    <mergeCell ref="I1124:I1125"/>
    <mergeCell ref="H1136:H1137"/>
    <mergeCell ref="I1136:I1137"/>
    <mergeCell ref="J1136:J1137"/>
    <mergeCell ref="G1138:G1139"/>
    <mergeCell ref="H1138:H1139"/>
    <mergeCell ref="I1138:I1139"/>
    <mergeCell ref="J1138:J1139"/>
    <mergeCell ref="I1132:I1133"/>
    <mergeCell ref="J1132:J1133"/>
    <mergeCell ref="G1134:G1135"/>
    <mergeCell ref="H1134:H1135"/>
    <mergeCell ref="I1134:I1135"/>
    <mergeCell ref="J1134:J1135"/>
    <mergeCell ref="C1132:C1151"/>
    <mergeCell ref="D1132:D1135"/>
    <mergeCell ref="E1132:E1135"/>
    <mergeCell ref="F1132:F1135"/>
    <mergeCell ref="G1132:G1133"/>
    <mergeCell ref="H1132:H1133"/>
    <mergeCell ref="D1136:D1139"/>
    <mergeCell ref="E1136:E1139"/>
    <mergeCell ref="F1136:F1139"/>
    <mergeCell ref="G1136:G1137"/>
    <mergeCell ref="I1144:I1145"/>
    <mergeCell ref="J1144:J1145"/>
    <mergeCell ref="G1146:G1147"/>
    <mergeCell ref="H1146:H1147"/>
    <mergeCell ref="I1146:I1147"/>
    <mergeCell ref="J1146:J1147"/>
    <mergeCell ref="J1140:J1141"/>
    <mergeCell ref="G1142:G1143"/>
    <mergeCell ref="H1142:H1143"/>
    <mergeCell ref="I1142:I1143"/>
    <mergeCell ref="J1142:J1143"/>
    <mergeCell ref="D1144:D1147"/>
    <mergeCell ref="E1144:E1147"/>
    <mergeCell ref="F1144:F1147"/>
    <mergeCell ref="G1144:G1145"/>
    <mergeCell ref="H1144:H1145"/>
    <mergeCell ref="D1140:D1143"/>
    <mergeCell ref="E1140:E1143"/>
    <mergeCell ref="F1140:F1143"/>
    <mergeCell ref="G1140:G1141"/>
    <mergeCell ref="H1140:H1141"/>
    <mergeCell ref="I1140:I1141"/>
    <mergeCell ref="H1152:H1153"/>
    <mergeCell ref="I1152:I1153"/>
    <mergeCell ref="J1152:J1153"/>
    <mergeCell ref="G1154:G1155"/>
    <mergeCell ref="H1154:H1155"/>
    <mergeCell ref="I1154:I1155"/>
    <mergeCell ref="J1154:J1155"/>
    <mergeCell ref="J1148:J1149"/>
    <mergeCell ref="G1150:G1151"/>
    <mergeCell ref="H1150:H1151"/>
    <mergeCell ref="I1150:I1151"/>
    <mergeCell ref="J1150:J1151"/>
    <mergeCell ref="C1152:C1171"/>
    <mergeCell ref="D1152:D1155"/>
    <mergeCell ref="E1152:E1155"/>
    <mergeCell ref="F1152:F1155"/>
    <mergeCell ref="G1152:G1153"/>
    <mergeCell ref="D1148:D1151"/>
    <mergeCell ref="E1148:E1151"/>
    <mergeCell ref="F1148:F1151"/>
    <mergeCell ref="G1148:G1149"/>
    <mergeCell ref="H1148:H1149"/>
    <mergeCell ref="I1148:I1149"/>
    <mergeCell ref="I1160:I1161"/>
    <mergeCell ref="J1160:J1161"/>
    <mergeCell ref="G1162:G1163"/>
    <mergeCell ref="H1162:H1163"/>
    <mergeCell ref="I1162:I1163"/>
    <mergeCell ref="J1162:J1163"/>
    <mergeCell ref="J1156:J1157"/>
    <mergeCell ref="G1158:G1159"/>
    <mergeCell ref="H1158:H1159"/>
    <mergeCell ref="I1158:I1159"/>
    <mergeCell ref="J1158:J1159"/>
    <mergeCell ref="D1160:D1163"/>
    <mergeCell ref="E1160:E1163"/>
    <mergeCell ref="F1160:F1163"/>
    <mergeCell ref="G1160:G1161"/>
    <mergeCell ref="H1160:H1161"/>
    <mergeCell ref="D1156:D1159"/>
    <mergeCell ref="E1156:E1159"/>
    <mergeCell ref="F1156:F1159"/>
    <mergeCell ref="G1156:G1157"/>
    <mergeCell ref="H1156:H1157"/>
    <mergeCell ref="I1156:I1157"/>
    <mergeCell ref="I1168:I1169"/>
    <mergeCell ref="J1168:J1169"/>
    <mergeCell ref="G1170:G1171"/>
    <mergeCell ref="H1170:H1171"/>
    <mergeCell ref="I1170:I1171"/>
    <mergeCell ref="J1170:J1171"/>
    <mergeCell ref="J1164:J1165"/>
    <mergeCell ref="G1166:G1167"/>
    <mergeCell ref="H1166:H1167"/>
    <mergeCell ref="I1166:I1167"/>
    <mergeCell ref="J1166:J1167"/>
    <mergeCell ref="D1168:D1171"/>
    <mergeCell ref="E1168:E1171"/>
    <mergeCell ref="F1168:F1171"/>
    <mergeCell ref="G1168:G1169"/>
    <mergeCell ref="H1168:H1169"/>
    <mergeCell ref="D1164:D1167"/>
    <mergeCell ref="E1164:E1167"/>
    <mergeCell ref="F1164:F1167"/>
    <mergeCell ref="G1164:G1165"/>
    <mergeCell ref="H1164:H1165"/>
    <mergeCell ref="I1164:I1165"/>
    <mergeCell ref="H1176:H1177"/>
    <mergeCell ref="I1176:I1177"/>
    <mergeCell ref="J1176:J1177"/>
    <mergeCell ref="G1178:G1179"/>
    <mergeCell ref="H1178:H1179"/>
    <mergeCell ref="I1178:I1179"/>
    <mergeCell ref="J1178:J1179"/>
    <mergeCell ref="I1172:I1173"/>
    <mergeCell ref="J1172:J1173"/>
    <mergeCell ref="G1174:G1175"/>
    <mergeCell ref="H1174:H1175"/>
    <mergeCell ref="I1174:I1175"/>
    <mergeCell ref="J1174:J1175"/>
    <mergeCell ref="C1172:C1191"/>
    <mergeCell ref="D1172:D1175"/>
    <mergeCell ref="E1172:E1175"/>
    <mergeCell ref="F1172:F1175"/>
    <mergeCell ref="G1172:G1173"/>
    <mergeCell ref="H1172:H1173"/>
    <mergeCell ref="D1176:D1179"/>
    <mergeCell ref="E1176:E1179"/>
    <mergeCell ref="F1176:F1179"/>
    <mergeCell ref="G1176:G1177"/>
    <mergeCell ref="D1188:D1191"/>
    <mergeCell ref="E1188:E1191"/>
    <mergeCell ref="F1188:F1191"/>
    <mergeCell ref="G1188:G1189"/>
    <mergeCell ref="H1188:H1189"/>
    <mergeCell ref="J1188:J1189"/>
    <mergeCell ref="G1190:G1191"/>
    <mergeCell ref="H1190:H1191"/>
    <mergeCell ref="I1190:I1191"/>
    <mergeCell ref="J1190:J1191"/>
    <mergeCell ref="I1184:I1185"/>
    <mergeCell ref="J1184:J1185"/>
    <mergeCell ref="G1186:G1187"/>
    <mergeCell ref="H1186:H1187"/>
    <mergeCell ref="I1186:I1187"/>
    <mergeCell ref="J1186:J1187"/>
    <mergeCell ref="J1180:J1181"/>
    <mergeCell ref="G1182:G1183"/>
    <mergeCell ref="H1182:H1183"/>
    <mergeCell ref="I1182:I1183"/>
    <mergeCell ref="J1182:J1183"/>
    <mergeCell ref="D1184:D1187"/>
    <mergeCell ref="E1184:E1187"/>
    <mergeCell ref="F1184:F1187"/>
    <mergeCell ref="G1184:G1185"/>
    <mergeCell ref="H1184:H1185"/>
    <mergeCell ref="D1180:D1183"/>
    <mergeCell ref="E1180:E1183"/>
    <mergeCell ref="F1180:F1183"/>
    <mergeCell ref="G1180:G1181"/>
    <mergeCell ref="H1180:H1181"/>
    <mergeCell ref="I1180:I1181"/>
    <mergeCell ref="G1192:G1193"/>
    <mergeCell ref="H1192:H1193"/>
    <mergeCell ref="I1192:I1193"/>
    <mergeCell ref="J1192:J1193"/>
    <mergeCell ref="G1194:G1195"/>
    <mergeCell ref="H1194:H1195"/>
    <mergeCell ref="I1194:I1195"/>
    <mergeCell ref="J1194:J1195"/>
    <mergeCell ref="A1192:A1311"/>
    <mergeCell ref="B1192:B1311"/>
    <mergeCell ref="C1192:C1211"/>
    <mergeCell ref="D1192:D1195"/>
    <mergeCell ref="E1192:E1195"/>
    <mergeCell ref="F1192:F1195"/>
    <mergeCell ref="D1196:D1199"/>
    <mergeCell ref="E1196:E1199"/>
    <mergeCell ref="F1196:F1199"/>
    <mergeCell ref="D1200:D1203"/>
    <mergeCell ref="E1200:E1203"/>
    <mergeCell ref="F1200:F1203"/>
    <mergeCell ref="G1200:G1201"/>
    <mergeCell ref="H1200:H1201"/>
    <mergeCell ref="I1200:I1201"/>
    <mergeCell ref="J1200:J1201"/>
    <mergeCell ref="G1202:G1203"/>
    <mergeCell ref="H1202:H1203"/>
    <mergeCell ref="I1202:I1203"/>
    <mergeCell ref="J1202:J1203"/>
    <mergeCell ref="G1196:G1197"/>
    <mergeCell ref="H1196:H1197"/>
    <mergeCell ref="I1196:I1197"/>
    <mergeCell ref="J1196:J1197"/>
    <mergeCell ref="G1198:G1199"/>
    <mergeCell ref="H1198:H1199"/>
    <mergeCell ref="I1198:I1199"/>
    <mergeCell ref="J1198:J1199"/>
    <mergeCell ref="I1210:I1211"/>
    <mergeCell ref="J1210:J1211"/>
    <mergeCell ref="C1212:C1231"/>
    <mergeCell ref="D1212:D1215"/>
    <mergeCell ref="E1212:E1215"/>
    <mergeCell ref="F1212:F1215"/>
    <mergeCell ref="G1212:G1213"/>
    <mergeCell ref="H1212:H1213"/>
    <mergeCell ref="I1212:I1213"/>
    <mergeCell ref="J1212:J1213"/>
    <mergeCell ref="J1206:J1207"/>
    <mergeCell ref="D1208:D1211"/>
    <mergeCell ref="E1208:E1211"/>
    <mergeCell ref="F1208:F1211"/>
    <mergeCell ref="G1208:G1209"/>
    <mergeCell ref="H1208:H1209"/>
    <mergeCell ref="I1208:I1209"/>
    <mergeCell ref="J1208:J1209"/>
    <mergeCell ref="G1210:G1211"/>
    <mergeCell ref="H1210:H1211"/>
    <mergeCell ref="D1204:D1207"/>
    <mergeCell ref="E1204:E1207"/>
    <mergeCell ref="F1204:F1207"/>
    <mergeCell ref="G1204:G1205"/>
    <mergeCell ref="I1204:I1205"/>
    <mergeCell ref="G1206:G1207"/>
    <mergeCell ref="H1206:H1207"/>
    <mergeCell ref="I1206:I1207"/>
    <mergeCell ref="I1220:I1221"/>
    <mergeCell ref="J1220:J1221"/>
    <mergeCell ref="G1222:G1223"/>
    <mergeCell ref="H1222:H1223"/>
    <mergeCell ref="I1222:I1223"/>
    <mergeCell ref="J1222:J1223"/>
    <mergeCell ref="J1216:J1217"/>
    <mergeCell ref="G1218:G1219"/>
    <mergeCell ref="H1218:H1219"/>
    <mergeCell ref="I1218:I1219"/>
    <mergeCell ref="J1218:J1219"/>
    <mergeCell ref="D1220:D1223"/>
    <mergeCell ref="E1220:E1223"/>
    <mergeCell ref="F1220:F1223"/>
    <mergeCell ref="G1220:G1221"/>
    <mergeCell ref="H1220:H1221"/>
    <mergeCell ref="G1214:G1215"/>
    <mergeCell ref="H1214:H1215"/>
    <mergeCell ref="I1214:I1215"/>
    <mergeCell ref="J1214:J1215"/>
    <mergeCell ref="D1216:D1219"/>
    <mergeCell ref="E1216:E1219"/>
    <mergeCell ref="F1216:F1219"/>
    <mergeCell ref="G1216:G1217"/>
    <mergeCell ref="H1216:H1217"/>
    <mergeCell ref="I1216:I1217"/>
    <mergeCell ref="I1228:I1229"/>
    <mergeCell ref="J1228:J1229"/>
    <mergeCell ref="G1230:G1231"/>
    <mergeCell ref="H1230:H1231"/>
    <mergeCell ref="I1230:I1231"/>
    <mergeCell ref="J1230:J1231"/>
    <mergeCell ref="J1224:J1225"/>
    <mergeCell ref="G1226:G1227"/>
    <mergeCell ref="H1226:H1227"/>
    <mergeCell ref="I1226:I1227"/>
    <mergeCell ref="J1226:J1227"/>
    <mergeCell ref="D1228:D1231"/>
    <mergeCell ref="E1228:E1231"/>
    <mergeCell ref="F1228:F1231"/>
    <mergeCell ref="G1228:G1229"/>
    <mergeCell ref="H1228:H1229"/>
    <mergeCell ref="D1224:D1227"/>
    <mergeCell ref="E1224:E1227"/>
    <mergeCell ref="F1224:F1227"/>
    <mergeCell ref="G1224:G1225"/>
    <mergeCell ref="H1224:H1225"/>
    <mergeCell ref="I1224:I1225"/>
    <mergeCell ref="H1236:H1237"/>
    <mergeCell ref="I1236:I1237"/>
    <mergeCell ref="J1236:J1237"/>
    <mergeCell ref="G1238:G1239"/>
    <mergeCell ref="H1238:H1239"/>
    <mergeCell ref="I1238:I1239"/>
    <mergeCell ref="J1238:J1239"/>
    <mergeCell ref="I1232:I1233"/>
    <mergeCell ref="J1232:J1233"/>
    <mergeCell ref="G1234:G1235"/>
    <mergeCell ref="H1234:H1235"/>
    <mergeCell ref="I1234:I1235"/>
    <mergeCell ref="J1234:J1235"/>
    <mergeCell ref="C1232:C1251"/>
    <mergeCell ref="D1232:D1235"/>
    <mergeCell ref="E1232:E1235"/>
    <mergeCell ref="F1232:F1235"/>
    <mergeCell ref="G1232:G1233"/>
    <mergeCell ref="H1232:H1233"/>
    <mergeCell ref="D1236:D1239"/>
    <mergeCell ref="E1236:E1239"/>
    <mergeCell ref="F1236:F1239"/>
    <mergeCell ref="G1236:G1237"/>
    <mergeCell ref="I1244:I1245"/>
    <mergeCell ref="J1244:J1245"/>
    <mergeCell ref="G1246:G1247"/>
    <mergeCell ref="H1246:H1247"/>
    <mergeCell ref="I1246:I1247"/>
    <mergeCell ref="J1246:J1247"/>
    <mergeCell ref="J1240:J1241"/>
    <mergeCell ref="G1242:G1243"/>
    <mergeCell ref="H1242:H1243"/>
    <mergeCell ref="I1242:I1243"/>
    <mergeCell ref="J1242:J1243"/>
    <mergeCell ref="D1244:D1247"/>
    <mergeCell ref="E1244:E1247"/>
    <mergeCell ref="F1244:F1247"/>
    <mergeCell ref="G1244:G1245"/>
    <mergeCell ref="H1244:H1245"/>
    <mergeCell ref="D1240:D1243"/>
    <mergeCell ref="E1240:E1243"/>
    <mergeCell ref="F1240:F1243"/>
    <mergeCell ref="G1240:G1241"/>
    <mergeCell ref="H1240:H1241"/>
    <mergeCell ref="I1240:I1241"/>
    <mergeCell ref="H1252:H1253"/>
    <mergeCell ref="I1252:I1253"/>
    <mergeCell ref="J1252:J1253"/>
    <mergeCell ref="G1254:G1255"/>
    <mergeCell ref="H1254:H1255"/>
    <mergeCell ref="I1254:I1255"/>
    <mergeCell ref="J1254:J1255"/>
    <mergeCell ref="J1248:J1249"/>
    <mergeCell ref="G1250:G1251"/>
    <mergeCell ref="H1250:H1251"/>
    <mergeCell ref="I1250:I1251"/>
    <mergeCell ref="J1250:J1251"/>
    <mergeCell ref="C1252:C1271"/>
    <mergeCell ref="D1252:D1255"/>
    <mergeCell ref="E1252:E1255"/>
    <mergeCell ref="F1252:F1255"/>
    <mergeCell ref="G1252:G1253"/>
    <mergeCell ref="D1248:D1251"/>
    <mergeCell ref="E1248:E1251"/>
    <mergeCell ref="F1248:F1251"/>
    <mergeCell ref="G1248:G1249"/>
    <mergeCell ref="H1248:H1249"/>
    <mergeCell ref="I1248:I1249"/>
    <mergeCell ref="I1260:I1261"/>
    <mergeCell ref="J1260:J1261"/>
    <mergeCell ref="G1262:G1263"/>
    <mergeCell ref="H1262:H1263"/>
    <mergeCell ref="I1262:I1263"/>
    <mergeCell ref="J1262:J1263"/>
    <mergeCell ref="J1256:J1257"/>
    <mergeCell ref="G1258:G1259"/>
    <mergeCell ref="H1258:H1259"/>
    <mergeCell ref="I1258:I1259"/>
    <mergeCell ref="J1258:J1259"/>
    <mergeCell ref="D1260:D1263"/>
    <mergeCell ref="E1260:E1263"/>
    <mergeCell ref="F1260:F1263"/>
    <mergeCell ref="G1260:G1261"/>
    <mergeCell ref="H1260:H1261"/>
    <mergeCell ref="D1256:D1259"/>
    <mergeCell ref="E1256:E1259"/>
    <mergeCell ref="F1256:F1259"/>
    <mergeCell ref="G1256:G1257"/>
    <mergeCell ref="H1256:H1257"/>
    <mergeCell ref="I1256:I1257"/>
    <mergeCell ref="I1268:I1269"/>
    <mergeCell ref="J1268:J1269"/>
    <mergeCell ref="G1270:G1271"/>
    <mergeCell ref="H1270:H1271"/>
    <mergeCell ref="I1270:I1271"/>
    <mergeCell ref="J1270:J1271"/>
    <mergeCell ref="J1264:J1265"/>
    <mergeCell ref="G1266:G1267"/>
    <mergeCell ref="H1266:H1267"/>
    <mergeCell ref="I1266:I1267"/>
    <mergeCell ref="J1266:J1267"/>
    <mergeCell ref="D1268:D1271"/>
    <mergeCell ref="E1268:E1271"/>
    <mergeCell ref="F1268:F1271"/>
    <mergeCell ref="G1268:G1269"/>
    <mergeCell ref="H1268:H1269"/>
    <mergeCell ref="D1264:D1267"/>
    <mergeCell ref="E1264:E1267"/>
    <mergeCell ref="F1264:F1267"/>
    <mergeCell ref="G1264:G1265"/>
    <mergeCell ref="H1264:H1265"/>
    <mergeCell ref="I1264:I1265"/>
    <mergeCell ref="H1276:H1277"/>
    <mergeCell ref="I1276:I1277"/>
    <mergeCell ref="J1276:J1277"/>
    <mergeCell ref="G1278:G1279"/>
    <mergeCell ref="H1278:H1279"/>
    <mergeCell ref="I1278:I1279"/>
    <mergeCell ref="J1278:J1279"/>
    <mergeCell ref="I1272:I1273"/>
    <mergeCell ref="J1272:J1273"/>
    <mergeCell ref="G1274:G1275"/>
    <mergeCell ref="H1274:H1275"/>
    <mergeCell ref="I1274:I1275"/>
    <mergeCell ref="J1274:J1275"/>
    <mergeCell ref="C1272:C1291"/>
    <mergeCell ref="D1272:D1275"/>
    <mergeCell ref="E1272:E1275"/>
    <mergeCell ref="F1272:F1275"/>
    <mergeCell ref="G1272:G1273"/>
    <mergeCell ref="H1272:H1273"/>
    <mergeCell ref="D1276:D1279"/>
    <mergeCell ref="E1276:E1279"/>
    <mergeCell ref="F1276:F1279"/>
    <mergeCell ref="G1276:G1277"/>
    <mergeCell ref="I1284:I1285"/>
    <mergeCell ref="J1284:J1285"/>
    <mergeCell ref="G1286:G1287"/>
    <mergeCell ref="H1286:H1287"/>
    <mergeCell ref="I1286:I1287"/>
    <mergeCell ref="J1286:J1287"/>
    <mergeCell ref="J1280:J1281"/>
    <mergeCell ref="G1282:G1283"/>
    <mergeCell ref="H1282:H1283"/>
    <mergeCell ref="I1282:I1283"/>
    <mergeCell ref="J1282:J1283"/>
    <mergeCell ref="D1284:D1287"/>
    <mergeCell ref="E1284:E1287"/>
    <mergeCell ref="F1284:F1287"/>
    <mergeCell ref="G1284:G1285"/>
    <mergeCell ref="H1284:H1285"/>
    <mergeCell ref="D1280:D1283"/>
    <mergeCell ref="E1280:E1283"/>
    <mergeCell ref="F1280:F1283"/>
    <mergeCell ref="G1280:G1281"/>
    <mergeCell ref="H1280:H1281"/>
    <mergeCell ref="I1280:I1281"/>
    <mergeCell ref="H1292:H1293"/>
    <mergeCell ref="I1292:I1293"/>
    <mergeCell ref="J1292:J1293"/>
    <mergeCell ref="G1294:G1295"/>
    <mergeCell ref="H1294:H1295"/>
    <mergeCell ref="I1294:I1295"/>
    <mergeCell ref="J1294:J1295"/>
    <mergeCell ref="J1288:J1289"/>
    <mergeCell ref="G1290:G1291"/>
    <mergeCell ref="H1290:H1291"/>
    <mergeCell ref="I1290:I1291"/>
    <mergeCell ref="J1290:J1291"/>
    <mergeCell ref="C1292:C1311"/>
    <mergeCell ref="D1292:D1295"/>
    <mergeCell ref="E1292:E1295"/>
    <mergeCell ref="F1292:F1295"/>
    <mergeCell ref="G1292:G1293"/>
    <mergeCell ref="D1288:D1291"/>
    <mergeCell ref="E1288:E1291"/>
    <mergeCell ref="F1288:F1291"/>
    <mergeCell ref="G1288:G1289"/>
    <mergeCell ref="H1288:H1289"/>
    <mergeCell ref="I1288:I1289"/>
    <mergeCell ref="I1300:I1301"/>
    <mergeCell ref="J1300:J1301"/>
    <mergeCell ref="G1302:G1303"/>
    <mergeCell ref="H1302:H1303"/>
    <mergeCell ref="I1302:I1303"/>
    <mergeCell ref="J1302:J1303"/>
    <mergeCell ref="J1296:J1297"/>
    <mergeCell ref="G1298:G1299"/>
    <mergeCell ref="H1298:H1299"/>
    <mergeCell ref="I1298:I1299"/>
    <mergeCell ref="J1298:J1299"/>
    <mergeCell ref="D1300:D1303"/>
    <mergeCell ref="E1300:E1303"/>
    <mergeCell ref="F1300:F1303"/>
    <mergeCell ref="G1300:G1301"/>
    <mergeCell ref="H1300:H1301"/>
    <mergeCell ref="D1296:D1299"/>
    <mergeCell ref="E1296:E1299"/>
    <mergeCell ref="F1296:F1299"/>
    <mergeCell ref="G1296:G1297"/>
    <mergeCell ref="H1296:H1297"/>
    <mergeCell ref="I1296:I1297"/>
    <mergeCell ref="I1308:I1309"/>
    <mergeCell ref="J1308:J1309"/>
    <mergeCell ref="G1310:G1311"/>
    <mergeCell ref="H1310:H1311"/>
    <mergeCell ref="I1310:I1311"/>
    <mergeCell ref="J1310:J1311"/>
    <mergeCell ref="J1304:J1305"/>
    <mergeCell ref="G1306:G1307"/>
    <mergeCell ref="H1306:H1307"/>
    <mergeCell ref="I1306:I1307"/>
    <mergeCell ref="J1306:J1307"/>
    <mergeCell ref="D1308:D1311"/>
    <mergeCell ref="E1308:E1311"/>
    <mergeCell ref="F1308:F1311"/>
    <mergeCell ref="G1308:G1309"/>
    <mergeCell ref="H1308:H1309"/>
    <mergeCell ref="D1304:D1307"/>
    <mergeCell ref="E1304:E1307"/>
    <mergeCell ref="F1304:F1307"/>
    <mergeCell ref="G1304:G1305"/>
    <mergeCell ref="H1304:H1305"/>
    <mergeCell ref="I1304:I130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4AAF6-909D-4ADA-A4CD-E7C566E15A86}">
  <dimension ref="A1:K1031"/>
  <sheetViews>
    <sheetView topLeftCell="F1000" zoomScale="80" zoomScaleNormal="80" workbookViewId="0">
      <selection activeCell="G882" sqref="G882:G883"/>
    </sheetView>
  </sheetViews>
  <sheetFormatPr baseColWidth="10" defaultColWidth="13.7265625" defaultRowHeight="15" customHeight="1"/>
  <cols>
    <col min="1" max="1" width="10.08984375" style="1" customWidth="1"/>
    <col min="2" max="2" width="32" style="1" customWidth="1"/>
    <col min="3" max="3" width="51" style="1" customWidth="1"/>
    <col min="4" max="4" width="66" style="1" customWidth="1"/>
    <col min="5" max="5" width="55.453125" style="1" customWidth="1"/>
    <col min="6" max="6" width="46.36328125" style="1" customWidth="1"/>
    <col min="7" max="7" width="11.54296875" style="1" customWidth="1"/>
    <col min="8" max="8" width="59.54296875" style="1" customWidth="1"/>
    <col min="9" max="9" width="11.54296875" style="1" customWidth="1"/>
    <col min="10" max="10" width="83" style="1" customWidth="1"/>
    <col min="11" max="11" width="92.81640625" style="1" customWidth="1"/>
    <col min="12" max="26" width="11.54296875" style="1" customWidth="1"/>
    <col min="27" max="16384" width="13.7265625" style="1"/>
  </cols>
  <sheetData>
    <row r="1" spans="1:11" ht="14.25" customHeight="1">
      <c r="A1" s="151" t="s">
        <v>0</v>
      </c>
      <c r="B1" s="151" t="s">
        <v>4793</v>
      </c>
      <c r="C1" s="151" t="s">
        <v>4794</v>
      </c>
      <c r="D1" s="151" t="s">
        <v>4795</v>
      </c>
      <c r="E1" s="151" t="s">
        <v>6</v>
      </c>
      <c r="F1" s="152" t="s">
        <v>4796</v>
      </c>
      <c r="G1" s="153" t="s">
        <v>4797</v>
      </c>
      <c r="H1" s="152" t="s">
        <v>7</v>
      </c>
      <c r="I1" s="153" t="s">
        <v>4798</v>
      </c>
      <c r="J1" s="151" t="s">
        <v>4799</v>
      </c>
      <c r="K1" s="151" t="s">
        <v>10</v>
      </c>
    </row>
    <row r="2" spans="1:11" ht="14.25" customHeight="1">
      <c r="A2" s="154" t="s">
        <v>4800</v>
      </c>
      <c r="B2" s="155" t="s">
        <v>4801</v>
      </c>
      <c r="C2" s="156" t="s">
        <v>4802</v>
      </c>
      <c r="D2" s="156" t="s">
        <v>4803</v>
      </c>
      <c r="E2" s="157" t="s">
        <v>4804</v>
      </c>
      <c r="F2" s="158" t="s">
        <v>4805</v>
      </c>
      <c r="G2" s="159" t="s">
        <v>16</v>
      </c>
      <c r="H2" s="160" t="s">
        <v>4806</v>
      </c>
      <c r="I2" s="161" t="s">
        <v>19</v>
      </c>
      <c r="J2" s="162" t="s">
        <v>4807</v>
      </c>
      <c r="K2" s="163" t="s">
        <v>4808</v>
      </c>
    </row>
    <row r="3" spans="1:11" ht="14.25" customHeight="1">
      <c r="A3" s="164"/>
      <c r="B3" s="164"/>
      <c r="C3" s="164"/>
      <c r="D3" s="164"/>
      <c r="E3" s="157" t="s">
        <v>4809</v>
      </c>
      <c r="F3" s="165"/>
      <c r="G3" s="166"/>
      <c r="H3" s="167"/>
      <c r="I3" s="168"/>
      <c r="J3" s="167"/>
      <c r="K3" s="163" t="s">
        <v>4810</v>
      </c>
    </row>
    <row r="4" spans="1:11" ht="14.25" customHeight="1">
      <c r="A4" s="164"/>
      <c r="B4" s="164"/>
      <c r="C4" s="164"/>
      <c r="D4" s="156" t="s">
        <v>4811</v>
      </c>
      <c r="E4" s="157" t="s">
        <v>4812</v>
      </c>
      <c r="F4" s="158" t="s">
        <v>4813</v>
      </c>
      <c r="G4" s="159" t="s">
        <v>38</v>
      </c>
      <c r="H4" s="160" t="s">
        <v>4814</v>
      </c>
      <c r="I4" s="169" t="s">
        <v>41</v>
      </c>
      <c r="J4" s="162" t="s">
        <v>4815</v>
      </c>
      <c r="K4" s="163" t="s">
        <v>4816</v>
      </c>
    </row>
    <row r="5" spans="1:11" ht="14.25" customHeight="1">
      <c r="A5" s="164"/>
      <c r="B5" s="164"/>
      <c r="C5" s="164"/>
      <c r="D5" s="164"/>
      <c r="E5" s="157" t="s">
        <v>4817</v>
      </c>
      <c r="F5" s="165"/>
      <c r="G5" s="166"/>
      <c r="H5" s="167"/>
      <c r="I5" s="168"/>
      <c r="J5" s="167"/>
      <c r="K5" s="163" t="s">
        <v>4818</v>
      </c>
    </row>
    <row r="6" spans="1:11" ht="14.25" customHeight="1">
      <c r="A6" s="164"/>
      <c r="B6" s="164"/>
      <c r="C6" s="164"/>
      <c r="D6" s="156" t="s">
        <v>4819</v>
      </c>
      <c r="E6" s="157" t="s">
        <v>4820</v>
      </c>
      <c r="F6" s="158" t="s">
        <v>4821</v>
      </c>
      <c r="G6" s="159" t="s">
        <v>200</v>
      </c>
      <c r="H6" s="160" t="s">
        <v>4822</v>
      </c>
      <c r="I6" s="161" t="s">
        <v>19</v>
      </c>
      <c r="J6" s="162" t="s">
        <v>4823</v>
      </c>
      <c r="K6" s="163" t="s">
        <v>4824</v>
      </c>
    </row>
    <row r="7" spans="1:11" ht="14.25" customHeight="1">
      <c r="A7" s="164"/>
      <c r="B7" s="164"/>
      <c r="C7" s="164"/>
      <c r="D7" s="164"/>
      <c r="E7" s="157" t="s">
        <v>4812</v>
      </c>
      <c r="F7" s="165"/>
      <c r="G7" s="166"/>
      <c r="H7" s="167"/>
      <c r="I7" s="168"/>
      <c r="J7" s="167"/>
      <c r="K7" s="163" t="s">
        <v>4825</v>
      </c>
    </row>
    <row r="8" spans="1:11" ht="14.25" customHeight="1">
      <c r="A8" s="164"/>
      <c r="B8" s="164"/>
      <c r="C8" s="164"/>
      <c r="D8" s="156" t="s">
        <v>4826</v>
      </c>
      <c r="E8" s="163" t="s">
        <v>4827</v>
      </c>
      <c r="F8" s="158" t="s">
        <v>4828</v>
      </c>
      <c r="G8" s="159" t="s">
        <v>38</v>
      </c>
      <c r="H8" s="160" t="s">
        <v>4829</v>
      </c>
      <c r="I8" s="170" t="s">
        <v>33</v>
      </c>
      <c r="J8" s="162" t="s">
        <v>4830</v>
      </c>
      <c r="K8" s="163" t="s">
        <v>4831</v>
      </c>
    </row>
    <row r="9" spans="1:11" ht="14.25" customHeight="1">
      <c r="A9" s="164"/>
      <c r="B9" s="164"/>
      <c r="C9" s="164"/>
      <c r="D9" s="164"/>
      <c r="E9" s="163" t="s">
        <v>4832</v>
      </c>
      <c r="F9" s="165"/>
      <c r="G9" s="166"/>
      <c r="H9" s="167"/>
      <c r="I9" s="168"/>
      <c r="J9" s="167"/>
      <c r="K9" s="163" t="s">
        <v>4833</v>
      </c>
    </row>
    <row r="10" spans="1:11" ht="14.25" customHeight="1">
      <c r="A10" s="164"/>
      <c r="B10" s="164"/>
      <c r="C10" s="164"/>
      <c r="D10" s="156" t="s">
        <v>4834</v>
      </c>
      <c r="E10" s="163" t="s">
        <v>4835</v>
      </c>
      <c r="F10" s="158" t="s">
        <v>4836</v>
      </c>
      <c r="G10" s="159" t="s">
        <v>38</v>
      </c>
      <c r="H10" s="160" t="s">
        <v>4837</v>
      </c>
      <c r="I10" s="161" t="s">
        <v>19</v>
      </c>
      <c r="J10" s="162" t="s">
        <v>4838</v>
      </c>
      <c r="K10" s="163" t="s">
        <v>4839</v>
      </c>
    </row>
    <row r="11" spans="1:11" ht="14.25" customHeight="1">
      <c r="A11" s="164"/>
      <c r="B11" s="164"/>
      <c r="C11" s="164"/>
      <c r="D11" s="164"/>
      <c r="E11" s="163" t="s">
        <v>4840</v>
      </c>
      <c r="F11" s="165"/>
      <c r="G11" s="166"/>
      <c r="H11" s="167"/>
      <c r="I11" s="168"/>
      <c r="J11" s="167"/>
      <c r="K11" s="163" t="s">
        <v>4841</v>
      </c>
    </row>
    <row r="12" spans="1:11" ht="14.25" customHeight="1">
      <c r="A12" s="164"/>
      <c r="B12" s="164"/>
      <c r="C12" s="156" t="s">
        <v>4842</v>
      </c>
      <c r="D12" s="156" t="s">
        <v>4843</v>
      </c>
      <c r="E12" s="163" t="s">
        <v>4844</v>
      </c>
      <c r="F12" s="158" t="s">
        <v>4845</v>
      </c>
      <c r="G12" s="159" t="s">
        <v>16</v>
      </c>
      <c r="H12" s="160" t="s">
        <v>4846</v>
      </c>
      <c r="I12" s="169" t="s">
        <v>41</v>
      </c>
      <c r="J12" s="162" t="s">
        <v>4847</v>
      </c>
      <c r="K12" s="163" t="s">
        <v>4848</v>
      </c>
    </row>
    <row r="13" spans="1:11" ht="14.25" customHeight="1">
      <c r="A13" s="164"/>
      <c r="B13" s="164"/>
      <c r="C13" s="164"/>
      <c r="D13" s="164"/>
      <c r="E13" s="163" t="s">
        <v>4849</v>
      </c>
      <c r="F13" s="165"/>
      <c r="G13" s="166"/>
      <c r="H13" s="167"/>
      <c r="I13" s="168"/>
      <c r="J13" s="167"/>
      <c r="K13" s="163" t="s">
        <v>4850</v>
      </c>
    </row>
    <row r="14" spans="1:11" ht="14.25" customHeight="1">
      <c r="A14" s="164"/>
      <c r="B14" s="164"/>
      <c r="C14" s="164"/>
      <c r="D14" s="156" t="s">
        <v>4851</v>
      </c>
      <c r="E14" s="163" t="s">
        <v>4852</v>
      </c>
      <c r="F14" s="158" t="s">
        <v>4853</v>
      </c>
      <c r="G14" s="159" t="s">
        <v>16</v>
      </c>
      <c r="H14" s="160" t="s">
        <v>4854</v>
      </c>
      <c r="I14" s="161" t="s">
        <v>19</v>
      </c>
      <c r="J14" s="162" t="s">
        <v>4855</v>
      </c>
      <c r="K14" s="163" t="s">
        <v>4856</v>
      </c>
    </row>
    <row r="15" spans="1:11" ht="14.25" customHeight="1">
      <c r="A15" s="164"/>
      <c r="B15" s="164"/>
      <c r="C15" s="164"/>
      <c r="D15" s="164"/>
      <c r="E15" s="163" t="s">
        <v>4857</v>
      </c>
      <c r="F15" s="165"/>
      <c r="G15" s="166"/>
      <c r="H15" s="167"/>
      <c r="I15" s="168"/>
      <c r="J15" s="167"/>
      <c r="K15" s="163" t="s">
        <v>4858</v>
      </c>
    </row>
    <row r="16" spans="1:11" ht="14.25" customHeight="1">
      <c r="A16" s="164"/>
      <c r="B16" s="164"/>
      <c r="C16" s="164"/>
      <c r="D16" s="156" t="s">
        <v>4859</v>
      </c>
      <c r="E16" s="163" t="s">
        <v>4860</v>
      </c>
      <c r="F16" s="158" t="s">
        <v>4861</v>
      </c>
      <c r="G16" s="159" t="s">
        <v>16</v>
      </c>
      <c r="H16" s="160" t="s">
        <v>4862</v>
      </c>
      <c r="I16" s="170" t="s">
        <v>33</v>
      </c>
      <c r="J16" s="162" t="s">
        <v>4863</v>
      </c>
      <c r="K16" s="163" t="s">
        <v>4864</v>
      </c>
    </row>
    <row r="17" spans="1:11" ht="14.25" customHeight="1">
      <c r="A17" s="164"/>
      <c r="B17" s="164"/>
      <c r="C17" s="164"/>
      <c r="D17" s="164"/>
      <c r="E17" s="163" t="s">
        <v>4865</v>
      </c>
      <c r="F17" s="165"/>
      <c r="G17" s="166"/>
      <c r="H17" s="167"/>
      <c r="I17" s="168"/>
      <c r="J17" s="167"/>
      <c r="K17" s="163" t="s">
        <v>4866</v>
      </c>
    </row>
    <row r="18" spans="1:11" ht="14.25" customHeight="1">
      <c r="A18" s="164"/>
      <c r="B18" s="164"/>
      <c r="C18" s="164"/>
      <c r="D18" s="156" t="s">
        <v>4867</v>
      </c>
      <c r="E18" s="163" t="s">
        <v>4868</v>
      </c>
      <c r="F18" s="158" t="s">
        <v>4869</v>
      </c>
      <c r="G18" s="159" t="s">
        <v>38</v>
      </c>
      <c r="H18" s="160" t="s">
        <v>4870</v>
      </c>
      <c r="I18" s="161" t="s">
        <v>19</v>
      </c>
      <c r="J18" s="162" t="s">
        <v>4871</v>
      </c>
      <c r="K18" s="163" t="s">
        <v>4872</v>
      </c>
    </row>
    <row r="19" spans="1:11" ht="14.25" customHeight="1">
      <c r="A19" s="164"/>
      <c r="B19" s="164"/>
      <c r="C19" s="164"/>
      <c r="D19" s="164"/>
      <c r="E19" s="163" t="s">
        <v>4873</v>
      </c>
      <c r="F19" s="165"/>
      <c r="G19" s="166"/>
      <c r="H19" s="167"/>
      <c r="I19" s="168"/>
      <c r="J19" s="167"/>
      <c r="K19" s="163" t="s">
        <v>4874</v>
      </c>
    </row>
    <row r="20" spans="1:11" ht="14.25" customHeight="1">
      <c r="A20" s="164"/>
      <c r="B20" s="164"/>
      <c r="C20" s="164"/>
      <c r="D20" s="156" t="s">
        <v>4875</v>
      </c>
      <c r="E20" s="163" t="s">
        <v>4876</v>
      </c>
      <c r="F20" s="158" t="s">
        <v>4877</v>
      </c>
      <c r="G20" s="159" t="s">
        <v>200</v>
      </c>
      <c r="H20" s="160" t="s">
        <v>4878</v>
      </c>
      <c r="I20" s="169" t="s">
        <v>41</v>
      </c>
      <c r="J20" s="162" t="s">
        <v>4879</v>
      </c>
      <c r="K20" s="163" t="s">
        <v>4880</v>
      </c>
    </row>
    <row r="21" spans="1:11" ht="14.25" customHeight="1">
      <c r="A21" s="164"/>
      <c r="B21" s="164"/>
      <c r="C21" s="164"/>
      <c r="D21" s="164"/>
      <c r="E21" s="163" t="s">
        <v>4881</v>
      </c>
      <c r="F21" s="165"/>
      <c r="G21" s="166"/>
      <c r="H21" s="167"/>
      <c r="I21" s="168"/>
      <c r="J21" s="167"/>
      <c r="K21" s="163" t="s">
        <v>4882</v>
      </c>
    </row>
    <row r="22" spans="1:11" ht="14.25" customHeight="1">
      <c r="A22" s="164"/>
      <c r="B22" s="164"/>
      <c r="C22" s="164"/>
      <c r="D22" s="156" t="s">
        <v>4883</v>
      </c>
      <c r="E22" s="163" t="s">
        <v>4884</v>
      </c>
      <c r="F22" s="158" t="s">
        <v>4885</v>
      </c>
      <c r="G22" s="159" t="s">
        <v>38</v>
      </c>
      <c r="H22" s="160" t="s">
        <v>4886</v>
      </c>
      <c r="I22" s="161" t="s">
        <v>19</v>
      </c>
      <c r="J22" s="162" t="s">
        <v>4887</v>
      </c>
      <c r="K22" s="163" t="s">
        <v>4888</v>
      </c>
    </row>
    <row r="23" spans="1:11" ht="14.25" customHeight="1">
      <c r="A23" s="164"/>
      <c r="B23" s="164"/>
      <c r="C23" s="164"/>
      <c r="D23" s="164"/>
      <c r="E23" s="163" t="s">
        <v>512</v>
      </c>
      <c r="F23" s="165"/>
      <c r="G23" s="166"/>
      <c r="H23" s="167"/>
      <c r="I23" s="168"/>
      <c r="J23" s="167"/>
      <c r="K23" s="163" t="s">
        <v>4889</v>
      </c>
    </row>
    <row r="24" spans="1:11" ht="14.25" customHeight="1">
      <c r="A24" s="164"/>
      <c r="B24" s="164"/>
      <c r="C24" s="164"/>
      <c r="D24" s="156" t="s">
        <v>4890</v>
      </c>
      <c r="E24" s="163" t="s">
        <v>4891</v>
      </c>
      <c r="F24" s="158" t="s">
        <v>4892</v>
      </c>
      <c r="G24" s="159" t="s">
        <v>38</v>
      </c>
      <c r="H24" s="160" t="s">
        <v>4893</v>
      </c>
      <c r="I24" s="170" t="s">
        <v>33</v>
      </c>
      <c r="J24" s="162" t="s">
        <v>4894</v>
      </c>
      <c r="K24" s="163" t="s">
        <v>4895</v>
      </c>
    </row>
    <row r="25" spans="1:11" ht="14.25" customHeight="1">
      <c r="A25" s="164"/>
      <c r="B25" s="164"/>
      <c r="C25" s="164"/>
      <c r="D25" s="164"/>
      <c r="E25" s="163" t="s">
        <v>4896</v>
      </c>
      <c r="F25" s="165"/>
      <c r="G25" s="166"/>
      <c r="H25" s="167"/>
      <c r="I25" s="168"/>
      <c r="J25" s="167"/>
      <c r="K25" s="163" t="s">
        <v>4897</v>
      </c>
    </row>
    <row r="26" spans="1:11" ht="14.25" customHeight="1">
      <c r="A26" s="164"/>
      <c r="B26" s="164"/>
      <c r="C26" s="156" t="s">
        <v>4898</v>
      </c>
      <c r="D26" s="156" t="s">
        <v>4899</v>
      </c>
      <c r="E26" s="163" t="s">
        <v>4900</v>
      </c>
      <c r="F26" s="158" t="s">
        <v>4901</v>
      </c>
      <c r="G26" s="159" t="s">
        <v>16</v>
      </c>
      <c r="H26" s="160" t="s">
        <v>4902</v>
      </c>
      <c r="I26" s="161" t="s">
        <v>19</v>
      </c>
      <c r="J26" s="162" t="s">
        <v>4903</v>
      </c>
      <c r="K26" s="163" t="s">
        <v>4904</v>
      </c>
    </row>
    <row r="27" spans="1:11" ht="14.25" customHeight="1">
      <c r="A27" s="164"/>
      <c r="B27" s="164"/>
      <c r="C27" s="164"/>
      <c r="D27" s="164"/>
      <c r="E27" s="163" t="s">
        <v>4905</v>
      </c>
      <c r="F27" s="165"/>
      <c r="G27" s="166"/>
      <c r="H27" s="167"/>
      <c r="I27" s="168"/>
      <c r="J27" s="167"/>
      <c r="K27" s="163" t="s">
        <v>4906</v>
      </c>
    </row>
    <row r="28" spans="1:11" ht="14.25" customHeight="1">
      <c r="A28" s="164"/>
      <c r="B28" s="164"/>
      <c r="C28" s="164"/>
      <c r="D28" s="156" t="s">
        <v>4907</v>
      </c>
      <c r="E28" s="163" t="s">
        <v>4908</v>
      </c>
      <c r="F28" s="158" t="s">
        <v>4909</v>
      </c>
      <c r="G28" s="159" t="s">
        <v>16</v>
      </c>
      <c r="H28" s="160" t="s">
        <v>4910</v>
      </c>
      <c r="I28" s="169" t="s">
        <v>41</v>
      </c>
      <c r="J28" s="162" t="s">
        <v>4911</v>
      </c>
      <c r="K28" s="163" t="s">
        <v>4912</v>
      </c>
    </row>
    <row r="29" spans="1:11" ht="14.25" customHeight="1">
      <c r="A29" s="164"/>
      <c r="B29" s="164"/>
      <c r="C29" s="164"/>
      <c r="D29" s="164"/>
      <c r="E29" s="163" t="s">
        <v>4913</v>
      </c>
      <c r="F29" s="165"/>
      <c r="G29" s="166"/>
      <c r="H29" s="167"/>
      <c r="I29" s="168"/>
      <c r="J29" s="167"/>
      <c r="K29" s="163" t="s">
        <v>4914</v>
      </c>
    </row>
    <row r="30" spans="1:11" ht="14.25" customHeight="1">
      <c r="A30" s="164"/>
      <c r="B30" s="164"/>
      <c r="C30" s="164"/>
      <c r="D30" s="156" t="s">
        <v>4915</v>
      </c>
      <c r="E30" s="163" t="s">
        <v>4916</v>
      </c>
      <c r="F30" s="158" t="s">
        <v>4917</v>
      </c>
      <c r="G30" s="159" t="s">
        <v>16</v>
      </c>
      <c r="H30" s="160" t="s">
        <v>4918</v>
      </c>
      <c r="I30" s="161" t="s">
        <v>19</v>
      </c>
      <c r="J30" s="162" t="s">
        <v>4919</v>
      </c>
      <c r="K30" s="163" t="s">
        <v>4920</v>
      </c>
    </row>
    <row r="31" spans="1:11" ht="14.25" customHeight="1">
      <c r="A31" s="164"/>
      <c r="B31" s="164"/>
      <c r="C31" s="164"/>
      <c r="D31" s="164"/>
      <c r="E31" s="163" t="s">
        <v>4921</v>
      </c>
      <c r="F31" s="165"/>
      <c r="G31" s="166"/>
      <c r="H31" s="167"/>
      <c r="I31" s="168"/>
      <c r="J31" s="167"/>
      <c r="K31" s="163" t="s">
        <v>4922</v>
      </c>
    </row>
    <row r="32" spans="1:11" ht="14.25" customHeight="1">
      <c r="A32" s="164"/>
      <c r="B32" s="164"/>
      <c r="C32" s="164"/>
      <c r="D32" s="156" t="s">
        <v>4923</v>
      </c>
      <c r="E32" s="163" t="s">
        <v>4924</v>
      </c>
      <c r="F32" s="158" t="s">
        <v>4925</v>
      </c>
      <c r="G32" s="159" t="s">
        <v>38</v>
      </c>
      <c r="H32" s="160" t="s">
        <v>4926</v>
      </c>
      <c r="I32" s="170" t="s">
        <v>33</v>
      </c>
      <c r="J32" s="162" t="s">
        <v>4927</v>
      </c>
      <c r="K32" s="163" t="s">
        <v>4928</v>
      </c>
    </row>
    <row r="33" spans="1:11" ht="14.25" customHeight="1">
      <c r="A33" s="164"/>
      <c r="B33" s="164"/>
      <c r="C33" s="164"/>
      <c r="D33" s="164"/>
      <c r="E33" s="163" t="s">
        <v>4929</v>
      </c>
      <c r="F33" s="165"/>
      <c r="G33" s="166"/>
      <c r="H33" s="167"/>
      <c r="I33" s="168"/>
      <c r="J33" s="167"/>
      <c r="K33" s="163" t="s">
        <v>4930</v>
      </c>
    </row>
    <row r="34" spans="1:11" ht="14.25" customHeight="1">
      <c r="A34" s="164"/>
      <c r="B34" s="164"/>
      <c r="C34" s="164"/>
      <c r="D34" s="156" t="s">
        <v>4931</v>
      </c>
      <c r="E34" s="163" t="s">
        <v>4932</v>
      </c>
      <c r="F34" s="158" t="s">
        <v>4933</v>
      </c>
      <c r="G34" s="159" t="s">
        <v>200</v>
      </c>
      <c r="H34" s="160" t="s">
        <v>4934</v>
      </c>
      <c r="I34" s="161" t="s">
        <v>19</v>
      </c>
      <c r="J34" s="162" t="s">
        <v>4935</v>
      </c>
      <c r="K34" s="163" t="s">
        <v>4936</v>
      </c>
    </row>
    <row r="35" spans="1:11" ht="14.25" customHeight="1">
      <c r="A35" s="164"/>
      <c r="B35" s="164"/>
      <c r="C35" s="164"/>
      <c r="D35" s="164"/>
      <c r="E35" s="163" t="s">
        <v>4937</v>
      </c>
      <c r="F35" s="165"/>
      <c r="G35" s="166"/>
      <c r="H35" s="167"/>
      <c r="I35" s="168"/>
      <c r="J35" s="167"/>
      <c r="K35" s="163" t="s">
        <v>4938</v>
      </c>
    </row>
    <row r="36" spans="1:11" ht="14.25" customHeight="1">
      <c r="A36" s="164"/>
      <c r="B36" s="164"/>
      <c r="C36" s="156" t="s">
        <v>4939</v>
      </c>
      <c r="D36" s="156" t="s">
        <v>4940</v>
      </c>
      <c r="E36" s="163" t="s">
        <v>4941</v>
      </c>
      <c r="F36" s="158" t="s">
        <v>4942</v>
      </c>
      <c r="G36" s="159" t="s">
        <v>38</v>
      </c>
      <c r="H36" s="160" t="s">
        <v>4943</v>
      </c>
      <c r="I36" s="169" t="s">
        <v>41</v>
      </c>
      <c r="J36" s="162" t="s">
        <v>4943</v>
      </c>
      <c r="K36" s="163" t="s">
        <v>4944</v>
      </c>
    </row>
    <row r="37" spans="1:11" ht="14.25" customHeight="1">
      <c r="A37" s="164"/>
      <c r="B37" s="164"/>
      <c r="C37" s="164"/>
      <c r="D37" s="164"/>
      <c r="E37" s="163" t="s">
        <v>4945</v>
      </c>
      <c r="F37" s="165"/>
      <c r="G37" s="166"/>
      <c r="H37" s="167"/>
      <c r="I37" s="168"/>
      <c r="J37" s="167"/>
      <c r="K37" s="163" t="s">
        <v>4946</v>
      </c>
    </row>
    <row r="38" spans="1:11" ht="14.25" customHeight="1">
      <c r="A38" s="164"/>
      <c r="B38" s="164"/>
      <c r="C38" s="164"/>
      <c r="D38" s="156" t="s">
        <v>4947</v>
      </c>
      <c r="E38" s="163" t="s">
        <v>4948</v>
      </c>
      <c r="F38" s="158" t="s">
        <v>4949</v>
      </c>
      <c r="G38" s="159" t="s">
        <v>38</v>
      </c>
      <c r="H38" s="160" t="s">
        <v>4950</v>
      </c>
      <c r="I38" s="161" t="s">
        <v>19</v>
      </c>
      <c r="J38" s="162" t="s">
        <v>4951</v>
      </c>
      <c r="K38" s="163" t="s">
        <v>4952</v>
      </c>
    </row>
    <row r="39" spans="1:11" ht="14.25" customHeight="1">
      <c r="A39" s="164"/>
      <c r="B39" s="164"/>
      <c r="C39" s="164"/>
      <c r="D39" s="164"/>
      <c r="E39" s="163" t="s">
        <v>4953</v>
      </c>
      <c r="F39" s="165"/>
      <c r="G39" s="166"/>
      <c r="H39" s="167"/>
      <c r="I39" s="168"/>
      <c r="J39" s="167"/>
      <c r="K39" s="163" t="s">
        <v>4954</v>
      </c>
    </row>
    <row r="40" spans="1:11" ht="14.25" customHeight="1">
      <c r="A40" s="164"/>
      <c r="B40" s="164"/>
      <c r="C40" s="164"/>
      <c r="D40" s="156" t="s">
        <v>4955</v>
      </c>
      <c r="E40" s="163" t="s">
        <v>4956</v>
      </c>
      <c r="F40" s="158" t="s">
        <v>4957</v>
      </c>
      <c r="G40" s="159" t="s">
        <v>16</v>
      </c>
      <c r="H40" s="160" t="s">
        <v>4958</v>
      </c>
      <c r="I40" s="170" t="s">
        <v>33</v>
      </c>
      <c r="J40" s="162" t="s">
        <v>4958</v>
      </c>
      <c r="K40" s="163" t="s">
        <v>4959</v>
      </c>
    </row>
    <row r="41" spans="1:11" ht="14.25" customHeight="1">
      <c r="A41" s="164"/>
      <c r="B41" s="164"/>
      <c r="C41" s="164"/>
      <c r="D41" s="164"/>
      <c r="E41" s="163" t="s">
        <v>4960</v>
      </c>
      <c r="F41" s="165"/>
      <c r="G41" s="166"/>
      <c r="H41" s="167"/>
      <c r="I41" s="168"/>
      <c r="J41" s="167"/>
      <c r="K41" s="163" t="s">
        <v>4961</v>
      </c>
    </row>
    <row r="42" spans="1:11" ht="14.25" customHeight="1">
      <c r="A42" s="164"/>
      <c r="B42" s="164"/>
      <c r="C42" s="164"/>
      <c r="D42" s="156" t="s">
        <v>4962</v>
      </c>
      <c r="E42" s="163" t="s">
        <v>4963</v>
      </c>
      <c r="F42" s="158" t="s">
        <v>4964</v>
      </c>
      <c r="G42" s="159" t="s">
        <v>16</v>
      </c>
      <c r="H42" s="160" t="s">
        <v>4965</v>
      </c>
      <c r="I42" s="161" t="s">
        <v>19</v>
      </c>
      <c r="J42" s="162" t="s">
        <v>4965</v>
      </c>
      <c r="K42" s="163" t="s">
        <v>4966</v>
      </c>
    </row>
    <row r="43" spans="1:11" ht="14.25" customHeight="1">
      <c r="A43" s="164"/>
      <c r="B43" s="164"/>
      <c r="C43" s="164"/>
      <c r="D43" s="164"/>
      <c r="E43" s="163" t="s">
        <v>4967</v>
      </c>
      <c r="F43" s="165"/>
      <c r="G43" s="166"/>
      <c r="H43" s="167"/>
      <c r="I43" s="168"/>
      <c r="J43" s="167"/>
      <c r="K43" s="163" t="s">
        <v>4968</v>
      </c>
    </row>
    <row r="44" spans="1:11" ht="14.25" customHeight="1">
      <c r="A44" s="164"/>
      <c r="B44" s="164"/>
      <c r="C44" s="164"/>
      <c r="D44" s="156" t="s">
        <v>4969</v>
      </c>
      <c r="E44" s="163" t="s">
        <v>4970</v>
      </c>
      <c r="F44" s="158" t="s">
        <v>4971</v>
      </c>
      <c r="G44" s="159" t="s">
        <v>16</v>
      </c>
      <c r="H44" s="160" t="s">
        <v>4972</v>
      </c>
      <c r="I44" s="169" t="s">
        <v>41</v>
      </c>
      <c r="J44" s="162" t="s">
        <v>4972</v>
      </c>
      <c r="K44" s="163" t="s">
        <v>4973</v>
      </c>
    </row>
    <row r="45" spans="1:11" ht="14.25" customHeight="1">
      <c r="A45" s="164"/>
      <c r="B45" s="164"/>
      <c r="C45" s="164"/>
      <c r="D45" s="164"/>
      <c r="E45" s="163" t="s">
        <v>4974</v>
      </c>
      <c r="F45" s="165"/>
      <c r="G45" s="166"/>
      <c r="H45" s="167"/>
      <c r="I45" s="168"/>
      <c r="J45" s="167"/>
      <c r="K45" s="163" t="s">
        <v>4975</v>
      </c>
    </row>
    <row r="46" spans="1:11" ht="14.25" customHeight="1">
      <c r="A46" s="164"/>
      <c r="B46" s="164"/>
      <c r="C46" s="156" t="s">
        <v>4976</v>
      </c>
      <c r="D46" s="156" t="s">
        <v>4977</v>
      </c>
      <c r="E46" s="163" t="s">
        <v>4978</v>
      </c>
      <c r="F46" s="158" t="s">
        <v>4979</v>
      </c>
      <c r="G46" s="159" t="s">
        <v>38</v>
      </c>
      <c r="H46" s="160" t="s">
        <v>4980</v>
      </c>
      <c r="I46" s="161" t="s">
        <v>19</v>
      </c>
      <c r="J46" s="162" t="s">
        <v>4980</v>
      </c>
      <c r="K46" s="163" t="s">
        <v>4981</v>
      </c>
    </row>
    <row r="47" spans="1:11" ht="14.25" customHeight="1">
      <c r="A47" s="164"/>
      <c r="B47" s="164"/>
      <c r="C47" s="164"/>
      <c r="D47" s="164"/>
      <c r="E47" s="163" t="s">
        <v>4982</v>
      </c>
      <c r="F47" s="165"/>
      <c r="G47" s="166"/>
      <c r="H47" s="167"/>
      <c r="I47" s="168"/>
      <c r="J47" s="167"/>
      <c r="K47" s="163" t="s">
        <v>4983</v>
      </c>
    </row>
    <row r="48" spans="1:11" ht="14.25" customHeight="1">
      <c r="A48" s="164"/>
      <c r="B48" s="164"/>
      <c r="C48" s="164"/>
      <c r="D48" s="156" t="s">
        <v>4984</v>
      </c>
      <c r="E48" s="163" t="s">
        <v>4985</v>
      </c>
      <c r="F48" s="158" t="s">
        <v>4986</v>
      </c>
      <c r="G48" s="159" t="s">
        <v>200</v>
      </c>
      <c r="H48" s="160" t="s">
        <v>4987</v>
      </c>
      <c r="I48" s="170" t="s">
        <v>33</v>
      </c>
      <c r="J48" s="162" t="s">
        <v>4987</v>
      </c>
      <c r="K48" s="163" t="s">
        <v>4988</v>
      </c>
    </row>
    <row r="49" spans="1:11" ht="14.25" customHeight="1">
      <c r="A49" s="164"/>
      <c r="B49" s="164"/>
      <c r="C49" s="164"/>
      <c r="D49" s="164"/>
      <c r="E49" s="163" t="s">
        <v>4989</v>
      </c>
      <c r="F49" s="165"/>
      <c r="G49" s="166"/>
      <c r="H49" s="167"/>
      <c r="I49" s="168"/>
      <c r="J49" s="167"/>
      <c r="K49" s="163" t="s">
        <v>4990</v>
      </c>
    </row>
    <row r="50" spans="1:11" ht="14.25" customHeight="1">
      <c r="A50" s="164"/>
      <c r="B50" s="164"/>
      <c r="C50" s="164"/>
      <c r="D50" s="156" t="s">
        <v>4991</v>
      </c>
      <c r="E50" s="163" t="s">
        <v>4992</v>
      </c>
      <c r="F50" s="158" t="s">
        <v>4993</v>
      </c>
      <c r="G50" s="159" t="s">
        <v>38</v>
      </c>
      <c r="H50" s="160" t="s">
        <v>4994</v>
      </c>
      <c r="I50" s="161" t="s">
        <v>19</v>
      </c>
      <c r="J50" s="162" t="s">
        <v>4994</v>
      </c>
      <c r="K50" s="163" t="s">
        <v>4995</v>
      </c>
    </row>
    <row r="51" spans="1:11" ht="14.25" customHeight="1">
      <c r="A51" s="164"/>
      <c r="B51" s="164"/>
      <c r="C51" s="164"/>
      <c r="D51" s="164"/>
      <c r="E51" s="163" t="s">
        <v>4996</v>
      </c>
      <c r="F51" s="165"/>
      <c r="G51" s="166"/>
      <c r="H51" s="167"/>
      <c r="I51" s="168"/>
      <c r="J51" s="167"/>
      <c r="K51" s="163" t="s">
        <v>4997</v>
      </c>
    </row>
    <row r="52" spans="1:11" ht="14.25" customHeight="1">
      <c r="A52" s="164"/>
      <c r="B52" s="164"/>
      <c r="C52" s="164"/>
      <c r="D52" s="156" t="s">
        <v>4998</v>
      </c>
      <c r="E52" s="163" t="s">
        <v>4999</v>
      </c>
      <c r="F52" s="158" t="s">
        <v>5000</v>
      </c>
      <c r="G52" s="159" t="s">
        <v>38</v>
      </c>
      <c r="H52" s="160" t="s">
        <v>5001</v>
      </c>
      <c r="I52" s="169" t="s">
        <v>41</v>
      </c>
      <c r="J52" s="162" t="s">
        <v>5001</v>
      </c>
      <c r="K52" s="163" t="s">
        <v>5002</v>
      </c>
    </row>
    <row r="53" spans="1:11" ht="14.25" customHeight="1">
      <c r="A53" s="164"/>
      <c r="B53" s="164"/>
      <c r="C53" s="164"/>
      <c r="D53" s="164"/>
      <c r="E53" s="163" t="s">
        <v>5003</v>
      </c>
      <c r="F53" s="165"/>
      <c r="G53" s="166"/>
      <c r="H53" s="167"/>
      <c r="I53" s="168"/>
      <c r="J53" s="167"/>
      <c r="K53" s="163" t="s">
        <v>5004</v>
      </c>
    </row>
    <row r="54" spans="1:11" ht="14.25" customHeight="1">
      <c r="A54" s="164"/>
      <c r="B54" s="164"/>
      <c r="C54" s="164"/>
      <c r="D54" s="156" t="s">
        <v>5005</v>
      </c>
      <c r="E54" s="163" t="s">
        <v>5006</v>
      </c>
      <c r="F54" s="158" t="s">
        <v>5007</v>
      </c>
      <c r="G54" s="159" t="s">
        <v>16</v>
      </c>
      <c r="H54" s="160" t="s">
        <v>5008</v>
      </c>
      <c r="I54" s="161" t="s">
        <v>19</v>
      </c>
      <c r="J54" s="162" t="s">
        <v>5008</v>
      </c>
      <c r="K54" s="163" t="s">
        <v>5009</v>
      </c>
    </row>
    <row r="55" spans="1:11" ht="14.25" customHeight="1">
      <c r="A55" s="164"/>
      <c r="B55" s="164"/>
      <c r="C55" s="164"/>
      <c r="D55" s="164"/>
      <c r="E55" s="163" t="s">
        <v>5010</v>
      </c>
      <c r="F55" s="165"/>
      <c r="G55" s="166"/>
      <c r="H55" s="167"/>
      <c r="I55" s="168"/>
      <c r="J55" s="167"/>
      <c r="K55" s="163" t="s">
        <v>5011</v>
      </c>
    </row>
    <row r="56" spans="1:11" ht="14.25" customHeight="1">
      <c r="A56" s="164"/>
      <c r="B56" s="164"/>
      <c r="C56" s="156" t="s">
        <v>5012</v>
      </c>
      <c r="D56" s="156" t="s">
        <v>5013</v>
      </c>
      <c r="E56" s="163" t="s">
        <v>5014</v>
      </c>
      <c r="F56" s="158" t="s">
        <v>5013</v>
      </c>
      <c r="G56" s="159" t="s">
        <v>16</v>
      </c>
      <c r="H56" s="160" t="s">
        <v>5015</v>
      </c>
      <c r="I56" s="170" t="s">
        <v>33</v>
      </c>
      <c r="J56" s="162" t="s">
        <v>5015</v>
      </c>
      <c r="K56" s="163" t="s">
        <v>5016</v>
      </c>
    </row>
    <row r="57" spans="1:11" ht="14.25" customHeight="1">
      <c r="A57" s="164"/>
      <c r="B57" s="164"/>
      <c r="C57" s="164"/>
      <c r="D57" s="164"/>
      <c r="E57" s="163" t="s">
        <v>5017</v>
      </c>
      <c r="F57" s="165"/>
      <c r="G57" s="166"/>
      <c r="H57" s="167"/>
      <c r="I57" s="168"/>
      <c r="J57" s="167"/>
      <c r="K57" s="163" t="s">
        <v>5018</v>
      </c>
    </row>
    <row r="58" spans="1:11" ht="14.25" customHeight="1">
      <c r="A58" s="164"/>
      <c r="B58" s="164"/>
      <c r="C58" s="164"/>
      <c r="D58" s="156" t="s">
        <v>5019</v>
      </c>
      <c r="E58" s="163" t="s">
        <v>5020</v>
      </c>
      <c r="F58" s="158" t="s">
        <v>5021</v>
      </c>
      <c r="G58" s="159" t="s">
        <v>16</v>
      </c>
      <c r="H58" s="160" t="s">
        <v>5022</v>
      </c>
      <c r="I58" s="161" t="s">
        <v>19</v>
      </c>
      <c r="J58" s="162" t="s">
        <v>5022</v>
      </c>
      <c r="K58" s="163" t="s">
        <v>5023</v>
      </c>
    </row>
    <row r="59" spans="1:11" ht="14.25" customHeight="1">
      <c r="A59" s="164"/>
      <c r="B59" s="164"/>
      <c r="C59" s="164"/>
      <c r="D59" s="164"/>
      <c r="E59" s="163" t="s">
        <v>5024</v>
      </c>
      <c r="F59" s="165"/>
      <c r="G59" s="166"/>
      <c r="H59" s="167"/>
      <c r="I59" s="168"/>
      <c r="J59" s="167"/>
      <c r="K59" s="163" t="s">
        <v>5025</v>
      </c>
    </row>
    <row r="60" spans="1:11" ht="14.25" customHeight="1">
      <c r="A60" s="164"/>
      <c r="B60" s="164"/>
      <c r="C60" s="164"/>
      <c r="D60" s="156" t="s">
        <v>5026</v>
      </c>
      <c r="E60" s="163" t="s">
        <v>5027</v>
      </c>
      <c r="F60" s="158" t="s">
        <v>5026</v>
      </c>
      <c r="G60" s="159" t="s">
        <v>38</v>
      </c>
      <c r="H60" s="160" t="s">
        <v>5028</v>
      </c>
      <c r="I60" s="169" t="s">
        <v>41</v>
      </c>
      <c r="J60" s="162" t="s">
        <v>5028</v>
      </c>
      <c r="K60" s="163" t="s">
        <v>5029</v>
      </c>
    </row>
    <row r="61" spans="1:11" ht="14.25" customHeight="1">
      <c r="A61" s="164"/>
      <c r="B61" s="164"/>
      <c r="C61" s="164"/>
      <c r="D61" s="164"/>
      <c r="E61" s="163" t="s">
        <v>5030</v>
      </c>
      <c r="F61" s="165"/>
      <c r="G61" s="166"/>
      <c r="H61" s="167"/>
      <c r="I61" s="168"/>
      <c r="J61" s="167"/>
      <c r="K61" s="163" t="s">
        <v>4954</v>
      </c>
    </row>
    <row r="62" spans="1:11" ht="14.25" customHeight="1">
      <c r="A62" s="164"/>
      <c r="B62" s="164"/>
      <c r="C62" s="164"/>
      <c r="D62" s="156" t="s">
        <v>5031</v>
      </c>
      <c r="E62" s="163" t="s">
        <v>5032</v>
      </c>
      <c r="F62" s="158" t="s">
        <v>5031</v>
      </c>
      <c r="G62" s="159" t="s">
        <v>200</v>
      </c>
      <c r="H62" s="160" t="s">
        <v>5033</v>
      </c>
      <c r="I62" s="161" t="s">
        <v>19</v>
      </c>
      <c r="J62" s="162" t="s">
        <v>5033</v>
      </c>
      <c r="K62" s="163" t="s">
        <v>4959</v>
      </c>
    </row>
    <row r="63" spans="1:11" ht="14.25" customHeight="1">
      <c r="A63" s="164"/>
      <c r="B63" s="164"/>
      <c r="C63" s="164"/>
      <c r="D63" s="164"/>
      <c r="E63" s="163" t="s">
        <v>5034</v>
      </c>
      <c r="F63" s="165"/>
      <c r="G63" s="166"/>
      <c r="H63" s="167"/>
      <c r="I63" s="168"/>
      <c r="J63" s="167"/>
      <c r="K63" s="163" t="s">
        <v>4961</v>
      </c>
    </row>
    <row r="64" spans="1:11" ht="14.25" customHeight="1">
      <c r="A64" s="164"/>
      <c r="B64" s="164"/>
      <c r="C64" s="164"/>
      <c r="D64" s="156" t="s">
        <v>5035</v>
      </c>
      <c r="E64" s="163" t="s">
        <v>5036</v>
      </c>
      <c r="F64" s="158" t="s">
        <v>5035</v>
      </c>
      <c r="G64" s="159" t="s">
        <v>38</v>
      </c>
      <c r="H64" s="160" t="s">
        <v>5037</v>
      </c>
      <c r="I64" s="170" t="s">
        <v>33</v>
      </c>
      <c r="J64" s="162" t="s">
        <v>5038</v>
      </c>
      <c r="K64" s="163" t="s">
        <v>5039</v>
      </c>
    </row>
    <row r="65" spans="1:11" ht="14.25" customHeight="1">
      <c r="A65" s="164"/>
      <c r="B65" s="164"/>
      <c r="C65" s="164"/>
      <c r="D65" s="164"/>
      <c r="E65" s="163" t="s">
        <v>5040</v>
      </c>
      <c r="F65" s="165"/>
      <c r="G65" s="166"/>
      <c r="H65" s="167"/>
      <c r="I65" s="168"/>
      <c r="J65" s="167"/>
      <c r="K65" s="163" t="s">
        <v>5041</v>
      </c>
    </row>
    <row r="66" spans="1:11" ht="14.25" customHeight="1">
      <c r="A66" s="164"/>
      <c r="B66" s="164"/>
      <c r="C66" s="156" t="s">
        <v>5042</v>
      </c>
      <c r="D66" s="156" t="s">
        <v>5043</v>
      </c>
      <c r="E66" s="163" t="s">
        <v>5044</v>
      </c>
      <c r="F66" s="158" t="s">
        <v>5045</v>
      </c>
      <c r="G66" s="159" t="s">
        <v>38</v>
      </c>
      <c r="H66" s="160" t="s">
        <v>5046</v>
      </c>
      <c r="I66" s="161" t="s">
        <v>19</v>
      </c>
      <c r="J66" s="162" t="s">
        <v>5047</v>
      </c>
      <c r="K66" s="163" t="s">
        <v>5048</v>
      </c>
    </row>
    <row r="67" spans="1:11" ht="14.25" customHeight="1">
      <c r="A67" s="164"/>
      <c r="B67" s="164"/>
      <c r="C67" s="164"/>
      <c r="D67" s="164"/>
      <c r="E67" s="163" t="s">
        <v>5049</v>
      </c>
      <c r="F67" s="165"/>
      <c r="G67" s="166"/>
      <c r="H67" s="167"/>
      <c r="I67" s="168"/>
      <c r="J67" s="167"/>
      <c r="K67" s="163" t="s">
        <v>5050</v>
      </c>
    </row>
    <row r="68" spans="1:11" ht="14.25" customHeight="1">
      <c r="A68" s="164"/>
      <c r="B68" s="164"/>
      <c r="C68" s="164"/>
      <c r="D68" s="156" t="s">
        <v>5051</v>
      </c>
      <c r="E68" s="163" t="s">
        <v>5052</v>
      </c>
      <c r="F68" s="158" t="s">
        <v>5053</v>
      </c>
      <c r="G68" s="159" t="s">
        <v>16</v>
      </c>
      <c r="H68" s="160" t="s">
        <v>5054</v>
      </c>
      <c r="I68" s="169" t="s">
        <v>41</v>
      </c>
      <c r="J68" s="162" t="s">
        <v>5055</v>
      </c>
      <c r="K68" s="163" t="s">
        <v>5056</v>
      </c>
    </row>
    <row r="69" spans="1:11" ht="14.25" customHeight="1">
      <c r="A69" s="164"/>
      <c r="B69" s="164"/>
      <c r="C69" s="164"/>
      <c r="D69" s="164"/>
      <c r="E69" s="163" t="s">
        <v>5057</v>
      </c>
      <c r="F69" s="165"/>
      <c r="G69" s="166"/>
      <c r="H69" s="167"/>
      <c r="I69" s="168"/>
      <c r="J69" s="167"/>
      <c r="K69" s="163" t="s">
        <v>5058</v>
      </c>
    </row>
    <row r="70" spans="1:11" ht="14.25" customHeight="1">
      <c r="A70" s="164"/>
      <c r="B70" s="164"/>
      <c r="C70" s="164"/>
      <c r="D70" s="156" t="s">
        <v>5059</v>
      </c>
      <c r="E70" s="163" t="s">
        <v>5060</v>
      </c>
      <c r="F70" s="158" t="s">
        <v>5061</v>
      </c>
      <c r="G70" s="159" t="s">
        <v>16</v>
      </c>
      <c r="H70" s="160" t="s">
        <v>5062</v>
      </c>
      <c r="I70" s="161" t="s">
        <v>19</v>
      </c>
      <c r="J70" s="162" t="s">
        <v>5063</v>
      </c>
      <c r="K70" s="163" t="s">
        <v>5064</v>
      </c>
    </row>
    <row r="71" spans="1:11" ht="14.25" customHeight="1">
      <c r="A71" s="164"/>
      <c r="B71" s="164"/>
      <c r="C71" s="164"/>
      <c r="D71" s="164"/>
      <c r="E71" s="163" t="s">
        <v>5065</v>
      </c>
      <c r="F71" s="165"/>
      <c r="G71" s="166"/>
      <c r="H71" s="167"/>
      <c r="I71" s="168"/>
      <c r="J71" s="167"/>
      <c r="K71" s="163" t="s">
        <v>5066</v>
      </c>
    </row>
    <row r="72" spans="1:11" ht="14.25" customHeight="1">
      <c r="A72" s="164"/>
      <c r="B72" s="164"/>
      <c r="C72" s="164"/>
      <c r="D72" s="156" t="s">
        <v>5067</v>
      </c>
      <c r="E72" s="163" t="s">
        <v>5068</v>
      </c>
      <c r="F72" s="158" t="s">
        <v>5069</v>
      </c>
      <c r="G72" s="159" t="s">
        <v>16</v>
      </c>
      <c r="H72" s="160" t="s">
        <v>5070</v>
      </c>
      <c r="I72" s="170" t="s">
        <v>33</v>
      </c>
      <c r="J72" s="162" t="s">
        <v>5047</v>
      </c>
      <c r="K72" s="163" t="s">
        <v>5071</v>
      </c>
    </row>
    <row r="73" spans="1:11" ht="14.25" customHeight="1">
      <c r="A73" s="164"/>
      <c r="B73" s="164"/>
      <c r="C73" s="164"/>
      <c r="D73" s="164"/>
      <c r="E73" s="163" t="s">
        <v>5072</v>
      </c>
      <c r="F73" s="165"/>
      <c r="G73" s="166"/>
      <c r="H73" s="167"/>
      <c r="I73" s="168"/>
      <c r="J73" s="167"/>
      <c r="K73" s="163" t="s">
        <v>5073</v>
      </c>
    </row>
    <row r="74" spans="1:11" ht="14.25" customHeight="1">
      <c r="A74" s="164"/>
      <c r="B74" s="164"/>
      <c r="C74" s="164"/>
      <c r="D74" s="156" t="s">
        <v>5074</v>
      </c>
      <c r="E74" s="163" t="s">
        <v>5075</v>
      </c>
      <c r="F74" s="158" t="s">
        <v>5076</v>
      </c>
      <c r="G74" s="159" t="s">
        <v>38</v>
      </c>
      <c r="H74" s="160" t="s">
        <v>5077</v>
      </c>
      <c r="I74" s="161" t="s">
        <v>19</v>
      </c>
      <c r="J74" s="162" t="s">
        <v>5078</v>
      </c>
      <c r="K74" s="163" t="s">
        <v>5079</v>
      </c>
    </row>
    <row r="75" spans="1:11" ht="14.25" customHeight="1">
      <c r="A75" s="164"/>
      <c r="B75" s="164"/>
      <c r="C75" s="164"/>
      <c r="D75" s="164"/>
      <c r="E75" s="163" t="s">
        <v>5080</v>
      </c>
      <c r="F75" s="165"/>
      <c r="G75" s="166"/>
      <c r="H75" s="167"/>
      <c r="I75" s="168"/>
      <c r="J75" s="167"/>
      <c r="K75" s="163" t="s">
        <v>5081</v>
      </c>
    </row>
    <row r="76" spans="1:11" ht="14.25" customHeight="1">
      <c r="A76" s="164"/>
      <c r="B76" s="164"/>
      <c r="C76" s="164"/>
      <c r="D76" s="156" t="s">
        <v>5082</v>
      </c>
      <c r="E76" s="163" t="s">
        <v>5083</v>
      </c>
      <c r="F76" s="158" t="s">
        <v>5084</v>
      </c>
      <c r="G76" s="159" t="s">
        <v>200</v>
      </c>
      <c r="H76" s="160" t="s">
        <v>5085</v>
      </c>
      <c r="I76" s="169" t="s">
        <v>41</v>
      </c>
      <c r="J76" s="162" t="s">
        <v>5086</v>
      </c>
      <c r="K76" s="163" t="s">
        <v>5087</v>
      </c>
    </row>
    <row r="77" spans="1:11" ht="14.25" customHeight="1">
      <c r="A77" s="164"/>
      <c r="B77" s="164"/>
      <c r="C77" s="164"/>
      <c r="D77" s="164"/>
      <c r="E77" s="163" t="s">
        <v>5088</v>
      </c>
      <c r="F77" s="165"/>
      <c r="G77" s="166"/>
      <c r="H77" s="167"/>
      <c r="I77" s="168"/>
      <c r="J77" s="167"/>
      <c r="K77" s="163" t="s">
        <v>5089</v>
      </c>
    </row>
    <row r="78" spans="1:11" ht="14.25" customHeight="1">
      <c r="A78" s="164"/>
      <c r="B78" s="164"/>
      <c r="C78" s="156" t="s">
        <v>5090</v>
      </c>
      <c r="D78" s="156" t="s">
        <v>5091</v>
      </c>
      <c r="E78" s="163" t="s">
        <v>5092</v>
      </c>
      <c r="F78" s="158" t="s">
        <v>5093</v>
      </c>
      <c r="G78" s="159" t="s">
        <v>38</v>
      </c>
      <c r="H78" s="160" t="s">
        <v>5094</v>
      </c>
      <c r="I78" s="161" t="s">
        <v>19</v>
      </c>
      <c r="J78" s="162" t="s">
        <v>5095</v>
      </c>
      <c r="K78" s="163" t="s">
        <v>5096</v>
      </c>
    </row>
    <row r="79" spans="1:11" ht="14.25" customHeight="1">
      <c r="A79" s="164"/>
      <c r="B79" s="164"/>
      <c r="C79" s="164"/>
      <c r="D79" s="164"/>
      <c r="E79" s="163" t="s">
        <v>5097</v>
      </c>
      <c r="F79" s="165"/>
      <c r="G79" s="166"/>
      <c r="H79" s="167"/>
      <c r="I79" s="168"/>
      <c r="J79" s="167"/>
      <c r="K79" s="163" t="s">
        <v>5098</v>
      </c>
    </row>
    <row r="80" spans="1:11" ht="14.25" customHeight="1">
      <c r="A80" s="164"/>
      <c r="B80" s="164"/>
      <c r="C80" s="164"/>
      <c r="D80" s="156" t="s">
        <v>5099</v>
      </c>
      <c r="E80" s="163" t="s">
        <v>5100</v>
      </c>
      <c r="F80" s="158" t="s">
        <v>5101</v>
      </c>
      <c r="G80" s="159" t="s">
        <v>38</v>
      </c>
      <c r="H80" s="160" t="s">
        <v>5102</v>
      </c>
      <c r="I80" s="170" t="s">
        <v>33</v>
      </c>
      <c r="J80" s="162" t="s">
        <v>5103</v>
      </c>
      <c r="K80" s="163" t="s">
        <v>5104</v>
      </c>
    </row>
    <row r="81" spans="1:11" ht="14.25" customHeight="1">
      <c r="A81" s="164"/>
      <c r="B81" s="164"/>
      <c r="C81" s="164"/>
      <c r="D81" s="164"/>
      <c r="E81" s="163" t="s">
        <v>5105</v>
      </c>
      <c r="F81" s="165"/>
      <c r="G81" s="166"/>
      <c r="H81" s="167"/>
      <c r="I81" s="168"/>
      <c r="J81" s="167"/>
      <c r="K81" s="163" t="s">
        <v>5106</v>
      </c>
    </row>
    <row r="82" spans="1:11" ht="14.25" customHeight="1">
      <c r="A82" s="164"/>
      <c r="B82" s="164"/>
      <c r="C82" s="164"/>
      <c r="D82" s="156" t="s">
        <v>5107</v>
      </c>
      <c r="E82" s="163" t="s">
        <v>5108</v>
      </c>
      <c r="F82" s="158" t="s">
        <v>5109</v>
      </c>
      <c r="G82" s="159" t="s">
        <v>16</v>
      </c>
      <c r="H82" s="160" t="s">
        <v>5110</v>
      </c>
      <c r="I82" s="161" t="s">
        <v>19</v>
      </c>
      <c r="J82" s="162" t="s">
        <v>5111</v>
      </c>
      <c r="K82" s="163" t="s">
        <v>5112</v>
      </c>
    </row>
    <row r="83" spans="1:11" ht="14.25" customHeight="1">
      <c r="A83" s="164"/>
      <c r="B83" s="164"/>
      <c r="C83" s="164"/>
      <c r="D83" s="164"/>
      <c r="E83" s="163" t="s">
        <v>5113</v>
      </c>
      <c r="F83" s="165"/>
      <c r="G83" s="166"/>
      <c r="H83" s="167"/>
      <c r="I83" s="168"/>
      <c r="J83" s="167"/>
      <c r="K83" s="163" t="s">
        <v>5114</v>
      </c>
    </row>
    <row r="84" spans="1:11" ht="14.25" customHeight="1">
      <c r="A84" s="164"/>
      <c r="B84" s="164"/>
      <c r="C84" s="164"/>
      <c r="D84" s="156" t="s">
        <v>5115</v>
      </c>
      <c r="E84" s="163" t="s">
        <v>5116</v>
      </c>
      <c r="F84" s="158" t="s">
        <v>5117</v>
      </c>
      <c r="G84" s="159" t="s">
        <v>16</v>
      </c>
      <c r="H84" s="160" t="s">
        <v>5118</v>
      </c>
      <c r="I84" s="169" t="s">
        <v>41</v>
      </c>
      <c r="J84" s="162" t="s">
        <v>5119</v>
      </c>
      <c r="K84" s="163" t="s">
        <v>5120</v>
      </c>
    </row>
    <row r="85" spans="1:11" ht="14.25" customHeight="1">
      <c r="A85" s="164"/>
      <c r="B85" s="164"/>
      <c r="C85" s="164"/>
      <c r="D85" s="164"/>
      <c r="E85" s="163" t="s">
        <v>5121</v>
      </c>
      <c r="F85" s="165"/>
      <c r="G85" s="166"/>
      <c r="H85" s="167"/>
      <c r="I85" s="168"/>
      <c r="J85" s="167"/>
      <c r="K85" s="163" t="s">
        <v>5122</v>
      </c>
    </row>
    <row r="86" spans="1:11" ht="14.25" customHeight="1">
      <c r="A86" s="164"/>
      <c r="B86" s="164"/>
      <c r="C86" s="164"/>
      <c r="D86" s="156" t="s">
        <v>5123</v>
      </c>
      <c r="E86" s="163" t="s">
        <v>4639</v>
      </c>
      <c r="F86" s="158" t="s">
        <v>5124</v>
      </c>
      <c r="G86" s="159" t="s">
        <v>16</v>
      </c>
      <c r="H86" s="160" t="s">
        <v>5125</v>
      </c>
      <c r="I86" s="161" t="s">
        <v>19</v>
      </c>
      <c r="J86" s="162" t="s">
        <v>5111</v>
      </c>
      <c r="K86" s="163" t="s">
        <v>5126</v>
      </c>
    </row>
    <row r="87" spans="1:11" ht="14.25" customHeight="1">
      <c r="A87" s="164"/>
      <c r="B87" s="164"/>
      <c r="C87" s="164"/>
      <c r="D87" s="164"/>
      <c r="E87" s="163" t="s">
        <v>5127</v>
      </c>
      <c r="F87" s="165"/>
      <c r="G87" s="166"/>
      <c r="H87" s="167"/>
      <c r="I87" s="168"/>
      <c r="J87" s="167"/>
      <c r="K87" s="163" t="s">
        <v>5128</v>
      </c>
    </row>
    <row r="88" spans="1:11" ht="14.25" customHeight="1">
      <c r="A88" s="164"/>
      <c r="B88" s="164"/>
      <c r="C88" s="156" t="s">
        <v>5129</v>
      </c>
      <c r="D88" s="156" t="s">
        <v>5130</v>
      </c>
      <c r="E88" s="163" t="s">
        <v>5131</v>
      </c>
      <c r="F88" s="158" t="s">
        <v>5132</v>
      </c>
      <c r="G88" s="159" t="s">
        <v>38</v>
      </c>
      <c r="H88" s="160" t="s">
        <v>5133</v>
      </c>
      <c r="I88" s="170" t="s">
        <v>33</v>
      </c>
      <c r="J88" s="162" t="s">
        <v>5134</v>
      </c>
      <c r="K88" s="163" t="s">
        <v>5135</v>
      </c>
    </row>
    <row r="89" spans="1:11" ht="14.25" customHeight="1">
      <c r="A89" s="164"/>
      <c r="B89" s="164"/>
      <c r="C89" s="164"/>
      <c r="D89" s="164"/>
      <c r="E89" s="163" t="s">
        <v>5136</v>
      </c>
      <c r="F89" s="165"/>
      <c r="G89" s="166"/>
      <c r="H89" s="167"/>
      <c r="I89" s="168"/>
      <c r="J89" s="167"/>
      <c r="K89" s="163" t="s">
        <v>5137</v>
      </c>
    </row>
    <row r="90" spans="1:11" ht="14.25" customHeight="1">
      <c r="A90" s="164"/>
      <c r="B90" s="164"/>
      <c r="C90" s="164"/>
      <c r="D90" s="156" t="s">
        <v>5138</v>
      </c>
      <c r="E90" s="163" t="s">
        <v>5139</v>
      </c>
      <c r="F90" s="158" t="s">
        <v>5140</v>
      </c>
      <c r="G90" s="159" t="s">
        <v>200</v>
      </c>
      <c r="H90" s="160" t="s">
        <v>5141</v>
      </c>
      <c r="I90" s="161" t="s">
        <v>19</v>
      </c>
      <c r="J90" s="162" t="s">
        <v>5142</v>
      </c>
      <c r="K90" s="163" t="s">
        <v>5143</v>
      </c>
    </row>
    <row r="91" spans="1:11" ht="14.25" customHeight="1">
      <c r="A91" s="164"/>
      <c r="B91" s="164"/>
      <c r="C91" s="164"/>
      <c r="D91" s="164"/>
      <c r="E91" s="163" t="s">
        <v>5144</v>
      </c>
      <c r="F91" s="165"/>
      <c r="G91" s="166"/>
      <c r="H91" s="167"/>
      <c r="I91" s="168"/>
      <c r="J91" s="167"/>
      <c r="K91" s="163" t="s">
        <v>5145</v>
      </c>
    </row>
    <row r="92" spans="1:11" ht="14.25" customHeight="1">
      <c r="A92" s="164"/>
      <c r="B92" s="164"/>
      <c r="C92" s="164"/>
      <c r="D92" s="156" t="s">
        <v>5146</v>
      </c>
      <c r="E92" s="163" t="s">
        <v>5147</v>
      </c>
      <c r="F92" s="158" t="s">
        <v>5148</v>
      </c>
      <c r="G92" s="159" t="s">
        <v>38</v>
      </c>
      <c r="H92" s="160" t="s">
        <v>5149</v>
      </c>
      <c r="I92" s="169" t="s">
        <v>41</v>
      </c>
      <c r="J92" s="162" t="s">
        <v>5150</v>
      </c>
      <c r="K92" s="163" t="s">
        <v>5151</v>
      </c>
    </row>
    <row r="93" spans="1:11" ht="14.25" customHeight="1">
      <c r="A93" s="164"/>
      <c r="B93" s="164"/>
      <c r="C93" s="164"/>
      <c r="D93" s="164"/>
      <c r="E93" s="163" t="s">
        <v>5152</v>
      </c>
      <c r="F93" s="165"/>
      <c r="G93" s="166"/>
      <c r="H93" s="167"/>
      <c r="I93" s="168"/>
      <c r="J93" s="167"/>
      <c r="K93" s="163" t="s">
        <v>5153</v>
      </c>
    </row>
    <row r="94" spans="1:11" ht="14.25" customHeight="1">
      <c r="A94" s="164"/>
      <c r="B94" s="164"/>
      <c r="C94" s="164"/>
      <c r="D94" s="156" t="s">
        <v>5154</v>
      </c>
      <c r="E94" s="163" t="s">
        <v>5155</v>
      </c>
      <c r="F94" s="158" t="s">
        <v>5156</v>
      </c>
      <c r="G94" s="159" t="s">
        <v>38</v>
      </c>
      <c r="H94" s="160" t="s">
        <v>5157</v>
      </c>
      <c r="I94" s="161" t="s">
        <v>19</v>
      </c>
      <c r="J94" s="162" t="s">
        <v>5158</v>
      </c>
      <c r="K94" s="163" t="s">
        <v>5159</v>
      </c>
    </row>
    <row r="95" spans="1:11" ht="14.25" customHeight="1">
      <c r="A95" s="164"/>
      <c r="B95" s="164"/>
      <c r="C95" s="164"/>
      <c r="D95" s="164"/>
      <c r="E95" s="163" t="s">
        <v>5160</v>
      </c>
      <c r="F95" s="165"/>
      <c r="G95" s="166"/>
      <c r="H95" s="167"/>
      <c r="I95" s="168"/>
      <c r="J95" s="167"/>
      <c r="K95" s="163" t="s">
        <v>5161</v>
      </c>
    </row>
    <row r="96" spans="1:11" ht="14.25" customHeight="1">
      <c r="A96" s="164"/>
      <c r="B96" s="164"/>
      <c r="C96" s="164"/>
      <c r="D96" s="156" t="s">
        <v>5162</v>
      </c>
      <c r="E96" s="163" t="s">
        <v>5163</v>
      </c>
      <c r="F96" s="158" t="s">
        <v>5164</v>
      </c>
      <c r="G96" s="159" t="s">
        <v>16</v>
      </c>
      <c r="H96" s="160" t="s">
        <v>5165</v>
      </c>
      <c r="I96" s="170" t="s">
        <v>33</v>
      </c>
      <c r="J96" s="162" t="s">
        <v>5166</v>
      </c>
      <c r="K96" s="163" t="s">
        <v>5167</v>
      </c>
    </row>
    <row r="97" spans="1:11" ht="14.25" customHeight="1">
      <c r="A97" s="164"/>
      <c r="B97" s="164"/>
      <c r="C97" s="164"/>
      <c r="D97" s="164"/>
      <c r="E97" s="163" t="s">
        <v>5168</v>
      </c>
      <c r="F97" s="165"/>
      <c r="G97" s="166"/>
      <c r="H97" s="167"/>
      <c r="I97" s="168"/>
      <c r="J97" s="167"/>
      <c r="K97" s="163" t="s">
        <v>5169</v>
      </c>
    </row>
    <row r="98" spans="1:11" ht="14.25" customHeight="1">
      <c r="A98" s="164"/>
      <c r="B98" s="164"/>
      <c r="C98" s="156" t="s">
        <v>5170</v>
      </c>
      <c r="D98" s="156" t="s">
        <v>5171</v>
      </c>
      <c r="E98" s="163" t="s">
        <v>5172</v>
      </c>
      <c r="F98" s="158" t="s">
        <v>5173</v>
      </c>
      <c r="G98" s="159" t="s">
        <v>16</v>
      </c>
      <c r="H98" s="160" t="s">
        <v>5174</v>
      </c>
      <c r="I98" s="161" t="s">
        <v>19</v>
      </c>
      <c r="J98" s="162" t="s">
        <v>5175</v>
      </c>
      <c r="K98" s="163" t="s">
        <v>5176</v>
      </c>
    </row>
    <row r="99" spans="1:11" ht="14.25" customHeight="1">
      <c r="A99" s="164"/>
      <c r="B99" s="164"/>
      <c r="C99" s="164"/>
      <c r="D99" s="164"/>
      <c r="E99" s="163" t="s">
        <v>5177</v>
      </c>
      <c r="F99" s="165"/>
      <c r="G99" s="166"/>
      <c r="H99" s="167"/>
      <c r="I99" s="168"/>
      <c r="J99" s="167"/>
      <c r="K99" s="163" t="s">
        <v>5178</v>
      </c>
    </row>
    <row r="100" spans="1:11" ht="14.25" customHeight="1">
      <c r="A100" s="164"/>
      <c r="B100" s="164"/>
      <c r="C100" s="164"/>
      <c r="D100" s="156" t="s">
        <v>5179</v>
      </c>
      <c r="E100" s="163" t="s">
        <v>5180</v>
      </c>
      <c r="F100" s="158" t="s">
        <v>5181</v>
      </c>
      <c r="G100" s="159" t="s">
        <v>16</v>
      </c>
      <c r="H100" s="160" t="s">
        <v>5182</v>
      </c>
      <c r="I100" s="169" t="s">
        <v>41</v>
      </c>
      <c r="J100" s="162" t="s">
        <v>5183</v>
      </c>
      <c r="K100" s="163" t="s">
        <v>5184</v>
      </c>
    </row>
    <row r="101" spans="1:11" ht="14.25" customHeight="1">
      <c r="A101" s="164"/>
      <c r="B101" s="164"/>
      <c r="C101" s="164"/>
      <c r="D101" s="164"/>
      <c r="E101" s="163" t="s">
        <v>5185</v>
      </c>
      <c r="F101" s="165"/>
      <c r="G101" s="166"/>
      <c r="H101" s="167"/>
      <c r="I101" s="168"/>
      <c r="J101" s="167"/>
      <c r="K101" s="163" t="s">
        <v>5186</v>
      </c>
    </row>
    <row r="102" spans="1:11" ht="14.25" customHeight="1">
      <c r="A102" s="164"/>
      <c r="B102" s="164"/>
      <c r="C102" s="164"/>
      <c r="D102" s="156" t="s">
        <v>5051</v>
      </c>
      <c r="E102" s="163" t="s">
        <v>5187</v>
      </c>
      <c r="F102" s="158" t="s">
        <v>5188</v>
      </c>
      <c r="G102" s="159" t="s">
        <v>38</v>
      </c>
      <c r="H102" s="160" t="s">
        <v>5189</v>
      </c>
      <c r="I102" s="161" t="s">
        <v>19</v>
      </c>
      <c r="J102" s="162" t="s">
        <v>5190</v>
      </c>
      <c r="K102" s="163" t="s">
        <v>5191</v>
      </c>
    </row>
    <row r="103" spans="1:11" ht="14.25" customHeight="1">
      <c r="A103" s="164"/>
      <c r="B103" s="164"/>
      <c r="C103" s="164"/>
      <c r="D103" s="164"/>
      <c r="E103" s="163" t="s">
        <v>5192</v>
      </c>
      <c r="F103" s="165"/>
      <c r="G103" s="166"/>
      <c r="H103" s="167"/>
      <c r="I103" s="168"/>
      <c r="J103" s="167"/>
      <c r="K103" s="163" t="s">
        <v>5193</v>
      </c>
    </row>
    <row r="104" spans="1:11" ht="14.25" customHeight="1">
      <c r="A104" s="164"/>
      <c r="B104" s="164"/>
      <c r="C104" s="164"/>
      <c r="D104" s="156" t="s">
        <v>5059</v>
      </c>
      <c r="E104" s="163" t="s">
        <v>5194</v>
      </c>
      <c r="F104" s="158" t="s">
        <v>5195</v>
      </c>
      <c r="G104" s="159" t="s">
        <v>200</v>
      </c>
      <c r="H104" s="160" t="s">
        <v>5196</v>
      </c>
      <c r="I104" s="170" t="s">
        <v>33</v>
      </c>
      <c r="J104" s="162" t="s">
        <v>5197</v>
      </c>
      <c r="K104" s="163" t="s">
        <v>5198</v>
      </c>
    </row>
    <row r="105" spans="1:11" ht="14.25" customHeight="1">
      <c r="A105" s="164"/>
      <c r="B105" s="164"/>
      <c r="C105" s="164"/>
      <c r="D105" s="164"/>
      <c r="E105" s="163" t="s">
        <v>5199</v>
      </c>
      <c r="F105" s="165"/>
      <c r="G105" s="166"/>
      <c r="H105" s="167"/>
      <c r="I105" s="168"/>
      <c r="J105" s="167"/>
      <c r="K105" s="163" t="s">
        <v>5200</v>
      </c>
    </row>
    <row r="106" spans="1:11" ht="14.25" customHeight="1">
      <c r="A106" s="164"/>
      <c r="B106" s="164"/>
      <c r="C106" s="164"/>
      <c r="D106" s="156" t="s">
        <v>5201</v>
      </c>
      <c r="E106" s="163" t="s">
        <v>5202</v>
      </c>
      <c r="F106" s="158" t="s">
        <v>5203</v>
      </c>
      <c r="G106" s="159" t="s">
        <v>38</v>
      </c>
      <c r="H106" s="160" t="s">
        <v>5204</v>
      </c>
      <c r="I106" s="161" t="s">
        <v>19</v>
      </c>
      <c r="J106" s="162" t="s">
        <v>5205</v>
      </c>
      <c r="K106" s="163" t="s">
        <v>5206</v>
      </c>
    </row>
    <row r="107" spans="1:11" ht="14.25" customHeight="1">
      <c r="A107" s="164"/>
      <c r="B107" s="164"/>
      <c r="C107" s="164"/>
      <c r="D107" s="164"/>
      <c r="E107" s="163" t="s">
        <v>5207</v>
      </c>
      <c r="F107" s="165"/>
      <c r="G107" s="166"/>
      <c r="H107" s="167"/>
      <c r="I107" s="168"/>
      <c r="J107" s="167"/>
      <c r="K107" s="163" t="s">
        <v>5208</v>
      </c>
    </row>
    <row r="108" spans="1:11" ht="14.25" customHeight="1">
      <c r="A108" s="164"/>
      <c r="B108" s="164"/>
      <c r="C108" s="164"/>
      <c r="D108" s="156" t="s">
        <v>5209</v>
      </c>
      <c r="E108" s="163" t="s">
        <v>5210</v>
      </c>
      <c r="F108" s="158" t="s">
        <v>5211</v>
      </c>
      <c r="G108" s="159" t="s">
        <v>38</v>
      </c>
      <c r="H108" s="160" t="s">
        <v>5212</v>
      </c>
      <c r="I108" s="169" t="s">
        <v>41</v>
      </c>
      <c r="J108" s="162" t="s">
        <v>5213</v>
      </c>
      <c r="K108" s="163" t="s">
        <v>5214</v>
      </c>
    </row>
    <row r="109" spans="1:11" ht="14.25" customHeight="1">
      <c r="A109" s="164"/>
      <c r="B109" s="164"/>
      <c r="C109" s="164"/>
      <c r="D109" s="164"/>
      <c r="E109" s="163" t="s">
        <v>5215</v>
      </c>
      <c r="F109" s="165"/>
      <c r="G109" s="166"/>
      <c r="H109" s="167"/>
      <c r="I109" s="168"/>
      <c r="J109" s="167"/>
      <c r="K109" s="163" t="s">
        <v>5216</v>
      </c>
    </row>
    <row r="110" spans="1:11" ht="14.25" customHeight="1">
      <c r="A110" s="164"/>
      <c r="B110" s="155" t="s">
        <v>5217</v>
      </c>
      <c r="C110" s="156" t="s">
        <v>5218</v>
      </c>
      <c r="D110" s="156" t="s">
        <v>5219</v>
      </c>
      <c r="E110" s="157" t="s">
        <v>5220</v>
      </c>
      <c r="F110" s="158" t="s">
        <v>5221</v>
      </c>
      <c r="G110" s="159" t="s">
        <v>16</v>
      </c>
      <c r="H110" s="160" t="s">
        <v>5222</v>
      </c>
      <c r="I110" s="161" t="s">
        <v>19</v>
      </c>
      <c r="J110" s="162" t="s">
        <v>5223</v>
      </c>
      <c r="K110" s="163" t="s">
        <v>5224</v>
      </c>
    </row>
    <row r="111" spans="1:11" ht="14.25" customHeight="1">
      <c r="A111" s="164"/>
      <c r="B111" s="164"/>
      <c r="C111" s="164"/>
      <c r="D111" s="164"/>
      <c r="E111" s="157" t="s">
        <v>5225</v>
      </c>
      <c r="F111" s="165"/>
      <c r="G111" s="166"/>
      <c r="H111" s="167"/>
      <c r="I111" s="168"/>
      <c r="J111" s="167"/>
      <c r="K111" s="163" t="s">
        <v>5226</v>
      </c>
    </row>
    <row r="112" spans="1:11" ht="14.25" customHeight="1">
      <c r="A112" s="164"/>
      <c r="B112" s="164"/>
      <c r="C112" s="164"/>
      <c r="D112" s="156" t="s">
        <v>5227</v>
      </c>
      <c r="E112" s="157" t="s">
        <v>5075</v>
      </c>
      <c r="F112" s="158" t="s">
        <v>5228</v>
      </c>
      <c r="G112" s="159" t="s">
        <v>16</v>
      </c>
      <c r="H112" s="160" t="s">
        <v>5229</v>
      </c>
      <c r="I112" s="170" t="s">
        <v>33</v>
      </c>
      <c r="J112" s="162" t="s">
        <v>5230</v>
      </c>
      <c r="K112" s="163" t="s">
        <v>5231</v>
      </c>
    </row>
    <row r="113" spans="1:11" ht="14.25" customHeight="1">
      <c r="A113" s="164"/>
      <c r="B113" s="164"/>
      <c r="C113" s="164"/>
      <c r="D113" s="164"/>
      <c r="E113" s="157" t="s">
        <v>5215</v>
      </c>
      <c r="F113" s="165"/>
      <c r="G113" s="166"/>
      <c r="H113" s="167"/>
      <c r="I113" s="168"/>
      <c r="J113" s="167"/>
      <c r="K113" s="163" t="s">
        <v>5232</v>
      </c>
    </row>
    <row r="114" spans="1:11" ht="14.25" customHeight="1">
      <c r="A114" s="164"/>
      <c r="B114" s="164"/>
      <c r="C114" s="164"/>
      <c r="D114" s="156" t="s">
        <v>5233</v>
      </c>
      <c r="E114" s="157" t="s">
        <v>5234</v>
      </c>
      <c r="F114" s="158" t="s">
        <v>5235</v>
      </c>
      <c r="G114" s="159" t="s">
        <v>16</v>
      </c>
      <c r="H114" s="160" t="s">
        <v>5236</v>
      </c>
      <c r="I114" s="161" t="s">
        <v>19</v>
      </c>
      <c r="J114" s="162" t="s">
        <v>5237</v>
      </c>
      <c r="K114" s="163" t="s">
        <v>5238</v>
      </c>
    </row>
    <row r="115" spans="1:11" ht="14.25" customHeight="1">
      <c r="A115" s="164"/>
      <c r="B115" s="164"/>
      <c r="C115" s="164"/>
      <c r="D115" s="164"/>
      <c r="E115" s="157" t="s">
        <v>5239</v>
      </c>
      <c r="F115" s="165"/>
      <c r="G115" s="166"/>
      <c r="H115" s="167"/>
      <c r="I115" s="168"/>
      <c r="J115" s="167"/>
      <c r="K115" s="163" t="s">
        <v>5240</v>
      </c>
    </row>
    <row r="116" spans="1:11" ht="14.25" customHeight="1">
      <c r="A116" s="164"/>
      <c r="B116" s="164"/>
      <c r="C116" s="164"/>
      <c r="D116" s="156" t="s">
        <v>5241</v>
      </c>
      <c r="E116" s="157" t="s">
        <v>5242</v>
      </c>
      <c r="F116" s="158" t="s">
        <v>5243</v>
      </c>
      <c r="G116" s="159" t="s">
        <v>38</v>
      </c>
      <c r="H116" s="160" t="s">
        <v>5244</v>
      </c>
      <c r="I116" s="169" t="s">
        <v>41</v>
      </c>
      <c r="J116" s="162" t="s">
        <v>5245</v>
      </c>
      <c r="K116" s="163" t="s">
        <v>5246</v>
      </c>
    </row>
    <row r="117" spans="1:11" ht="14.25" customHeight="1">
      <c r="A117" s="164"/>
      <c r="B117" s="164"/>
      <c r="C117" s="164"/>
      <c r="D117" s="164"/>
      <c r="E117" s="157" t="s">
        <v>5247</v>
      </c>
      <c r="F117" s="165"/>
      <c r="G117" s="166"/>
      <c r="H117" s="167"/>
      <c r="I117" s="168"/>
      <c r="J117" s="167"/>
      <c r="K117" s="163" t="s">
        <v>5248</v>
      </c>
    </row>
    <row r="118" spans="1:11" ht="14.25" customHeight="1">
      <c r="A118" s="164"/>
      <c r="B118" s="164"/>
      <c r="C118" s="164"/>
      <c r="D118" s="156" t="s">
        <v>5249</v>
      </c>
      <c r="E118" s="151" t="s">
        <v>5250</v>
      </c>
      <c r="F118" s="158" t="s">
        <v>5251</v>
      </c>
      <c r="G118" s="159" t="s">
        <v>200</v>
      </c>
      <c r="H118" s="160" t="s">
        <v>5252</v>
      </c>
      <c r="I118" s="161" t="s">
        <v>19</v>
      </c>
      <c r="J118" s="162" t="s">
        <v>5197</v>
      </c>
      <c r="K118" s="163" t="s">
        <v>5253</v>
      </c>
    </row>
    <row r="119" spans="1:11" ht="14.25" customHeight="1">
      <c r="A119" s="164"/>
      <c r="B119" s="164"/>
      <c r="C119" s="164"/>
      <c r="D119" s="164"/>
      <c r="E119" s="151" t="s">
        <v>5254</v>
      </c>
      <c r="F119" s="165"/>
      <c r="G119" s="166"/>
      <c r="H119" s="167"/>
      <c r="I119" s="168"/>
      <c r="J119" s="167"/>
      <c r="K119" s="163" t="s">
        <v>5255</v>
      </c>
    </row>
    <row r="120" spans="1:11" ht="14.25" customHeight="1">
      <c r="A120" s="164"/>
      <c r="B120" s="164"/>
      <c r="C120" s="156" t="s">
        <v>5256</v>
      </c>
      <c r="D120" s="156" t="s">
        <v>5257</v>
      </c>
      <c r="E120" s="171" t="s">
        <v>5258</v>
      </c>
      <c r="F120" s="158" t="s">
        <v>5259</v>
      </c>
      <c r="G120" s="159" t="s">
        <v>38</v>
      </c>
      <c r="H120" s="160" t="s">
        <v>5260</v>
      </c>
      <c r="I120" s="170" t="s">
        <v>33</v>
      </c>
      <c r="J120" s="162" t="s">
        <v>5261</v>
      </c>
      <c r="K120" s="163" t="s">
        <v>5262</v>
      </c>
    </row>
    <row r="121" spans="1:11" ht="14.25" customHeight="1">
      <c r="A121" s="164"/>
      <c r="B121" s="164"/>
      <c r="C121" s="164"/>
      <c r="D121" s="164"/>
      <c r="E121" s="171" t="s">
        <v>5263</v>
      </c>
      <c r="F121" s="165"/>
      <c r="G121" s="166"/>
      <c r="H121" s="167"/>
      <c r="I121" s="168"/>
      <c r="J121" s="167"/>
      <c r="K121" s="163" t="s">
        <v>5264</v>
      </c>
    </row>
    <row r="122" spans="1:11" ht="14.25" customHeight="1">
      <c r="A122" s="164"/>
      <c r="B122" s="164"/>
      <c r="C122" s="164"/>
      <c r="D122" s="156" t="s">
        <v>5265</v>
      </c>
      <c r="E122" s="171" t="s">
        <v>5266</v>
      </c>
      <c r="F122" s="158" t="s">
        <v>5267</v>
      </c>
      <c r="G122" s="159" t="s">
        <v>38</v>
      </c>
      <c r="H122" s="160" t="s">
        <v>5268</v>
      </c>
      <c r="I122" s="161" t="s">
        <v>19</v>
      </c>
      <c r="J122" s="162" t="s">
        <v>5269</v>
      </c>
      <c r="K122" s="163" t="s">
        <v>5270</v>
      </c>
    </row>
    <row r="123" spans="1:11" ht="14.25" customHeight="1">
      <c r="A123" s="164"/>
      <c r="B123" s="164"/>
      <c r="C123" s="164"/>
      <c r="D123" s="164"/>
      <c r="E123" s="171" t="s">
        <v>5271</v>
      </c>
      <c r="F123" s="165"/>
      <c r="G123" s="166"/>
      <c r="H123" s="167"/>
      <c r="I123" s="168"/>
      <c r="J123" s="167"/>
      <c r="K123" s="163" t="s">
        <v>5272</v>
      </c>
    </row>
    <row r="124" spans="1:11" ht="14.25" customHeight="1">
      <c r="A124" s="164"/>
      <c r="B124" s="164"/>
      <c r="C124" s="164"/>
      <c r="D124" s="156" t="s">
        <v>5273</v>
      </c>
      <c r="E124" s="157" t="s">
        <v>5274</v>
      </c>
      <c r="F124" s="158" t="s">
        <v>5275</v>
      </c>
      <c r="G124" s="159" t="s">
        <v>16</v>
      </c>
      <c r="H124" s="160" t="s">
        <v>5276</v>
      </c>
      <c r="I124" s="169" t="s">
        <v>41</v>
      </c>
      <c r="J124" s="162" t="s">
        <v>5277</v>
      </c>
      <c r="K124" s="163" t="s">
        <v>5278</v>
      </c>
    </row>
    <row r="125" spans="1:11" ht="14.25" customHeight="1">
      <c r="A125" s="164"/>
      <c r="B125" s="164"/>
      <c r="C125" s="164"/>
      <c r="D125" s="164"/>
      <c r="E125" s="171" t="s">
        <v>5279</v>
      </c>
      <c r="F125" s="165"/>
      <c r="G125" s="166"/>
      <c r="H125" s="167"/>
      <c r="I125" s="168"/>
      <c r="J125" s="167"/>
      <c r="K125" s="163" t="s">
        <v>5280</v>
      </c>
    </row>
    <row r="126" spans="1:11" ht="14.25" customHeight="1">
      <c r="A126" s="164"/>
      <c r="B126" s="164"/>
      <c r="C126" s="164"/>
      <c r="D126" s="156" t="s">
        <v>5281</v>
      </c>
      <c r="E126" s="163" t="s">
        <v>5282</v>
      </c>
      <c r="F126" s="158" t="s">
        <v>5283</v>
      </c>
      <c r="G126" s="159" t="s">
        <v>16</v>
      </c>
      <c r="H126" s="160" t="s">
        <v>5284</v>
      </c>
      <c r="I126" s="161" t="s">
        <v>19</v>
      </c>
      <c r="J126" s="162" t="s">
        <v>5285</v>
      </c>
      <c r="K126" s="163" t="s">
        <v>5286</v>
      </c>
    </row>
    <row r="127" spans="1:11" ht="14.25" customHeight="1">
      <c r="A127" s="164"/>
      <c r="B127" s="164"/>
      <c r="C127" s="164"/>
      <c r="D127" s="164"/>
      <c r="E127" s="163" t="s">
        <v>5287</v>
      </c>
      <c r="F127" s="165"/>
      <c r="G127" s="166"/>
      <c r="H127" s="167"/>
      <c r="I127" s="168"/>
      <c r="J127" s="167"/>
      <c r="K127" s="163" t="s">
        <v>5288</v>
      </c>
    </row>
    <row r="128" spans="1:11" ht="14.25" customHeight="1">
      <c r="A128" s="164"/>
      <c r="B128" s="164"/>
      <c r="C128" s="164"/>
      <c r="D128" s="156" t="s">
        <v>5289</v>
      </c>
      <c r="E128" s="163" t="s">
        <v>5290</v>
      </c>
      <c r="F128" s="158" t="s">
        <v>5291</v>
      </c>
      <c r="G128" s="159" t="s">
        <v>16</v>
      </c>
      <c r="H128" s="160" t="s">
        <v>5292</v>
      </c>
      <c r="I128" s="170" t="s">
        <v>33</v>
      </c>
      <c r="J128" s="162" t="s">
        <v>5293</v>
      </c>
      <c r="K128" s="163" t="s">
        <v>5294</v>
      </c>
    </row>
    <row r="129" spans="1:11" ht="14.25" customHeight="1">
      <c r="A129" s="164"/>
      <c r="B129" s="164"/>
      <c r="C129" s="164"/>
      <c r="D129" s="164"/>
      <c r="E129" s="163" t="s">
        <v>5295</v>
      </c>
      <c r="F129" s="165"/>
      <c r="G129" s="166"/>
      <c r="H129" s="167"/>
      <c r="I129" s="168"/>
      <c r="J129" s="167"/>
      <c r="K129" s="163" t="s">
        <v>5296</v>
      </c>
    </row>
    <row r="130" spans="1:11" ht="14.25" customHeight="1">
      <c r="A130" s="164"/>
      <c r="B130" s="164"/>
      <c r="C130" s="156" t="s">
        <v>5297</v>
      </c>
      <c r="D130" s="156" t="s">
        <v>5298</v>
      </c>
      <c r="E130" s="163" t="s">
        <v>5299</v>
      </c>
      <c r="F130" s="158" t="s">
        <v>5300</v>
      </c>
      <c r="G130" s="159" t="s">
        <v>38</v>
      </c>
      <c r="H130" s="160" t="s">
        <v>5301</v>
      </c>
      <c r="I130" s="161" t="s">
        <v>19</v>
      </c>
      <c r="J130" s="162" t="s">
        <v>5302</v>
      </c>
      <c r="K130" s="163" t="s">
        <v>5303</v>
      </c>
    </row>
    <row r="131" spans="1:11" ht="14.25" customHeight="1">
      <c r="A131" s="164"/>
      <c r="B131" s="164"/>
      <c r="C131" s="164"/>
      <c r="D131" s="164"/>
      <c r="E131" s="163" t="s">
        <v>5304</v>
      </c>
      <c r="F131" s="165"/>
      <c r="G131" s="166"/>
      <c r="H131" s="167"/>
      <c r="I131" s="168"/>
      <c r="J131" s="167"/>
      <c r="K131" s="163" t="s">
        <v>5305</v>
      </c>
    </row>
    <row r="132" spans="1:11" ht="14.25" customHeight="1">
      <c r="A132" s="164"/>
      <c r="B132" s="164"/>
      <c r="C132" s="164"/>
      <c r="D132" s="156" t="s">
        <v>5306</v>
      </c>
      <c r="E132" s="163" t="s">
        <v>5307</v>
      </c>
      <c r="F132" s="158" t="s">
        <v>5308</v>
      </c>
      <c r="G132" s="159" t="s">
        <v>200</v>
      </c>
      <c r="H132" s="160" t="s">
        <v>5309</v>
      </c>
      <c r="I132" s="169" t="s">
        <v>41</v>
      </c>
      <c r="J132" s="162" t="s">
        <v>5310</v>
      </c>
      <c r="K132" s="163" t="s">
        <v>5311</v>
      </c>
    </row>
    <row r="133" spans="1:11" ht="14.25" customHeight="1">
      <c r="A133" s="164"/>
      <c r="B133" s="164"/>
      <c r="C133" s="164"/>
      <c r="D133" s="164"/>
      <c r="E133" s="163" t="s">
        <v>5312</v>
      </c>
      <c r="F133" s="165"/>
      <c r="G133" s="166"/>
      <c r="H133" s="167"/>
      <c r="I133" s="168"/>
      <c r="J133" s="167"/>
      <c r="K133" s="163" t="s">
        <v>5313</v>
      </c>
    </row>
    <row r="134" spans="1:11" ht="14.25" customHeight="1">
      <c r="A134" s="164"/>
      <c r="B134" s="164"/>
      <c r="C134" s="164"/>
      <c r="D134" s="156" t="s">
        <v>5314</v>
      </c>
      <c r="E134" s="163" t="s">
        <v>5315</v>
      </c>
      <c r="F134" s="158" t="s">
        <v>5316</v>
      </c>
      <c r="G134" s="159" t="s">
        <v>38</v>
      </c>
      <c r="H134" s="160" t="s">
        <v>5317</v>
      </c>
      <c r="I134" s="161" t="s">
        <v>19</v>
      </c>
      <c r="J134" s="162" t="s">
        <v>5318</v>
      </c>
      <c r="K134" s="163" t="s">
        <v>5319</v>
      </c>
    </row>
    <row r="135" spans="1:11" ht="14.25" customHeight="1">
      <c r="A135" s="164"/>
      <c r="B135" s="164"/>
      <c r="C135" s="164"/>
      <c r="D135" s="164"/>
      <c r="E135" s="163" t="s">
        <v>5320</v>
      </c>
      <c r="F135" s="165"/>
      <c r="G135" s="166"/>
      <c r="H135" s="167"/>
      <c r="I135" s="168"/>
      <c r="J135" s="167"/>
      <c r="K135" s="163" t="s">
        <v>5321</v>
      </c>
    </row>
    <row r="136" spans="1:11" ht="14.25" customHeight="1">
      <c r="A136" s="164"/>
      <c r="B136" s="164"/>
      <c r="C136" s="164"/>
      <c r="D136" s="156" t="s">
        <v>5322</v>
      </c>
      <c r="E136" s="163" t="s">
        <v>5323</v>
      </c>
      <c r="F136" s="158" t="s">
        <v>5324</v>
      </c>
      <c r="G136" s="159" t="s">
        <v>38</v>
      </c>
      <c r="H136" s="160" t="s">
        <v>5325</v>
      </c>
      <c r="I136" s="170" t="s">
        <v>33</v>
      </c>
      <c r="J136" s="162" t="s">
        <v>5326</v>
      </c>
      <c r="K136" s="163" t="s">
        <v>5327</v>
      </c>
    </row>
    <row r="137" spans="1:11" ht="14.25" customHeight="1">
      <c r="A137" s="164"/>
      <c r="B137" s="164"/>
      <c r="C137" s="164"/>
      <c r="D137" s="164"/>
      <c r="E137" s="163" t="s">
        <v>5328</v>
      </c>
      <c r="F137" s="165"/>
      <c r="G137" s="166"/>
      <c r="H137" s="167"/>
      <c r="I137" s="168"/>
      <c r="J137" s="167"/>
      <c r="K137" s="163" t="s">
        <v>5329</v>
      </c>
    </row>
    <row r="138" spans="1:11" ht="14.25" customHeight="1">
      <c r="A138" s="164"/>
      <c r="B138" s="164"/>
      <c r="C138" s="164"/>
      <c r="D138" s="156" t="s">
        <v>5330</v>
      </c>
      <c r="E138" s="163" t="s">
        <v>5331</v>
      </c>
      <c r="F138" s="158" t="s">
        <v>5332</v>
      </c>
      <c r="G138" s="159" t="s">
        <v>16</v>
      </c>
      <c r="H138" s="160" t="s">
        <v>5333</v>
      </c>
      <c r="I138" s="161" t="s">
        <v>19</v>
      </c>
      <c r="J138" s="162" t="s">
        <v>5334</v>
      </c>
      <c r="K138" s="163" t="s">
        <v>5335</v>
      </c>
    </row>
    <row r="139" spans="1:11" ht="14.25" customHeight="1">
      <c r="A139" s="164"/>
      <c r="B139" s="164"/>
      <c r="C139" s="164"/>
      <c r="D139" s="164"/>
      <c r="E139" s="163" t="s">
        <v>5336</v>
      </c>
      <c r="F139" s="165"/>
      <c r="G139" s="166"/>
      <c r="H139" s="167"/>
      <c r="I139" s="168"/>
      <c r="J139" s="167"/>
      <c r="K139" s="163" t="s">
        <v>5248</v>
      </c>
    </row>
    <row r="140" spans="1:11" ht="14.25" customHeight="1">
      <c r="A140" s="164"/>
      <c r="B140" s="164"/>
      <c r="C140" s="156" t="s">
        <v>5337</v>
      </c>
      <c r="D140" s="156" t="s">
        <v>5338</v>
      </c>
      <c r="E140" s="163" t="s">
        <v>5339</v>
      </c>
      <c r="F140" s="158" t="s">
        <v>5340</v>
      </c>
      <c r="G140" s="159" t="s">
        <v>16</v>
      </c>
      <c r="H140" s="160" t="s">
        <v>5341</v>
      </c>
      <c r="I140" s="169" t="s">
        <v>41</v>
      </c>
      <c r="J140" s="162" t="s">
        <v>5342</v>
      </c>
      <c r="K140" s="163" t="s">
        <v>5343</v>
      </c>
    </row>
    <row r="141" spans="1:11" ht="14.25" customHeight="1">
      <c r="A141" s="164"/>
      <c r="B141" s="164"/>
      <c r="C141" s="164"/>
      <c r="D141" s="164"/>
      <c r="E141" s="163" t="s">
        <v>5344</v>
      </c>
      <c r="F141" s="165"/>
      <c r="G141" s="166"/>
      <c r="H141" s="167"/>
      <c r="I141" s="168"/>
      <c r="J141" s="167"/>
      <c r="K141" s="163" t="s">
        <v>5345</v>
      </c>
    </row>
    <row r="142" spans="1:11" ht="14.25" customHeight="1">
      <c r="A142" s="164"/>
      <c r="B142" s="164"/>
      <c r="C142" s="164"/>
      <c r="D142" s="156" t="s">
        <v>5346</v>
      </c>
      <c r="E142" s="163" t="s">
        <v>5347</v>
      </c>
      <c r="F142" s="158" t="s">
        <v>5348</v>
      </c>
      <c r="G142" s="159" t="s">
        <v>16</v>
      </c>
      <c r="H142" s="160" t="s">
        <v>5349</v>
      </c>
      <c r="I142" s="161" t="s">
        <v>19</v>
      </c>
      <c r="J142" s="162" t="s">
        <v>5350</v>
      </c>
      <c r="K142" s="163" t="s">
        <v>5351</v>
      </c>
    </row>
    <row r="143" spans="1:11" ht="14.25" customHeight="1">
      <c r="A143" s="164"/>
      <c r="B143" s="164"/>
      <c r="C143" s="164"/>
      <c r="D143" s="164"/>
      <c r="E143" s="163" t="s">
        <v>5352</v>
      </c>
      <c r="F143" s="165"/>
      <c r="G143" s="166"/>
      <c r="H143" s="167"/>
      <c r="I143" s="168"/>
      <c r="J143" s="167"/>
      <c r="K143" s="163" t="s">
        <v>5353</v>
      </c>
    </row>
    <row r="144" spans="1:11" ht="14.25" customHeight="1">
      <c r="A144" s="164"/>
      <c r="B144" s="164"/>
      <c r="C144" s="164"/>
      <c r="D144" s="156" t="s">
        <v>5354</v>
      </c>
      <c r="E144" s="163" t="s">
        <v>5355</v>
      </c>
      <c r="F144" s="158" t="s">
        <v>5356</v>
      </c>
      <c r="G144" s="159" t="s">
        <v>38</v>
      </c>
      <c r="H144" s="160" t="s">
        <v>5357</v>
      </c>
      <c r="I144" s="170" t="s">
        <v>33</v>
      </c>
      <c r="J144" s="162" t="s">
        <v>5358</v>
      </c>
      <c r="K144" s="163" t="s">
        <v>5359</v>
      </c>
    </row>
    <row r="145" spans="1:11" ht="14.25" customHeight="1">
      <c r="A145" s="164"/>
      <c r="B145" s="164"/>
      <c r="C145" s="164"/>
      <c r="D145" s="164"/>
      <c r="E145" s="163" t="s">
        <v>5360</v>
      </c>
      <c r="F145" s="165"/>
      <c r="G145" s="166"/>
      <c r="H145" s="167"/>
      <c r="I145" s="168"/>
      <c r="J145" s="167"/>
      <c r="K145" s="163" t="s">
        <v>5361</v>
      </c>
    </row>
    <row r="146" spans="1:11" ht="14.25" customHeight="1">
      <c r="A146" s="164"/>
      <c r="B146" s="164"/>
      <c r="C146" s="164"/>
      <c r="D146" s="156" t="s">
        <v>5362</v>
      </c>
      <c r="E146" s="163" t="s">
        <v>5363</v>
      </c>
      <c r="F146" s="158" t="s">
        <v>5364</v>
      </c>
      <c r="G146" s="159" t="s">
        <v>200</v>
      </c>
      <c r="H146" s="160" t="s">
        <v>5365</v>
      </c>
      <c r="I146" s="161" t="s">
        <v>19</v>
      </c>
      <c r="J146" s="162" t="s">
        <v>5366</v>
      </c>
      <c r="K146" s="163" t="s">
        <v>5367</v>
      </c>
    </row>
    <row r="147" spans="1:11" ht="14.25" customHeight="1">
      <c r="A147" s="164"/>
      <c r="B147" s="164"/>
      <c r="C147" s="164"/>
      <c r="D147" s="164"/>
      <c r="E147" s="163" t="s">
        <v>5368</v>
      </c>
      <c r="F147" s="165"/>
      <c r="G147" s="166"/>
      <c r="H147" s="167"/>
      <c r="I147" s="168"/>
      <c r="J147" s="167"/>
      <c r="K147" s="163" t="s">
        <v>5369</v>
      </c>
    </row>
    <row r="148" spans="1:11" ht="14.25" customHeight="1">
      <c r="A148" s="164"/>
      <c r="B148" s="164"/>
      <c r="C148" s="164"/>
      <c r="D148" s="156" t="s">
        <v>5370</v>
      </c>
      <c r="E148" s="163" t="s">
        <v>5371</v>
      </c>
      <c r="F148" s="158" t="s">
        <v>5372</v>
      </c>
      <c r="G148" s="159" t="s">
        <v>38</v>
      </c>
      <c r="H148" s="160" t="s">
        <v>5373</v>
      </c>
      <c r="I148" s="169" t="s">
        <v>41</v>
      </c>
      <c r="J148" s="162" t="s">
        <v>5374</v>
      </c>
      <c r="K148" s="163" t="s">
        <v>5375</v>
      </c>
    </row>
    <row r="149" spans="1:11" ht="14.25" customHeight="1">
      <c r="A149" s="164"/>
      <c r="B149" s="164"/>
      <c r="C149" s="164"/>
      <c r="D149" s="164"/>
      <c r="E149" s="163" t="s">
        <v>1708</v>
      </c>
      <c r="F149" s="165"/>
      <c r="G149" s="166"/>
      <c r="H149" s="167"/>
      <c r="I149" s="168"/>
      <c r="J149" s="167"/>
      <c r="K149" s="163" t="s">
        <v>5376</v>
      </c>
    </row>
    <row r="150" spans="1:11" ht="14.25" customHeight="1">
      <c r="A150" s="164"/>
      <c r="B150" s="164"/>
      <c r="C150" s="156" t="s">
        <v>5377</v>
      </c>
      <c r="D150" s="156" t="s">
        <v>5378</v>
      </c>
      <c r="E150" s="163" t="s">
        <v>5379</v>
      </c>
      <c r="F150" s="158" t="s">
        <v>5380</v>
      </c>
      <c r="G150" s="159" t="s">
        <v>38</v>
      </c>
      <c r="H150" s="160" t="s">
        <v>5381</v>
      </c>
      <c r="I150" s="161" t="s">
        <v>19</v>
      </c>
      <c r="J150" s="162" t="s">
        <v>5382</v>
      </c>
      <c r="K150" s="163" t="s">
        <v>5383</v>
      </c>
    </row>
    <row r="151" spans="1:11" ht="14.25" customHeight="1">
      <c r="A151" s="164"/>
      <c r="B151" s="164"/>
      <c r="C151" s="164"/>
      <c r="D151" s="164"/>
      <c r="E151" s="163" t="s">
        <v>5384</v>
      </c>
      <c r="F151" s="165"/>
      <c r="G151" s="166"/>
      <c r="H151" s="167"/>
      <c r="I151" s="168"/>
      <c r="J151" s="167"/>
      <c r="K151" s="163" t="s">
        <v>5385</v>
      </c>
    </row>
    <row r="152" spans="1:11" ht="14.25" customHeight="1">
      <c r="A152" s="164"/>
      <c r="B152" s="164"/>
      <c r="C152" s="164"/>
      <c r="D152" s="156" t="s">
        <v>5386</v>
      </c>
      <c r="E152" s="163" t="s">
        <v>5387</v>
      </c>
      <c r="F152" s="158" t="s">
        <v>5388</v>
      </c>
      <c r="G152" s="159" t="s">
        <v>16</v>
      </c>
      <c r="H152" s="160" t="s">
        <v>5389</v>
      </c>
      <c r="I152" s="170" t="s">
        <v>33</v>
      </c>
      <c r="J152" s="162" t="s">
        <v>5245</v>
      </c>
      <c r="K152" s="163" t="s">
        <v>5390</v>
      </c>
    </row>
    <row r="153" spans="1:11" ht="14.25" customHeight="1">
      <c r="A153" s="164"/>
      <c r="B153" s="164"/>
      <c r="C153" s="164"/>
      <c r="D153" s="164"/>
      <c r="E153" s="163" t="s">
        <v>5391</v>
      </c>
      <c r="F153" s="165"/>
      <c r="G153" s="166"/>
      <c r="H153" s="167"/>
      <c r="I153" s="168"/>
      <c r="J153" s="167"/>
      <c r="K153" s="163" t="s">
        <v>5392</v>
      </c>
    </row>
    <row r="154" spans="1:11" ht="14.25" customHeight="1">
      <c r="A154" s="164"/>
      <c r="B154" s="164"/>
      <c r="C154" s="164"/>
      <c r="D154" s="156" t="s">
        <v>5393</v>
      </c>
      <c r="E154" s="163" t="s">
        <v>5394</v>
      </c>
      <c r="F154" s="158" t="s">
        <v>5395</v>
      </c>
      <c r="G154" s="159" t="s">
        <v>16</v>
      </c>
      <c r="H154" s="160" t="s">
        <v>5396</v>
      </c>
      <c r="I154" s="161" t="s">
        <v>19</v>
      </c>
      <c r="J154" s="162" t="s">
        <v>5397</v>
      </c>
      <c r="K154" s="163" t="s">
        <v>5398</v>
      </c>
    </row>
    <row r="155" spans="1:11" ht="14.25" customHeight="1">
      <c r="A155" s="164"/>
      <c r="B155" s="164"/>
      <c r="C155" s="164"/>
      <c r="D155" s="164"/>
      <c r="E155" s="163" t="s">
        <v>5399</v>
      </c>
      <c r="F155" s="165"/>
      <c r="G155" s="166"/>
      <c r="H155" s="167"/>
      <c r="I155" s="168"/>
      <c r="J155" s="167"/>
      <c r="K155" s="163" t="s">
        <v>5400</v>
      </c>
    </row>
    <row r="156" spans="1:11" ht="14.25" customHeight="1">
      <c r="A156" s="164"/>
      <c r="B156" s="164"/>
      <c r="C156" s="164"/>
      <c r="D156" s="156" t="s">
        <v>5401</v>
      </c>
      <c r="E156" s="163" t="s">
        <v>5402</v>
      </c>
      <c r="F156" s="158" t="s">
        <v>5403</v>
      </c>
      <c r="G156" s="159" t="s">
        <v>16</v>
      </c>
      <c r="H156" s="160" t="s">
        <v>5404</v>
      </c>
      <c r="I156" s="161" t="s">
        <v>19</v>
      </c>
      <c r="J156" s="162" t="s">
        <v>5405</v>
      </c>
      <c r="K156" s="163" t="s">
        <v>5406</v>
      </c>
    </row>
    <row r="157" spans="1:11" ht="14.25" customHeight="1">
      <c r="A157" s="164"/>
      <c r="B157" s="164"/>
      <c r="C157" s="164"/>
      <c r="D157" s="164"/>
      <c r="E157" s="163" t="s">
        <v>5407</v>
      </c>
      <c r="F157" s="165"/>
      <c r="G157" s="166"/>
      <c r="H157" s="167"/>
      <c r="I157" s="168"/>
      <c r="J157" s="167"/>
      <c r="K157" s="163" t="s">
        <v>5408</v>
      </c>
    </row>
    <row r="158" spans="1:11" ht="14.25" customHeight="1">
      <c r="A158" s="164"/>
      <c r="B158" s="164"/>
      <c r="C158" s="164"/>
      <c r="D158" s="156" t="s">
        <v>5409</v>
      </c>
      <c r="E158" s="163" t="s">
        <v>5410</v>
      </c>
      <c r="F158" s="158" t="s">
        <v>5411</v>
      </c>
      <c r="G158" s="159" t="s">
        <v>38</v>
      </c>
      <c r="H158" s="160" t="s">
        <v>5412</v>
      </c>
      <c r="I158" s="170" t="s">
        <v>33</v>
      </c>
      <c r="J158" s="162" t="s">
        <v>5413</v>
      </c>
      <c r="K158" s="163" t="s">
        <v>5414</v>
      </c>
    </row>
    <row r="159" spans="1:11" ht="14.25" customHeight="1">
      <c r="A159" s="164"/>
      <c r="B159" s="164"/>
      <c r="C159" s="164"/>
      <c r="D159" s="164"/>
      <c r="E159" s="163" t="s">
        <v>5415</v>
      </c>
      <c r="F159" s="165"/>
      <c r="G159" s="166"/>
      <c r="H159" s="167"/>
      <c r="I159" s="168"/>
      <c r="J159" s="167"/>
      <c r="K159" s="163" t="s">
        <v>5416</v>
      </c>
    </row>
    <row r="160" spans="1:11" ht="14.25" customHeight="1">
      <c r="A160" s="164"/>
      <c r="B160" s="164"/>
      <c r="C160" s="156" t="s">
        <v>5417</v>
      </c>
      <c r="D160" s="156" t="s">
        <v>5418</v>
      </c>
      <c r="E160" s="163" t="s">
        <v>5419</v>
      </c>
      <c r="F160" s="158" t="s">
        <v>5420</v>
      </c>
      <c r="G160" s="159" t="s">
        <v>200</v>
      </c>
      <c r="H160" s="160" t="s">
        <v>5421</v>
      </c>
      <c r="I160" s="169" t="s">
        <v>41</v>
      </c>
      <c r="J160" s="162" t="s">
        <v>5422</v>
      </c>
      <c r="K160" s="163" t="s">
        <v>5423</v>
      </c>
    </row>
    <row r="161" spans="1:11" ht="14.25" customHeight="1">
      <c r="A161" s="164"/>
      <c r="B161" s="164"/>
      <c r="C161" s="164"/>
      <c r="D161" s="164"/>
      <c r="E161" s="163" t="s">
        <v>5424</v>
      </c>
      <c r="F161" s="165"/>
      <c r="G161" s="166"/>
      <c r="H161" s="167"/>
      <c r="I161" s="168"/>
      <c r="J161" s="167"/>
      <c r="K161" s="163" t="s">
        <v>5425</v>
      </c>
    </row>
    <row r="162" spans="1:11" ht="14.25" customHeight="1">
      <c r="A162" s="164"/>
      <c r="B162" s="164"/>
      <c r="C162" s="164"/>
      <c r="D162" s="156" t="s">
        <v>5426</v>
      </c>
      <c r="E162" s="163" t="s">
        <v>5427</v>
      </c>
      <c r="F162" s="158" t="s">
        <v>5428</v>
      </c>
      <c r="G162" s="159" t="s">
        <v>38</v>
      </c>
      <c r="H162" s="160" t="s">
        <v>5429</v>
      </c>
      <c r="I162" s="169" t="s">
        <v>41</v>
      </c>
      <c r="J162" s="162" t="s">
        <v>5430</v>
      </c>
      <c r="K162" s="163" t="s">
        <v>5431</v>
      </c>
    </row>
    <row r="163" spans="1:11" ht="14.25" customHeight="1">
      <c r="A163" s="164"/>
      <c r="B163" s="164"/>
      <c r="C163" s="164"/>
      <c r="D163" s="164"/>
      <c r="E163" s="163" t="s">
        <v>5432</v>
      </c>
      <c r="F163" s="165"/>
      <c r="G163" s="166"/>
      <c r="H163" s="167"/>
      <c r="I163" s="168"/>
      <c r="J163" s="167"/>
      <c r="K163" s="163" t="s">
        <v>5433</v>
      </c>
    </row>
    <row r="164" spans="1:11" ht="14.25" customHeight="1">
      <c r="A164" s="164"/>
      <c r="B164" s="164"/>
      <c r="C164" s="164"/>
      <c r="D164" s="156" t="s">
        <v>5434</v>
      </c>
      <c r="E164" s="163" t="s">
        <v>5435</v>
      </c>
      <c r="F164" s="158" t="s">
        <v>5436</v>
      </c>
      <c r="G164" s="159" t="s">
        <v>38</v>
      </c>
      <c r="H164" s="160" t="s">
        <v>5437</v>
      </c>
      <c r="I164" s="170" t="s">
        <v>33</v>
      </c>
      <c r="J164" s="162" t="s">
        <v>5438</v>
      </c>
      <c r="K164" s="163" t="s">
        <v>5439</v>
      </c>
    </row>
    <row r="165" spans="1:11" ht="14.25" customHeight="1">
      <c r="A165" s="164"/>
      <c r="B165" s="164"/>
      <c r="C165" s="164"/>
      <c r="D165" s="164"/>
      <c r="E165" s="163" t="s">
        <v>5440</v>
      </c>
      <c r="F165" s="165"/>
      <c r="G165" s="166"/>
      <c r="H165" s="167"/>
      <c r="I165" s="168"/>
      <c r="J165" s="167"/>
      <c r="K165" s="163" t="s">
        <v>5441</v>
      </c>
    </row>
    <row r="166" spans="1:11" ht="14.25" customHeight="1">
      <c r="A166" s="164"/>
      <c r="B166" s="164"/>
      <c r="C166" s="164"/>
      <c r="D166" s="156" t="s">
        <v>5442</v>
      </c>
      <c r="E166" s="163" t="s">
        <v>5443</v>
      </c>
      <c r="F166" s="158" t="s">
        <v>5444</v>
      </c>
      <c r="G166" s="159" t="s">
        <v>16</v>
      </c>
      <c r="H166" s="160" t="s">
        <v>5445</v>
      </c>
      <c r="I166" s="161" t="s">
        <v>19</v>
      </c>
      <c r="J166" s="162" t="s">
        <v>5446</v>
      </c>
      <c r="K166" s="163" t="s">
        <v>5447</v>
      </c>
    </row>
    <row r="167" spans="1:11" ht="14.25" customHeight="1">
      <c r="A167" s="164"/>
      <c r="B167" s="164"/>
      <c r="C167" s="164"/>
      <c r="D167" s="164"/>
      <c r="E167" s="163" t="s">
        <v>5448</v>
      </c>
      <c r="F167" s="165"/>
      <c r="G167" s="166"/>
      <c r="H167" s="167"/>
      <c r="I167" s="168"/>
      <c r="J167" s="167"/>
      <c r="K167" s="163" t="s">
        <v>5449</v>
      </c>
    </row>
    <row r="168" spans="1:11" ht="14.25" customHeight="1">
      <c r="A168" s="164"/>
      <c r="B168" s="164"/>
      <c r="C168" s="164"/>
      <c r="D168" s="156" t="s">
        <v>5450</v>
      </c>
      <c r="E168" s="163" t="s">
        <v>5451</v>
      </c>
      <c r="F168" s="158" t="s">
        <v>5452</v>
      </c>
      <c r="G168" s="159" t="s">
        <v>16</v>
      </c>
      <c r="H168" s="160" t="s">
        <v>5453</v>
      </c>
      <c r="I168" s="170" t="s">
        <v>33</v>
      </c>
      <c r="J168" s="162" t="s">
        <v>5454</v>
      </c>
      <c r="K168" s="163" t="s">
        <v>5455</v>
      </c>
    </row>
    <row r="169" spans="1:11" ht="14.25" customHeight="1">
      <c r="A169" s="164"/>
      <c r="B169" s="164"/>
      <c r="C169" s="164"/>
      <c r="D169" s="164"/>
      <c r="E169" s="163" t="s">
        <v>5456</v>
      </c>
      <c r="F169" s="165"/>
      <c r="G169" s="166"/>
      <c r="H169" s="167"/>
      <c r="I169" s="168"/>
      <c r="J169" s="167"/>
      <c r="K169" s="163" t="s">
        <v>5457</v>
      </c>
    </row>
    <row r="170" spans="1:11" ht="14.25" customHeight="1">
      <c r="A170" s="164"/>
      <c r="B170" s="164"/>
      <c r="C170" s="156" t="s">
        <v>5458</v>
      </c>
      <c r="D170" s="156" t="s">
        <v>5459</v>
      </c>
      <c r="E170" s="163" t="s">
        <v>5460</v>
      </c>
      <c r="F170" s="158" t="s">
        <v>5461</v>
      </c>
      <c r="G170" s="159" t="s">
        <v>16</v>
      </c>
      <c r="H170" s="160" t="s">
        <v>5462</v>
      </c>
      <c r="I170" s="169" t="s">
        <v>41</v>
      </c>
      <c r="J170" s="162" t="s">
        <v>5463</v>
      </c>
      <c r="K170" s="163" t="s">
        <v>5464</v>
      </c>
    </row>
    <row r="171" spans="1:11" ht="14.25" customHeight="1">
      <c r="A171" s="164"/>
      <c r="B171" s="164"/>
      <c r="C171" s="164"/>
      <c r="D171" s="164"/>
      <c r="E171" s="163" t="s">
        <v>5465</v>
      </c>
      <c r="F171" s="165"/>
      <c r="G171" s="166"/>
      <c r="H171" s="167"/>
      <c r="I171" s="168"/>
      <c r="J171" s="167"/>
      <c r="K171" s="163" t="s">
        <v>5466</v>
      </c>
    </row>
    <row r="172" spans="1:11" ht="14.25" customHeight="1">
      <c r="A172" s="164"/>
      <c r="B172" s="164"/>
      <c r="C172" s="164"/>
      <c r="D172" s="156" t="s">
        <v>5467</v>
      </c>
      <c r="E172" s="163" t="s">
        <v>5468</v>
      </c>
      <c r="F172" s="158" t="s">
        <v>5469</v>
      </c>
      <c r="G172" s="159" t="s">
        <v>38</v>
      </c>
      <c r="H172" s="160" t="s">
        <v>5470</v>
      </c>
      <c r="I172" s="169" t="s">
        <v>41</v>
      </c>
      <c r="J172" s="162" t="s">
        <v>5471</v>
      </c>
      <c r="K172" s="157" t="s">
        <v>5472</v>
      </c>
    </row>
    <row r="173" spans="1:11" ht="14.25" customHeight="1">
      <c r="A173" s="164"/>
      <c r="B173" s="164"/>
      <c r="C173" s="164"/>
      <c r="D173" s="164"/>
      <c r="E173" s="163" t="s">
        <v>5473</v>
      </c>
      <c r="F173" s="165"/>
      <c r="G173" s="166"/>
      <c r="H173" s="167"/>
      <c r="I173" s="168"/>
      <c r="J173" s="167"/>
      <c r="K173" s="157" t="s">
        <v>5474</v>
      </c>
    </row>
    <row r="174" spans="1:11" ht="14.25" customHeight="1">
      <c r="A174" s="164"/>
      <c r="B174" s="164"/>
      <c r="C174" s="164"/>
      <c r="D174" s="156" t="s">
        <v>5475</v>
      </c>
      <c r="E174" s="163" t="s">
        <v>5476</v>
      </c>
      <c r="F174" s="158" t="s">
        <v>5477</v>
      </c>
      <c r="G174" s="159" t="s">
        <v>200</v>
      </c>
      <c r="H174" s="160" t="s">
        <v>5478</v>
      </c>
      <c r="I174" s="170" t="s">
        <v>33</v>
      </c>
      <c r="J174" s="162" t="s">
        <v>5479</v>
      </c>
      <c r="K174" s="157" t="s">
        <v>5480</v>
      </c>
    </row>
    <row r="175" spans="1:11" ht="14.25" customHeight="1">
      <c r="A175" s="164"/>
      <c r="B175" s="164"/>
      <c r="C175" s="164"/>
      <c r="D175" s="164"/>
      <c r="E175" s="163" t="s">
        <v>5481</v>
      </c>
      <c r="F175" s="165"/>
      <c r="G175" s="166"/>
      <c r="H175" s="167"/>
      <c r="I175" s="168"/>
      <c r="J175" s="167"/>
      <c r="K175" s="157" t="s">
        <v>5482</v>
      </c>
    </row>
    <row r="176" spans="1:11" ht="14.25" customHeight="1">
      <c r="A176" s="164"/>
      <c r="B176" s="164"/>
      <c r="C176" s="164"/>
      <c r="D176" s="156" t="s">
        <v>5483</v>
      </c>
      <c r="E176" s="163" t="s">
        <v>5484</v>
      </c>
      <c r="F176" s="158" t="s">
        <v>5485</v>
      </c>
      <c r="G176" s="159" t="s">
        <v>38</v>
      </c>
      <c r="H176" s="160" t="s">
        <v>5486</v>
      </c>
      <c r="I176" s="161" t="s">
        <v>19</v>
      </c>
      <c r="J176" s="162" t="s">
        <v>5487</v>
      </c>
      <c r="K176" s="157" t="s">
        <v>5488</v>
      </c>
    </row>
    <row r="177" spans="1:11" ht="14.25" customHeight="1">
      <c r="A177" s="164"/>
      <c r="B177" s="164"/>
      <c r="C177" s="164"/>
      <c r="D177" s="164"/>
      <c r="E177" s="163" t="s">
        <v>5489</v>
      </c>
      <c r="F177" s="165"/>
      <c r="G177" s="166"/>
      <c r="H177" s="167"/>
      <c r="I177" s="168"/>
      <c r="J177" s="167"/>
      <c r="K177" s="157" t="s">
        <v>5490</v>
      </c>
    </row>
    <row r="178" spans="1:11" ht="14.25" customHeight="1">
      <c r="A178" s="164"/>
      <c r="B178" s="164"/>
      <c r="C178" s="164"/>
      <c r="D178" s="156" t="s">
        <v>5491</v>
      </c>
      <c r="E178" s="163" t="s">
        <v>5492</v>
      </c>
      <c r="F178" s="158" t="s">
        <v>5493</v>
      </c>
      <c r="G178" s="159" t="s">
        <v>38</v>
      </c>
      <c r="H178" s="160" t="s">
        <v>5494</v>
      </c>
      <c r="I178" s="170" t="s">
        <v>33</v>
      </c>
      <c r="J178" s="162" t="s">
        <v>5495</v>
      </c>
      <c r="K178" s="157" t="s">
        <v>5496</v>
      </c>
    </row>
    <row r="179" spans="1:11" ht="14.25" customHeight="1">
      <c r="A179" s="164"/>
      <c r="B179" s="164"/>
      <c r="C179" s="164"/>
      <c r="D179" s="164"/>
      <c r="E179" s="163" t="s">
        <v>5468</v>
      </c>
      <c r="F179" s="165"/>
      <c r="G179" s="166"/>
      <c r="H179" s="167"/>
      <c r="I179" s="168"/>
      <c r="J179" s="167"/>
      <c r="K179" s="157" t="s">
        <v>4272</v>
      </c>
    </row>
    <row r="180" spans="1:11" ht="14.25" customHeight="1">
      <c r="A180" s="164"/>
      <c r="B180" s="164"/>
      <c r="C180" s="156" t="s">
        <v>5497</v>
      </c>
      <c r="D180" s="156" t="s">
        <v>5498</v>
      </c>
      <c r="E180" s="163" t="s">
        <v>5499</v>
      </c>
      <c r="F180" s="158" t="s">
        <v>5500</v>
      </c>
      <c r="G180" s="159" t="s">
        <v>16</v>
      </c>
      <c r="H180" s="160" t="s">
        <v>5501</v>
      </c>
      <c r="I180" s="169" t="s">
        <v>41</v>
      </c>
      <c r="J180" s="162" t="s">
        <v>5502</v>
      </c>
      <c r="K180" s="157" t="s">
        <v>5503</v>
      </c>
    </row>
    <row r="181" spans="1:11" ht="14.25" customHeight="1">
      <c r="A181" s="164"/>
      <c r="B181" s="164"/>
      <c r="C181" s="164"/>
      <c r="D181" s="164"/>
      <c r="E181" s="163" t="s">
        <v>5504</v>
      </c>
      <c r="F181" s="165"/>
      <c r="G181" s="166"/>
      <c r="H181" s="167"/>
      <c r="I181" s="168"/>
      <c r="J181" s="167"/>
      <c r="K181" s="157" t="s">
        <v>5505</v>
      </c>
    </row>
    <row r="182" spans="1:11" ht="14.25" customHeight="1">
      <c r="A182" s="164"/>
      <c r="B182" s="164"/>
      <c r="C182" s="164"/>
      <c r="D182" s="156" t="s">
        <v>5506</v>
      </c>
      <c r="E182" s="163" t="s">
        <v>5507</v>
      </c>
      <c r="F182" s="158" t="s">
        <v>5508</v>
      </c>
      <c r="G182" s="159" t="s">
        <v>16</v>
      </c>
      <c r="H182" s="160" t="s">
        <v>5509</v>
      </c>
      <c r="I182" s="169" t="s">
        <v>41</v>
      </c>
      <c r="J182" s="162" t="s">
        <v>5510</v>
      </c>
      <c r="K182" s="157" t="s">
        <v>5511</v>
      </c>
    </row>
    <row r="183" spans="1:11" ht="14.25" customHeight="1">
      <c r="A183" s="164"/>
      <c r="B183" s="164"/>
      <c r="C183" s="164"/>
      <c r="D183" s="164"/>
      <c r="E183" s="163" t="s">
        <v>5512</v>
      </c>
      <c r="F183" s="165"/>
      <c r="G183" s="166"/>
      <c r="H183" s="167"/>
      <c r="I183" s="168"/>
      <c r="J183" s="167"/>
      <c r="K183" s="157" t="s">
        <v>5513</v>
      </c>
    </row>
    <row r="184" spans="1:11" ht="14.25" customHeight="1">
      <c r="A184" s="164"/>
      <c r="B184" s="164"/>
      <c r="C184" s="164"/>
      <c r="D184" s="156" t="s">
        <v>5514</v>
      </c>
      <c r="E184" s="163" t="s">
        <v>5515</v>
      </c>
      <c r="F184" s="158" t="s">
        <v>5516</v>
      </c>
      <c r="G184" s="159" t="s">
        <v>16</v>
      </c>
      <c r="H184" s="160" t="s">
        <v>5517</v>
      </c>
      <c r="I184" s="170" t="s">
        <v>33</v>
      </c>
      <c r="J184" s="162" t="s">
        <v>5518</v>
      </c>
      <c r="K184" s="157" t="s">
        <v>5519</v>
      </c>
    </row>
    <row r="185" spans="1:11" ht="14.25" customHeight="1">
      <c r="A185" s="164"/>
      <c r="B185" s="164"/>
      <c r="C185" s="164"/>
      <c r="D185" s="164"/>
      <c r="E185" s="163" t="s">
        <v>5520</v>
      </c>
      <c r="F185" s="165"/>
      <c r="G185" s="166"/>
      <c r="H185" s="167"/>
      <c r="I185" s="168"/>
      <c r="J185" s="167"/>
      <c r="K185" s="157" t="s">
        <v>5521</v>
      </c>
    </row>
    <row r="186" spans="1:11" ht="14.25" customHeight="1">
      <c r="A186" s="164"/>
      <c r="B186" s="164"/>
      <c r="C186" s="164"/>
      <c r="D186" s="156" t="s">
        <v>5522</v>
      </c>
      <c r="E186" s="163" t="s">
        <v>5523</v>
      </c>
      <c r="F186" s="158" t="s">
        <v>5524</v>
      </c>
      <c r="G186" s="159" t="s">
        <v>38</v>
      </c>
      <c r="H186" s="160" t="s">
        <v>5525</v>
      </c>
      <c r="I186" s="161" t="s">
        <v>19</v>
      </c>
      <c r="J186" s="162" t="s">
        <v>5526</v>
      </c>
      <c r="K186" s="157" t="s">
        <v>5527</v>
      </c>
    </row>
    <row r="187" spans="1:11" ht="14.25" customHeight="1">
      <c r="A187" s="164"/>
      <c r="B187" s="164"/>
      <c r="C187" s="164"/>
      <c r="D187" s="164"/>
      <c r="E187" s="163" t="s">
        <v>5528</v>
      </c>
      <c r="F187" s="165"/>
      <c r="G187" s="166"/>
      <c r="H187" s="167"/>
      <c r="I187" s="168"/>
      <c r="J187" s="167"/>
      <c r="K187" s="157" t="s">
        <v>5529</v>
      </c>
    </row>
    <row r="188" spans="1:11" ht="14.25" customHeight="1">
      <c r="A188" s="164"/>
      <c r="B188" s="164"/>
      <c r="C188" s="164"/>
      <c r="D188" s="156" t="s">
        <v>5530</v>
      </c>
      <c r="E188" s="163" t="s">
        <v>5531</v>
      </c>
      <c r="F188" s="158" t="s">
        <v>5532</v>
      </c>
      <c r="G188" s="159" t="s">
        <v>200</v>
      </c>
      <c r="H188" s="160" t="s">
        <v>5533</v>
      </c>
      <c r="I188" s="170" t="s">
        <v>33</v>
      </c>
      <c r="J188" s="162" t="s">
        <v>5534</v>
      </c>
      <c r="K188" s="157" t="s">
        <v>5535</v>
      </c>
    </row>
    <row r="189" spans="1:11" ht="14.25" customHeight="1">
      <c r="A189" s="164"/>
      <c r="B189" s="164"/>
      <c r="C189" s="164"/>
      <c r="D189" s="164"/>
      <c r="E189" s="163" t="s">
        <v>5536</v>
      </c>
      <c r="F189" s="165"/>
      <c r="G189" s="166"/>
      <c r="H189" s="167"/>
      <c r="I189" s="168"/>
      <c r="J189" s="167"/>
      <c r="K189" s="157" t="s">
        <v>5537</v>
      </c>
    </row>
    <row r="190" spans="1:11" ht="14.25" customHeight="1">
      <c r="A190" s="164"/>
      <c r="B190" s="164"/>
      <c r="C190" s="156" t="s">
        <v>5538</v>
      </c>
      <c r="D190" s="156" t="s">
        <v>5539</v>
      </c>
      <c r="E190" s="163" t="s">
        <v>5540</v>
      </c>
      <c r="F190" s="158" t="s">
        <v>5541</v>
      </c>
      <c r="G190" s="159" t="s">
        <v>38</v>
      </c>
      <c r="H190" s="160" t="s">
        <v>5542</v>
      </c>
      <c r="I190" s="169" t="s">
        <v>41</v>
      </c>
      <c r="J190" s="162" t="s">
        <v>5543</v>
      </c>
      <c r="K190" s="157" t="s">
        <v>5544</v>
      </c>
    </row>
    <row r="191" spans="1:11" ht="14.25" customHeight="1">
      <c r="A191" s="164"/>
      <c r="B191" s="164"/>
      <c r="C191" s="164"/>
      <c r="D191" s="164"/>
      <c r="E191" s="163" t="s">
        <v>5545</v>
      </c>
      <c r="F191" s="165"/>
      <c r="G191" s="166"/>
      <c r="H191" s="167"/>
      <c r="I191" s="168"/>
      <c r="J191" s="167"/>
      <c r="K191" s="157" t="s">
        <v>5546</v>
      </c>
    </row>
    <row r="192" spans="1:11" ht="14.25" customHeight="1">
      <c r="A192" s="164"/>
      <c r="B192" s="164"/>
      <c r="C192" s="164"/>
      <c r="D192" s="156" t="s">
        <v>5547</v>
      </c>
      <c r="E192" s="163" t="s">
        <v>5548</v>
      </c>
      <c r="F192" s="158" t="s">
        <v>5549</v>
      </c>
      <c r="G192" s="159" t="s">
        <v>38</v>
      </c>
      <c r="H192" s="160" t="s">
        <v>5550</v>
      </c>
      <c r="I192" s="169" t="s">
        <v>41</v>
      </c>
      <c r="J192" s="162" t="s">
        <v>5551</v>
      </c>
      <c r="K192" s="157" t="s">
        <v>5552</v>
      </c>
    </row>
    <row r="193" spans="1:11" ht="14.25" customHeight="1">
      <c r="A193" s="164"/>
      <c r="B193" s="164"/>
      <c r="C193" s="164"/>
      <c r="D193" s="164"/>
      <c r="E193" s="163" t="s">
        <v>5553</v>
      </c>
      <c r="F193" s="165"/>
      <c r="G193" s="166"/>
      <c r="H193" s="167"/>
      <c r="I193" s="168"/>
      <c r="J193" s="167"/>
      <c r="K193" s="157" t="s">
        <v>5554</v>
      </c>
    </row>
    <row r="194" spans="1:11" ht="14.25" customHeight="1">
      <c r="A194" s="164"/>
      <c r="B194" s="164"/>
      <c r="C194" s="164"/>
      <c r="D194" s="156" t="s">
        <v>5555</v>
      </c>
      <c r="E194" s="163" t="s">
        <v>5556</v>
      </c>
      <c r="F194" s="158" t="s">
        <v>5557</v>
      </c>
      <c r="G194" s="159" t="s">
        <v>16</v>
      </c>
      <c r="H194" s="160" t="s">
        <v>5558</v>
      </c>
      <c r="I194" s="170" t="s">
        <v>33</v>
      </c>
      <c r="J194" s="162" t="s">
        <v>5559</v>
      </c>
      <c r="K194" s="157" t="s">
        <v>5560</v>
      </c>
    </row>
    <row r="195" spans="1:11" ht="14.25" customHeight="1">
      <c r="A195" s="164"/>
      <c r="B195" s="164"/>
      <c r="C195" s="164"/>
      <c r="D195" s="164"/>
      <c r="E195" s="163" t="s">
        <v>5561</v>
      </c>
      <c r="F195" s="165"/>
      <c r="G195" s="166"/>
      <c r="H195" s="167"/>
      <c r="I195" s="168"/>
      <c r="J195" s="167"/>
      <c r="K195" s="157" t="s">
        <v>5562</v>
      </c>
    </row>
    <row r="196" spans="1:11" ht="14.25" customHeight="1">
      <c r="A196" s="164"/>
      <c r="B196" s="164"/>
      <c r="C196" s="164"/>
      <c r="D196" s="156" t="s">
        <v>5563</v>
      </c>
      <c r="E196" s="163" t="s">
        <v>5564</v>
      </c>
      <c r="F196" s="158" t="s">
        <v>5565</v>
      </c>
      <c r="G196" s="159" t="s">
        <v>16</v>
      </c>
      <c r="H196" s="160" t="s">
        <v>5566</v>
      </c>
      <c r="I196" s="161" t="s">
        <v>19</v>
      </c>
      <c r="J196" s="162" t="s">
        <v>5567</v>
      </c>
      <c r="K196" s="157" t="s">
        <v>5568</v>
      </c>
    </row>
    <row r="197" spans="1:11" ht="14.25" customHeight="1">
      <c r="A197" s="164"/>
      <c r="B197" s="164"/>
      <c r="C197" s="164"/>
      <c r="D197" s="164"/>
      <c r="E197" s="163" t="s">
        <v>5569</v>
      </c>
      <c r="F197" s="165"/>
      <c r="G197" s="166"/>
      <c r="H197" s="167"/>
      <c r="I197" s="168"/>
      <c r="J197" s="167"/>
      <c r="K197" s="157" t="s">
        <v>5570</v>
      </c>
    </row>
    <row r="198" spans="1:11" ht="14.25" customHeight="1">
      <c r="A198" s="164"/>
      <c r="B198" s="164"/>
      <c r="C198" s="164"/>
      <c r="D198" s="156" t="s">
        <v>5571</v>
      </c>
      <c r="E198" s="163" t="s">
        <v>5572</v>
      </c>
      <c r="F198" s="158" t="s">
        <v>5573</v>
      </c>
      <c r="G198" s="159" t="s">
        <v>16</v>
      </c>
      <c r="H198" s="160" t="s">
        <v>5574</v>
      </c>
      <c r="I198" s="170" t="s">
        <v>33</v>
      </c>
      <c r="J198" s="162" t="s">
        <v>5575</v>
      </c>
      <c r="K198" s="157" t="s">
        <v>5576</v>
      </c>
    </row>
    <row r="199" spans="1:11" ht="14.25" customHeight="1">
      <c r="A199" s="164"/>
      <c r="B199" s="164"/>
      <c r="C199" s="164"/>
      <c r="D199" s="164"/>
      <c r="E199" s="163" t="s">
        <v>5577</v>
      </c>
      <c r="F199" s="165"/>
      <c r="G199" s="166"/>
      <c r="H199" s="167"/>
      <c r="I199" s="168"/>
      <c r="J199" s="167"/>
      <c r="K199" s="157" t="s">
        <v>5578</v>
      </c>
    </row>
    <row r="200" spans="1:11" ht="14.25" customHeight="1">
      <c r="A200" s="164"/>
      <c r="B200" s="164"/>
      <c r="C200" s="156" t="s">
        <v>5579</v>
      </c>
      <c r="D200" s="156" t="s">
        <v>5580</v>
      </c>
      <c r="E200" s="163" t="s">
        <v>5581</v>
      </c>
      <c r="F200" s="158" t="s">
        <v>5582</v>
      </c>
      <c r="G200" s="159" t="s">
        <v>38</v>
      </c>
      <c r="H200" s="160" t="s">
        <v>5583</v>
      </c>
      <c r="I200" s="169" t="s">
        <v>41</v>
      </c>
      <c r="J200" s="162" t="s">
        <v>5584</v>
      </c>
      <c r="K200" s="157" t="s">
        <v>5585</v>
      </c>
    </row>
    <row r="201" spans="1:11" ht="14.25" customHeight="1">
      <c r="A201" s="164"/>
      <c r="B201" s="164"/>
      <c r="C201" s="164"/>
      <c r="D201" s="164"/>
      <c r="E201" s="163" t="s">
        <v>5586</v>
      </c>
      <c r="F201" s="165"/>
      <c r="G201" s="166"/>
      <c r="H201" s="167"/>
      <c r="I201" s="168"/>
      <c r="J201" s="167"/>
      <c r="K201" s="157" t="s">
        <v>5587</v>
      </c>
    </row>
    <row r="202" spans="1:11" ht="14.25" customHeight="1">
      <c r="A202" s="164"/>
      <c r="B202" s="164"/>
      <c r="C202" s="164"/>
      <c r="D202" s="156" t="s">
        <v>5588</v>
      </c>
      <c r="E202" s="163" t="s">
        <v>5589</v>
      </c>
      <c r="F202" s="158" t="s">
        <v>5590</v>
      </c>
      <c r="G202" s="159" t="s">
        <v>200</v>
      </c>
      <c r="H202" s="160" t="s">
        <v>5591</v>
      </c>
      <c r="I202" s="169" t="s">
        <v>41</v>
      </c>
      <c r="J202" s="162" t="s">
        <v>5592</v>
      </c>
      <c r="K202" s="157" t="s">
        <v>5593</v>
      </c>
    </row>
    <row r="203" spans="1:11" ht="14.25" customHeight="1">
      <c r="A203" s="164"/>
      <c r="B203" s="164"/>
      <c r="C203" s="164"/>
      <c r="D203" s="164"/>
      <c r="E203" s="163" t="s">
        <v>5594</v>
      </c>
      <c r="F203" s="165"/>
      <c r="G203" s="166"/>
      <c r="H203" s="167"/>
      <c r="I203" s="168"/>
      <c r="J203" s="167"/>
      <c r="K203" s="157" t="s">
        <v>5595</v>
      </c>
    </row>
    <row r="204" spans="1:11" ht="14.25" customHeight="1">
      <c r="A204" s="164"/>
      <c r="B204" s="164"/>
      <c r="C204" s="164"/>
      <c r="D204" s="156" t="s">
        <v>5596</v>
      </c>
      <c r="E204" s="163" t="s">
        <v>5597</v>
      </c>
      <c r="F204" s="158" t="s">
        <v>5598</v>
      </c>
      <c r="G204" s="159" t="s">
        <v>38</v>
      </c>
      <c r="H204" s="160" t="s">
        <v>5599</v>
      </c>
      <c r="I204" s="170" t="s">
        <v>33</v>
      </c>
      <c r="J204" s="162" t="s">
        <v>5600</v>
      </c>
      <c r="K204" s="157" t="s">
        <v>5601</v>
      </c>
    </row>
    <row r="205" spans="1:11" ht="14.25" customHeight="1">
      <c r="A205" s="164"/>
      <c r="B205" s="164"/>
      <c r="C205" s="164"/>
      <c r="D205" s="164"/>
      <c r="E205" s="163" t="s">
        <v>5602</v>
      </c>
      <c r="F205" s="165"/>
      <c r="G205" s="166"/>
      <c r="H205" s="167"/>
      <c r="I205" s="168"/>
      <c r="J205" s="167"/>
      <c r="K205" s="157" t="s">
        <v>5603</v>
      </c>
    </row>
    <row r="206" spans="1:11" ht="14.25" customHeight="1">
      <c r="A206" s="164"/>
      <c r="B206" s="164"/>
      <c r="C206" s="164"/>
      <c r="D206" s="156" t="s">
        <v>5604</v>
      </c>
      <c r="E206" s="163" t="s">
        <v>5605</v>
      </c>
      <c r="F206" s="158" t="s">
        <v>5606</v>
      </c>
      <c r="G206" s="159" t="s">
        <v>38</v>
      </c>
      <c r="H206" s="160" t="s">
        <v>5607</v>
      </c>
      <c r="I206" s="161" t="s">
        <v>19</v>
      </c>
      <c r="J206" s="162" t="s">
        <v>5608</v>
      </c>
      <c r="K206" s="157" t="s">
        <v>5609</v>
      </c>
    </row>
    <row r="207" spans="1:11" ht="14.25" customHeight="1">
      <c r="A207" s="164"/>
      <c r="B207" s="164"/>
      <c r="C207" s="164"/>
      <c r="D207" s="164"/>
      <c r="E207" s="163" t="s">
        <v>5610</v>
      </c>
      <c r="F207" s="165"/>
      <c r="G207" s="166"/>
      <c r="H207" s="167"/>
      <c r="I207" s="168"/>
      <c r="J207" s="167"/>
      <c r="K207" s="157" t="s">
        <v>5611</v>
      </c>
    </row>
    <row r="208" spans="1:11" ht="14.25" customHeight="1">
      <c r="A208" s="164"/>
      <c r="B208" s="164"/>
      <c r="C208" s="164"/>
      <c r="D208" s="156" t="s">
        <v>5612</v>
      </c>
      <c r="E208" s="163" t="s">
        <v>5613</v>
      </c>
      <c r="F208" s="158" t="s">
        <v>5614</v>
      </c>
      <c r="G208" s="159" t="s">
        <v>16</v>
      </c>
      <c r="H208" s="160" t="s">
        <v>5615</v>
      </c>
      <c r="I208" s="170" t="s">
        <v>33</v>
      </c>
      <c r="J208" s="162" t="s">
        <v>5616</v>
      </c>
      <c r="K208" s="157" t="s">
        <v>5617</v>
      </c>
    </row>
    <row r="209" spans="1:11" ht="14.25" customHeight="1">
      <c r="A209" s="164"/>
      <c r="B209" s="164"/>
      <c r="C209" s="164"/>
      <c r="D209" s="164"/>
      <c r="E209" s="163" t="s">
        <v>5618</v>
      </c>
      <c r="F209" s="165"/>
      <c r="G209" s="166"/>
      <c r="H209" s="167"/>
      <c r="I209" s="168"/>
      <c r="J209" s="167"/>
      <c r="K209" s="157" t="s">
        <v>5619</v>
      </c>
    </row>
    <row r="210" spans="1:11" ht="14.25" customHeight="1">
      <c r="A210" s="164"/>
      <c r="B210" s="164"/>
      <c r="C210" s="156" t="s">
        <v>5620</v>
      </c>
      <c r="D210" s="156" t="s">
        <v>5621</v>
      </c>
      <c r="E210" s="163" t="s">
        <v>5622</v>
      </c>
      <c r="F210" s="158" t="s">
        <v>5623</v>
      </c>
      <c r="G210" s="159" t="s">
        <v>16</v>
      </c>
      <c r="H210" s="160" t="s">
        <v>5624</v>
      </c>
      <c r="I210" s="169" t="s">
        <v>41</v>
      </c>
      <c r="J210" s="162" t="s">
        <v>5625</v>
      </c>
      <c r="K210" s="157" t="s">
        <v>5626</v>
      </c>
    </row>
    <row r="211" spans="1:11" ht="14.25" customHeight="1">
      <c r="A211" s="164"/>
      <c r="B211" s="164"/>
      <c r="C211" s="164"/>
      <c r="D211" s="164"/>
      <c r="E211" s="163" t="s">
        <v>5627</v>
      </c>
      <c r="F211" s="165"/>
      <c r="G211" s="166"/>
      <c r="H211" s="167"/>
      <c r="I211" s="168"/>
      <c r="J211" s="167"/>
      <c r="K211" s="157" t="s">
        <v>5628</v>
      </c>
    </row>
    <row r="212" spans="1:11" ht="14.25" customHeight="1">
      <c r="A212" s="164"/>
      <c r="B212" s="164"/>
      <c r="C212" s="164"/>
      <c r="D212" s="156" t="s">
        <v>5629</v>
      </c>
      <c r="E212" s="163" t="s">
        <v>5630</v>
      </c>
      <c r="F212" s="158" t="s">
        <v>5631</v>
      </c>
      <c r="G212" s="159" t="s">
        <v>16</v>
      </c>
      <c r="H212" s="160" t="s">
        <v>5632</v>
      </c>
      <c r="I212" s="169" t="s">
        <v>41</v>
      </c>
      <c r="J212" s="162" t="s">
        <v>5633</v>
      </c>
      <c r="K212" s="157" t="s">
        <v>5634</v>
      </c>
    </row>
    <row r="213" spans="1:11" ht="14.25" customHeight="1">
      <c r="A213" s="164"/>
      <c r="B213" s="164"/>
      <c r="C213" s="164"/>
      <c r="D213" s="164"/>
      <c r="E213" s="163" t="s">
        <v>5635</v>
      </c>
      <c r="F213" s="165"/>
      <c r="G213" s="166"/>
      <c r="H213" s="167"/>
      <c r="I213" s="168"/>
      <c r="J213" s="167"/>
      <c r="K213" s="157" t="s">
        <v>5636</v>
      </c>
    </row>
    <row r="214" spans="1:11" ht="14.25" customHeight="1">
      <c r="A214" s="164"/>
      <c r="B214" s="164"/>
      <c r="C214" s="164"/>
      <c r="D214" s="156" t="s">
        <v>5637</v>
      </c>
      <c r="E214" s="163" t="s">
        <v>5638</v>
      </c>
      <c r="F214" s="158" t="s">
        <v>5639</v>
      </c>
      <c r="G214" s="159" t="s">
        <v>38</v>
      </c>
      <c r="H214" s="160" t="s">
        <v>5640</v>
      </c>
      <c r="I214" s="170" t="s">
        <v>33</v>
      </c>
      <c r="J214" s="162" t="s">
        <v>5641</v>
      </c>
      <c r="K214" s="157" t="s">
        <v>5642</v>
      </c>
    </row>
    <row r="215" spans="1:11" ht="14.25" customHeight="1">
      <c r="A215" s="164"/>
      <c r="B215" s="164"/>
      <c r="C215" s="164"/>
      <c r="D215" s="164"/>
      <c r="E215" s="163" t="s">
        <v>5643</v>
      </c>
      <c r="F215" s="165"/>
      <c r="G215" s="166"/>
      <c r="H215" s="167"/>
      <c r="I215" s="168"/>
      <c r="J215" s="167"/>
      <c r="K215" s="157" t="s">
        <v>5644</v>
      </c>
    </row>
    <row r="216" spans="1:11" ht="14.25" customHeight="1">
      <c r="A216" s="164"/>
      <c r="B216" s="164"/>
      <c r="C216" s="164"/>
      <c r="D216" s="156" t="s">
        <v>5645</v>
      </c>
      <c r="E216" s="163" t="s">
        <v>5646</v>
      </c>
      <c r="F216" s="158" t="s">
        <v>5647</v>
      </c>
      <c r="G216" s="159" t="s">
        <v>200</v>
      </c>
      <c r="H216" s="160" t="s">
        <v>5648</v>
      </c>
      <c r="I216" s="161" t="s">
        <v>19</v>
      </c>
      <c r="J216" s="162" t="s">
        <v>5649</v>
      </c>
      <c r="K216" s="157" t="s">
        <v>5650</v>
      </c>
    </row>
    <row r="217" spans="1:11" ht="14.25" customHeight="1">
      <c r="A217" s="164"/>
      <c r="B217" s="164"/>
      <c r="C217" s="164"/>
      <c r="D217" s="164"/>
      <c r="E217" s="163" t="s">
        <v>5651</v>
      </c>
      <c r="F217" s="165"/>
      <c r="G217" s="166"/>
      <c r="H217" s="167"/>
      <c r="I217" s="168"/>
      <c r="J217" s="167"/>
      <c r="K217" s="157" t="s">
        <v>5652</v>
      </c>
    </row>
    <row r="218" spans="1:11" ht="14.25" customHeight="1">
      <c r="A218" s="164"/>
      <c r="B218" s="164"/>
      <c r="C218" s="164"/>
      <c r="D218" s="156" t="s">
        <v>5653</v>
      </c>
      <c r="E218" s="163" t="s">
        <v>5654</v>
      </c>
      <c r="F218" s="158" t="s">
        <v>5655</v>
      </c>
      <c r="G218" s="159" t="s">
        <v>38</v>
      </c>
      <c r="H218" s="160" t="s">
        <v>5656</v>
      </c>
      <c r="I218" s="170" t="s">
        <v>33</v>
      </c>
      <c r="J218" s="162" t="s">
        <v>5657</v>
      </c>
      <c r="K218" s="157" t="s">
        <v>5658</v>
      </c>
    </row>
    <row r="219" spans="1:11" ht="14.25" customHeight="1">
      <c r="A219" s="164"/>
      <c r="B219" s="164"/>
      <c r="C219" s="164"/>
      <c r="D219" s="164"/>
      <c r="E219" s="163" t="s">
        <v>5659</v>
      </c>
      <c r="F219" s="165"/>
      <c r="G219" s="166"/>
      <c r="H219" s="167"/>
      <c r="I219" s="168"/>
      <c r="J219" s="167"/>
      <c r="K219" s="157" t="s">
        <v>5660</v>
      </c>
    </row>
    <row r="220" spans="1:11" ht="14.25" customHeight="1">
      <c r="A220" s="164"/>
      <c r="B220" s="164"/>
      <c r="C220" s="156" t="s">
        <v>5661</v>
      </c>
      <c r="D220" s="156" t="s">
        <v>5662</v>
      </c>
      <c r="E220" s="163" t="s">
        <v>5663</v>
      </c>
      <c r="F220" s="158" t="s">
        <v>5664</v>
      </c>
      <c r="G220" s="159" t="s">
        <v>38</v>
      </c>
      <c r="H220" s="160" t="s">
        <v>5665</v>
      </c>
      <c r="I220" s="169" t="s">
        <v>41</v>
      </c>
      <c r="J220" s="162" t="s">
        <v>5666</v>
      </c>
      <c r="K220" s="157" t="s">
        <v>5667</v>
      </c>
    </row>
    <row r="221" spans="1:11" ht="14.25" customHeight="1">
      <c r="A221" s="164"/>
      <c r="B221" s="164"/>
      <c r="C221" s="164"/>
      <c r="D221" s="164"/>
      <c r="E221" s="163" t="s">
        <v>5668</v>
      </c>
      <c r="F221" s="165"/>
      <c r="G221" s="166"/>
      <c r="H221" s="167"/>
      <c r="I221" s="168"/>
      <c r="J221" s="167"/>
      <c r="K221" s="157" t="s">
        <v>5669</v>
      </c>
    </row>
    <row r="222" spans="1:11" ht="14.25" customHeight="1">
      <c r="A222" s="164"/>
      <c r="B222" s="164"/>
      <c r="C222" s="164"/>
      <c r="D222" s="156" t="s">
        <v>5670</v>
      </c>
      <c r="E222" s="163" t="s">
        <v>5671</v>
      </c>
      <c r="F222" s="158" t="s">
        <v>5672</v>
      </c>
      <c r="G222" s="159" t="s">
        <v>16</v>
      </c>
      <c r="H222" s="160" t="s">
        <v>5673</v>
      </c>
      <c r="I222" s="169" t="s">
        <v>41</v>
      </c>
      <c r="J222" s="162" t="s">
        <v>5674</v>
      </c>
      <c r="K222" s="157" t="s">
        <v>5675</v>
      </c>
    </row>
    <row r="223" spans="1:11" ht="14.25" customHeight="1">
      <c r="A223" s="164"/>
      <c r="B223" s="164"/>
      <c r="C223" s="164"/>
      <c r="D223" s="164"/>
      <c r="E223" s="163" t="s">
        <v>5676</v>
      </c>
      <c r="F223" s="165"/>
      <c r="G223" s="166"/>
      <c r="H223" s="167"/>
      <c r="I223" s="168"/>
      <c r="J223" s="167"/>
      <c r="K223" s="157" t="s">
        <v>5677</v>
      </c>
    </row>
    <row r="224" spans="1:11" ht="14.25" customHeight="1">
      <c r="A224" s="164"/>
      <c r="B224" s="164"/>
      <c r="C224" s="164"/>
      <c r="D224" s="156" t="s">
        <v>5678</v>
      </c>
      <c r="E224" s="163" t="s">
        <v>5679</v>
      </c>
      <c r="F224" s="158" t="s">
        <v>5680</v>
      </c>
      <c r="G224" s="159" t="s">
        <v>16</v>
      </c>
      <c r="H224" s="160" t="s">
        <v>5681</v>
      </c>
      <c r="I224" s="170" t="s">
        <v>33</v>
      </c>
      <c r="J224" s="162" t="s">
        <v>5682</v>
      </c>
      <c r="K224" s="157" t="s">
        <v>5683</v>
      </c>
    </row>
    <row r="225" spans="1:11" ht="14.25" customHeight="1">
      <c r="A225" s="164"/>
      <c r="B225" s="164"/>
      <c r="C225" s="164"/>
      <c r="D225" s="164"/>
      <c r="E225" s="163" t="s">
        <v>5684</v>
      </c>
      <c r="F225" s="165"/>
      <c r="G225" s="166"/>
      <c r="H225" s="167"/>
      <c r="I225" s="168"/>
      <c r="J225" s="167"/>
      <c r="K225" s="157" t="s">
        <v>3989</v>
      </c>
    </row>
    <row r="226" spans="1:11" ht="14.25" customHeight="1">
      <c r="A226" s="164"/>
      <c r="B226" s="164"/>
      <c r="C226" s="164"/>
      <c r="D226" s="156" t="s">
        <v>5685</v>
      </c>
      <c r="E226" s="163" t="s">
        <v>5686</v>
      </c>
      <c r="F226" s="158" t="s">
        <v>5687</v>
      </c>
      <c r="G226" s="159" t="s">
        <v>16</v>
      </c>
      <c r="H226" s="160" t="s">
        <v>5688</v>
      </c>
      <c r="I226" s="161" t="s">
        <v>19</v>
      </c>
      <c r="J226" s="162" t="s">
        <v>5689</v>
      </c>
      <c r="K226" s="157" t="s">
        <v>5690</v>
      </c>
    </row>
    <row r="227" spans="1:11" ht="14.25" customHeight="1">
      <c r="A227" s="164"/>
      <c r="B227" s="164"/>
      <c r="C227" s="164"/>
      <c r="D227" s="164"/>
      <c r="E227" s="163" t="s">
        <v>5691</v>
      </c>
      <c r="F227" s="165"/>
      <c r="G227" s="166"/>
      <c r="H227" s="167"/>
      <c r="I227" s="168"/>
      <c r="J227" s="167"/>
      <c r="K227" s="157" t="s">
        <v>5692</v>
      </c>
    </row>
    <row r="228" spans="1:11" ht="14.25" customHeight="1">
      <c r="A228" s="164"/>
      <c r="B228" s="164"/>
      <c r="C228" s="164"/>
      <c r="D228" s="156" t="s">
        <v>5693</v>
      </c>
      <c r="E228" s="163" t="s">
        <v>5694</v>
      </c>
      <c r="F228" s="158" t="s">
        <v>5695</v>
      </c>
      <c r="G228" s="159" t="s">
        <v>38</v>
      </c>
      <c r="H228" s="160" t="s">
        <v>5696</v>
      </c>
      <c r="I228" s="170" t="s">
        <v>33</v>
      </c>
      <c r="J228" s="162" t="s">
        <v>5697</v>
      </c>
      <c r="K228" s="157" t="s">
        <v>5698</v>
      </c>
    </row>
    <row r="229" spans="1:11" ht="14.25" customHeight="1">
      <c r="A229" s="164"/>
      <c r="B229" s="164"/>
      <c r="C229" s="164"/>
      <c r="D229" s="164"/>
      <c r="E229" s="163" t="s">
        <v>5699</v>
      </c>
      <c r="F229" s="165"/>
      <c r="G229" s="166"/>
      <c r="H229" s="167"/>
      <c r="I229" s="168"/>
      <c r="J229" s="167"/>
      <c r="K229" s="157" t="s">
        <v>5700</v>
      </c>
    </row>
    <row r="230" spans="1:11" ht="14.25" customHeight="1">
      <c r="A230" s="164"/>
      <c r="B230" s="164"/>
      <c r="C230" s="156" t="s">
        <v>5701</v>
      </c>
      <c r="D230" s="156" t="s">
        <v>5702</v>
      </c>
      <c r="E230" s="163" t="s">
        <v>5703</v>
      </c>
      <c r="F230" s="158" t="s">
        <v>5704</v>
      </c>
      <c r="G230" s="159" t="s">
        <v>200</v>
      </c>
      <c r="H230" s="160" t="s">
        <v>5705</v>
      </c>
      <c r="I230" s="169" t="s">
        <v>41</v>
      </c>
      <c r="J230" s="162" t="s">
        <v>5706</v>
      </c>
      <c r="K230" s="157" t="s">
        <v>5707</v>
      </c>
    </row>
    <row r="231" spans="1:11" ht="14.25" customHeight="1">
      <c r="A231" s="164"/>
      <c r="B231" s="164"/>
      <c r="C231" s="164"/>
      <c r="D231" s="164"/>
      <c r="E231" s="163" t="s">
        <v>5708</v>
      </c>
      <c r="F231" s="165"/>
      <c r="G231" s="166"/>
      <c r="H231" s="167"/>
      <c r="I231" s="168"/>
      <c r="J231" s="167"/>
      <c r="K231" s="157" t="s">
        <v>5709</v>
      </c>
    </row>
    <row r="232" spans="1:11" ht="14.25" customHeight="1">
      <c r="A232" s="164"/>
      <c r="B232" s="164"/>
      <c r="C232" s="164"/>
      <c r="D232" s="156" t="s">
        <v>5710</v>
      </c>
      <c r="E232" s="163" t="s">
        <v>5711</v>
      </c>
      <c r="F232" s="158" t="s">
        <v>5712</v>
      </c>
      <c r="G232" s="159" t="s">
        <v>38</v>
      </c>
      <c r="H232" s="160" t="s">
        <v>5713</v>
      </c>
      <c r="I232" s="169" t="s">
        <v>41</v>
      </c>
      <c r="J232" s="162" t="s">
        <v>5714</v>
      </c>
      <c r="K232" s="157" t="s">
        <v>5715</v>
      </c>
    </row>
    <row r="233" spans="1:11" ht="14.25" customHeight="1">
      <c r="A233" s="164"/>
      <c r="B233" s="164"/>
      <c r="C233" s="164"/>
      <c r="D233" s="164"/>
      <c r="E233" s="163" t="s">
        <v>5716</v>
      </c>
      <c r="F233" s="165"/>
      <c r="G233" s="166"/>
      <c r="H233" s="167"/>
      <c r="I233" s="168"/>
      <c r="J233" s="167"/>
      <c r="K233" s="157" t="s">
        <v>5717</v>
      </c>
    </row>
    <row r="234" spans="1:11" ht="14.25" customHeight="1">
      <c r="A234" s="164"/>
      <c r="B234" s="164"/>
      <c r="C234" s="164"/>
      <c r="D234" s="156" t="s">
        <v>5718</v>
      </c>
      <c r="E234" s="163" t="s">
        <v>5719</v>
      </c>
      <c r="F234" s="172" t="s">
        <v>5720</v>
      </c>
      <c r="G234" s="159" t="s">
        <v>38</v>
      </c>
      <c r="H234" s="160" t="s">
        <v>5721</v>
      </c>
      <c r="I234" s="170" t="s">
        <v>33</v>
      </c>
      <c r="J234" s="162" t="s">
        <v>5722</v>
      </c>
      <c r="K234" s="157" t="s">
        <v>5723</v>
      </c>
    </row>
    <row r="235" spans="1:11" ht="14.25" customHeight="1">
      <c r="A235" s="164"/>
      <c r="B235" s="164"/>
      <c r="C235" s="164"/>
      <c r="D235" s="164"/>
      <c r="E235" s="163" t="s">
        <v>5724</v>
      </c>
      <c r="F235" s="164"/>
      <c r="G235" s="166"/>
      <c r="H235" s="167"/>
      <c r="I235" s="168"/>
      <c r="J235" s="167"/>
      <c r="K235" s="157" t="s">
        <v>5725</v>
      </c>
    </row>
    <row r="236" spans="1:11" ht="14.25" customHeight="1">
      <c r="A236" s="164"/>
      <c r="B236" s="164"/>
      <c r="C236" s="164"/>
      <c r="D236" s="156" t="s">
        <v>5726</v>
      </c>
      <c r="E236" s="163" t="s">
        <v>5727</v>
      </c>
      <c r="F236" s="158" t="s">
        <v>5728</v>
      </c>
      <c r="G236" s="159" t="s">
        <v>16</v>
      </c>
      <c r="H236" s="160" t="s">
        <v>5729</v>
      </c>
      <c r="I236" s="161" t="s">
        <v>19</v>
      </c>
      <c r="J236" s="162" t="s">
        <v>5730</v>
      </c>
      <c r="K236" s="157" t="s">
        <v>5731</v>
      </c>
    </row>
    <row r="237" spans="1:11" ht="14.25" customHeight="1">
      <c r="A237" s="164"/>
      <c r="B237" s="164"/>
      <c r="C237" s="164"/>
      <c r="D237" s="164"/>
      <c r="E237" s="163" t="s">
        <v>5732</v>
      </c>
      <c r="F237" s="165"/>
      <c r="G237" s="166"/>
      <c r="H237" s="167"/>
      <c r="I237" s="168"/>
      <c r="J237" s="167"/>
      <c r="K237" s="157" t="s">
        <v>5733</v>
      </c>
    </row>
    <row r="238" spans="1:11" ht="14.25" customHeight="1">
      <c r="A238" s="164"/>
      <c r="B238" s="164"/>
      <c r="C238" s="164"/>
      <c r="D238" s="156" t="s">
        <v>5734</v>
      </c>
      <c r="E238" s="163" t="s">
        <v>5735</v>
      </c>
      <c r="F238" s="158" t="s">
        <v>5736</v>
      </c>
      <c r="G238" s="159" t="s">
        <v>16</v>
      </c>
      <c r="H238" s="160" t="s">
        <v>5737</v>
      </c>
      <c r="I238" s="170" t="s">
        <v>33</v>
      </c>
      <c r="J238" s="162" t="s">
        <v>5738</v>
      </c>
      <c r="K238" s="157" t="s">
        <v>5739</v>
      </c>
    </row>
    <row r="239" spans="1:11" ht="14.25" customHeight="1">
      <c r="A239" s="164"/>
      <c r="B239" s="164"/>
      <c r="C239" s="164"/>
      <c r="D239" s="164"/>
      <c r="E239" s="163" t="s">
        <v>5740</v>
      </c>
      <c r="F239" s="165"/>
      <c r="G239" s="166"/>
      <c r="H239" s="167"/>
      <c r="I239" s="168"/>
      <c r="J239" s="167"/>
      <c r="K239" s="157" t="s">
        <v>5741</v>
      </c>
    </row>
    <row r="240" spans="1:11" ht="14.25" customHeight="1">
      <c r="A240" s="164"/>
      <c r="B240" s="164"/>
      <c r="C240" s="156" t="s">
        <v>5742</v>
      </c>
      <c r="D240" s="156" t="s">
        <v>5743</v>
      </c>
      <c r="E240" s="163" t="s">
        <v>5744</v>
      </c>
      <c r="F240" s="172" t="s">
        <v>5745</v>
      </c>
      <c r="G240" s="159" t="s">
        <v>16</v>
      </c>
      <c r="H240" s="160" t="s">
        <v>5746</v>
      </c>
      <c r="I240" s="169" t="s">
        <v>41</v>
      </c>
      <c r="J240" s="162" t="s">
        <v>5738</v>
      </c>
      <c r="K240" s="157" t="s">
        <v>5747</v>
      </c>
    </row>
    <row r="241" spans="1:11" ht="14.25" customHeight="1">
      <c r="A241" s="164"/>
      <c r="B241" s="164"/>
      <c r="C241" s="164"/>
      <c r="D241" s="164"/>
      <c r="E241" s="163" t="s">
        <v>5748</v>
      </c>
      <c r="F241" s="164"/>
      <c r="G241" s="166"/>
      <c r="H241" s="167"/>
      <c r="I241" s="168"/>
      <c r="J241" s="167"/>
      <c r="K241" s="157" t="s">
        <v>5749</v>
      </c>
    </row>
    <row r="242" spans="1:11" ht="14.25" customHeight="1">
      <c r="A242" s="164"/>
      <c r="B242" s="164"/>
      <c r="C242" s="164"/>
      <c r="D242" s="156" t="s">
        <v>5750</v>
      </c>
      <c r="E242" s="163" t="s">
        <v>5751</v>
      </c>
      <c r="F242" s="172" t="s">
        <v>5752</v>
      </c>
      <c r="G242" s="159" t="s">
        <v>38</v>
      </c>
      <c r="H242" s="160" t="s">
        <v>5753</v>
      </c>
      <c r="I242" s="169" t="s">
        <v>41</v>
      </c>
      <c r="J242" s="162" t="s">
        <v>5754</v>
      </c>
      <c r="K242" s="157" t="s">
        <v>5658</v>
      </c>
    </row>
    <row r="243" spans="1:11" ht="14.25" customHeight="1">
      <c r="A243" s="164"/>
      <c r="B243" s="164"/>
      <c r="C243" s="164"/>
      <c r="D243" s="164"/>
      <c r="E243" s="163" t="s">
        <v>5755</v>
      </c>
      <c r="F243" s="164"/>
      <c r="G243" s="166"/>
      <c r="H243" s="167"/>
      <c r="I243" s="168"/>
      <c r="J243" s="167"/>
      <c r="K243" s="157" t="s">
        <v>5756</v>
      </c>
    </row>
    <row r="244" spans="1:11" ht="14.25" customHeight="1">
      <c r="A244" s="164"/>
      <c r="B244" s="164"/>
      <c r="C244" s="164"/>
      <c r="D244" s="156" t="s">
        <v>5757</v>
      </c>
      <c r="E244" s="163" t="s">
        <v>5758</v>
      </c>
      <c r="F244" s="172" t="s">
        <v>5759</v>
      </c>
      <c r="G244" s="159" t="s">
        <v>200</v>
      </c>
      <c r="H244" s="160" t="s">
        <v>5760</v>
      </c>
      <c r="I244" s="170" t="s">
        <v>33</v>
      </c>
      <c r="J244" s="162" t="s">
        <v>5761</v>
      </c>
      <c r="K244" s="157" t="s">
        <v>5762</v>
      </c>
    </row>
    <row r="245" spans="1:11" ht="14.25" customHeight="1">
      <c r="A245" s="164"/>
      <c r="B245" s="164"/>
      <c r="C245" s="164"/>
      <c r="D245" s="164"/>
      <c r="E245" s="163" t="s">
        <v>5763</v>
      </c>
      <c r="F245" s="164"/>
      <c r="G245" s="166"/>
      <c r="H245" s="167"/>
      <c r="I245" s="168"/>
      <c r="J245" s="167"/>
      <c r="K245" s="157" t="s">
        <v>5764</v>
      </c>
    </row>
    <row r="246" spans="1:11" ht="14.25" customHeight="1">
      <c r="A246" s="164"/>
      <c r="B246" s="164"/>
      <c r="C246" s="164"/>
      <c r="D246" s="156" t="s">
        <v>5765</v>
      </c>
      <c r="E246" s="163" t="s">
        <v>5766</v>
      </c>
      <c r="F246" s="172" t="s">
        <v>5767</v>
      </c>
      <c r="G246" s="159" t="s">
        <v>38</v>
      </c>
      <c r="H246" s="160" t="s">
        <v>5768</v>
      </c>
      <c r="I246" s="161" t="s">
        <v>19</v>
      </c>
      <c r="J246" s="162" t="s">
        <v>5769</v>
      </c>
      <c r="K246" s="157" t="s">
        <v>5770</v>
      </c>
    </row>
    <row r="247" spans="1:11" ht="14.25" customHeight="1">
      <c r="A247" s="164"/>
      <c r="B247" s="164"/>
      <c r="C247" s="164"/>
      <c r="D247" s="164"/>
      <c r="E247" s="163" t="s">
        <v>5771</v>
      </c>
      <c r="F247" s="164"/>
      <c r="G247" s="166"/>
      <c r="H247" s="167"/>
      <c r="I247" s="168"/>
      <c r="J247" s="167"/>
      <c r="K247" s="157" t="s">
        <v>5772</v>
      </c>
    </row>
    <row r="248" spans="1:11" ht="14.25" customHeight="1">
      <c r="A248" s="164"/>
      <c r="B248" s="164"/>
      <c r="C248" s="164"/>
      <c r="D248" s="156" t="s">
        <v>5773</v>
      </c>
      <c r="E248" s="163" t="s">
        <v>5774</v>
      </c>
      <c r="F248" s="172" t="s">
        <v>5775</v>
      </c>
      <c r="G248" s="159" t="s">
        <v>38</v>
      </c>
      <c r="H248" s="160" t="s">
        <v>5776</v>
      </c>
      <c r="I248" s="170" t="s">
        <v>33</v>
      </c>
      <c r="J248" s="162" t="s">
        <v>5777</v>
      </c>
      <c r="K248" s="157" t="s">
        <v>5778</v>
      </c>
    </row>
    <row r="249" spans="1:11" ht="14.25" customHeight="1">
      <c r="A249" s="164"/>
      <c r="B249" s="164"/>
      <c r="C249" s="164"/>
      <c r="D249" s="164"/>
      <c r="E249" s="163" t="s">
        <v>5779</v>
      </c>
      <c r="F249" s="164"/>
      <c r="G249" s="166"/>
      <c r="H249" s="167"/>
      <c r="I249" s="168"/>
      <c r="J249" s="167"/>
      <c r="K249" s="157" t="s">
        <v>5780</v>
      </c>
    </row>
    <row r="250" spans="1:11" ht="14.25" customHeight="1">
      <c r="A250" s="164"/>
      <c r="B250" s="164"/>
      <c r="C250" s="156" t="s">
        <v>5781</v>
      </c>
      <c r="D250" s="156" t="s">
        <v>5782</v>
      </c>
      <c r="E250" s="163" t="s">
        <v>5783</v>
      </c>
      <c r="F250" s="172" t="s">
        <v>5784</v>
      </c>
      <c r="G250" s="159" t="s">
        <v>16</v>
      </c>
      <c r="H250" s="160" t="s">
        <v>5785</v>
      </c>
      <c r="I250" s="169" t="s">
        <v>41</v>
      </c>
      <c r="J250" s="162" t="s">
        <v>5786</v>
      </c>
      <c r="K250" s="157" t="s">
        <v>5787</v>
      </c>
    </row>
    <row r="251" spans="1:11" ht="14.25" customHeight="1">
      <c r="A251" s="164"/>
      <c r="B251" s="164"/>
      <c r="C251" s="164"/>
      <c r="D251" s="164"/>
      <c r="E251" s="163" t="s">
        <v>5788</v>
      </c>
      <c r="F251" s="164"/>
      <c r="G251" s="166"/>
      <c r="H251" s="167"/>
      <c r="I251" s="168"/>
      <c r="J251" s="167"/>
      <c r="K251" s="157" t="s">
        <v>5789</v>
      </c>
    </row>
    <row r="252" spans="1:11" ht="14.25" customHeight="1">
      <c r="A252" s="164"/>
      <c r="B252" s="164"/>
      <c r="C252" s="164"/>
      <c r="D252" s="156" t="s">
        <v>5790</v>
      </c>
      <c r="E252" s="163" t="s">
        <v>5791</v>
      </c>
      <c r="F252" s="172" t="s">
        <v>5792</v>
      </c>
      <c r="G252" s="159" t="s">
        <v>16</v>
      </c>
      <c r="H252" s="160" t="s">
        <v>5793</v>
      </c>
      <c r="I252" s="169" t="s">
        <v>41</v>
      </c>
      <c r="J252" s="162" t="s">
        <v>5794</v>
      </c>
      <c r="K252" s="157" t="s">
        <v>5795</v>
      </c>
    </row>
    <row r="253" spans="1:11" ht="14.25" customHeight="1">
      <c r="A253" s="164"/>
      <c r="B253" s="164"/>
      <c r="C253" s="164"/>
      <c r="D253" s="164"/>
      <c r="E253" s="163" t="s">
        <v>5796</v>
      </c>
      <c r="F253" s="164"/>
      <c r="G253" s="166"/>
      <c r="H253" s="167"/>
      <c r="I253" s="168"/>
      <c r="J253" s="167"/>
      <c r="K253" s="157" t="s">
        <v>5797</v>
      </c>
    </row>
    <row r="254" spans="1:11" ht="14.25" customHeight="1">
      <c r="A254" s="164"/>
      <c r="B254" s="164"/>
      <c r="C254" s="164"/>
      <c r="D254" s="156" t="s">
        <v>5798</v>
      </c>
      <c r="E254" s="163" t="s">
        <v>5799</v>
      </c>
      <c r="F254" s="172" t="s">
        <v>5800</v>
      </c>
      <c r="G254" s="159" t="s">
        <v>16</v>
      </c>
      <c r="H254" s="160" t="s">
        <v>5276</v>
      </c>
      <c r="I254" s="170" t="s">
        <v>33</v>
      </c>
      <c r="J254" s="162" t="s">
        <v>5801</v>
      </c>
      <c r="K254" s="157" t="s">
        <v>5802</v>
      </c>
    </row>
    <row r="255" spans="1:11" ht="14.25" customHeight="1">
      <c r="A255" s="164"/>
      <c r="B255" s="164"/>
      <c r="C255" s="164"/>
      <c r="D255" s="164"/>
      <c r="E255" s="163" t="s">
        <v>5803</v>
      </c>
      <c r="F255" s="164"/>
      <c r="G255" s="166"/>
      <c r="H255" s="167"/>
      <c r="I255" s="168"/>
      <c r="J255" s="167"/>
      <c r="K255" s="157" t="s">
        <v>5804</v>
      </c>
    </row>
    <row r="256" spans="1:11" ht="14.25" customHeight="1">
      <c r="A256" s="164"/>
      <c r="B256" s="164"/>
      <c r="C256" s="164"/>
      <c r="D256" s="156" t="s">
        <v>5805</v>
      </c>
      <c r="E256" s="163" t="s">
        <v>5806</v>
      </c>
      <c r="F256" s="172" t="s">
        <v>5807</v>
      </c>
      <c r="G256" s="159" t="s">
        <v>38</v>
      </c>
      <c r="H256" s="160" t="s">
        <v>5808</v>
      </c>
      <c r="I256" s="161" t="s">
        <v>19</v>
      </c>
      <c r="J256" s="162" t="s">
        <v>5809</v>
      </c>
      <c r="K256" s="157" t="s">
        <v>5810</v>
      </c>
    </row>
    <row r="257" spans="1:11" ht="14.25" customHeight="1">
      <c r="A257" s="164"/>
      <c r="B257" s="164"/>
      <c r="C257" s="164"/>
      <c r="D257" s="164"/>
      <c r="E257" s="163" t="s">
        <v>5811</v>
      </c>
      <c r="F257" s="164"/>
      <c r="G257" s="166"/>
      <c r="H257" s="167"/>
      <c r="I257" s="168"/>
      <c r="J257" s="167"/>
      <c r="K257" s="157" t="s">
        <v>5812</v>
      </c>
    </row>
    <row r="258" spans="1:11" ht="14.25" customHeight="1">
      <c r="A258" s="164"/>
      <c r="B258" s="164"/>
      <c r="C258" s="164"/>
      <c r="D258" s="156" t="s">
        <v>5813</v>
      </c>
      <c r="E258" s="163" t="s">
        <v>5814</v>
      </c>
      <c r="F258" s="172" t="s">
        <v>5815</v>
      </c>
      <c r="G258" s="159" t="s">
        <v>200</v>
      </c>
      <c r="H258" s="160" t="s">
        <v>5816</v>
      </c>
      <c r="I258" s="170" t="s">
        <v>33</v>
      </c>
      <c r="J258" s="162" t="s">
        <v>5817</v>
      </c>
      <c r="K258" s="157" t="s">
        <v>5818</v>
      </c>
    </row>
    <row r="259" spans="1:11" ht="14.25" customHeight="1">
      <c r="A259" s="164"/>
      <c r="B259" s="164"/>
      <c r="C259" s="164"/>
      <c r="D259" s="164"/>
      <c r="E259" s="163" t="s">
        <v>5819</v>
      </c>
      <c r="F259" s="164"/>
      <c r="G259" s="166"/>
      <c r="H259" s="167"/>
      <c r="I259" s="168"/>
      <c r="J259" s="167"/>
      <c r="K259" s="157" t="s">
        <v>5820</v>
      </c>
    </row>
    <row r="260" spans="1:11" ht="14.25" customHeight="1">
      <c r="A260" s="164"/>
      <c r="B260" s="164"/>
      <c r="C260" s="156" t="s">
        <v>5821</v>
      </c>
      <c r="D260" s="156" t="s">
        <v>5822</v>
      </c>
      <c r="E260" s="163" t="s">
        <v>5822</v>
      </c>
      <c r="F260" s="172" t="s">
        <v>5823</v>
      </c>
      <c r="G260" s="159" t="s">
        <v>38</v>
      </c>
      <c r="H260" s="160" t="s">
        <v>5824</v>
      </c>
      <c r="I260" s="169" t="s">
        <v>41</v>
      </c>
      <c r="J260" s="162" t="s">
        <v>5825</v>
      </c>
      <c r="K260" s="157" t="s">
        <v>5826</v>
      </c>
    </row>
    <row r="261" spans="1:11" ht="14.25" customHeight="1">
      <c r="A261" s="164"/>
      <c r="B261" s="164"/>
      <c r="C261" s="164"/>
      <c r="D261" s="164"/>
      <c r="E261" s="163" t="s">
        <v>5827</v>
      </c>
      <c r="F261" s="164"/>
      <c r="G261" s="166"/>
      <c r="H261" s="167"/>
      <c r="I261" s="168"/>
      <c r="J261" s="167"/>
      <c r="K261" s="157" t="s">
        <v>5828</v>
      </c>
    </row>
    <row r="262" spans="1:11" ht="14.25" customHeight="1">
      <c r="A262" s="164"/>
      <c r="B262" s="164"/>
      <c r="C262" s="164"/>
      <c r="D262" s="156" t="s">
        <v>5829</v>
      </c>
      <c r="E262" s="163" t="s">
        <v>5829</v>
      </c>
      <c r="F262" s="172" t="s">
        <v>5830</v>
      </c>
      <c r="G262" s="159" t="s">
        <v>38</v>
      </c>
      <c r="H262" s="160" t="s">
        <v>5831</v>
      </c>
      <c r="I262" s="169" t="s">
        <v>41</v>
      </c>
      <c r="J262" s="162" t="s">
        <v>5832</v>
      </c>
      <c r="K262" s="157" t="s">
        <v>5833</v>
      </c>
    </row>
    <row r="263" spans="1:11" ht="14.25" customHeight="1">
      <c r="A263" s="164"/>
      <c r="B263" s="164"/>
      <c r="C263" s="164"/>
      <c r="D263" s="164"/>
      <c r="E263" s="163" t="s">
        <v>2551</v>
      </c>
      <c r="F263" s="164"/>
      <c r="G263" s="166"/>
      <c r="H263" s="167"/>
      <c r="I263" s="168"/>
      <c r="J263" s="167"/>
      <c r="K263" s="157" t="s">
        <v>5834</v>
      </c>
    </row>
    <row r="264" spans="1:11" ht="14.25" customHeight="1">
      <c r="A264" s="164"/>
      <c r="B264" s="164"/>
      <c r="C264" s="164"/>
      <c r="D264" s="156" t="s">
        <v>5835</v>
      </c>
      <c r="E264" s="163" t="s">
        <v>5836</v>
      </c>
      <c r="F264" s="172" t="s">
        <v>5837</v>
      </c>
      <c r="G264" s="159" t="s">
        <v>16</v>
      </c>
      <c r="H264" s="160" t="s">
        <v>5838</v>
      </c>
      <c r="I264" s="170" t="s">
        <v>33</v>
      </c>
      <c r="J264" s="162" t="s">
        <v>5839</v>
      </c>
      <c r="K264" s="157" t="s">
        <v>5840</v>
      </c>
    </row>
    <row r="265" spans="1:11" ht="14.25" customHeight="1">
      <c r="A265" s="164"/>
      <c r="B265" s="164"/>
      <c r="C265" s="164"/>
      <c r="D265" s="164"/>
      <c r="E265" s="163" t="s">
        <v>5841</v>
      </c>
      <c r="F265" s="164"/>
      <c r="G265" s="166"/>
      <c r="H265" s="167"/>
      <c r="I265" s="168"/>
      <c r="J265" s="167"/>
      <c r="K265" s="157" t="s">
        <v>5842</v>
      </c>
    </row>
    <row r="266" spans="1:11" ht="14.25" customHeight="1">
      <c r="A266" s="164"/>
      <c r="B266" s="164"/>
      <c r="C266" s="164"/>
      <c r="D266" s="156" t="s">
        <v>5843</v>
      </c>
      <c r="E266" s="163" t="s">
        <v>5844</v>
      </c>
      <c r="F266" s="172" t="s">
        <v>5845</v>
      </c>
      <c r="G266" s="159" t="s">
        <v>16</v>
      </c>
      <c r="H266" s="160" t="s">
        <v>5846</v>
      </c>
      <c r="I266" s="161" t="s">
        <v>19</v>
      </c>
      <c r="J266" s="162" t="s">
        <v>5847</v>
      </c>
      <c r="K266" s="157" t="s">
        <v>5848</v>
      </c>
    </row>
    <row r="267" spans="1:11" ht="14.25" customHeight="1">
      <c r="A267" s="164"/>
      <c r="B267" s="164"/>
      <c r="C267" s="164"/>
      <c r="D267" s="164"/>
      <c r="E267" s="163" t="s">
        <v>5849</v>
      </c>
      <c r="F267" s="164"/>
      <c r="G267" s="166"/>
      <c r="H267" s="167"/>
      <c r="I267" s="168"/>
      <c r="J267" s="167"/>
      <c r="K267" s="157" t="s">
        <v>5850</v>
      </c>
    </row>
    <row r="268" spans="1:11" ht="14.25" customHeight="1">
      <c r="A268" s="164"/>
      <c r="B268" s="164"/>
      <c r="C268" s="164"/>
      <c r="D268" s="156" t="s">
        <v>5851</v>
      </c>
      <c r="E268" s="163" t="s">
        <v>5852</v>
      </c>
      <c r="F268" s="172" t="s">
        <v>5853</v>
      </c>
      <c r="G268" s="159" t="s">
        <v>16</v>
      </c>
      <c r="H268" s="160" t="s">
        <v>5854</v>
      </c>
      <c r="I268" s="170" t="s">
        <v>33</v>
      </c>
      <c r="J268" s="162" t="s">
        <v>5855</v>
      </c>
      <c r="K268" s="157" t="s">
        <v>5856</v>
      </c>
    </row>
    <row r="269" spans="1:11" ht="14.25" customHeight="1">
      <c r="A269" s="164"/>
      <c r="B269" s="164"/>
      <c r="C269" s="164"/>
      <c r="D269" s="164"/>
      <c r="E269" s="163" t="s">
        <v>5857</v>
      </c>
      <c r="F269" s="164"/>
      <c r="G269" s="166"/>
      <c r="H269" s="167"/>
      <c r="I269" s="168"/>
      <c r="J269" s="167"/>
      <c r="K269" s="157" t="s">
        <v>5858</v>
      </c>
    </row>
    <row r="270" spans="1:11" ht="14.25" customHeight="1">
      <c r="A270" s="164"/>
      <c r="B270" s="164"/>
      <c r="C270" s="156" t="s">
        <v>5859</v>
      </c>
      <c r="D270" s="156" t="s">
        <v>5860</v>
      </c>
      <c r="E270" s="163" t="s">
        <v>5861</v>
      </c>
      <c r="F270" s="172" t="s">
        <v>5862</v>
      </c>
      <c r="G270" s="159" t="s">
        <v>38</v>
      </c>
      <c r="H270" s="160" t="s">
        <v>5863</v>
      </c>
      <c r="I270" s="169" t="s">
        <v>41</v>
      </c>
      <c r="J270" s="162" t="s">
        <v>5864</v>
      </c>
      <c r="K270" s="157" t="s">
        <v>5865</v>
      </c>
    </row>
    <row r="271" spans="1:11" ht="14.25" customHeight="1">
      <c r="A271" s="164"/>
      <c r="B271" s="164"/>
      <c r="C271" s="164"/>
      <c r="D271" s="164"/>
      <c r="E271" s="163" t="s">
        <v>5866</v>
      </c>
      <c r="F271" s="164"/>
      <c r="G271" s="166"/>
      <c r="H271" s="167"/>
      <c r="I271" s="168"/>
      <c r="J271" s="167"/>
      <c r="K271" s="157" t="s">
        <v>5867</v>
      </c>
    </row>
    <row r="272" spans="1:11" ht="14.25" customHeight="1">
      <c r="A272" s="164"/>
      <c r="B272" s="164"/>
      <c r="C272" s="164"/>
      <c r="D272" s="156" t="s">
        <v>5868</v>
      </c>
      <c r="E272" s="163" t="s">
        <v>5869</v>
      </c>
      <c r="F272" s="172" t="s">
        <v>5870</v>
      </c>
      <c r="G272" s="159" t="s">
        <v>200</v>
      </c>
      <c r="H272" s="160" t="s">
        <v>5871</v>
      </c>
      <c r="I272" s="169" t="s">
        <v>41</v>
      </c>
      <c r="J272" s="162" t="s">
        <v>5872</v>
      </c>
      <c r="K272" s="157" t="s">
        <v>5873</v>
      </c>
    </row>
    <row r="273" spans="1:11" ht="14.25" customHeight="1">
      <c r="A273" s="164"/>
      <c r="B273" s="164"/>
      <c r="C273" s="164"/>
      <c r="D273" s="164"/>
      <c r="E273" s="163" t="s">
        <v>5874</v>
      </c>
      <c r="F273" s="164"/>
      <c r="G273" s="166"/>
      <c r="H273" s="167"/>
      <c r="I273" s="168"/>
      <c r="J273" s="167"/>
      <c r="K273" s="157" t="s">
        <v>5764</v>
      </c>
    </row>
    <row r="274" spans="1:11" ht="14.25" customHeight="1">
      <c r="A274" s="164"/>
      <c r="B274" s="164"/>
      <c r="C274" s="164"/>
      <c r="D274" s="156" t="s">
        <v>5875</v>
      </c>
      <c r="E274" s="163" t="s">
        <v>5876</v>
      </c>
      <c r="F274" s="172" t="s">
        <v>5877</v>
      </c>
      <c r="G274" s="159" t="s">
        <v>38</v>
      </c>
      <c r="H274" s="160" t="s">
        <v>5878</v>
      </c>
      <c r="I274" s="170" t="s">
        <v>33</v>
      </c>
      <c r="J274" s="162" t="s">
        <v>5879</v>
      </c>
      <c r="K274" s="157" t="s">
        <v>5880</v>
      </c>
    </row>
    <row r="275" spans="1:11" ht="14.25" customHeight="1">
      <c r="A275" s="164"/>
      <c r="B275" s="164"/>
      <c r="C275" s="164"/>
      <c r="D275" s="164"/>
      <c r="E275" s="163" t="s">
        <v>5881</v>
      </c>
      <c r="F275" s="164"/>
      <c r="G275" s="166"/>
      <c r="H275" s="167"/>
      <c r="I275" s="168"/>
      <c r="J275" s="167"/>
      <c r="K275" s="157" t="s">
        <v>5882</v>
      </c>
    </row>
    <row r="276" spans="1:11" ht="14.25" customHeight="1">
      <c r="A276" s="164"/>
      <c r="B276" s="164"/>
      <c r="C276" s="164"/>
      <c r="D276" s="156" t="s">
        <v>5883</v>
      </c>
      <c r="E276" s="163" t="s">
        <v>5884</v>
      </c>
      <c r="F276" s="172" t="s">
        <v>5885</v>
      </c>
      <c r="G276" s="159" t="s">
        <v>38</v>
      </c>
      <c r="H276" s="160" t="s">
        <v>5886</v>
      </c>
      <c r="I276" s="161" t="s">
        <v>19</v>
      </c>
      <c r="J276" s="162" t="s">
        <v>5887</v>
      </c>
      <c r="K276" s="157" t="s">
        <v>5888</v>
      </c>
    </row>
    <row r="277" spans="1:11" ht="14.25" customHeight="1">
      <c r="A277" s="164"/>
      <c r="B277" s="164"/>
      <c r="C277" s="164"/>
      <c r="D277" s="164"/>
      <c r="E277" s="163" t="s">
        <v>5889</v>
      </c>
      <c r="F277" s="164"/>
      <c r="G277" s="166"/>
      <c r="H277" s="167"/>
      <c r="I277" s="168"/>
      <c r="J277" s="167"/>
      <c r="K277" s="157" t="s">
        <v>5778</v>
      </c>
    </row>
    <row r="278" spans="1:11" ht="14.25" customHeight="1">
      <c r="A278" s="164"/>
      <c r="B278" s="164"/>
      <c r="C278" s="164"/>
      <c r="D278" s="156" t="s">
        <v>5890</v>
      </c>
      <c r="E278" s="163" t="s">
        <v>5890</v>
      </c>
      <c r="F278" s="172" t="s">
        <v>5891</v>
      </c>
      <c r="G278" s="159" t="s">
        <v>16</v>
      </c>
      <c r="H278" s="160" t="s">
        <v>5373</v>
      </c>
      <c r="I278" s="170" t="s">
        <v>33</v>
      </c>
      <c r="J278" s="162" t="s">
        <v>5892</v>
      </c>
      <c r="K278" s="157" t="s">
        <v>5780</v>
      </c>
    </row>
    <row r="279" spans="1:11" ht="14.25" customHeight="1">
      <c r="A279" s="164"/>
      <c r="B279" s="164"/>
      <c r="C279" s="164"/>
      <c r="D279" s="164"/>
      <c r="E279" s="163" t="s">
        <v>5893</v>
      </c>
      <c r="F279" s="164"/>
      <c r="G279" s="166"/>
      <c r="H279" s="167"/>
      <c r="I279" s="168"/>
      <c r="J279" s="167"/>
      <c r="K279" s="157" t="s">
        <v>5894</v>
      </c>
    </row>
    <row r="280" spans="1:11" ht="14.25" customHeight="1">
      <c r="A280" s="164"/>
      <c r="B280" s="164"/>
      <c r="C280" s="156" t="s">
        <v>5895</v>
      </c>
      <c r="D280" s="156" t="s">
        <v>5896</v>
      </c>
      <c r="E280" s="163" t="s">
        <v>5897</v>
      </c>
      <c r="F280" s="172" t="s">
        <v>5898</v>
      </c>
      <c r="G280" s="159" t="s">
        <v>16</v>
      </c>
      <c r="H280" s="160" t="s">
        <v>5899</v>
      </c>
      <c r="I280" s="169" t="s">
        <v>41</v>
      </c>
      <c r="J280" s="162" t="s">
        <v>5900</v>
      </c>
      <c r="K280" s="157" t="s">
        <v>5789</v>
      </c>
    </row>
    <row r="281" spans="1:11" ht="14.25" customHeight="1">
      <c r="A281" s="164"/>
      <c r="B281" s="164"/>
      <c r="C281" s="164"/>
      <c r="D281" s="164"/>
      <c r="E281" s="163" t="s">
        <v>5901</v>
      </c>
      <c r="F281" s="164"/>
      <c r="G281" s="166"/>
      <c r="H281" s="167"/>
      <c r="I281" s="168"/>
      <c r="J281" s="167"/>
      <c r="K281" s="157" t="s">
        <v>5795</v>
      </c>
    </row>
    <row r="282" spans="1:11" ht="14.25" customHeight="1">
      <c r="A282" s="164"/>
      <c r="B282" s="164"/>
      <c r="C282" s="164"/>
      <c r="D282" s="156" t="s">
        <v>5902</v>
      </c>
      <c r="E282" s="163" t="s">
        <v>5903</v>
      </c>
      <c r="F282" s="172" t="s">
        <v>5904</v>
      </c>
      <c r="G282" s="159" t="s">
        <v>16</v>
      </c>
      <c r="H282" s="160" t="s">
        <v>5905</v>
      </c>
      <c r="I282" s="169" t="s">
        <v>41</v>
      </c>
      <c r="J282" s="162" t="s">
        <v>5906</v>
      </c>
      <c r="K282" s="157" t="s">
        <v>5797</v>
      </c>
    </row>
    <row r="283" spans="1:11" ht="14.25" customHeight="1">
      <c r="A283" s="164"/>
      <c r="B283" s="164"/>
      <c r="C283" s="164"/>
      <c r="D283" s="164"/>
      <c r="E283" s="163" t="s">
        <v>5907</v>
      </c>
      <c r="F283" s="164"/>
      <c r="G283" s="166"/>
      <c r="H283" s="167"/>
      <c r="I283" s="168"/>
      <c r="J283" s="167"/>
      <c r="K283" s="157" t="s">
        <v>5802</v>
      </c>
    </row>
    <row r="284" spans="1:11" ht="14.25" customHeight="1">
      <c r="A284" s="164"/>
      <c r="B284" s="164"/>
      <c r="C284" s="164"/>
      <c r="D284" s="156" t="s">
        <v>5908</v>
      </c>
      <c r="E284" s="163" t="s">
        <v>5909</v>
      </c>
      <c r="F284" s="172" t="s">
        <v>5910</v>
      </c>
      <c r="G284" s="159" t="s">
        <v>38</v>
      </c>
      <c r="H284" s="160" t="s">
        <v>5911</v>
      </c>
      <c r="I284" s="170" t="s">
        <v>33</v>
      </c>
      <c r="J284" s="162" t="s">
        <v>5912</v>
      </c>
      <c r="K284" s="157" t="s">
        <v>5804</v>
      </c>
    </row>
    <row r="285" spans="1:11" ht="14.25" customHeight="1">
      <c r="A285" s="164"/>
      <c r="B285" s="164"/>
      <c r="C285" s="164"/>
      <c r="D285" s="164"/>
      <c r="E285" s="163" t="s">
        <v>5913</v>
      </c>
      <c r="F285" s="164"/>
      <c r="G285" s="166"/>
      <c r="H285" s="167"/>
      <c r="I285" s="168"/>
      <c r="J285" s="167"/>
      <c r="K285" s="157" t="s">
        <v>5810</v>
      </c>
    </row>
    <row r="286" spans="1:11" ht="14.25" customHeight="1">
      <c r="A286" s="164"/>
      <c r="B286" s="164"/>
      <c r="C286" s="164"/>
      <c r="D286" s="156" t="s">
        <v>5914</v>
      </c>
      <c r="E286" s="163" t="s">
        <v>5915</v>
      </c>
      <c r="F286" s="172" t="s">
        <v>5916</v>
      </c>
      <c r="G286" s="159" t="s">
        <v>200</v>
      </c>
      <c r="H286" s="160" t="s">
        <v>5917</v>
      </c>
      <c r="I286" s="161" t="s">
        <v>19</v>
      </c>
      <c r="J286" s="162" t="s">
        <v>5918</v>
      </c>
      <c r="K286" s="157" t="s">
        <v>5812</v>
      </c>
    </row>
    <row r="287" spans="1:11" ht="14.25" customHeight="1">
      <c r="A287" s="164"/>
      <c r="B287" s="164"/>
      <c r="C287" s="164"/>
      <c r="D287" s="164"/>
      <c r="E287" s="163" t="s">
        <v>5919</v>
      </c>
      <c r="F287" s="164"/>
      <c r="G287" s="166"/>
      <c r="H287" s="167"/>
      <c r="I287" s="168"/>
      <c r="J287" s="167"/>
      <c r="K287" s="157" t="s">
        <v>5920</v>
      </c>
    </row>
    <row r="288" spans="1:11" ht="14.25" customHeight="1">
      <c r="A288" s="164"/>
      <c r="B288" s="164"/>
      <c r="C288" s="164"/>
      <c r="D288" s="156" t="s">
        <v>5921</v>
      </c>
      <c r="E288" s="163" t="s">
        <v>5922</v>
      </c>
      <c r="F288" s="172" t="s">
        <v>5923</v>
      </c>
      <c r="G288" s="159" t="s">
        <v>38</v>
      </c>
      <c r="H288" s="160" t="s">
        <v>5924</v>
      </c>
      <c r="I288" s="170" t="s">
        <v>33</v>
      </c>
      <c r="J288" s="162" t="s">
        <v>5925</v>
      </c>
      <c r="K288" s="157" t="s">
        <v>5820</v>
      </c>
    </row>
    <row r="289" spans="1:11" ht="14.25" customHeight="1">
      <c r="A289" s="164"/>
      <c r="B289" s="164"/>
      <c r="C289" s="164"/>
      <c r="D289" s="164"/>
      <c r="E289" s="163" t="s">
        <v>5926</v>
      </c>
      <c r="F289" s="164"/>
      <c r="G289" s="166"/>
      <c r="H289" s="167"/>
      <c r="I289" s="168"/>
      <c r="J289" s="167"/>
      <c r="K289" s="157" t="s">
        <v>5826</v>
      </c>
    </row>
    <row r="290" spans="1:11" ht="14.25" customHeight="1">
      <c r="A290" s="164"/>
      <c r="B290" s="164"/>
      <c r="C290" s="156" t="s">
        <v>5927</v>
      </c>
      <c r="D290" s="156" t="s">
        <v>5928</v>
      </c>
      <c r="E290" s="163" t="s">
        <v>5929</v>
      </c>
      <c r="F290" s="172" t="s">
        <v>5930</v>
      </c>
      <c r="G290" s="159" t="s">
        <v>38</v>
      </c>
      <c r="H290" s="160" t="s">
        <v>5931</v>
      </c>
      <c r="I290" s="169" t="s">
        <v>41</v>
      </c>
      <c r="J290" s="162" t="s">
        <v>5932</v>
      </c>
      <c r="K290" s="157" t="s">
        <v>5828</v>
      </c>
    </row>
    <row r="291" spans="1:11" ht="14.25" customHeight="1">
      <c r="A291" s="164"/>
      <c r="B291" s="164"/>
      <c r="C291" s="164"/>
      <c r="D291" s="164"/>
      <c r="E291" s="163" t="s">
        <v>5933</v>
      </c>
      <c r="F291" s="164"/>
      <c r="G291" s="166"/>
      <c r="H291" s="167"/>
      <c r="I291" s="168"/>
      <c r="J291" s="167"/>
      <c r="K291" s="157" t="s">
        <v>5833</v>
      </c>
    </row>
    <row r="292" spans="1:11" ht="14.25" customHeight="1">
      <c r="A292" s="164"/>
      <c r="B292" s="164"/>
      <c r="C292" s="164"/>
      <c r="D292" s="156" t="s">
        <v>5934</v>
      </c>
      <c r="E292" s="163" t="s">
        <v>5935</v>
      </c>
      <c r="F292" s="172" t="s">
        <v>5936</v>
      </c>
      <c r="G292" s="159" t="s">
        <v>16</v>
      </c>
      <c r="H292" s="160" t="s">
        <v>5937</v>
      </c>
      <c r="I292" s="169" t="s">
        <v>41</v>
      </c>
      <c r="J292" s="162" t="s">
        <v>5938</v>
      </c>
      <c r="K292" s="157" t="s">
        <v>5840</v>
      </c>
    </row>
    <row r="293" spans="1:11" ht="14.25" customHeight="1">
      <c r="A293" s="164"/>
      <c r="B293" s="164"/>
      <c r="C293" s="164"/>
      <c r="D293" s="164"/>
      <c r="E293" s="163" t="s">
        <v>5939</v>
      </c>
      <c r="F293" s="164"/>
      <c r="G293" s="166"/>
      <c r="H293" s="167"/>
      <c r="I293" s="168"/>
      <c r="J293" s="167"/>
      <c r="K293" s="157" t="s">
        <v>5842</v>
      </c>
    </row>
    <row r="294" spans="1:11" ht="14.25" customHeight="1">
      <c r="A294" s="164"/>
      <c r="B294" s="164"/>
      <c r="C294" s="164"/>
      <c r="D294" s="156" t="s">
        <v>5940</v>
      </c>
      <c r="E294" s="163" t="s">
        <v>5941</v>
      </c>
      <c r="F294" s="172" t="s">
        <v>5942</v>
      </c>
      <c r="G294" s="159" t="s">
        <v>16</v>
      </c>
      <c r="H294" s="160" t="s">
        <v>5943</v>
      </c>
      <c r="I294" s="170" t="s">
        <v>33</v>
      </c>
      <c r="J294" s="162" t="s">
        <v>5944</v>
      </c>
      <c r="K294" s="157" t="s">
        <v>5848</v>
      </c>
    </row>
    <row r="295" spans="1:11" ht="14.25" customHeight="1">
      <c r="A295" s="164"/>
      <c r="B295" s="164"/>
      <c r="C295" s="164"/>
      <c r="D295" s="164"/>
      <c r="E295" s="163" t="s">
        <v>5945</v>
      </c>
      <c r="F295" s="164"/>
      <c r="G295" s="166"/>
      <c r="H295" s="167"/>
      <c r="I295" s="168"/>
      <c r="J295" s="167"/>
      <c r="K295" s="157" t="s">
        <v>5850</v>
      </c>
    </row>
    <row r="296" spans="1:11" ht="14.25" customHeight="1">
      <c r="A296" s="164"/>
      <c r="B296" s="164"/>
      <c r="C296" s="164"/>
      <c r="D296" s="156" t="s">
        <v>5946</v>
      </c>
      <c r="E296" s="163" t="s">
        <v>5947</v>
      </c>
      <c r="F296" s="172" t="s">
        <v>5948</v>
      </c>
      <c r="G296" s="159" t="s">
        <v>16</v>
      </c>
      <c r="H296" s="160" t="s">
        <v>5949</v>
      </c>
      <c r="I296" s="161" t="s">
        <v>19</v>
      </c>
      <c r="J296" s="162" t="s">
        <v>5950</v>
      </c>
      <c r="K296" s="157" t="s">
        <v>5951</v>
      </c>
    </row>
    <row r="297" spans="1:11" ht="14.25" customHeight="1">
      <c r="A297" s="164"/>
      <c r="B297" s="164"/>
      <c r="C297" s="164"/>
      <c r="D297" s="164"/>
      <c r="E297" s="163" t="s">
        <v>5952</v>
      </c>
      <c r="F297" s="164"/>
      <c r="G297" s="166"/>
      <c r="H297" s="167"/>
      <c r="I297" s="168"/>
      <c r="J297" s="167"/>
      <c r="K297" s="157" t="s">
        <v>5953</v>
      </c>
    </row>
    <row r="298" spans="1:11" ht="14.25" customHeight="1">
      <c r="A298" s="164"/>
      <c r="B298" s="164"/>
      <c r="C298" s="164"/>
      <c r="D298" s="156" t="s">
        <v>5954</v>
      </c>
      <c r="E298" s="163" t="s">
        <v>5955</v>
      </c>
      <c r="F298" s="172" t="s">
        <v>5956</v>
      </c>
      <c r="G298" s="159" t="s">
        <v>38</v>
      </c>
      <c r="H298" s="160" t="s">
        <v>5957</v>
      </c>
      <c r="I298" s="170" t="s">
        <v>33</v>
      </c>
      <c r="J298" s="162" t="s">
        <v>5958</v>
      </c>
      <c r="K298" s="157" t="s">
        <v>5865</v>
      </c>
    </row>
    <row r="299" spans="1:11" ht="14.25" customHeight="1">
      <c r="A299" s="164"/>
      <c r="B299" s="164"/>
      <c r="C299" s="164"/>
      <c r="D299" s="164"/>
      <c r="E299" s="163" t="s">
        <v>5959</v>
      </c>
      <c r="F299" s="164"/>
      <c r="G299" s="166"/>
      <c r="H299" s="167"/>
      <c r="I299" s="168"/>
      <c r="J299" s="167"/>
      <c r="K299" s="157" t="s">
        <v>5867</v>
      </c>
    </row>
    <row r="300" spans="1:11" ht="14.25" customHeight="1">
      <c r="A300" s="164"/>
      <c r="B300" s="164"/>
      <c r="C300" s="156" t="s">
        <v>5960</v>
      </c>
      <c r="D300" s="156" t="s">
        <v>5961</v>
      </c>
      <c r="E300" s="163" t="s">
        <v>5962</v>
      </c>
      <c r="F300" s="172" t="s">
        <v>5963</v>
      </c>
      <c r="G300" s="159" t="s">
        <v>200</v>
      </c>
      <c r="H300" s="160" t="s">
        <v>5964</v>
      </c>
      <c r="I300" s="169" t="s">
        <v>41</v>
      </c>
      <c r="J300" s="162" t="s">
        <v>5965</v>
      </c>
      <c r="K300" s="157" t="s">
        <v>5966</v>
      </c>
    </row>
    <row r="301" spans="1:11" ht="14.25" customHeight="1">
      <c r="A301" s="164"/>
      <c r="B301" s="164"/>
      <c r="C301" s="164"/>
      <c r="D301" s="164"/>
      <c r="E301" s="163" t="s">
        <v>5967</v>
      </c>
      <c r="F301" s="164"/>
      <c r="G301" s="166"/>
      <c r="H301" s="167"/>
      <c r="I301" s="168"/>
      <c r="J301" s="167"/>
      <c r="K301" s="157" t="s">
        <v>5968</v>
      </c>
    </row>
    <row r="302" spans="1:11" ht="14.25" customHeight="1">
      <c r="A302" s="164"/>
      <c r="B302" s="164"/>
      <c r="C302" s="164"/>
      <c r="D302" s="156" t="s">
        <v>5969</v>
      </c>
      <c r="E302" s="163" t="s">
        <v>5970</v>
      </c>
      <c r="F302" s="172" t="s">
        <v>5971</v>
      </c>
      <c r="G302" s="159" t="s">
        <v>38</v>
      </c>
      <c r="H302" s="160" t="s">
        <v>5972</v>
      </c>
      <c r="I302" s="169" t="s">
        <v>41</v>
      </c>
      <c r="J302" s="162" t="s">
        <v>5973</v>
      </c>
      <c r="K302" s="157" t="s">
        <v>5974</v>
      </c>
    </row>
    <row r="303" spans="1:11" ht="14.25" customHeight="1">
      <c r="A303" s="164"/>
      <c r="B303" s="164"/>
      <c r="C303" s="164"/>
      <c r="D303" s="164"/>
      <c r="E303" s="163" t="s">
        <v>5975</v>
      </c>
      <c r="F303" s="164"/>
      <c r="G303" s="166"/>
      <c r="H303" s="167"/>
      <c r="I303" s="168"/>
      <c r="J303" s="167"/>
      <c r="K303" s="157" t="s">
        <v>5976</v>
      </c>
    </row>
    <row r="304" spans="1:11" ht="14.25" customHeight="1">
      <c r="A304" s="164"/>
      <c r="B304" s="164"/>
      <c r="C304" s="164"/>
      <c r="D304" s="156" t="s">
        <v>5977</v>
      </c>
      <c r="E304" s="163" t="s">
        <v>5978</v>
      </c>
      <c r="F304" s="172" t="s">
        <v>5979</v>
      </c>
      <c r="G304" s="159" t="s">
        <v>38</v>
      </c>
      <c r="H304" s="160" t="s">
        <v>5872</v>
      </c>
      <c r="I304" s="170" t="s">
        <v>33</v>
      </c>
      <c r="J304" s="162" t="s">
        <v>5980</v>
      </c>
      <c r="K304" s="157" t="s">
        <v>5981</v>
      </c>
    </row>
    <row r="305" spans="1:11" ht="14.25" customHeight="1">
      <c r="A305" s="164"/>
      <c r="B305" s="164"/>
      <c r="C305" s="164"/>
      <c r="D305" s="164"/>
      <c r="E305" s="163" t="s">
        <v>5982</v>
      </c>
      <c r="F305" s="164"/>
      <c r="G305" s="166"/>
      <c r="H305" s="167"/>
      <c r="I305" s="168"/>
      <c r="J305" s="167"/>
      <c r="K305" s="157" t="s">
        <v>5983</v>
      </c>
    </row>
    <row r="306" spans="1:11" ht="14.25" customHeight="1">
      <c r="A306" s="164"/>
      <c r="B306" s="164"/>
      <c r="C306" s="164"/>
      <c r="D306" s="156" t="s">
        <v>5984</v>
      </c>
      <c r="E306" s="163" t="s">
        <v>5985</v>
      </c>
      <c r="F306" s="172" t="s">
        <v>5986</v>
      </c>
      <c r="G306" s="159" t="s">
        <v>16</v>
      </c>
      <c r="H306" s="160" t="s">
        <v>5987</v>
      </c>
      <c r="I306" s="161" t="s">
        <v>19</v>
      </c>
      <c r="J306" s="162" t="s">
        <v>5988</v>
      </c>
      <c r="K306" s="157" t="s">
        <v>5989</v>
      </c>
    </row>
    <row r="307" spans="1:11" ht="14.25" customHeight="1">
      <c r="A307" s="164"/>
      <c r="B307" s="164"/>
      <c r="C307" s="164"/>
      <c r="D307" s="164"/>
      <c r="E307" s="163" t="s">
        <v>5990</v>
      </c>
      <c r="F307" s="164"/>
      <c r="G307" s="166"/>
      <c r="H307" s="167"/>
      <c r="I307" s="168"/>
      <c r="J307" s="167"/>
      <c r="K307" s="157" t="s">
        <v>5991</v>
      </c>
    </row>
    <row r="308" spans="1:11" ht="14.25" customHeight="1">
      <c r="A308" s="164"/>
      <c r="B308" s="164"/>
      <c r="C308" s="164"/>
      <c r="D308" s="156" t="s">
        <v>5992</v>
      </c>
      <c r="E308" s="163" t="s">
        <v>5993</v>
      </c>
      <c r="F308" s="172" t="s">
        <v>5994</v>
      </c>
      <c r="G308" s="159" t="s">
        <v>16</v>
      </c>
      <c r="H308" s="160" t="s">
        <v>5995</v>
      </c>
      <c r="I308" s="170" t="s">
        <v>33</v>
      </c>
      <c r="J308" s="162" t="s">
        <v>5996</v>
      </c>
      <c r="K308" s="157" t="s">
        <v>5997</v>
      </c>
    </row>
    <row r="309" spans="1:11" ht="14.25" customHeight="1">
      <c r="A309" s="164"/>
      <c r="B309" s="164"/>
      <c r="C309" s="164"/>
      <c r="D309" s="164"/>
      <c r="E309" s="163" t="s">
        <v>5998</v>
      </c>
      <c r="F309" s="164"/>
      <c r="G309" s="166"/>
      <c r="H309" s="167"/>
      <c r="I309" s="168"/>
      <c r="J309" s="167"/>
      <c r="K309" s="157" t="s">
        <v>5999</v>
      </c>
    </row>
    <row r="310" spans="1:11" ht="14.25" customHeight="1">
      <c r="A310" s="164"/>
      <c r="B310" s="164"/>
      <c r="C310" s="156" t="s">
        <v>6000</v>
      </c>
      <c r="D310" s="156" t="s">
        <v>6001</v>
      </c>
      <c r="E310" s="163" t="s">
        <v>6002</v>
      </c>
      <c r="F310" s="172" t="s">
        <v>6003</v>
      </c>
      <c r="G310" s="159" t="s">
        <v>16</v>
      </c>
      <c r="H310" s="160" t="s">
        <v>6004</v>
      </c>
      <c r="I310" s="169" t="s">
        <v>41</v>
      </c>
      <c r="J310" s="162" t="s">
        <v>6005</v>
      </c>
      <c r="K310" s="157" t="s">
        <v>6006</v>
      </c>
    </row>
    <row r="311" spans="1:11" ht="14.25" customHeight="1">
      <c r="A311" s="164"/>
      <c r="B311" s="164"/>
      <c r="C311" s="164"/>
      <c r="D311" s="164"/>
      <c r="E311" s="163" t="s">
        <v>6007</v>
      </c>
      <c r="F311" s="164"/>
      <c r="G311" s="166"/>
      <c r="H311" s="167"/>
      <c r="I311" s="168"/>
      <c r="J311" s="167"/>
      <c r="K311" s="157" t="s">
        <v>6008</v>
      </c>
    </row>
    <row r="312" spans="1:11" ht="14.25" customHeight="1">
      <c r="A312" s="164"/>
      <c r="B312" s="164"/>
      <c r="C312" s="164"/>
      <c r="D312" s="156" t="s">
        <v>6009</v>
      </c>
      <c r="E312" s="163" t="s">
        <v>6010</v>
      </c>
      <c r="F312" s="172" t="s">
        <v>6011</v>
      </c>
      <c r="G312" s="159" t="s">
        <v>38</v>
      </c>
      <c r="H312" s="160" t="s">
        <v>6012</v>
      </c>
      <c r="I312" s="169" t="s">
        <v>41</v>
      </c>
      <c r="J312" s="162" t="s">
        <v>5950</v>
      </c>
      <c r="K312" s="157" t="s">
        <v>6013</v>
      </c>
    </row>
    <row r="313" spans="1:11" ht="14.25" customHeight="1">
      <c r="A313" s="164"/>
      <c r="B313" s="164"/>
      <c r="C313" s="164"/>
      <c r="D313" s="164"/>
      <c r="E313" s="163" t="s">
        <v>5907</v>
      </c>
      <c r="F313" s="164"/>
      <c r="G313" s="166"/>
      <c r="H313" s="167"/>
      <c r="I313" s="168"/>
      <c r="J313" s="167"/>
      <c r="K313" s="157" t="s">
        <v>6014</v>
      </c>
    </row>
    <row r="314" spans="1:11" ht="14.25" customHeight="1">
      <c r="A314" s="164"/>
      <c r="B314" s="164"/>
      <c r="C314" s="164"/>
      <c r="D314" s="156" t="s">
        <v>6015</v>
      </c>
      <c r="E314" s="163" t="s">
        <v>6016</v>
      </c>
      <c r="F314" s="172" t="s">
        <v>6017</v>
      </c>
      <c r="G314" s="159" t="s">
        <v>200</v>
      </c>
      <c r="H314" s="160" t="s">
        <v>6018</v>
      </c>
      <c r="I314" s="170" t="s">
        <v>33</v>
      </c>
      <c r="J314" s="162" t="s">
        <v>6019</v>
      </c>
      <c r="K314" s="157" t="s">
        <v>6020</v>
      </c>
    </row>
    <row r="315" spans="1:11" ht="14.25" customHeight="1">
      <c r="A315" s="164"/>
      <c r="B315" s="164"/>
      <c r="C315" s="164"/>
      <c r="D315" s="164"/>
      <c r="E315" s="163" t="s">
        <v>6021</v>
      </c>
      <c r="F315" s="164"/>
      <c r="G315" s="166"/>
      <c r="H315" s="167"/>
      <c r="I315" s="168"/>
      <c r="J315" s="167"/>
      <c r="K315" s="157" t="s">
        <v>6022</v>
      </c>
    </row>
    <row r="316" spans="1:11" ht="14.25" customHeight="1">
      <c r="A316" s="164"/>
      <c r="B316" s="164"/>
      <c r="C316" s="164"/>
      <c r="D316" s="156" t="s">
        <v>6023</v>
      </c>
      <c r="E316" s="163" t="s">
        <v>6024</v>
      </c>
      <c r="F316" s="172" t="s">
        <v>6025</v>
      </c>
      <c r="G316" s="159" t="s">
        <v>38</v>
      </c>
      <c r="H316" s="160" t="s">
        <v>6026</v>
      </c>
      <c r="I316" s="161" t="s">
        <v>19</v>
      </c>
      <c r="J316" s="162" t="s">
        <v>6027</v>
      </c>
      <c r="K316" s="157" t="s">
        <v>6028</v>
      </c>
    </row>
    <row r="317" spans="1:11" ht="14.25" customHeight="1">
      <c r="A317" s="164"/>
      <c r="B317" s="164"/>
      <c r="C317" s="164"/>
      <c r="D317" s="164"/>
      <c r="E317" s="163" t="s">
        <v>6029</v>
      </c>
      <c r="F317" s="164"/>
      <c r="G317" s="166"/>
      <c r="H317" s="167"/>
      <c r="I317" s="168"/>
      <c r="J317" s="167"/>
      <c r="K317" s="157" t="s">
        <v>6030</v>
      </c>
    </row>
    <row r="318" spans="1:11" ht="14.25" customHeight="1">
      <c r="A318" s="164"/>
      <c r="B318" s="164"/>
      <c r="C318" s="164"/>
      <c r="D318" s="156" t="s">
        <v>6031</v>
      </c>
      <c r="E318" s="163" t="s">
        <v>6032</v>
      </c>
      <c r="F318" s="172" t="s">
        <v>6033</v>
      </c>
      <c r="G318" s="159" t="s">
        <v>38</v>
      </c>
      <c r="H318" s="160" t="s">
        <v>6034</v>
      </c>
      <c r="I318" s="170" t="s">
        <v>33</v>
      </c>
      <c r="J318" s="162" t="s">
        <v>6035</v>
      </c>
      <c r="K318" s="157" t="s">
        <v>6036</v>
      </c>
    </row>
    <row r="319" spans="1:11" ht="14.25" customHeight="1">
      <c r="A319" s="164"/>
      <c r="B319" s="164"/>
      <c r="C319" s="164"/>
      <c r="D319" s="164"/>
      <c r="E319" s="163" t="s">
        <v>6037</v>
      </c>
      <c r="F319" s="164"/>
      <c r="G319" s="166"/>
      <c r="H319" s="167"/>
      <c r="I319" s="168"/>
      <c r="J319" s="167"/>
      <c r="K319" s="157" t="s">
        <v>6038</v>
      </c>
    </row>
    <row r="320" spans="1:11" ht="14.25" customHeight="1">
      <c r="A320" s="164"/>
      <c r="B320" s="164"/>
      <c r="C320" s="156" t="s">
        <v>6039</v>
      </c>
      <c r="D320" s="156" t="s">
        <v>6040</v>
      </c>
      <c r="E320" s="163" t="s">
        <v>6041</v>
      </c>
      <c r="F320" s="172" t="s">
        <v>6042</v>
      </c>
      <c r="G320" s="159" t="s">
        <v>16</v>
      </c>
      <c r="H320" s="160" t="s">
        <v>6043</v>
      </c>
      <c r="I320" s="169" t="s">
        <v>41</v>
      </c>
      <c r="J320" s="162" t="s">
        <v>6044</v>
      </c>
      <c r="K320" s="157" t="s">
        <v>6045</v>
      </c>
    </row>
    <row r="321" spans="1:11" ht="14.25" customHeight="1">
      <c r="A321" s="164"/>
      <c r="B321" s="164"/>
      <c r="C321" s="164"/>
      <c r="D321" s="164"/>
      <c r="E321" s="163" t="s">
        <v>2416</v>
      </c>
      <c r="F321" s="164"/>
      <c r="G321" s="166"/>
      <c r="H321" s="167"/>
      <c r="I321" s="168"/>
      <c r="J321" s="167"/>
      <c r="K321" s="157" t="s">
        <v>6046</v>
      </c>
    </row>
    <row r="322" spans="1:11" ht="14.25" customHeight="1">
      <c r="A322" s="164"/>
      <c r="B322" s="164"/>
      <c r="C322" s="164"/>
      <c r="D322" s="156" t="s">
        <v>6047</v>
      </c>
      <c r="E322" s="163" t="s">
        <v>6048</v>
      </c>
      <c r="F322" s="172" t="s">
        <v>6049</v>
      </c>
      <c r="G322" s="159" t="s">
        <v>16</v>
      </c>
      <c r="H322" s="160" t="s">
        <v>6050</v>
      </c>
      <c r="I322" s="169" t="s">
        <v>41</v>
      </c>
      <c r="J322" s="162" t="s">
        <v>6051</v>
      </c>
      <c r="K322" s="157" t="s">
        <v>6052</v>
      </c>
    </row>
    <row r="323" spans="1:11" ht="14.25" customHeight="1">
      <c r="A323" s="164"/>
      <c r="B323" s="164"/>
      <c r="C323" s="164"/>
      <c r="D323" s="164"/>
      <c r="E323" s="163" t="s">
        <v>6053</v>
      </c>
      <c r="F323" s="164"/>
      <c r="G323" s="166"/>
      <c r="H323" s="167"/>
      <c r="I323" s="168"/>
      <c r="J323" s="167"/>
      <c r="K323" s="157" t="s">
        <v>6054</v>
      </c>
    </row>
    <row r="324" spans="1:11" ht="14.25" customHeight="1">
      <c r="A324" s="164"/>
      <c r="B324" s="164"/>
      <c r="C324" s="164"/>
      <c r="D324" s="156" t="s">
        <v>6055</v>
      </c>
      <c r="E324" s="163" t="s">
        <v>6056</v>
      </c>
      <c r="F324" s="172" t="s">
        <v>6057</v>
      </c>
      <c r="G324" s="159" t="s">
        <v>16</v>
      </c>
      <c r="H324" s="160" t="s">
        <v>5872</v>
      </c>
      <c r="I324" s="170" t="s">
        <v>33</v>
      </c>
      <c r="J324" s="162" t="s">
        <v>6058</v>
      </c>
      <c r="K324" s="157" t="s">
        <v>6059</v>
      </c>
    </row>
    <row r="325" spans="1:11" ht="14.25" customHeight="1">
      <c r="A325" s="164"/>
      <c r="B325" s="164"/>
      <c r="C325" s="164"/>
      <c r="D325" s="164"/>
      <c r="E325" s="163" t="s">
        <v>6060</v>
      </c>
      <c r="F325" s="164"/>
      <c r="G325" s="166"/>
      <c r="H325" s="167"/>
      <c r="I325" s="168"/>
      <c r="J325" s="167"/>
      <c r="K325" s="157" t="s">
        <v>6061</v>
      </c>
    </row>
    <row r="326" spans="1:11" ht="14.25" customHeight="1">
      <c r="A326" s="164"/>
      <c r="B326" s="164"/>
      <c r="C326" s="164"/>
      <c r="D326" s="156" t="s">
        <v>6062</v>
      </c>
      <c r="E326" s="163" t="s">
        <v>6063</v>
      </c>
      <c r="F326" s="172" t="s">
        <v>6064</v>
      </c>
      <c r="G326" s="159" t="s">
        <v>38</v>
      </c>
      <c r="H326" s="160" t="s">
        <v>6065</v>
      </c>
      <c r="I326" s="161" t="s">
        <v>19</v>
      </c>
      <c r="J326" s="162" t="s">
        <v>6066</v>
      </c>
      <c r="K326" s="157" t="s">
        <v>6067</v>
      </c>
    </row>
    <row r="327" spans="1:11" ht="14.25" customHeight="1">
      <c r="A327" s="164"/>
      <c r="B327" s="164"/>
      <c r="C327" s="164"/>
      <c r="D327" s="164"/>
      <c r="E327" s="163" t="s">
        <v>6068</v>
      </c>
      <c r="F327" s="164"/>
      <c r="G327" s="166"/>
      <c r="H327" s="167"/>
      <c r="I327" s="168"/>
      <c r="J327" s="167"/>
      <c r="K327" s="157" t="s">
        <v>6069</v>
      </c>
    </row>
    <row r="328" spans="1:11" ht="14.25" customHeight="1">
      <c r="A328" s="164"/>
      <c r="B328" s="164"/>
      <c r="C328" s="164"/>
      <c r="D328" s="156" t="s">
        <v>6070</v>
      </c>
      <c r="E328" s="163" t="s">
        <v>6071</v>
      </c>
      <c r="F328" s="172" t="s">
        <v>6072</v>
      </c>
      <c r="G328" s="159" t="s">
        <v>200</v>
      </c>
      <c r="H328" s="160" t="s">
        <v>6073</v>
      </c>
      <c r="I328" s="170" t="s">
        <v>33</v>
      </c>
      <c r="J328" s="162" t="s">
        <v>6074</v>
      </c>
      <c r="K328" s="157" t="s">
        <v>6075</v>
      </c>
    </row>
    <row r="329" spans="1:11" ht="14.25" customHeight="1">
      <c r="A329" s="164"/>
      <c r="B329" s="164"/>
      <c r="C329" s="164"/>
      <c r="D329" s="164"/>
      <c r="E329" s="163" t="s">
        <v>6076</v>
      </c>
      <c r="F329" s="164"/>
      <c r="G329" s="166"/>
      <c r="H329" s="167"/>
      <c r="I329" s="168"/>
      <c r="J329" s="167"/>
      <c r="K329" s="157" t="s">
        <v>6077</v>
      </c>
    </row>
    <row r="330" spans="1:11" ht="14.25" customHeight="1">
      <c r="A330" s="164"/>
      <c r="B330" s="164"/>
      <c r="C330" s="156" t="s">
        <v>6078</v>
      </c>
      <c r="D330" s="156" t="s">
        <v>6079</v>
      </c>
      <c r="E330" s="163" t="s">
        <v>6080</v>
      </c>
      <c r="F330" s="172" t="s">
        <v>6081</v>
      </c>
      <c r="G330" s="159" t="s">
        <v>38</v>
      </c>
      <c r="H330" s="160" t="s">
        <v>6082</v>
      </c>
      <c r="I330" s="169" t="s">
        <v>41</v>
      </c>
      <c r="J330" s="162" t="s">
        <v>6083</v>
      </c>
      <c r="K330" s="157" t="s">
        <v>6084</v>
      </c>
    </row>
    <row r="331" spans="1:11" ht="14.25" customHeight="1">
      <c r="A331" s="164"/>
      <c r="B331" s="164"/>
      <c r="C331" s="164"/>
      <c r="D331" s="164"/>
      <c r="E331" s="163" t="s">
        <v>6085</v>
      </c>
      <c r="F331" s="164"/>
      <c r="G331" s="166"/>
      <c r="H331" s="167"/>
      <c r="I331" s="168"/>
      <c r="J331" s="167"/>
      <c r="K331" s="157" t="s">
        <v>6086</v>
      </c>
    </row>
    <row r="332" spans="1:11" ht="14.25" customHeight="1">
      <c r="A332" s="164"/>
      <c r="B332" s="164"/>
      <c r="C332" s="164"/>
      <c r="D332" s="156" t="s">
        <v>6087</v>
      </c>
      <c r="E332" s="163" t="s">
        <v>6088</v>
      </c>
      <c r="F332" s="172" t="s">
        <v>6089</v>
      </c>
      <c r="G332" s="159" t="s">
        <v>38</v>
      </c>
      <c r="H332" s="160" t="s">
        <v>6090</v>
      </c>
      <c r="I332" s="169" t="s">
        <v>41</v>
      </c>
      <c r="J332" s="162" t="s">
        <v>6091</v>
      </c>
      <c r="K332" s="157" t="s">
        <v>6092</v>
      </c>
    </row>
    <row r="333" spans="1:11" ht="14.25" customHeight="1">
      <c r="A333" s="164"/>
      <c r="B333" s="164"/>
      <c r="C333" s="164"/>
      <c r="D333" s="164"/>
      <c r="E333" s="163" t="s">
        <v>6093</v>
      </c>
      <c r="F333" s="164"/>
      <c r="G333" s="166"/>
      <c r="H333" s="167"/>
      <c r="I333" s="168"/>
      <c r="J333" s="167"/>
      <c r="K333" s="157" t="s">
        <v>6094</v>
      </c>
    </row>
    <row r="334" spans="1:11" ht="14.25" customHeight="1">
      <c r="A334" s="164"/>
      <c r="B334" s="164"/>
      <c r="C334" s="164"/>
      <c r="D334" s="156" t="s">
        <v>6095</v>
      </c>
      <c r="E334" s="163" t="s">
        <v>6096</v>
      </c>
      <c r="F334" s="172" t="s">
        <v>6097</v>
      </c>
      <c r="G334" s="159" t="s">
        <v>16</v>
      </c>
      <c r="H334" s="160" t="s">
        <v>6098</v>
      </c>
      <c r="I334" s="170" t="s">
        <v>33</v>
      </c>
      <c r="J334" s="162" t="s">
        <v>6099</v>
      </c>
      <c r="K334" s="157" t="s">
        <v>6100</v>
      </c>
    </row>
    <row r="335" spans="1:11" ht="14.25" customHeight="1">
      <c r="A335" s="164"/>
      <c r="B335" s="164"/>
      <c r="C335" s="164"/>
      <c r="D335" s="164"/>
      <c r="E335" s="163" t="s">
        <v>6101</v>
      </c>
      <c r="F335" s="164"/>
      <c r="G335" s="166"/>
      <c r="H335" s="167"/>
      <c r="I335" s="168"/>
      <c r="J335" s="167"/>
      <c r="K335" s="157" t="s">
        <v>6102</v>
      </c>
    </row>
    <row r="336" spans="1:11" ht="14.25" customHeight="1">
      <c r="A336" s="164"/>
      <c r="B336" s="164"/>
      <c r="C336" s="164"/>
      <c r="D336" s="156" t="s">
        <v>6103</v>
      </c>
      <c r="E336" s="163" t="s">
        <v>6104</v>
      </c>
      <c r="F336" s="172" t="s">
        <v>6105</v>
      </c>
      <c r="G336" s="159" t="s">
        <v>16</v>
      </c>
      <c r="H336" s="160" t="s">
        <v>6106</v>
      </c>
      <c r="I336" s="161" t="s">
        <v>19</v>
      </c>
      <c r="J336" s="162" t="s">
        <v>6107</v>
      </c>
      <c r="K336" s="157" t="s">
        <v>6108</v>
      </c>
    </row>
    <row r="337" spans="1:11" ht="14.25" customHeight="1">
      <c r="A337" s="164"/>
      <c r="B337" s="164"/>
      <c r="C337" s="164"/>
      <c r="D337" s="164"/>
      <c r="E337" s="163" t="s">
        <v>6109</v>
      </c>
      <c r="F337" s="164"/>
      <c r="G337" s="166"/>
      <c r="H337" s="167"/>
      <c r="I337" s="168"/>
      <c r="J337" s="167"/>
      <c r="K337" s="157" t="s">
        <v>6110</v>
      </c>
    </row>
    <row r="338" spans="1:11" ht="14.25" customHeight="1">
      <c r="A338" s="164"/>
      <c r="B338" s="164"/>
      <c r="C338" s="164"/>
      <c r="D338" s="156" t="s">
        <v>6111</v>
      </c>
      <c r="E338" s="163" t="s">
        <v>6112</v>
      </c>
      <c r="F338" s="172" t="s">
        <v>6113</v>
      </c>
      <c r="G338" s="159" t="s">
        <v>16</v>
      </c>
      <c r="H338" s="160" t="s">
        <v>6114</v>
      </c>
      <c r="I338" s="170" t="s">
        <v>33</v>
      </c>
      <c r="J338" s="162" t="s">
        <v>6115</v>
      </c>
      <c r="K338" s="157" t="s">
        <v>6116</v>
      </c>
    </row>
    <row r="339" spans="1:11" ht="14.25" customHeight="1">
      <c r="A339" s="164"/>
      <c r="B339" s="164"/>
      <c r="C339" s="164"/>
      <c r="D339" s="164"/>
      <c r="E339" s="163" t="s">
        <v>6117</v>
      </c>
      <c r="F339" s="164"/>
      <c r="G339" s="166"/>
      <c r="H339" s="167"/>
      <c r="I339" s="168"/>
      <c r="J339" s="167"/>
      <c r="K339" s="157" t="s">
        <v>6118</v>
      </c>
    </row>
    <row r="340" spans="1:11" ht="14.25" customHeight="1">
      <c r="A340" s="164"/>
      <c r="B340" s="164"/>
      <c r="C340" s="156" t="s">
        <v>6119</v>
      </c>
      <c r="D340" s="156" t="s">
        <v>6120</v>
      </c>
      <c r="E340" s="163" t="s">
        <v>6121</v>
      </c>
      <c r="F340" s="172" t="s">
        <v>6122</v>
      </c>
      <c r="G340" s="159" t="s">
        <v>38</v>
      </c>
      <c r="H340" s="160" t="s">
        <v>6123</v>
      </c>
      <c r="I340" s="169" t="s">
        <v>41</v>
      </c>
      <c r="J340" s="162" t="s">
        <v>6124</v>
      </c>
      <c r="K340" s="157" t="s">
        <v>6125</v>
      </c>
    </row>
    <row r="341" spans="1:11" ht="14.25" customHeight="1">
      <c r="A341" s="164"/>
      <c r="B341" s="164"/>
      <c r="C341" s="164"/>
      <c r="D341" s="164"/>
      <c r="E341" s="163" t="s">
        <v>6126</v>
      </c>
      <c r="F341" s="164"/>
      <c r="G341" s="166"/>
      <c r="H341" s="167"/>
      <c r="I341" s="168"/>
      <c r="J341" s="167"/>
      <c r="K341" s="157" t="s">
        <v>6127</v>
      </c>
    </row>
    <row r="342" spans="1:11" ht="14.25" customHeight="1">
      <c r="A342" s="164"/>
      <c r="B342" s="164"/>
      <c r="C342" s="164"/>
      <c r="D342" s="156" t="s">
        <v>6128</v>
      </c>
      <c r="E342" s="163" t="s">
        <v>6129</v>
      </c>
      <c r="F342" s="172" t="s">
        <v>6130</v>
      </c>
      <c r="G342" s="159" t="s">
        <v>200</v>
      </c>
      <c r="H342" s="160" t="s">
        <v>6131</v>
      </c>
      <c r="I342" s="169" t="s">
        <v>41</v>
      </c>
      <c r="J342" s="162" t="s">
        <v>6132</v>
      </c>
      <c r="K342" s="157" t="s">
        <v>6133</v>
      </c>
    </row>
    <row r="343" spans="1:11" ht="14.25" customHeight="1">
      <c r="A343" s="164"/>
      <c r="B343" s="164"/>
      <c r="C343" s="164"/>
      <c r="D343" s="164"/>
      <c r="E343" s="163" t="s">
        <v>6134</v>
      </c>
      <c r="F343" s="164"/>
      <c r="G343" s="166"/>
      <c r="H343" s="167"/>
      <c r="I343" s="168"/>
      <c r="J343" s="167"/>
      <c r="K343" s="157" t="s">
        <v>6135</v>
      </c>
    </row>
    <row r="344" spans="1:11" ht="14.25" customHeight="1">
      <c r="A344" s="164"/>
      <c r="B344" s="164"/>
      <c r="C344" s="164"/>
      <c r="D344" s="156" t="s">
        <v>6136</v>
      </c>
      <c r="E344" s="163" t="s">
        <v>6137</v>
      </c>
      <c r="F344" s="172" t="s">
        <v>6138</v>
      </c>
      <c r="G344" s="159" t="s">
        <v>38</v>
      </c>
      <c r="H344" s="160" t="s">
        <v>6139</v>
      </c>
      <c r="I344" s="170" t="s">
        <v>33</v>
      </c>
      <c r="J344" s="162" t="s">
        <v>6140</v>
      </c>
      <c r="K344" s="157" t="s">
        <v>6141</v>
      </c>
    </row>
    <row r="345" spans="1:11" ht="14.25" customHeight="1">
      <c r="A345" s="164"/>
      <c r="B345" s="164"/>
      <c r="C345" s="164"/>
      <c r="D345" s="164"/>
      <c r="E345" s="163" t="s">
        <v>6142</v>
      </c>
      <c r="F345" s="164"/>
      <c r="G345" s="166"/>
      <c r="H345" s="167"/>
      <c r="I345" s="168"/>
      <c r="J345" s="167"/>
      <c r="K345" s="157" t="s">
        <v>6143</v>
      </c>
    </row>
    <row r="346" spans="1:11" ht="14.25" customHeight="1">
      <c r="A346" s="164"/>
      <c r="B346" s="164"/>
      <c r="C346" s="164"/>
      <c r="D346" s="156" t="s">
        <v>6144</v>
      </c>
      <c r="E346" s="163" t="s">
        <v>6145</v>
      </c>
      <c r="F346" s="172" t="s">
        <v>6146</v>
      </c>
      <c r="G346" s="159" t="s">
        <v>38</v>
      </c>
      <c r="H346" s="160" t="s">
        <v>6147</v>
      </c>
      <c r="I346" s="161" t="s">
        <v>19</v>
      </c>
      <c r="J346" s="162" t="s">
        <v>6148</v>
      </c>
      <c r="K346" s="157" t="s">
        <v>6149</v>
      </c>
    </row>
    <row r="347" spans="1:11" ht="14.25" customHeight="1">
      <c r="A347" s="164"/>
      <c r="B347" s="164"/>
      <c r="C347" s="164"/>
      <c r="D347" s="164"/>
      <c r="E347" s="163" t="s">
        <v>6150</v>
      </c>
      <c r="F347" s="164"/>
      <c r="G347" s="166"/>
      <c r="H347" s="167"/>
      <c r="I347" s="168"/>
      <c r="J347" s="167"/>
      <c r="K347" s="157" t="s">
        <v>6151</v>
      </c>
    </row>
    <row r="348" spans="1:11" ht="14.25" customHeight="1">
      <c r="A348" s="164"/>
      <c r="B348" s="164"/>
      <c r="C348" s="164"/>
      <c r="D348" s="156" t="s">
        <v>6152</v>
      </c>
      <c r="E348" s="163" t="s">
        <v>6152</v>
      </c>
      <c r="F348" s="172" t="s">
        <v>6153</v>
      </c>
      <c r="G348" s="159" t="s">
        <v>16</v>
      </c>
      <c r="H348" s="160" t="s">
        <v>6154</v>
      </c>
      <c r="I348" s="170" t="s">
        <v>33</v>
      </c>
      <c r="J348" s="162" t="s">
        <v>6155</v>
      </c>
      <c r="K348" s="157" t="s">
        <v>6156</v>
      </c>
    </row>
    <row r="349" spans="1:11" ht="14.25" customHeight="1">
      <c r="A349" s="164"/>
      <c r="B349" s="164"/>
      <c r="C349" s="164"/>
      <c r="D349" s="164"/>
      <c r="E349" s="163" t="s">
        <v>6157</v>
      </c>
      <c r="F349" s="164"/>
      <c r="G349" s="166"/>
      <c r="H349" s="167"/>
      <c r="I349" s="168"/>
      <c r="J349" s="167"/>
      <c r="K349" s="157" t="s">
        <v>6158</v>
      </c>
    </row>
    <row r="350" spans="1:11" ht="14.25" customHeight="1">
      <c r="A350" s="164"/>
      <c r="B350" s="164"/>
      <c r="C350" s="156" t="s">
        <v>6159</v>
      </c>
      <c r="D350" s="156" t="s">
        <v>6160</v>
      </c>
      <c r="E350" s="163" t="s">
        <v>6160</v>
      </c>
      <c r="F350" s="172" t="s">
        <v>6161</v>
      </c>
      <c r="G350" s="159" t="s">
        <v>16</v>
      </c>
      <c r="H350" s="160" t="s">
        <v>6162</v>
      </c>
      <c r="I350" s="169" t="s">
        <v>41</v>
      </c>
      <c r="J350" s="162" t="s">
        <v>6163</v>
      </c>
      <c r="K350" s="157" t="s">
        <v>6164</v>
      </c>
    </row>
    <row r="351" spans="1:11" ht="14.25" customHeight="1">
      <c r="A351" s="164"/>
      <c r="B351" s="164"/>
      <c r="C351" s="164"/>
      <c r="D351" s="164"/>
      <c r="E351" s="163" t="s">
        <v>6165</v>
      </c>
      <c r="F351" s="164"/>
      <c r="G351" s="166"/>
      <c r="H351" s="167"/>
      <c r="I351" s="168"/>
      <c r="J351" s="167"/>
      <c r="K351" s="157" t="s">
        <v>6166</v>
      </c>
    </row>
    <row r="352" spans="1:11" ht="14.25" customHeight="1">
      <c r="A352" s="164"/>
      <c r="B352" s="164"/>
      <c r="C352" s="164"/>
      <c r="D352" s="156" t="s">
        <v>6167</v>
      </c>
      <c r="E352" s="163" t="s">
        <v>6168</v>
      </c>
      <c r="F352" s="172" t="s">
        <v>6169</v>
      </c>
      <c r="G352" s="159" t="s">
        <v>16</v>
      </c>
      <c r="H352" s="160" t="s">
        <v>6170</v>
      </c>
      <c r="I352" s="169" t="s">
        <v>41</v>
      </c>
      <c r="J352" s="162" t="s">
        <v>6171</v>
      </c>
      <c r="K352" s="157" t="s">
        <v>6172</v>
      </c>
    </row>
    <row r="353" spans="1:11" ht="14.25" customHeight="1">
      <c r="A353" s="164"/>
      <c r="B353" s="164"/>
      <c r="C353" s="164"/>
      <c r="D353" s="164"/>
      <c r="E353" s="163" t="s">
        <v>6173</v>
      </c>
      <c r="F353" s="164"/>
      <c r="G353" s="166"/>
      <c r="H353" s="167"/>
      <c r="I353" s="168"/>
      <c r="J353" s="167"/>
      <c r="K353" s="157" t="s">
        <v>6174</v>
      </c>
    </row>
    <row r="354" spans="1:11" ht="14.25" customHeight="1">
      <c r="A354" s="164"/>
      <c r="B354" s="164"/>
      <c r="C354" s="164"/>
      <c r="D354" s="156" t="s">
        <v>6175</v>
      </c>
      <c r="E354" s="163" t="s">
        <v>6175</v>
      </c>
      <c r="F354" s="172" t="s">
        <v>6176</v>
      </c>
      <c r="G354" s="159" t="s">
        <v>38</v>
      </c>
      <c r="H354" s="160" t="s">
        <v>6177</v>
      </c>
      <c r="I354" s="170" t="s">
        <v>33</v>
      </c>
      <c r="J354" s="162" t="s">
        <v>6178</v>
      </c>
      <c r="K354" s="157" t="s">
        <v>6179</v>
      </c>
    </row>
    <row r="355" spans="1:11" ht="14.25" customHeight="1">
      <c r="A355" s="164"/>
      <c r="B355" s="164"/>
      <c r="C355" s="164"/>
      <c r="D355" s="164"/>
      <c r="E355" s="163" t="s">
        <v>6180</v>
      </c>
      <c r="F355" s="164"/>
      <c r="G355" s="166"/>
      <c r="H355" s="167"/>
      <c r="I355" s="168"/>
      <c r="J355" s="167"/>
      <c r="K355" s="157" t="s">
        <v>6181</v>
      </c>
    </row>
    <row r="356" spans="1:11" ht="14.25" customHeight="1">
      <c r="A356" s="164"/>
      <c r="B356" s="164"/>
      <c r="C356" s="164"/>
      <c r="D356" s="156" t="s">
        <v>6182</v>
      </c>
      <c r="E356" s="163" t="s">
        <v>6183</v>
      </c>
      <c r="F356" s="172" t="s">
        <v>6184</v>
      </c>
      <c r="G356" s="159" t="s">
        <v>200</v>
      </c>
      <c r="H356" s="160" t="s">
        <v>6185</v>
      </c>
      <c r="I356" s="161" t="s">
        <v>19</v>
      </c>
      <c r="J356" s="162" t="s">
        <v>6186</v>
      </c>
      <c r="K356" s="157" t="s">
        <v>6187</v>
      </c>
    </row>
    <row r="357" spans="1:11" ht="14.25" customHeight="1">
      <c r="A357" s="164"/>
      <c r="B357" s="164"/>
      <c r="C357" s="164"/>
      <c r="D357" s="164"/>
      <c r="E357" s="163" t="s">
        <v>6188</v>
      </c>
      <c r="F357" s="164"/>
      <c r="G357" s="166"/>
      <c r="H357" s="167"/>
      <c r="I357" s="168"/>
      <c r="J357" s="167"/>
      <c r="K357" s="157" t="s">
        <v>6189</v>
      </c>
    </row>
    <row r="358" spans="1:11" ht="14.25" customHeight="1">
      <c r="A358" s="164"/>
      <c r="B358" s="164"/>
      <c r="C358" s="164"/>
      <c r="D358" s="156" t="s">
        <v>6190</v>
      </c>
      <c r="E358" s="163" t="s">
        <v>6191</v>
      </c>
      <c r="F358" s="172" t="s">
        <v>6192</v>
      </c>
      <c r="G358" s="159" t="s">
        <v>38</v>
      </c>
      <c r="H358" s="160" t="s">
        <v>6193</v>
      </c>
      <c r="I358" s="170" t="s">
        <v>33</v>
      </c>
      <c r="J358" s="162" t="s">
        <v>6194</v>
      </c>
      <c r="K358" s="157" t="s">
        <v>6030</v>
      </c>
    </row>
    <row r="359" spans="1:11" ht="14.25" customHeight="1">
      <c r="A359" s="164"/>
      <c r="B359" s="164"/>
      <c r="C359" s="164"/>
      <c r="D359" s="164"/>
      <c r="E359" s="163" t="s">
        <v>6195</v>
      </c>
      <c r="F359" s="164"/>
      <c r="G359" s="166"/>
      <c r="H359" s="167"/>
      <c r="I359" s="168"/>
      <c r="J359" s="167"/>
      <c r="K359" s="157" t="s">
        <v>6196</v>
      </c>
    </row>
    <row r="360" spans="1:11" ht="14.25" customHeight="1">
      <c r="A360" s="164"/>
      <c r="B360" s="164"/>
      <c r="C360" s="156" t="s">
        <v>6197</v>
      </c>
      <c r="D360" s="156" t="s">
        <v>6198</v>
      </c>
      <c r="E360" s="163" t="s">
        <v>6199</v>
      </c>
      <c r="F360" s="172" t="s">
        <v>6200</v>
      </c>
      <c r="G360" s="159" t="s">
        <v>38</v>
      </c>
      <c r="H360" s="160" t="s">
        <v>6201</v>
      </c>
      <c r="I360" s="169" t="s">
        <v>41</v>
      </c>
      <c r="J360" s="162" t="s">
        <v>6202</v>
      </c>
      <c r="K360" s="157" t="s">
        <v>6203</v>
      </c>
    </row>
    <row r="361" spans="1:11" ht="14.25" customHeight="1">
      <c r="A361" s="164"/>
      <c r="B361" s="164"/>
      <c r="C361" s="164"/>
      <c r="D361" s="164"/>
      <c r="E361" s="163" t="s">
        <v>6204</v>
      </c>
      <c r="F361" s="164"/>
      <c r="G361" s="166"/>
      <c r="H361" s="167"/>
      <c r="I361" s="168"/>
      <c r="J361" s="167"/>
      <c r="K361" s="157" t="s">
        <v>6205</v>
      </c>
    </row>
    <row r="362" spans="1:11" ht="14.25" customHeight="1">
      <c r="A362" s="164"/>
      <c r="B362" s="164"/>
      <c r="C362" s="164"/>
      <c r="D362" s="156" t="s">
        <v>6206</v>
      </c>
      <c r="E362" s="163" t="s">
        <v>6207</v>
      </c>
      <c r="F362" s="172" t="s">
        <v>6208</v>
      </c>
      <c r="G362" s="159" t="s">
        <v>16</v>
      </c>
      <c r="H362" s="160" t="s">
        <v>6209</v>
      </c>
      <c r="I362" s="169" t="s">
        <v>41</v>
      </c>
      <c r="J362" s="162" t="s">
        <v>6210</v>
      </c>
      <c r="K362" s="157" t="s">
        <v>6211</v>
      </c>
    </row>
    <row r="363" spans="1:11" ht="14.25" customHeight="1">
      <c r="A363" s="164"/>
      <c r="B363" s="164"/>
      <c r="C363" s="164"/>
      <c r="D363" s="164"/>
      <c r="E363" s="163" t="s">
        <v>6212</v>
      </c>
      <c r="F363" s="164"/>
      <c r="G363" s="166"/>
      <c r="H363" s="167"/>
      <c r="I363" s="168"/>
      <c r="J363" s="167"/>
      <c r="K363" s="157" t="s">
        <v>6213</v>
      </c>
    </row>
    <row r="364" spans="1:11" ht="14.25" customHeight="1">
      <c r="A364" s="164"/>
      <c r="B364" s="164"/>
      <c r="C364" s="164"/>
      <c r="D364" s="156" t="s">
        <v>6214</v>
      </c>
      <c r="E364" s="163" t="s">
        <v>6215</v>
      </c>
      <c r="F364" s="172" t="s">
        <v>6216</v>
      </c>
      <c r="G364" s="159" t="s">
        <v>16</v>
      </c>
      <c r="H364" s="160" t="s">
        <v>6217</v>
      </c>
      <c r="I364" s="170" t="s">
        <v>33</v>
      </c>
      <c r="J364" s="162" t="s">
        <v>6218</v>
      </c>
      <c r="K364" s="157" t="s">
        <v>6219</v>
      </c>
    </row>
    <row r="365" spans="1:11" ht="14.25" customHeight="1">
      <c r="A365" s="164"/>
      <c r="B365" s="164"/>
      <c r="C365" s="164"/>
      <c r="D365" s="164"/>
      <c r="E365" s="163" t="s">
        <v>6220</v>
      </c>
      <c r="F365" s="164"/>
      <c r="G365" s="166"/>
      <c r="H365" s="167"/>
      <c r="I365" s="168"/>
      <c r="J365" s="167"/>
      <c r="K365" s="157" t="s">
        <v>6221</v>
      </c>
    </row>
    <row r="366" spans="1:11" ht="14.25" customHeight="1">
      <c r="A366" s="164"/>
      <c r="B366" s="164"/>
      <c r="C366" s="164"/>
      <c r="D366" s="156" t="s">
        <v>6222</v>
      </c>
      <c r="E366" s="163" t="s">
        <v>6223</v>
      </c>
      <c r="F366" s="172" t="s">
        <v>6224</v>
      </c>
      <c r="G366" s="159" t="s">
        <v>16</v>
      </c>
      <c r="H366" s="160" t="s">
        <v>6225</v>
      </c>
      <c r="I366" s="161" t="s">
        <v>19</v>
      </c>
      <c r="J366" s="162" t="s">
        <v>6226</v>
      </c>
      <c r="K366" s="157" t="s">
        <v>6227</v>
      </c>
    </row>
    <row r="367" spans="1:11" ht="14.25" customHeight="1">
      <c r="A367" s="164"/>
      <c r="B367" s="164"/>
      <c r="C367" s="164"/>
      <c r="D367" s="164"/>
      <c r="E367" s="163" t="s">
        <v>6228</v>
      </c>
      <c r="F367" s="164"/>
      <c r="G367" s="166"/>
      <c r="H367" s="167"/>
      <c r="I367" s="168"/>
      <c r="J367" s="167"/>
      <c r="K367" s="157" t="s">
        <v>6229</v>
      </c>
    </row>
    <row r="368" spans="1:11" ht="14.25" customHeight="1">
      <c r="A368" s="164"/>
      <c r="B368" s="164"/>
      <c r="C368" s="164"/>
      <c r="D368" s="156" t="s">
        <v>6230</v>
      </c>
      <c r="E368" s="163" t="s">
        <v>6231</v>
      </c>
      <c r="F368" s="158" t="s">
        <v>6232</v>
      </c>
      <c r="G368" s="159" t="s">
        <v>38</v>
      </c>
      <c r="H368" s="160" t="s">
        <v>6233</v>
      </c>
      <c r="I368" s="170" t="s">
        <v>33</v>
      </c>
      <c r="J368" s="162" t="s">
        <v>6234</v>
      </c>
      <c r="K368" s="157" t="s">
        <v>6235</v>
      </c>
    </row>
    <row r="369" spans="1:11" ht="14.25" customHeight="1">
      <c r="A369" s="164"/>
      <c r="B369" s="164"/>
      <c r="C369" s="164"/>
      <c r="D369" s="164"/>
      <c r="E369" s="163" t="s">
        <v>6236</v>
      </c>
      <c r="F369" s="165"/>
      <c r="G369" s="166"/>
      <c r="H369" s="167"/>
      <c r="I369" s="168"/>
      <c r="J369" s="167"/>
      <c r="K369" s="157" t="s">
        <v>6237</v>
      </c>
    </row>
    <row r="370" spans="1:11" ht="14.25" customHeight="1">
      <c r="A370" s="164"/>
      <c r="B370" s="164"/>
      <c r="C370" s="156" t="s">
        <v>6238</v>
      </c>
      <c r="D370" s="156" t="s">
        <v>6239</v>
      </c>
      <c r="E370" s="163" t="s">
        <v>6240</v>
      </c>
      <c r="F370" s="158" t="s">
        <v>6241</v>
      </c>
      <c r="G370" s="159" t="s">
        <v>200</v>
      </c>
      <c r="H370" s="160" t="s">
        <v>6242</v>
      </c>
      <c r="I370" s="169" t="s">
        <v>41</v>
      </c>
      <c r="J370" s="162" t="s">
        <v>6243</v>
      </c>
      <c r="K370" s="157" t="s">
        <v>6244</v>
      </c>
    </row>
    <row r="371" spans="1:11" ht="14.25" customHeight="1">
      <c r="A371" s="164"/>
      <c r="B371" s="164"/>
      <c r="C371" s="164"/>
      <c r="D371" s="164"/>
      <c r="E371" s="163" t="s">
        <v>6245</v>
      </c>
      <c r="F371" s="165"/>
      <c r="G371" s="166"/>
      <c r="H371" s="167"/>
      <c r="I371" s="168"/>
      <c r="J371" s="167"/>
      <c r="K371" s="157" t="s">
        <v>6246</v>
      </c>
    </row>
    <row r="372" spans="1:11" ht="14.25" customHeight="1">
      <c r="A372" s="164"/>
      <c r="B372" s="164"/>
      <c r="C372" s="164"/>
      <c r="D372" s="156" t="s">
        <v>6247</v>
      </c>
      <c r="E372" s="163" t="s">
        <v>6248</v>
      </c>
      <c r="F372" s="158" t="s">
        <v>6249</v>
      </c>
      <c r="G372" s="159" t="s">
        <v>38</v>
      </c>
      <c r="H372" s="160" t="s">
        <v>6250</v>
      </c>
      <c r="I372" s="169" t="s">
        <v>41</v>
      </c>
      <c r="J372" s="162" t="s">
        <v>6251</v>
      </c>
      <c r="K372" s="157" t="s">
        <v>6252</v>
      </c>
    </row>
    <row r="373" spans="1:11" ht="14.25" customHeight="1">
      <c r="A373" s="164"/>
      <c r="B373" s="164"/>
      <c r="C373" s="164"/>
      <c r="D373" s="164"/>
      <c r="E373" s="163" t="s">
        <v>6253</v>
      </c>
      <c r="F373" s="165"/>
      <c r="G373" s="166"/>
      <c r="H373" s="167"/>
      <c r="I373" s="168"/>
      <c r="J373" s="167"/>
      <c r="K373" s="157" t="s">
        <v>6254</v>
      </c>
    </row>
    <row r="374" spans="1:11" ht="14.25" customHeight="1">
      <c r="A374" s="164"/>
      <c r="B374" s="164"/>
      <c r="C374" s="164"/>
      <c r="D374" s="156" t="s">
        <v>6255</v>
      </c>
      <c r="E374" s="163" t="s">
        <v>6256</v>
      </c>
      <c r="F374" s="158" t="s">
        <v>6257</v>
      </c>
      <c r="G374" s="159" t="s">
        <v>38</v>
      </c>
      <c r="H374" s="160" t="s">
        <v>6258</v>
      </c>
      <c r="I374" s="170" t="s">
        <v>33</v>
      </c>
      <c r="J374" s="162" t="s">
        <v>6259</v>
      </c>
      <c r="K374" s="157" t="s">
        <v>6260</v>
      </c>
    </row>
    <row r="375" spans="1:11" ht="14.25" customHeight="1">
      <c r="A375" s="164"/>
      <c r="B375" s="164"/>
      <c r="C375" s="164"/>
      <c r="D375" s="164"/>
      <c r="E375" s="163" t="s">
        <v>6261</v>
      </c>
      <c r="F375" s="165"/>
      <c r="G375" s="166"/>
      <c r="H375" s="167"/>
      <c r="I375" s="168"/>
      <c r="J375" s="167"/>
      <c r="K375" s="157" t="s">
        <v>6262</v>
      </c>
    </row>
    <row r="376" spans="1:11" ht="14.25" customHeight="1">
      <c r="A376" s="164"/>
      <c r="B376" s="164"/>
      <c r="C376" s="164"/>
      <c r="D376" s="156" t="s">
        <v>6263</v>
      </c>
      <c r="E376" s="163" t="s">
        <v>6264</v>
      </c>
      <c r="F376" s="158" t="s">
        <v>6265</v>
      </c>
      <c r="G376" s="159" t="s">
        <v>16</v>
      </c>
      <c r="H376" s="160" t="s">
        <v>6266</v>
      </c>
      <c r="I376" s="161" t="s">
        <v>19</v>
      </c>
      <c r="J376" s="162" t="s">
        <v>6267</v>
      </c>
      <c r="K376" s="157" t="s">
        <v>6268</v>
      </c>
    </row>
    <row r="377" spans="1:11" ht="14.25" customHeight="1">
      <c r="A377" s="164"/>
      <c r="B377" s="164"/>
      <c r="C377" s="164"/>
      <c r="D377" s="164"/>
      <c r="E377" s="163" t="s">
        <v>6269</v>
      </c>
      <c r="F377" s="165"/>
      <c r="G377" s="166"/>
      <c r="H377" s="167"/>
      <c r="I377" s="168"/>
      <c r="J377" s="167"/>
      <c r="K377" s="157" t="s">
        <v>6270</v>
      </c>
    </row>
    <row r="378" spans="1:11" ht="14.25" customHeight="1">
      <c r="A378" s="164"/>
      <c r="B378" s="164"/>
      <c r="C378" s="164"/>
      <c r="D378" s="156" t="s">
        <v>6271</v>
      </c>
      <c r="E378" s="163" t="s">
        <v>6271</v>
      </c>
      <c r="F378" s="172" t="s">
        <v>6272</v>
      </c>
      <c r="G378" s="159" t="s">
        <v>16</v>
      </c>
      <c r="H378" s="160" t="s">
        <v>6273</v>
      </c>
      <c r="I378" s="170" t="s">
        <v>33</v>
      </c>
      <c r="J378" s="162" t="s">
        <v>6273</v>
      </c>
      <c r="K378" s="157" t="s">
        <v>6274</v>
      </c>
    </row>
    <row r="379" spans="1:11" ht="14.25" customHeight="1">
      <c r="A379" s="164"/>
      <c r="B379" s="164"/>
      <c r="C379" s="164"/>
      <c r="D379" s="164"/>
      <c r="E379" s="163" t="s">
        <v>6275</v>
      </c>
      <c r="F379" s="164"/>
      <c r="G379" s="166"/>
      <c r="H379" s="167"/>
      <c r="I379" s="168"/>
      <c r="J379" s="167"/>
      <c r="K379" s="157" t="s">
        <v>6276</v>
      </c>
    </row>
    <row r="380" spans="1:11" ht="14.25" customHeight="1">
      <c r="A380" s="164"/>
      <c r="B380" s="164"/>
      <c r="C380" s="156" t="s">
        <v>6277</v>
      </c>
      <c r="D380" s="156" t="s">
        <v>6278</v>
      </c>
      <c r="E380" s="163" t="s">
        <v>6279</v>
      </c>
      <c r="F380" s="172" t="s">
        <v>6280</v>
      </c>
      <c r="G380" s="159" t="s">
        <v>16</v>
      </c>
      <c r="H380" s="160" t="s">
        <v>6281</v>
      </c>
      <c r="I380" s="169" t="s">
        <v>41</v>
      </c>
      <c r="J380" s="162" t="s">
        <v>6281</v>
      </c>
      <c r="K380" s="157" t="s">
        <v>6282</v>
      </c>
    </row>
    <row r="381" spans="1:11" ht="14.25" customHeight="1">
      <c r="A381" s="164"/>
      <c r="B381" s="164"/>
      <c r="C381" s="164"/>
      <c r="D381" s="164"/>
      <c r="E381" s="163" t="s">
        <v>6283</v>
      </c>
      <c r="F381" s="164"/>
      <c r="G381" s="166"/>
      <c r="H381" s="167"/>
      <c r="I381" s="168"/>
      <c r="J381" s="167"/>
      <c r="K381" s="157" t="s">
        <v>6284</v>
      </c>
    </row>
    <row r="382" spans="1:11" ht="14.25" customHeight="1">
      <c r="A382" s="164"/>
      <c r="B382" s="164"/>
      <c r="C382" s="164"/>
      <c r="D382" s="156" t="s">
        <v>6285</v>
      </c>
      <c r="E382" s="163" t="s">
        <v>6286</v>
      </c>
      <c r="F382" s="172" t="s">
        <v>6287</v>
      </c>
      <c r="G382" s="159" t="s">
        <v>38</v>
      </c>
      <c r="H382" s="160" t="s">
        <v>6288</v>
      </c>
      <c r="I382" s="169" t="s">
        <v>41</v>
      </c>
      <c r="J382" s="162" t="s">
        <v>6288</v>
      </c>
      <c r="K382" s="157" t="s">
        <v>6289</v>
      </c>
    </row>
    <row r="383" spans="1:11" ht="14.25" customHeight="1">
      <c r="A383" s="164"/>
      <c r="B383" s="164"/>
      <c r="C383" s="164"/>
      <c r="D383" s="164"/>
      <c r="E383" s="163" t="s">
        <v>6290</v>
      </c>
      <c r="F383" s="164"/>
      <c r="G383" s="166"/>
      <c r="H383" s="167"/>
      <c r="I383" s="168"/>
      <c r="J383" s="167"/>
      <c r="K383" s="157" t="s">
        <v>6291</v>
      </c>
    </row>
    <row r="384" spans="1:11" ht="14.25" customHeight="1">
      <c r="A384" s="164"/>
      <c r="B384" s="164"/>
      <c r="C384" s="164"/>
      <c r="D384" s="156" t="s">
        <v>6292</v>
      </c>
      <c r="E384" s="163" t="s">
        <v>6293</v>
      </c>
      <c r="F384" s="172" t="s">
        <v>6294</v>
      </c>
      <c r="G384" s="159" t="s">
        <v>200</v>
      </c>
      <c r="H384" s="160" t="s">
        <v>6295</v>
      </c>
      <c r="I384" s="170" t="s">
        <v>33</v>
      </c>
      <c r="J384" s="162" t="s">
        <v>6296</v>
      </c>
      <c r="K384" s="157" t="s">
        <v>6297</v>
      </c>
    </row>
    <row r="385" spans="1:11" ht="14.25" customHeight="1">
      <c r="A385" s="164"/>
      <c r="B385" s="164"/>
      <c r="C385" s="164"/>
      <c r="D385" s="164"/>
      <c r="E385" s="163" t="s">
        <v>2971</v>
      </c>
      <c r="F385" s="164"/>
      <c r="G385" s="166"/>
      <c r="H385" s="167"/>
      <c r="I385" s="168"/>
      <c r="J385" s="167"/>
      <c r="K385" s="157" t="s">
        <v>6298</v>
      </c>
    </row>
    <row r="386" spans="1:11" ht="14.25" customHeight="1">
      <c r="A386" s="164"/>
      <c r="B386" s="164"/>
      <c r="C386" s="164"/>
      <c r="D386" s="156" t="s">
        <v>6299</v>
      </c>
      <c r="E386" s="163" t="s">
        <v>6300</v>
      </c>
      <c r="F386" s="172" t="s">
        <v>6301</v>
      </c>
      <c r="G386" s="159" t="s">
        <v>38</v>
      </c>
      <c r="H386" s="160" t="s">
        <v>6302</v>
      </c>
      <c r="I386" s="161" t="s">
        <v>19</v>
      </c>
      <c r="J386" s="162" t="s">
        <v>6303</v>
      </c>
      <c r="K386" s="157" t="s">
        <v>6304</v>
      </c>
    </row>
    <row r="387" spans="1:11" ht="14.25" customHeight="1">
      <c r="A387" s="164"/>
      <c r="B387" s="164"/>
      <c r="C387" s="164"/>
      <c r="D387" s="164"/>
      <c r="E387" s="163" t="s">
        <v>6305</v>
      </c>
      <c r="F387" s="164"/>
      <c r="G387" s="166"/>
      <c r="H387" s="167"/>
      <c r="I387" s="168"/>
      <c r="J387" s="167"/>
      <c r="K387" s="157" t="s">
        <v>6306</v>
      </c>
    </row>
    <row r="388" spans="1:11" ht="14.25" customHeight="1">
      <c r="A388" s="164"/>
      <c r="B388" s="164"/>
      <c r="C388" s="164"/>
      <c r="D388" s="156" t="s">
        <v>6307</v>
      </c>
      <c r="E388" s="163" t="s">
        <v>6308</v>
      </c>
      <c r="F388" s="172" t="s">
        <v>6309</v>
      </c>
      <c r="G388" s="159" t="s">
        <v>38</v>
      </c>
      <c r="H388" s="160" t="s">
        <v>6310</v>
      </c>
      <c r="I388" s="170" t="s">
        <v>33</v>
      </c>
      <c r="J388" s="162" t="s">
        <v>6311</v>
      </c>
      <c r="K388" s="157" t="s">
        <v>6312</v>
      </c>
    </row>
    <row r="389" spans="1:11" ht="14.25" customHeight="1">
      <c r="A389" s="164"/>
      <c r="B389" s="164"/>
      <c r="C389" s="164"/>
      <c r="D389" s="164"/>
      <c r="E389" s="163" t="s">
        <v>6313</v>
      </c>
      <c r="F389" s="164"/>
      <c r="G389" s="166"/>
      <c r="H389" s="167"/>
      <c r="I389" s="168"/>
      <c r="J389" s="167"/>
      <c r="K389" s="157" t="s">
        <v>6314</v>
      </c>
    </row>
    <row r="390" spans="1:11" ht="14.25" customHeight="1">
      <c r="A390" s="164"/>
      <c r="B390" s="155" t="s">
        <v>6315</v>
      </c>
      <c r="C390" s="156" t="s">
        <v>6316</v>
      </c>
      <c r="D390" s="156" t="s">
        <v>6278</v>
      </c>
      <c r="E390" s="163" t="s">
        <v>6317</v>
      </c>
      <c r="F390" s="172" t="s">
        <v>6318</v>
      </c>
      <c r="G390" s="159" t="s">
        <v>16</v>
      </c>
      <c r="H390" s="160" t="s">
        <v>6319</v>
      </c>
      <c r="I390" s="169" t="s">
        <v>41</v>
      </c>
      <c r="J390" s="162" t="s">
        <v>6320</v>
      </c>
      <c r="K390" s="157" t="s">
        <v>6321</v>
      </c>
    </row>
    <row r="391" spans="1:11" ht="14.25" customHeight="1">
      <c r="A391" s="164"/>
      <c r="B391" s="164"/>
      <c r="C391" s="164"/>
      <c r="D391" s="164"/>
      <c r="E391" s="163" t="s">
        <v>6322</v>
      </c>
      <c r="F391" s="164"/>
      <c r="G391" s="166"/>
      <c r="H391" s="167"/>
      <c r="I391" s="168"/>
      <c r="J391" s="167"/>
      <c r="K391" s="157" t="s">
        <v>6077</v>
      </c>
    </row>
    <row r="392" spans="1:11" ht="14.25" customHeight="1">
      <c r="A392" s="164"/>
      <c r="B392" s="164"/>
      <c r="C392" s="164"/>
      <c r="D392" s="156" t="s">
        <v>6285</v>
      </c>
      <c r="E392" s="163" t="s">
        <v>6323</v>
      </c>
      <c r="F392" s="172" t="s">
        <v>6324</v>
      </c>
      <c r="G392" s="159" t="s">
        <v>16</v>
      </c>
      <c r="H392" s="160" t="s">
        <v>6325</v>
      </c>
      <c r="I392" s="169" t="s">
        <v>41</v>
      </c>
      <c r="J392" s="162" t="s">
        <v>6326</v>
      </c>
      <c r="K392" s="157" t="s">
        <v>6327</v>
      </c>
    </row>
    <row r="393" spans="1:11" ht="14.25" customHeight="1">
      <c r="A393" s="164"/>
      <c r="B393" s="164"/>
      <c r="C393" s="164"/>
      <c r="D393" s="164"/>
      <c r="E393" s="163" t="s">
        <v>6328</v>
      </c>
      <c r="F393" s="164"/>
      <c r="G393" s="166"/>
      <c r="H393" s="167"/>
      <c r="I393" s="168"/>
      <c r="J393" s="167"/>
      <c r="K393" s="157" t="s">
        <v>6329</v>
      </c>
    </row>
    <row r="394" spans="1:11" ht="14.25" customHeight="1">
      <c r="A394" s="164"/>
      <c r="B394" s="164"/>
      <c r="C394" s="164"/>
      <c r="D394" s="156" t="s">
        <v>6292</v>
      </c>
      <c r="E394" s="163" t="s">
        <v>6279</v>
      </c>
      <c r="F394" s="172" t="s">
        <v>6330</v>
      </c>
      <c r="G394" s="159" t="s">
        <v>16</v>
      </c>
      <c r="H394" s="160" t="s">
        <v>6331</v>
      </c>
      <c r="I394" s="170" t="s">
        <v>33</v>
      </c>
      <c r="J394" s="162" t="s">
        <v>6332</v>
      </c>
      <c r="K394" s="157" t="s">
        <v>6333</v>
      </c>
    </row>
    <row r="395" spans="1:11" ht="14.25" customHeight="1">
      <c r="A395" s="164"/>
      <c r="B395" s="164"/>
      <c r="C395" s="164"/>
      <c r="D395" s="164"/>
      <c r="E395" s="163" t="s">
        <v>6283</v>
      </c>
      <c r="F395" s="164"/>
      <c r="G395" s="166"/>
      <c r="H395" s="167"/>
      <c r="I395" s="168"/>
      <c r="J395" s="167"/>
      <c r="K395" s="157" t="s">
        <v>6334</v>
      </c>
    </row>
    <row r="396" spans="1:11" ht="14.25" customHeight="1">
      <c r="A396" s="164"/>
      <c r="B396" s="164"/>
      <c r="C396" s="164"/>
      <c r="D396" s="156" t="s">
        <v>6299</v>
      </c>
      <c r="E396" s="163" t="s">
        <v>6286</v>
      </c>
      <c r="F396" s="172" t="s">
        <v>6335</v>
      </c>
      <c r="G396" s="159" t="s">
        <v>38</v>
      </c>
      <c r="H396" s="160" t="s">
        <v>6336</v>
      </c>
      <c r="I396" s="161" t="s">
        <v>19</v>
      </c>
      <c r="J396" s="162" t="s">
        <v>6337</v>
      </c>
      <c r="K396" s="157" t="s">
        <v>6338</v>
      </c>
    </row>
    <row r="397" spans="1:11" ht="14.25" customHeight="1">
      <c r="A397" s="164"/>
      <c r="B397" s="164"/>
      <c r="C397" s="164"/>
      <c r="D397" s="164"/>
      <c r="E397" s="163" t="s">
        <v>6290</v>
      </c>
      <c r="F397" s="164"/>
      <c r="G397" s="166"/>
      <c r="H397" s="167"/>
      <c r="I397" s="168"/>
      <c r="J397" s="167"/>
      <c r="K397" s="157" t="s">
        <v>6339</v>
      </c>
    </row>
    <row r="398" spans="1:11" ht="14.25" customHeight="1">
      <c r="A398" s="164"/>
      <c r="B398" s="164"/>
      <c r="C398" s="164"/>
      <c r="D398" s="156" t="s">
        <v>6307</v>
      </c>
      <c r="E398" s="163" t="s">
        <v>6293</v>
      </c>
      <c r="F398" s="172" t="s">
        <v>6340</v>
      </c>
      <c r="G398" s="159" t="s">
        <v>200</v>
      </c>
      <c r="H398" s="160" t="s">
        <v>6341</v>
      </c>
      <c r="I398" s="170" t="s">
        <v>33</v>
      </c>
      <c r="J398" s="162" t="s">
        <v>6342</v>
      </c>
      <c r="K398" s="157" t="s">
        <v>6343</v>
      </c>
    </row>
    <row r="399" spans="1:11" ht="14.25" customHeight="1">
      <c r="A399" s="164"/>
      <c r="B399" s="164"/>
      <c r="C399" s="164"/>
      <c r="D399" s="164"/>
      <c r="E399" s="163" t="s">
        <v>2971</v>
      </c>
      <c r="F399" s="164"/>
      <c r="G399" s="166"/>
      <c r="H399" s="167"/>
      <c r="I399" s="168"/>
      <c r="J399" s="167"/>
      <c r="K399" s="157" t="s">
        <v>6344</v>
      </c>
    </row>
    <row r="400" spans="1:11" ht="14.25" customHeight="1">
      <c r="A400" s="164"/>
      <c r="B400" s="164"/>
      <c r="C400" s="156" t="s">
        <v>6345</v>
      </c>
      <c r="D400" s="156" t="s">
        <v>6346</v>
      </c>
      <c r="E400" s="163" t="s">
        <v>6300</v>
      </c>
      <c r="F400" s="172" t="s">
        <v>6347</v>
      </c>
      <c r="G400" s="159" t="s">
        <v>38</v>
      </c>
      <c r="H400" s="160" t="s">
        <v>6348</v>
      </c>
      <c r="I400" s="169" t="s">
        <v>41</v>
      </c>
      <c r="J400" s="162" t="s">
        <v>6349</v>
      </c>
      <c r="K400" s="157" t="s">
        <v>6350</v>
      </c>
    </row>
    <row r="401" spans="1:11" ht="14.25" customHeight="1">
      <c r="A401" s="164"/>
      <c r="B401" s="164"/>
      <c r="C401" s="164"/>
      <c r="D401" s="164"/>
      <c r="E401" s="163" t="s">
        <v>6305</v>
      </c>
      <c r="F401" s="164"/>
      <c r="G401" s="166"/>
      <c r="H401" s="167"/>
      <c r="I401" s="168"/>
      <c r="J401" s="167"/>
      <c r="K401" s="157" t="s">
        <v>6351</v>
      </c>
    </row>
    <row r="402" spans="1:11" ht="14.25" customHeight="1">
      <c r="A402" s="164"/>
      <c r="B402" s="164"/>
      <c r="C402" s="164"/>
      <c r="D402" s="156" t="s">
        <v>6352</v>
      </c>
      <c r="E402" s="163" t="s">
        <v>6308</v>
      </c>
      <c r="F402" s="172" t="s">
        <v>6353</v>
      </c>
      <c r="G402" s="159" t="s">
        <v>38</v>
      </c>
      <c r="H402" s="160" t="s">
        <v>6354</v>
      </c>
      <c r="I402" s="169" t="s">
        <v>41</v>
      </c>
      <c r="J402" s="162" t="s">
        <v>6355</v>
      </c>
      <c r="K402" s="157" t="s">
        <v>6356</v>
      </c>
    </row>
    <row r="403" spans="1:11" ht="14.25" customHeight="1">
      <c r="A403" s="164"/>
      <c r="B403" s="164"/>
      <c r="C403" s="164"/>
      <c r="D403" s="164"/>
      <c r="E403" s="163" t="s">
        <v>6313</v>
      </c>
      <c r="F403" s="164"/>
      <c r="G403" s="166"/>
      <c r="H403" s="167"/>
      <c r="I403" s="168"/>
      <c r="J403" s="167"/>
      <c r="K403" s="157" t="s">
        <v>6357</v>
      </c>
    </row>
    <row r="404" spans="1:11" ht="14.25" customHeight="1">
      <c r="A404" s="164"/>
      <c r="B404" s="164"/>
      <c r="C404" s="164"/>
      <c r="D404" s="156" t="s">
        <v>6358</v>
      </c>
      <c r="E404" s="163" t="s">
        <v>6317</v>
      </c>
      <c r="F404" s="172" t="s">
        <v>6359</v>
      </c>
      <c r="G404" s="159" t="s">
        <v>16</v>
      </c>
      <c r="H404" s="160" t="s">
        <v>6360</v>
      </c>
      <c r="I404" s="170" t="s">
        <v>33</v>
      </c>
      <c r="J404" s="162" t="s">
        <v>6361</v>
      </c>
      <c r="K404" s="157" t="s">
        <v>6362</v>
      </c>
    </row>
    <row r="405" spans="1:11" ht="14.25" customHeight="1">
      <c r="A405" s="164"/>
      <c r="B405" s="164"/>
      <c r="C405" s="164"/>
      <c r="D405" s="164"/>
      <c r="E405" s="163" t="s">
        <v>6322</v>
      </c>
      <c r="F405" s="164"/>
      <c r="G405" s="166"/>
      <c r="H405" s="167"/>
      <c r="I405" s="168"/>
      <c r="J405" s="167"/>
      <c r="K405" s="157" t="s">
        <v>6363</v>
      </c>
    </row>
    <row r="406" spans="1:11" ht="14.25" customHeight="1">
      <c r="A406" s="164"/>
      <c r="B406" s="164"/>
      <c r="C406" s="164"/>
      <c r="D406" s="156" t="s">
        <v>6364</v>
      </c>
      <c r="E406" s="163" t="s">
        <v>6323</v>
      </c>
      <c r="F406" s="172" t="s">
        <v>6365</v>
      </c>
      <c r="G406" s="159" t="s">
        <v>16</v>
      </c>
      <c r="H406" s="160" t="s">
        <v>6366</v>
      </c>
      <c r="I406" s="161" t="s">
        <v>19</v>
      </c>
      <c r="J406" s="162" t="s">
        <v>6367</v>
      </c>
      <c r="K406" s="157" t="s">
        <v>6368</v>
      </c>
    </row>
    <row r="407" spans="1:11" ht="14.25" customHeight="1">
      <c r="A407" s="164"/>
      <c r="B407" s="164"/>
      <c r="C407" s="164"/>
      <c r="D407" s="164"/>
      <c r="E407" s="163" t="s">
        <v>6328</v>
      </c>
      <c r="F407" s="164"/>
      <c r="G407" s="166"/>
      <c r="H407" s="167"/>
      <c r="I407" s="168"/>
      <c r="J407" s="167"/>
      <c r="K407" s="157" t="s">
        <v>6369</v>
      </c>
    </row>
    <row r="408" spans="1:11" ht="14.25" customHeight="1">
      <c r="A408" s="164"/>
      <c r="B408" s="164"/>
      <c r="C408" s="164"/>
      <c r="D408" s="156" t="s">
        <v>6370</v>
      </c>
      <c r="E408" s="163" t="s">
        <v>6346</v>
      </c>
      <c r="F408" s="172" t="s">
        <v>6371</v>
      </c>
      <c r="G408" s="159" t="s">
        <v>16</v>
      </c>
      <c r="H408" s="160" t="s">
        <v>6372</v>
      </c>
      <c r="I408" s="170" t="s">
        <v>33</v>
      </c>
      <c r="J408" s="162" t="s">
        <v>6373</v>
      </c>
      <c r="K408" s="157" t="s">
        <v>6374</v>
      </c>
    </row>
    <row r="409" spans="1:11" ht="14.25" customHeight="1">
      <c r="A409" s="164"/>
      <c r="B409" s="164"/>
      <c r="C409" s="164"/>
      <c r="D409" s="164"/>
      <c r="E409" s="163" t="s">
        <v>6375</v>
      </c>
      <c r="F409" s="164"/>
      <c r="G409" s="166"/>
      <c r="H409" s="167"/>
      <c r="I409" s="168"/>
      <c r="J409" s="167"/>
      <c r="K409" s="157" t="s">
        <v>6376</v>
      </c>
    </row>
    <row r="410" spans="1:11" ht="14.25" customHeight="1">
      <c r="A410" s="164"/>
      <c r="B410" s="164"/>
      <c r="C410" s="156" t="s">
        <v>6377</v>
      </c>
      <c r="D410" s="156" t="s">
        <v>6378</v>
      </c>
      <c r="E410" s="163" t="s">
        <v>6352</v>
      </c>
      <c r="F410" s="172" t="s">
        <v>6379</v>
      </c>
      <c r="G410" s="159" t="s">
        <v>38</v>
      </c>
      <c r="H410" s="160" t="s">
        <v>6380</v>
      </c>
      <c r="I410" s="169" t="s">
        <v>41</v>
      </c>
      <c r="J410" s="162" t="s">
        <v>6381</v>
      </c>
      <c r="K410" s="157" t="s">
        <v>6382</v>
      </c>
    </row>
    <row r="411" spans="1:11" ht="14.25" customHeight="1">
      <c r="A411" s="164"/>
      <c r="B411" s="164"/>
      <c r="C411" s="164"/>
      <c r="D411" s="164"/>
      <c r="E411" s="163" t="s">
        <v>6383</v>
      </c>
      <c r="F411" s="164"/>
      <c r="G411" s="166"/>
      <c r="H411" s="167"/>
      <c r="I411" s="168"/>
      <c r="J411" s="167"/>
      <c r="K411" s="157" t="s">
        <v>6384</v>
      </c>
    </row>
    <row r="412" spans="1:11" ht="14.25" customHeight="1">
      <c r="A412" s="164"/>
      <c r="B412" s="164"/>
      <c r="C412" s="164"/>
      <c r="D412" s="156" t="s">
        <v>6385</v>
      </c>
      <c r="E412" s="163" t="s">
        <v>6386</v>
      </c>
      <c r="F412" s="172" t="s">
        <v>6387</v>
      </c>
      <c r="G412" s="159" t="s">
        <v>200</v>
      </c>
      <c r="H412" s="160" t="s">
        <v>6388</v>
      </c>
      <c r="I412" s="169" t="s">
        <v>41</v>
      </c>
      <c r="J412" s="162" t="s">
        <v>6389</v>
      </c>
      <c r="K412" s="157" t="s">
        <v>6390</v>
      </c>
    </row>
    <row r="413" spans="1:11" ht="14.25" customHeight="1">
      <c r="A413" s="164"/>
      <c r="B413" s="164"/>
      <c r="C413" s="164"/>
      <c r="D413" s="164"/>
      <c r="E413" s="163" t="s">
        <v>6391</v>
      </c>
      <c r="F413" s="164"/>
      <c r="G413" s="166"/>
      <c r="H413" s="167"/>
      <c r="I413" s="168"/>
      <c r="J413" s="167"/>
      <c r="K413" s="157" t="s">
        <v>6392</v>
      </c>
    </row>
    <row r="414" spans="1:11" ht="14.25" customHeight="1">
      <c r="A414" s="164"/>
      <c r="B414" s="164"/>
      <c r="C414" s="164"/>
      <c r="D414" s="156" t="s">
        <v>6393</v>
      </c>
      <c r="E414" s="163" t="s">
        <v>6394</v>
      </c>
      <c r="F414" s="172" t="s">
        <v>6395</v>
      </c>
      <c r="G414" s="159" t="s">
        <v>38</v>
      </c>
      <c r="H414" s="160" t="s">
        <v>6396</v>
      </c>
      <c r="I414" s="170" t="s">
        <v>33</v>
      </c>
      <c r="J414" s="162" t="s">
        <v>6397</v>
      </c>
      <c r="K414" s="157" t="s">
        <v>6398</v>
      </c>
    </row>
    <row r="415" spans="1:11" ht="14.25" customHeight="1">
      <c r="A415" s="164"/>
      <c r="B415" s="164"/>
      <c r="C415" s="164"/>
      <c r="D415" s="164"/>
      <c r="E415" s="163" t="s">
        <v>6399</v>
      </c>
      <c r="F415" s="164"/>
      <c r="G415" s="166"/>
      <c r="H415" s="167"/>
      <c r="I415" s="168"/>
      <c r="J415" s="167"/>
      <c r="K415" s="157" t="s">
        <v>6400</v>
      </c>
    </row>
    <row r="416" spans="1:11" ht="14.25" customHeight="1">
      <c r="A416" s="164"/>
      <c r="B416" s="164"/>
      <c r="C416" s="164"/>
      <c r="D416" s="156" t="s">
        <v>6401</v>
      </c>
      <c r="E416" s="163" t="s">
        <v>6402</v>
      </c>
      <c r="F416" s="172" t="s">
        <v>6403</v>
      </c>
      <c r="G416" s="159" t="s">
        <v>38</v>
      </c>
      <c r="H416" s="160" t="s">
        <v>6404</v>
      </c>
      <c r="I416" s="161" t="s">
        <v>19</v>
      </c>
      <c r="J416" s="162" t="s">
        <v>6405</v>
      </c>
      <c r="K416" s="157" t="s">
        <v>6406</v>
      </c>
    </row>
    <row r="417" spans="1:11" ht="14.25" customHeight="1">
      <c r="A417" s="164"/>
      <c r="B417" s="164"/>
      <c r="C417" s="164"/>
      <c r="D417" s="164"/>
      <c r="E417" s="163" t="s">
        <v>6407</v>
      </c>
      <c r="F417" s="164"/>
      <c r="G417" s="166"/>
      <c r="H417" s="167"/>
      <c r="I417" s="168"/>
      <c r="J417" s="167"/>
      <c r="K417" s="157" t="s">
        <v>6408</v>
      </c>
    </row>
    <row r="418" spans="1:11" ht="14.25" customHeight="1">
      <c r="A418" s="164"/>
      <c r="B418" s="164"/>
      <c r="C418" s="164"/>
      <c r="D418" s="156" t="s">
        <v>6409</v>
      </c>
      <c r="E418" s="163" t="s">
        <v>6409</v>
      </c>
      <c r="F418" s="172" t="s">
        <v>6410</v>
      </c>
      <c r="G418" s="159" t="s">
        <v>16</v>
      </c>
      <c r="H418" s="160" t="s">
        <v>6411</v>
      </c>
      <c r="I418" s="170" t="s">
        <v>33</v>
      </c>
      <c r="J418" s="162" t="s">
        <v>6412</v>
      </c>
      <c r="K418" s="157" t="s">
        <v>6413</v>
      </c>
    </row>
    <row r="419" spans="1:11" ht="14.25" customHeight="1">
      <c r="A419" s="164"/>
      <c r="B419" s="164"/>
      <c r="C419" s="164"/>
      <c r="D419" s="164"/>
      <c r="E419" s="163" t="s">
        <v>6414</v>
      </c>
      <c r="F419" s="164"/>
      <c r="G419" s="166"/>
      <c r="H419" s="167"/>
      <c r="I419" s="168"/>
      <c r="J419" s="167"/>
      <c r="K419" s="157" t="s">
        <v>6415</v>
      </c>
    </row>
    <row r="420" spans="1:11" ht="14.25" customHeight="1">
      <c r="A420" s="164"/>
      <c r="B420" s="164"/>
      <c r="C420" s="156" t="s">
        <v>6416</v>
      </c>
      <c r="D420" s="156" t="s">
        <v>6417</v>
      </c>
      <c r="E420" s="163" t="s">
        <v>6418</v>
      </c>
      <c r="F420" s="172" t="s">
        <v>6419</v>
      </c>
      <c r="G420" s="159" t="s">
        <v>16</v>
      </c>
      <c r="H420" s="160" t="s">
        <v>6412</v>
      </c>
      <c r="I420" s="169" t="s">
        <v>41</v>
      </c>
      <c r="J420" s="162" t="s">
        <v>6396</v>
      </c>
      <c r="K420" s="157" t="s">
        <v>6420</v>
      </c>
    </row>
    <row r="421" spans="1:11" ht="14.25" customHeight="1">
      <c r="A421" s="164"/>
      <c r="B421" s="164"/>
      <c r="C421" s="164"/>
      <c r="D421" s="164"/>
      <c r="E421" s="163" t="s">
        <v>6421</v>
      </c>
      <c r="F421" s="164"/>
      <c r="G421" s="166"/>
      <c r="H421" s="167"/>
      <c r="I421" s="168"/>
      <c r="J421" s="167"/>
      <c r="K421" s="157" t="s">
        <v>6422</v>
      </c>
    </row>
    <row r="422" spans="1:11" ht="14.25" customHeight="1">
      <c r="A422" s="164"/>
      <c r="B422" s="164"/>
      <c r="C422" s="164"/>
      <c r="D422" s="156" t="s">
        <v>6423</v>
      </c>
      <c r="E422" s="163" t="s">
        <v>6424</v>
      </c>
      <c r="F422" s="172" t="s">
        <v>6425</v>
      </c>
      <c r="G422" s="159" t="s">
        <v>16</v>
      </c>
      <c r="H422" s="160" t="s">
        <v>6426</v>
      </c>
      <c r="I422" s="169" t="s">
        <v>41</v>
      </c>
      <c r="J422" s="162" t="s">
        <v>6427</v>
      </c>
      <c r="K422" s="157" t="s">
        <v>6428</v>
      </c>
    </row>
    <row r="423" spans="1:11" ht="14.25" customHeight="1">
      <c r="A423" s="164"/>
      <c r="B423" s="164"/>
      <c r="C423" s="164"/>
      <c r="D423" s="164"/>
      <c r="E423" s="163" t="s">
        <v>6429</v>
      </c>
      <c r="F423" s="164"/>
      <c r="G423" s="166"/>
      <c r="H423" s="167"/>
      <c r="I423" s="168"/>
      <c r="J423" s="167"/>
      <c r="K423" s="157" t="s">
        <v>6430</v>
      </c>
    </row>
    <row r="424" spans="1:11" ht="14.25" customHeight="1">
      <c r="A424" s="164"/>
      <c r="B424" s="164"/>
      <c r="C424" s="164"/>
      <c r="D424" s="156" t="s">
        <v>6431</v>
      </c>
      <c r="E424" s="163" t="s">
        <v>6432</v>
      </c>
      <c r="F424" s="172" t="s">
        <v>6431</v>
      </c>
      <c r="G424" s="159" t="s">
        <v>38</v>
      </c>
      <c r="H424" s="160" t="s">
        <v>6433</v>
      </c>
      <c r="I424" s="170" t="s">
        <v>33</v>
      </c>
      <c r="J424" s="162" t="s">
        <v>6434</v>
      </c>
      <c r="K424" s="157" t="s">
        <v>6435</v>
      </c>
    </row>
    <row r="425" spans="1:11" ht="14.25" customHeight="1">
      <c r="A425" s="164"/>
      <c r="B425" s="164"/>
      <c r="C425" s="164"/>
      <c r="D425" s="164"/>
      <c r="E425" s="163" t="s">
        <v>6436</v>
      </c>
      <c r="F425" s="164"/>
      <c r="G425" s="166"/>
      <c r="H425" s="167"/>
      <c r="I425" s="168"/>
      <c r="J425" s="167"/>
      <c r="K425" s="157" t="s">
        <v>6437</v>
      </c>
    </row>
    <row r="426" spans="1:11" ht="14.25" customHeight="1">
      <c r="A426" s="164"/>
      <c r="B426" s="164"/>
      <c r="C426" s="164"/>
      <c r="D426" s="156" t="s">
        <v>6438</v>
      </c>
      <c r="E426" s="163" t="s">
        <v>6439</v>
      </c>
      <c r="F426" s="172" t="s">
        <v>6440</v>
      </c>
      <c r="G426" s="159" t="s">
        <v>200</v>
      </c>
      <c r="H426" s="160" t="s">
        <v>6426</v>
      </c>
      <c r="I426" s="161" t="s">
        <v>19</v>
      </c>
      <c r="J426" s="162" t="s">
        <v>6441</v>
      </c>
      <c r="K426" s="157" t="s">
        <v>6442</v>
      </c>
    </row>
    <row r="427" spans="1:11" ht="14.25" customHeight="1">
      <c r="A427" s="164"/>
      <c r="B427" s="164"/>
      <c r="C427" s="164"/>
      <c r="D427" s="164"/>
      <c r="E427" s="163" t="s">
        <v>6443</v>
      </c>
      <c r="F427" s="164"/>
      <c r="G427" s="166"/>
      <c r="H427" s="167"/>
      <c r="I427" s="168"/>
      <c r="J427" s="167"/>
      <c r="K427" s="157" t="s">
        <v>6444</v>
      </c>
    </row>
    <row r="428" spans="1:11" ht="14.25" customHeight="1">
      <c r="A428" s="164"/>
      <c r="B428" s="164"/>
      <c r="C428" s="164"/>
      <c r="D428" s="156" t="s">
        <v>6445</v>
      </c>
      <c r="E428" s="163" t="s">
        <v>6446</v>
      </c>
      <c r="F428" s="172" t="s">
        <v>6445</v>
      </c>
      <c r="G428" s="159" t="s">
        <v>38</v>
      </c>
      <c r="H428" s="160" t="s">
        <v>6447</v>
      </c>
      <c r="I428" s="170" t="s">
        <v>33</v>
      </c>
      <c r="J428" s="162" t="s">
        <v>6448</v>
      </c>
      <c r="K428" s="157" t="s">
        <v>6449</v>
      </c>
    </row>
    <row r="429" spans="1:11" ht="14.25" customHeight="1">
      <c r="A429" s="164"/>
      <c r="B429" s="164"/>
      <c r="C429" s="164"/>
      <c r="D429" s="164"/>
      <c r="E429" s="163" t="s">
        <v>6450</v>
      </c>
      <c r="F429" s="164"/>
      <c r="G429" s="166"/>
      <c r="H429" s="167"/>
      <c r="I429" s="168"/>
      <c r="J429" s="167"/>
      <c r="K429" s="157" t="s">
        <v>6451</v>
      </c>
    </row>
    <row r="430" spans="1:11" ht="14.25" customHeight="1">
      <c r="A430" s="164"/>
      <c r="B430" s="164"/>
      <c r="C430" s="156" t="s">
        <v>6452</v>
      </c>
      <c r="D430" s="156" t="s">
        <v>6453</v>
      </c>
      <c r="E430" s="163" t="s">
        <v>6454</v>
      </c>
      <c r="F430" s="172" t="s">
        <v>6455</v>
      </c>
      <c r="G430" s="159" t="s">
        <v>38</v>
      </c>
      <c r="H430" s="160" t="s">
        <v>6456</v>
      </c>
      <c r="I430" s="169" t="s">
        <v>41</v>
      </c>
      <c r="J430" s="162" t="s">
        <v>6457</v>
      </c>
      <c r="K430" s="157" t="s">
        <v>6458</v>
      </c>
    </row>
    <row r="431" spans="1:11" ht="14.25" customHeight="1">
      <c r="A431" s="164"/>
      <c r="B431" s="164"/>
      <c r="C431" s="164"/>
      <c r="D431" s="164"/>
      <c r="E431" s="163" t="s">
        <v>6459</v>
      </c>
      <c r="F431" s="164"/>
      <c r="G431" s="166"/>
      <c r="H431" s="167"/>
      <c r="I431" s="168"/>
      <c r="J431" s="167"/>
      <c r="K431" s="157" t="s">
        <v>6460</v>
      </c>
    </row>
    <row r="432" spans="1:11" ht="14.25" customHeight="1">
      <c r="A432" s="164"/>
      <c r="B432" s="164"/>
      <c r="C432" s="164"/>
      <c r="D432" s="156" t="s">
        <v>6461</v>
      </c>
      <c r="E432" s="163" t="s">
        <v>6462</v>
      </c>
      <c r="F432" s="172" t="s">
        <v>6461</v>
      </c>
      <c r="G432" s="159" t="s">
        <v>16</v>
      </c>
      <c r="H432" s="160" t="s">
        <v>6463</v>
      </c>
      <c r="I432" s="169" t="s">
        <v>41</v>
      </c>
      <c r="J432" s="162" t="s">
        <v>6464</v>
      </c>
      <c r="K432" s="157" t="s">
        <v>6465</v>
      </c>
    </row>
    <row r="433" spans="1:11" ht="14.25" customHeight="1">
      <c r="A433" s="164"/>
      <c r="B433" s="164"/>
      <c r="C433" s="164"/>
      <c r="D433" s="164"/>
      <c r="E433" s="163" t="s">
        <v>6466</v>
      </c>
      <c r="F433" s="164"/>
      <c r="G433" s="166"/>
      <c r="H433" s="167"/>
      <c r="I433" s="168"/>
      <c r="J433" s="167"/>
      <c r="K433" s="157" t="s">
        <v>6467</v>
      </c>
    </row>
    <row r="434" spans="1:11" ht="14.25" customHeight="1">
      <c r="A434" s="164"/>
      <c r="B434" s="164"/>
      <c r="C434" s="164"/>
      <c r="D434" s="156" t="s">
        <v>6468</v>
      </c>
      <c r="E434" s="163" t="s">
        <v>6469</v>
      </c>
      <c r="F434" s="172" t="s">
        <v>6470</v>
      </c>
      <c r="G434" s="159" t="s">
        <v>16</v>
      </c>
      <c r="H434" s="160" t="s">
        <v>6471</v>
      </c>
      <c r="I434" s="170" t="s">
        <v>33</v>
      </c>
      <c r="J434" s="162" t="s">
        <v>6472</v>
      </c>
      <c r="K434" s="157" t="s">
        <v>6473</v>
      </c>
    </row>
    <row r="435" spans="1:11" ht="14.25" customHeight="1">
      <c r="A435" s="164"/>
      <c r="B435" s="164"/>
      <c r="C435" s="164"/>
      <c r="D435" s="164"/>
      <c r="E435" s="163" t="s">
        <v>6474</v>
      </c>
      <c r="F435" s="164"/>
      <c r="G435" s="166"/>
      <c r="H435" s="167"/>
      <c r="I435" s="168"/>
      <c r="J435" s="167"/>
      <c r="K435" s="157" t="s">
        <v>6475</v>
      </c>
    </row>
    <row r="436" spans="1:11" ht="14.25" customHeight="1">
      <c r="A436" s="164"/>
      <c r="B436" s="164"/>
      <c r="C436" s="164"/>
      <c r="D436" s="156" t="s">
        <v>6401</v>
      </c>
      <c r="E436" s="163" t="s">
        <v>6476</v>
      </c>
      <c r="F436" s="172" t="s">
        <v>6401</v>
      </c>
      <c r="G436" s="159" t="s">
        <v>16</v>
      </c>
      <c r="H436" s="160" t="s">
        <v>6477</v>
      </c>
      <c r="I436" s="161" t="s">
        <v>19</v>
      </c>
      <c r="J436" s="162" t="s">
        <v>6478</v>
      </c>
      <c r="K436" s="157" t="s">
        <v>6479</v>
      </c>
    </row>
    <row r="437" spans="1:11" ht="14.25" customHeight="1">
      <c r="A437" s="164"/>
      <c r="B437" s="164"/>
      <c r="C437" s="164"/>
      <c r="D437" s="164"/>
      <c r="E437" s="163" t="s">
        <v>6480</v>
      </c>
      <c r="F437" s="164"/>
      <c r="G437" s="166"/>
      <c r="H437" s="167"/>
      <c r="I437" s="168"/>
      <c r="J437" s="167"/>
      <c r="K437" s="157" t="s">
        <v>6481</v>
      </c>
    </row>
    <row r="438" spans="1:11" ht="14.25" customHeight="1">
      <c r="A438" s="164"/>
      <c r="B438" s="164"/>
      <c r="C438" s="164"/>
      <c r="D438" s="156" t="s">
        <v>6482</v>
      </c>
      <c r="E438" s="163" t="s">
        <v>6483</v>
      </c>
      <c r="F438" s="172" t="s">
        <v>6484</v>
      </c>
      <c r="G438" s="159" t="s">
        <v>38</v>
      </c>
      <c r="H438" s="160" t="s">
        <v>6485</v>
      </c>
      <c r="I438" s="170" t="s">
        <v>33</v>
      </c>
      <c r="J438" s="162" t="s">
        <v>6486</v>
      </c>
      <c r="K438" s="157" t="s">
        <v>6487</v>
      </c>
    </row>
    <row r="439" spans="1:11" ht="14.25" customHeight="1">
      <c r="A439" s="164"/>
      <c r="B439" s="164"/>
      <c r="C439" s="164"/>
      <c r="D439" s="164"/>
      <c r="E439" s="163" t="s">
        <v>6488</v>
      </c>
      <c r="F439" s="164"/>
      <c r="G439" s="166"/>
      <c r="H439" s="167"/>
      <c r="I439" s="168"/>
      <c r="J439" s="167"/>
      <c r="K439" s="157" t="s">
        <v>6489</v>
      </c>
    </row>
    <row r="440" spans="1:11" ht="14.25" customHeight="1">
      <c r="A440" s="164"/>
      <c r="B440" s="164"/>
      <c r="C440" s="156" t="s">
        <v>6490</v>
      </c>
      <c r="D440" s="156" t="s">
        <v>6491</v>
      </c>
      <c r="E440" s="163" t="s">
        <v>6492</v>
      </c>
      <c r="F440" s="172" t="s">
        <v>6493</v>
      </c>
      <c r="G440" s="159" t="s">
        <v>200</v>
      </c>
      <c r="H440" s="160" t="s">
        <v>6494</v>
      </c>
      <c r="I440" s="169" t="s">
        <v>41</v>
      </c>
      <c r="J440" s="162" t="s">
        <v>6495</v>
      </c>
      <c r="K440" s="157" t="s">
        <v>6496</v>
      </c>
    </row>
    <row r="441" spans="1:11" ht="14.25" customHeight="1">
      <c r="A441" s="164"/>
      <c r="B441" s="164"/>
      <c r="C441" s="164"/>
      <c r="D441" s="164"/>
      <c r="E441" s="163" t="s">
        <v>6497</v>
      </c>
      <c r="F441" s="164"/>
      <c r="G441" s="166"/>
      <c r="H441" s="167"/>
      <c r="I441" s="168"/>
      <c r="J441" s="167"/>
      <c r="K441" s="157" t="s">
        <v>6498</v>
      </c>
    </row>
    <row r="442" spans="1:11" ht="14.25" customHeight="1">
      <c r="A442" s="164"/>
      <c r="B442" s="164"/>
      <c r="C442" s="164"/>
      <c r="D442" s="156" t="s">
        <v>6499</v>
      </c>
      <c r="E442" s="163" t="s">
        <v>6500</v>
      </c>
      <c r="F442" s="172" t="s">
        <v>6501</v>
      </c>
      <c r="G442" s="159" t="s">
        <v>38</v>
      </c>
      <c r="H442" s="160" t="s">
        <v>6502</v>
      </c>
      <c r="I442" s="169" t="s">
        <v>41</v>
      </c>
      <c r="J442" s="162" t="s">
        <v>6503</v>
      </c>
      <c r="K442" s="157" t="s">
        <v>6504</v>
      </c>
    </row>
    <row r="443" spans="1:11" ht="14.25" customHeight="1">
      <c r="A443" s="164"/>
      <c r="B443" s="164"/>
      <c r="C443" s="164"/>
      <c r="D443" s="164"/>
      <c r="E443" s="163" t="s">
        <v>6505</v>
      </c>
      <c r="F443" s="164"/>
      <c r="G443" s="166"/>
      <c r="H443" s="167"/>
      <c r="I443" s="168"/>
      <c r="J443" s="167"/>
      <c r="K443" s="157" t="s">
        <v>6506</v>
      </c>
    </row>
    <row r="444" spans="1:11" ht="14.25" customHeight="1">
      <c r="A444" s="164"/>
      <c r="B444" s="164"/>
      <c r="C444" s="164"/>
      <c r="D444" s="156" t="s">
        <v>6507</v>
      </c>
      <c r="E444" s="163" t="s">
        <v>6508</v>
      </c>
      <c r="F444" s="172" t="s">
        <v>6509</v>
      </c>
      <c r="G444" s="159" t="s">
        <v>38</v>
      </c>
      <c r="H444" s="160" t="s">
        <v>6510</v>
      </c>
      <c r="I444" s="170" t="s">
        <v>33</v>
      </c>
      <c r="J444" s="162" t="s">
        <v>6511</v>
      </c>
      <c r="K444" s="157" t="s">
        <v>6512</v>
      </c>
    </row>
    <row r="445" spans="1:11" ht="14.25" customHeight="1">
      <c r="A445" s="164"/>
      <c r="B445" s="164"/>
      <c r="C445" s="164"/>
      <c r="D445" s="164"/>
      <c r="E445" s="163" t="s">
        <v>6513</v>
      </c>
      <c r="F445" s="164"/>
      <c r="G445" s="166"/>
      <c r="H445" s="167"/>
      <c r="I445" s="168"/>
      <c r="J445" s="167"/>
      <c r="K445" s="157" t="s">
        <v>6514</v>
      </c>
    </row>
    <row r="446" spans="1:11" ht="14.25" customHeight="1">
      <c r="A446" s="164"/>
      <c r="B446" s="164"/>
      <c r="C446" s="164"/>
      <c r="D446" s="156" t="s">
        <v>6515</v>
      </c>
      <c r="E446" s="163" t="s">
        <v>6516</v>
      </c>
      <c r="F446" s="172" t="s">
        <v>6517</v>
      </c>
      <c r="G446" s="159" t="s">
        <v>16</v>
      </c>
      <c r="H446" s="160" t="s">
        <v>6518</v>
      </c>
      <c r="I446" s="161" t="s">
        <v>19</v>
      </c>
      <c r="J446" s="162" t="s">
        <v>6519</v>
      </c>
      <c r="K446" s="157" t="s">
        <v>6520</v>
      </c>
    </row>
    <row r="447" spans="1:11" ht="14.25" customHeight="1">
      <c r="A447" s="164"/>
      <c r="B447" s="164"/>
      <c r="C447" s="164"/>
      <c r="D447" s="164"/>
      <c r="E447" s="163" t="s">
        <v>6521</v>
      </c>
      <c r="F447" s="164"/>
      <c r="G447" s="166"/>
      <c r="H447" s="167"/>
      <c r="I447" s="168"/>
      <c r="J447" s="167"/>
      <c r="K447" s="157" t="s">
        <v>6363</v>
      </c>
    </row>
    <row r="448" spans="1:11" ht="14.25" customHeight="1">
      <c r="A448" s="164"/>
      <c r="B448" s="164"/>
      <c r="C448" s="164"/>
      <c r="D448" s="156" t="s">
        <v>6522</v>
      </c>
      <c r="E448" s="163" t="s">
        <v>6523</v>
      </c>
      <c r="F448" s="172" t="s">
        <v>6524</v>
      </c>
      <c r="G448" s="159" t="s">
        <v>16</v>
      </c>
      <c r="H448" s="160" t="s">
        <v>6525</v>
      </c>
      <c r="I448" s="170" t="s">
        <v>33</v>
      </c>
      <c r="J448" s="162" t="s">
        <v>6526</v>
      </c>
      <c r="K448" s="157" t="s">
        <v>6527</v>
      </c>
    </row>
    <row r="449" spans="1:11" ht="14.25" customHeight="1">
      <c r="A449" s="164"/>
      <c r="B449" s="164"/>
      <c r="C449" s="164"/>
      <c r="D449" s="164"/>
      <c r="E449" s="163" t="s">
        <v>6269</v>
      </c>
      <c r="F449" s="164"/>
      <c r="G449" s="166"/>
      <c r="H449" s="167"/>
      <c r="I449" s="168"/>
      <c r="J449" s="167"/>
      <c r="K449" s="157" t="s">
        <v>6528</v>
      </c>
    </row>
    <row r="450" spans="1:11" ht="14.25" customHeight="1">
      <c r="A450" s="164"/>
      <c r="B450" s="164"/>
      <c r="C450" s="156" t="s">
        <v>6529</v>
      </c>
      <c r="D450" s="156" t="s">
        <v>6530</v>
      </c>
      <c r="E450" s="163" t="s">
        <v>6531</v>
      </c>
      <c r="F450" s="172" t="s">
        <v>6532</v>
      </c>
      <c r="G450" s="159" t="s">
        <v>16</v>
      </c>
      <c r="H450" s="160" t="s">
        <v>6533</v>
      </c>
      <c r="I450" s="169" t="s">
        <v>41</v>
      </c>
      <c r="J450" s="162" t="s">
        <v>6534</v>
      </c>
      <c r="K450" s="157" t="s">
        <v>6535</v>
      </c>
    </row>
    <row r="451" spans="1:11" ht="14.25" customHeight="1">
      <c r="A451" s="164"/>
      <c r="B451" s="164"/>
      <c r="C451" s="164"/>
      <c r="D451" s="164"/>
      <c r="E451" s="163" t="s">
        <v>6536</v>
      </c>
      <c r="F451" s="164"/>
      <c r="G451" s="166"/>
      <c r="H451" s="167"/>
      <c r="I451" s="168"/>
      <c r="J451" s="167"/>
      <c r="K451" s="157" t="s">
        <v>6537</v>
      </c>
    </row>
    <row r="452" spans="1:11" ht="14.25" customHeight="1">
      <c r="A452" s="164"/>
      <c r="B452" s="164"/>
      <c r="C452" s="164"/>
      <c r="D452" s="156" t="s">
        <v>6538</v>
      </c>
      <c r="E452" s="163" t="s">
        <v>6539</v>
      </c>
      <c r="F452" s="172" t="s">
        <v>6540</v>
      </c>
      <c r="G452" s="159" t="s">
        <v>38</v>
      </c>
      <c r="H452" s="160" t="s">
        <v>6541</v>
      </c>
      <c r="I452" s="169" t="s">
        <v>41</v>
      </c>
      <c r="J452" s="162" t="s">
        <v>6542</v>
      </c>
      <c r="K452" s="157" t="s">
        <v>6543</v>
      </c>
    </row>
    <row r="453" spans="1:11" ht="14.25" customHeight="1">
      <c r="A453" s="164"/>
      <c r="B453" s="164"/>
      <c r="C453" s="164"/>
      <c r="D453" s="164"/>
      <c r="E453" s="163" t="s">
        <v>6544</v>
      </c>
      <c r="F453" s="164"/>
      <c r="G453" s="166"/>
      <c r="H453" s="167"/>
      <c r="I453" s="168"/>
      <c r="J453" s="167"/>
      <c r="K453" s="157" t="s">
        <v>6545</v>
      </c>
    </row>
    <row r="454" spans="1:11" ht="14.25" customHeight="1">
      <c r="A454" s="164"/>
      <c r="B454" s="164"/>
      <c r="C454" s="164"/>
      <c r="D454" s="156" t="s">
        <v>6546</v>
      </c>
      <c r="E454" s="163" t="s">
        <v>6547</v>
      </c>
      <c r="F454" s="172" t="s">
        <v>6548</v>
      </c>
      <c r="G454" s="159" t="s">
        <v>200</v>
      </c>
      <c r="H454" s="160" t="s">
        <v>6549</v>
      </c>
      <c r="I454" s="170" t="s">
        <v>33</v>
      </c>
      <c r="J454" s="162" t="s">
        <v>6550</v>
      </c>
      <c r="K454" s="157" t="s">
        <v>6551</v>
      </c>
    </row>
    <row r="455" spans="1:11" ht="14.25" customHeight="1">
      <c r="A455" s="164"/>
      <c r="B455" s="164"/>
      <c r="C455" s="164"/>
      <c r="D455" s="164"/>
      <c r="E455" s="163" t="s">
        <v>6552</v>
      </c>
      <c r="F455" s="164"/>
      <c r="G455" s="166"/>
      <c r="H455" s="167"/>
      <c r="I455" s="168"/>
      <c r="J455" s="167"/>
      <c r="K455" s="157" t="s">
        <v>6553</v>
      </c>
    </row>
    <row r="456" spans="1:11" ht="14.25" customHeight="1">
      <c r="A456" s="164"/>
      <c r="B456" s="164"/>
      <c r="C456" s="164"/>
      <c r="D456" s="156" t="s">
        <v>6554</v>
      </c>
      <c r="E456" s="163" t="s">
        <v>6555</v>
      </c>
      <c r="F456" s="172" t="s">
        <v>6556</v>
      </c>
      <c r="G456" s="159" t="s">
        <v>38</v>
      </c>
      <c r="H456" s="160" t="s">
        <v>5478</v>
      </c>
      <c r="I456" s="161" t="s">
        <v>19</v>
      </c>
      <c r="J456" s="162" t="s">
        <v>6557</v>
      </c>
      <c r="K456" s="157" t="s">
        <v>6558</v>
      </c>
    </row>
    <row r="457" spans="1:11" ht="14.25" customHeight="1">
      <c r="A457" s="164"/>
      <c r="B457" s="164"/>
      <c r="C457" s="164"/>
      <c r="D457" s="164"/>
      <c r="E457" s="163" t="s">
        <v>6559</v>
      </c>
      <c r="F457" s="164"/>
      <c r="G457" s="166"/>
      <c r="H457" s="167"/>
      <c r="I457" s="168"/>
      <c r="J457" s="167"/>
      <c r="K457" s="157" t="s">
        <v>6560</v>
      </c>
    </row>
    <row r="458" spans="1:11" ht="14.25" customHeight="1">
      <c r="A458" s="164"/>
      <c r="B458" s="164"/>
      <c r="C458" s="164"/>
      <c r="D458" s="156" t="s">
        <v>6561</v>
      </c>
      <c r="E458" s="163" t="s">
        <v>6562</v>
      </c>
      <c r="F458" s="172" t="s">
        <v>6563</v>
      </c>
      <c r="G458" s="159" t="s">
        <v>38</v>
      </c>
      <c r="H458" s="160" t="s">
        <v>6485</v>
      </c>
      <c r="I458" s="170" t="s">
        <v>33</v>
      </c>
      <c r="J458" s="162" t="s">
        <v>6564</v>
      </c>
      <c r="K458" s="157" t="s">
        <v>6565</v>
      </c>
    </row>
    <row r="459" spans="1:11" ht="14.25" customHeight="1">
      <c r="A459" s="164"/>
      <c r="B459" s="164"/>
      <c r="C459" s="164"/>
      <c r="D459" s="164"/>
      <c r="E459" s="163" t="s">
        <v>6488</v>
      </c>
      <c r="F459" s="164"/>
      <c r="G459" s="166"/>
      <c r="H459" s="167"/>
      <c r="I459" s="168"/>
      <c r="J459" s="167"/>
      <c r="K459" s="157" t="s">
        <v>6566</v>
      </c>
    </row>
    <row r="460" spans="1:11" ht="14.25" customHeight="1">
      <c r="A460" s="164"/>
      <c r="B460" s="164"/>
      <c r="C460" s="156" t="s">
        <v>6567</v>
      </c>
      <c r="D460" s="156" t="s">
        <v>6568</v>
      </c>
      <c r="E460" s="163" t="s">
        <v>6569</v>
      </c>
      <c r="F460" s="172" t="s">
        <v>6570</v>
      </c>
      <c r="G460" s="159" t="s">
        <v>16</v>
      </c>
      <c r="H460" s="160" t="s">
        <v>6571</v>
      </c>
      <c r="I460" s="169" t="s">
        <v>41</v>
      </c>
      <c r="J460" s="162" t="s">
        <v>6572</v>
      </c>
      <c r="K460" s="157" t="s">
        <v>6573</v>
      </c>
    </row>
    <row r="461" spans="1:11" ht="14.25" customHeight="1">
      <c r="A461" s="164"/>
      <c r="B461" s="164"/>
      <c r="C461" s="164"/>
      <c r="D461" s="164"/>
      <c r="E461" s="163" t="s">
        <v>6574</v>
      </c>
      <c r="F461" s="164"/>
      <c r="G461" s="166"/>
      <c r="H461" s="167"/>
      <c r="I461" s="168"/>
      <c r="J461" s="167"/>
      <c r="K461" s="157" t="s">
        <v>6575</v>
      </c>
    </row>
    <row r="462" spans="1:11" ht="14.25" customHeight="1">
      <c r="A462" s="164"/>
      <c r="B462" s="164"/>
      <c r="C462" s="164"/>
      <c r="D462" s="156" t="s">
        <v>6576</v>
      </c>
      <c r="E462" s="163" t="s">
        <v>6577</v>
      </c>
      <c r="F462" s="172" t="s">
        <v>6578</v>
      </c>
      <c r="G462" s="159" t="s">
        <v>16</v>
      </c>
      <c r="H462" s="160" t="s">
        <v>6579</v>
      </c>
      <c r="I462" s="169" t="s">
        <v>41</v>
      </c>
      <c r="J462" s="162" t="s">
        <v>6580</v>
      </c>
      <c r="K462" s="157" t="s">
        <v>6581</v>
      </c>
    </row>
    <row r="463" spans="1:11" ht="14.25" customHeight="1">
      <c r="A463" s="164"/>
      <c r="B463" s="164"/>
      <c r="C463" s="164"/>
      <c r="D463" s="164"/>
      <c r="E463" s="163" t="s">
        <v>6582</v>
      </c>
      <c r="F463" s="164"/>
      <c r="G463" s="166"/>
      <c r="H463" s="167"/>
      <c r="I463" s="168"/>
      <c r="J463" s="167"/>
      <c r="K463" s="157" t="s">
        <v>6583</v>
      </c>
    </row>
    <row r="464" spans="1:11" ht="14.25" customHeight="1">
      <c r="A464" s="164"/>
      <c r="B464" s="164"/>
      <c r="C464" s="164"/>
      <c r="D464" s="156" t="s">
        <v>6584</v>
      </c>
      <c r="E464" s="163" t="s">
        <v>6585</v>
      </c>
      <c r="F464" s="172" t="s">
        <v>6586</v>
      </c>
      <c r="G464" s="159" t="s">
        <v>16</v>
      </c>
      <c r="H464" s="160" t="s">
        <v>6587</v>
      </c>
      <c r="I464" s="170" t="s">
        <v>33</v>
      </c>
      <c r="J464" s="162" t="s">
        <v>6588</v>
      </c>
      <c r="K464" s="157" t="s">
        <v>6589</v>
      </c>
    </row>
    <row r="465" spans="1:11" ht="14.25" customHeight="1">
      <c r="A465" s="164"/>
      <c r="B465" s="164"/>
      <c r="C465" s="164"/>
      <c r="D465" s="164"/>
      <c r="E465" s="163" t="s">
        <v>6590</v>
      </c>
      <c r="F465" s="164"/>
      <c r="G465" s="166"/>
      <c r="H465" s="167"/>
      <c r="I465" s="168"/>
      <c r="J465" s="167"/>
      <c r="K465" s="157" t="s">
        <v>6591</v>
      </c>
    </row>
    <row r="466" spans="1:11" ht="14.25" customHeight="1">
      <c r="A466" s="164"/>
      <c r="B466" s="164"/>
      <c r="C466" s="164"/>
      <c r="D466" s="156" t="s">
        <v>6592</v>
      </c>
      <c r="E466" s="163" t="s">
        <v>6593</v>
      </c>
      <c r="F466" s="172" t="s">
        <v>6594</v>
      </c>
      <c r="G466" s="159" t="s">
        <v>38</v>
      </c>
      <c r="H466" s="160" t="s">
        <v>6380</v>
      </c>
      <c r="I466" s="161" t="s">
        <v>19</v>
      </c>
      <c r="J466" s="162" t="s">
        <v>6595</v>
      </c>
      <c r="K466" s="157" t="s">
        <v>6596</v>
      </c>
    </row>
    <row r="467" spans="1:11" ht="14.25" customHeight="1">
      <c r="A467" s="164"/>
      <c r="B467" s="164"/>
      <c r="C467" s="164"/>
      <c r="D467" s="164"/>
      <c r="E467" s="163" t="s">
        <v>6597</v>
      </c>
      <c r="F467" s="164"/>
      <c r="G467" s="166"/>
      <c r="H467" s="167"/>
      <c r="I467" s="168"/>
      <c r="J467" s="167"/>
      <c r="K467" s="157" t="s">
        <v>6598</v>
      </c>
    </row>
    <row r="468" spans="1:11" ht="14.25" customHeight="1">
      <c r="A468" s="164"/>
      <c r="B468" s="164"/>
      <c r="C468" s="164"/>
      <c r="D468" s="156" t="s">
        <v>6599</v>
      </c>
      <c r="E468" s="163" t="s">
        <v>6600</v>
      </c>
      <c r="F468" s="172" t="s">
        <v>6601</v>
      </c>
      <c r="G468" s="159" t="s">
        <v>200</v>
      </c>
      <c r="H468" s="160" t="s">
        <v>6602</v>
      </c>
      <c r="I468" s="170" t="s">
        <v>33</v>
      </c>
      <c r="J468" s="162" t="s">
        <v>6603</v>
      </c>
      <c r="K468" s="157" t="s">
        <v>6604</v>
      </c>
    </row>
    <row r="469" spans="1:11" ht="14.25" customHeight="1">
      <c r="A469" s="164"/>
      <c r="B469" s="164"/>
      <c r="C469" s="164"/>
      <c r="D469" s="164"/>
      <c r="E469" s="163" t="s">
        <v>6605</v>
      </c>
      <c r="F469" s="164"/>
      <c r="G469" s="166"/>
      <c r="H469" s="167"/>
      <c r="I469" s="168"/>
      <c r="J469" s="167"/>
      <c r="K469" s="157" t="s">
        <v>6606</v>
      </c>
    </row>
    <row r="470" spans="1:11" ht="14.25" customHeight="1">
      <c r="A470" s="164"/>
      <c r="B470" s="164"/>
      <c r="C470" s="156" t="s">
        <v>6607</v>
      </c>
      <c r="D470" s="156" t="s">
        <v>6608</v>
      </c>
      <c r="E470" s="163" t="s">
        <v>6609</v>
      </c>
      <c r="F470" s="172" t="s">
        <v>6610</v>
      </c>
      <c r="G470" s="159" t="s">
        <v>38</v>
      </c>
      <c r="H470" s="160" t="s">
        <v>6611</v>
      </c>
      <c r="I470" s="169" t="s">
        <v>41</v>
      </c>
      <c r="J470" s="162" t="s">
        <v>6612</v>
      </c>
      <c r="K470" s="157" t="s">
        <v>6613</v>
      </c>
    </row>
    <row r="471" spans="1:11" ht="14.25" customHeight="1">
      <c r="A471" s="164"/>
      <c r="B471" s="164"/>
      <c r="C471" s="164"/>
      <c r="D471" s="164"/>
      <c r="E471" s="163" t="s">
        <v>6614</v>
      </c>
      <c r="F471" s="164"/>
      <c r="G471" s="166"/>
      <c r="H471" s="167"/>
      <c r="I471" s="168"/>
      <c r="J471" s="167"/>
      <c r="K471" s="157" t="s">
        <v>6615</v>
      </c>
    </row>
    <row r="472" spans="1:11" ht="14.25" customHeight="1">
      <c r="A472" s="164"/>
      <c r="B472" s="164"/>
      <c r="C472" s="164"/>
      <c r="D472" s="156" t="s">
        <v>6616</v>
      </c>
      <c r="E472" s="163" t="s">
        <v>6617</v>
      </c>
      <c r="F472" s="172" t="s">
        <v>6618</v>
      </c>
      <c r="G472" s="159" t="s">
        <v>38</v>
      </c>
      <c r="H472" s="160" t="s">
        <v>6619</v>
      </c>
      <c r="I472" s="169" t="s">
        <v>41</v>
      </c>
      <c r="J472" s="162" t="s">
        <v>6620</v>
      </c>
      <c r="K472" s="157" t="s">
        <v>6621</v>
      </c>
    </row>
    <row r="473" spans="1:11" ht="14.25" customHeight="1">
      <c r="A473" s="164"/>
      <c r="B473" s="164"/>
      <c r="C473" s="164"/>
      <c r="D473" s="164"/>
      <c r="E473" s="163" t="s">
        <v>6622</v>
      </c>
      <c r="F473" s="164"/>
      <c r="G473" s="166"/>
      <c r="H473" s="167"/>
      <c r="I473" s="168"/>
      <c r="J473" s="167"/>
      <c r="K473" s="157" t="s">
        <v>6623</v>
      </c>
    </row>
    <row r="474" spans="1:11" ht="14.25" customHeight="1">
      <c r="A474" s="164"/>
      <c r="B474" s="164"/>
      <c r="C474" s="164"/>
      <c r="D474" s="156" t="s">
        <v>6624</v>
      </c>
      <c r="E474" s="163" t="s">
        <v>6625</v>
      </c>
      <c r="F474" s="172" t="s">
        <v>6626</v>
      </c>
      <c r="G474" s="159" t="s">
        <v>16</v>
      </c>
      <c r="H474" s="160" t="s">
        <v>6627</v>
      </c>
      <c r="I474" s="170" t="s">
        <v>33</v>
      </c>
      <c r="J474" s="162" t="s">
        <v>6628</v>
      </c>
      <c r="K474" s="157" t="s">
        <v>6629</v>
      </c>
    </row>
    <row r="475" spans="1:11" ht="14.25" customHeight="1">
      <c r="A475" s="164"/>
      <c r="B475" s="164"/>
      <c r="C475" s="164"/>
      <c r="D475" s="164"/>
      <c r="E475" s="163" t="s">
        <v>6630</v>
      </c>
      <c r="F475" s="164"/>
      <c r="G475" s="166"/>
      <c r="H475" s="167"/>
      <c r="I475" s="168"/>
      <c r="J475" s="167"/>
      <c r="K475" s="157" t="s">
        <v>6631</v>
      </c>
    </row>
    <row r="476" spans="1:11" ht="14.25" customHeight="1">
      <c r="A476" s="164"/>
      <c r="B476" s="164"/>
      <c r="C476" s="164"/>
      <c r="D476" s="156" t="s">
        <v>6632</v>
      </c>
      <c r="E476" s="163" t="s">
        <v>6633</v>
      </c>
      <c r="F476" s="172" t="s">
        <v>6634</v>
      </c>
      <c r="G476" s="159" t="s">
        <v>16</v>
      </c>
      <c r="H476" s="160" t="s">
        <v>6635</v>
      </c>
      <c r="I476" s="161" t="s">
        <v>19</v>
      </c>
      <c r="J476" s="162" t="s">
        <v>6636</v>
      </c>
      <c r="K476" s="157" t="s">
        <v>6629</v>
      </c>
    </row>
    <row r="477" spans="1:11" ht="14.25" customHeight="1">
      <c r="A477" s="164"/>
      <c r="B477" s="164"/>
      <c r="C477" s="164"/>
      <c r="D477" s="164"/>
      <c r="E477" s="163" t="s">
        <v>6637</v>
      </c>
      <c r="F477" s="164"/>
      <c r="G477" s="166"/>
      <c r="H477" s="167"/>
      <c r="I477" s="168"/>
      <c r="J477" s="167"/>
      <c r="K477" s="157" t="s">
        <v>6631</v>
      </c>
    </row>
    <row r="478" spans="1:11" ht="14.25" customHeight="1">
      <c r="A478" s="164"/>
      <c r="B478" s="164"/>
      <c r="C478" s="164"/>
      <c r="D478" s="156" t="s">
        <v>6638</v>
      </c>
      <c r="E478" s="163" t="s">
        <v>6639</v>
      </c>
      <c r="F478" s="172" t="s">
        <v>6640</v>
      </c>
      <c r="G478" s="159" t="s">
        <v>16</v>
      </c>
      <c r="H478" s="160" t="s">
        <v>6641</v>
      </c>
      <c r="I478" s="170" t="s">
        <v>33</v>
      </c>
      <c r="J478" s="162" t="s">
        <v>6642</v>
      </c>
      <c r="K478" s="157" t="s">
        <v>6643</v>
      </c>
    </row>
    <row r="479" spans="1:11" ht="14.25" customHeight="1">
      <c r="A479" s="164"/>
      <c r="B479" s="164"/>
      <c r="C479" s="164"/>
      <c r="D479" s="164"/>
      <c r="E479" s="163" t="s">
        <v>6644</v>
      </c>
      <c r="F479" s="164"/>
      <c r="G479" s="166"/>
      <c r="H479" s="167"/>
      <c r="I479" s="168"/>
      <c r="J479" s="167"/>
      <c r="K479" s="157" t="s">
        <v>6645</v>
      </c>
    </row>
    <row r="480" spans="1:11" ht="14.25" customHeight="1">
      <c r="A480" s="164"/>
      <c r="B480" s="164"/>
      <c r="C480" s="156" t="s">
        <v>6646</v>
      </c>
      <c r="D480" s="156" t="s">
        <v>6647</v>
      </c>
      <c r="E480" s="163" t="s">
        <v>6648</v>
      </c>
      <c r="F480" s="172" t="s">
        <v>6649</v>
      </c>
      <c r="G480" s="159" t="s">
        <v>38</v>
      </c>
      <c r="H480" s="160" t="s">
        <v>6650</v>
      </c>
      <c r="I480" s="169" t="s">
        <v>41</v>
      </c>
      <c r="J480" s="162" t="s">
        <v>6651</v>
      </c>
      <c r="K480" s="157" t="s">
        <v>6652</v>
      </c>
    </row>
    <row r="481" spans="1:11" ht="14.25" customHeight="1">
      <c r="A481" s="164"/>
      <c r="B481" s="164"/>
      <c r="C481" s="164"/>
      <c r="D481" s="164"/>
      <c r="E481" s="163" t="s">
        <v>6653</v>
      </c>
      <c r="F481" s="164"/>
      <c r="G481" s="166"/>
      <c r="H481" s="167"/>
      <c r="I481" s="168"/>
      <c r="J481" s="167"/>
      <c r="K481" s="157" t="s">
        <v>6654</v>
      </c>
    </row>
    <row r="482" spans="1:11" ht="14.25" customHeight="1">
      <c r="A482" s="164"/>
      <c r="B482" s="164"/>
      <c r="C482" s="164"/>
      <c r="D482" s="156" t="s">
        <v>6655</v>
      </c>
      <c r="E482" s="163" t="s">
        <v>6656</v>
      </c>
      <c r="F482" s="172" t="s">
        <v>6657</v>
      </c>
      <c r="G482" s="159" t="s">
        <v>200</v>
      </c>
      <c r="H482" s="160" t="s">
        <v>6658</v>
      </c>
      <c r="I482" s="169" t="s">
        <v>41</v>
      </c>
      <c r="J482" s="162" t="s">
        <v>6659</v>
      </c>
      <c r="K482" s="157" t="s">
        <v>6660</v>
      </c>
    </row>
    <row r="483" spans="1:11" ht="14.25" customHeight="1">
      <c r="A483" s="164"/>
      <c r="B483" s="164"/>
      <c r="C483" s="164"/>
      <c r="D483" s="164"/>
      <c r="E483" s="163" t="s">
        <v>6661</v>
      </c>
      <c r="F483" s="164"/>
      <c r="G483" s="166"/>
      <c r="H483" s="167"/>
      <c r="I483" s="168"/>
      <c r="J483" s="167"/>
      <c r="K483" s="157" t="s">
        <v>6662</v>
      </c>
    </row>
    <row r="484" spans="1:11" ht="14.25" customHeight="1">
      <c r="A484" s="164"/>
      <c r="B484" s="164"/>
      <c r="C484" s="164"/>
      <c r="D484" s="156" t="s">
        <v>6663</v>
      </c>
      <c r="E484" s="163" t="s">
        <v>6664</v>
      </c>
      <c r="F484" s="172" t="s">
        <v>6665</v>
      </c>
      <c r="G484" s="159" t="s">
        <v>38</v>
      </c>
      <c r="H484" s="160" t="s">
        <v>6666</v>
      </c>
      <c r="I484" s="170" t="s">
        <v>33</v>
      </c>
      <c r="J484" s="162" t="s">
        <v>6667</v>
      </c>
      <c r="K484" s="157" t="s">
        <v>6668</v>
      </c>
    </row>
    <row r="485" spans="1:11" ht="14.25" customHeight="1">
      <c r="A485" s="164"/>
      <c r="B485" s="164"/>
      <c r="C485" s="164"/>
      <c r="D485" s="164"/>
      <c r="E485" s="163" t="s">
        <v>6669</v>
      </c>
      <c r="F485" s="164"/>
      <c r="G485" s="166"/>
      <c r="H485" s="167"/>
      <c r="I485" s="168"/>
      <c r="J485" s="167"/>
      <c r="K485" s="157" t="s">
        <v>6670</v>
      </c>
    </row>
    <row r="486" spans="1:11" ht="14.25" customHeight="1">
      <c r="A486" s="164"/>
      <c r="B486" s="164"/>
      <c r="C486" s="164"/>
      <c r="D486" s="156" t="s">
        <v>6671</v>
      </c>
      <c r="E486" s="163" t="s">
        <v>6672</v>
      </c>
      <c r="F486" s="172" t="s">
        <v>6673</v>
      </c>
      <c r="G486" s="159" t="s">
        <v>38</v>
      </c>
      <c r="H486" s="160" t="s">
        <v>6674</v>
      </c>
      <c r="I486" s="161" t="s">
        <v>19</v>
      </c>
      <c r="J486" s="162" t="s">
        <v>6675</v>
      </c>
      <c r="K486" s="157" t="s">
        <v>6676</v>
      </c>
    </row>
    <row r="487" spans="1:11" ht="14.25" customHeight="1">
      <c r="A487" s="164"/>
      <c r="B487" s="164"/>
      <c r="C487" s="164"/>
      <c r="D487" s="164"/>
      <c r="E487" s="163" t="s">
        <v>5440</v>
      </c>
      <c r="F487" s="164"/>
      <c r="G487" s="166"/>
      <c r="H487" s="167"/>
      <c r="I487" s="168"/>
      <c r="J487" s="167"/>
      <c r="K487" s="157" t="s">
        <v>6677</v>
      </c>
    </row>
    <row r="488" spans="1:11" ht="14.25" customHeight="1">
      <c r="A488" s="164"/>
      <c r="B488" s="164"/>
      <c r="C488" s="164"/>
      <c r="D488" s="156" t="s">
        <v>6678</v>
      </c>
      <c r="E488" s="163" t="s">
        <v>5536</v>
      </c>
      <c r="F488" s="172" t="s">
        <v>6679</v>
      </c>
      <c r="G488" s="159" t="s">
        <v>16</v>
      </c>
      <c r="H488" s="160" t="s">
        <v>6680</v>
      </c>
      <c r="I488" s="170" t="s">
        <v>33</v>
      </c>
      <c r="J488" s="162" t="s">
        <v>6681</v>
      </c>
      <c r="K488" s="157" t="s">
        <v>6682</v>
      </c>
    </row>
    <row r="489" spans="1:11" ht="14.25" customHeight="1">
      <c r="A489" s="164"/>
      <c r="B489" s="164"/>
      <c r="C489" s="164"/>
      <c r="D489" s="164"/>
      <c r="E489" s="163" t="s">
        <v>6683</v>
      </c>
      <c r="F489" s="164"/>
      <c r="G489" s="166"/>
      <c r="H489" s="167"/>
      <c r="I489" s="168"/>
      <c r="J489" s="167"/>
      <c r="K489" s="157" t="s">
        <v>6684</v>
      </c>
    </row>
    <row r="490" spans="1:11" ht="14.25" customHeight="1">
      <c r="A490" s="164"/>
      <c r="B490" s="164"/>
      <c r="C490" s="156" t="s">
        <v>6685</v>
      </c>
      <c r="D490" s="156" t="s">
        <v>6686</v>
      </c>
      <c r="E490" s="163" t="s">
        <v>6687</v>
      </c>
      <c r="F490" s="172" t="s">
        <v>6688</v>
      </c>
      <c r="G490" s="159" t="s">
        <v>16</v>
      </c>
      <c r="H490" s="160" t="s">
        <v>6689</v>
      </c>
      <c r="I490" s="169" t="s">
        <v>41</v>
      </c>
      <c r="J490" s="162" t="s">
        <v>6690</v>
      </c>
      <c r="K490" s="157" t="s">
        <v>6691</v>
      </c>
    </row>
    <row r="491" spans="1:11" ht="14.25" customHeight="1">
      <c r="A491" s="164"/>
      <c r="B491" s="164"/>
      <c r="C491" s="164"/>
      <c r="D491" s="164"/>
      <c r="E491" s="163" t="s">
        <v>6692</v>
      </c>
      <c r="F491" s="164"/>
      <c r="G491" s="166"/>
      <c r="H491" s="167"/>
      <c r="I491" s="168"/>
      <c r="J491" s="167"/>
      <c r="K491" s="157" t="s">
        <v>6693</v>
      </c>
    </row>
    <row r="492" spans="1:11" ht="14.25" customHeight="1">
      <c r="A492" s="164"/>
      <c r="B492" s="164"/>
      <c r="C492" s="164"/>
      <c r="D492" s="156" t="s">
        <v>6694</v>
      </c>
      <c r="E492" s="163" t="s">
        <v>6695</v>
      </c>
      <c r="F492" s="172" t="s">
        <v>6696</v>
      </c>
      <c r="G492" s="159" t="s">
        <v>16</v>
      </c>
      <c r="H492" s="160" t="s">
        <v>6697</v>
      </c>
      <c r="I492" s="169" t="s">
        <v>41</v>
      </c>
      <c r="J492" s="162" t="s">
        <v>6698</v>
      </c>
      <c r="K492" s="157" t="s">
        <v>6699</v>
      </c>
    </row>
    <row r="493" spans="1:11" ht="14.25" customHeight="1">
      <c r="A493" s="164"/>
      <c r="B493" s="164"/>
      <c r="C493" s="164"/>
      <c r="D493" s="164"/>
      <c r="E493" s="163" t="s">
        <v>6700</v>
      </c>
      <c r="F493" s="164"/>
      <c r="G493" s="166"/>
      <c r="H493" s="167"/>
      <c r="I493" s="168"/>
      <c r="J493" s="167"/>
      <c r="K493" s="157" t="s">
        <v>6701</v>
      </c>
    </row>
    <row r="494" spans="1:11" ht="14.25" customHeight="1">
      <c r="A494" s="164"/>
      <c r="B494" s="164"/>
      <c r="C494" s="164"/>
      <c r="D494" s="156" t="s">
        <v>6702</v>
      </c>
      <c r="E494" s="163" t="s">
        <v>6703</v>
      </c>
      <c r="F494" s="172" t="s">
        <v>6704</v>
      </c>
      <c r="G494" s="159" t="s">
        <v>38</v>
      </c>
      <c r="H494" s="160" t="s">
        <v>6705</v>
      </c>
      <c r="I494" s="170" t="s">
        <v>33</v>
      </c>
      <c r="J494" s="162" t="s">
        <v>6706</v>
      </c>
      <c r="K494" s="157" t="s">
        <v>6707</v>
      </c>
    </row>
    <row r="495" spans="1:11" ht="14.25" customHeight="1">
      <c r="A495" s="164"/>
      <c r="B495" s="164"/>
      <c r="C495" s="164"/>
      <c r="D495" s="164"/>
      <c r="E495" s="163" t="s">
        <v>6708</v>
      </c>
      <c r="F495" s="164"/>
      <c r="G495" s="166"/>
      <c r="H495" s="167"/>
      <c r="I495" s="168"/>
      <c r="J495" s="167"/>
      <c r="K495" s="157" t="s">
        <v>6709</v>
      </c>
    </row>
    <row r="496" spans="1:11" ht="14.25" customHeight="1">
      <c r="A496" s="164"/>
      <c r="B496" s="164"/>
      <c r="C496" s="164"/>
      <c r="D496" s="156" t="s">
        <v>6710</v>
      </c>
      <c r="E496" s="163" t="s">
        <v>6711</v>
      </c>
      <c r="F496" s="172" t="s">
        <v>6712</v>
      </c>
      <c r="G496" s="159" t="s">
        <v>200</v>
      </c>
      <c r="H496" s="160" t="s">
        <v>6713</v>
      </c>
      <c r="I496" s="161" t="s">
        <v>19</v>
      </c>
      <c r="J496" s="162" t="s">
        <v>6714</v>
      </c>
      <c r="K496" s="157" t="s">
        <v>6715</v>
      </c>
    </row>
    <row r="497" spans="1:11" ht="14.25" customHeight="1">
      <c r="A497" s="164"/>
      <c r="B497" s="164"/>
      <c r="C497" s="164"/>
      <c r="D497" s="164"/>
      <c r="E497" s="163" t="s">
        <v>6716</v>
      </c>
      <c r="F497" s="164"/>
      <c r="G497" s="166"/>
      <c r="H497" s="167"/>
      <c r="I497" s="168"/>
      <c r="J497" s="167"/>
      <c r="K497" s="157" t="s">
        <v>6717</v>
      </c>
    </row>
    <row r="498" spans="1:11" ht="14.25" customHeight="1">
      <c r="A498" s="164"/>
      <c r="B498" s="164"/>
      <c r="C498" s="164"/>
      <c r="D498" s="156" t="s">
        <v>6718</v>
      </c>
      <c r="E498" s="163" t="s">
        <v>6719</v>
      </c>
      <c r="F498" s="172" t="s">
        <v>6720</v>
      </c>
      <c r="G498" s="159" t="s">
        <v>38</v>
      </c>
      <c r="H498" s="160" t="s">
        <v>6380</v>
      </c>
      <c r="I498" s="170" t="s">
        <v>33</v>
      </c>
      <c r="J498" s="162" t="s">
        <v>6721</v>
      </c>
      <c r="K498" s="157" t="s">
        <v>6722</v>
      </c>
    </row>
    <row r="499" spans="1:11" ht="14.25" customHeight="1">
      <c r="A499" s="164"/>
      <c r="B499" s="164"/>
      <c r="C499" s="164"/>
      <c r="D499" s="164"/>
      <c r="E499" s="163" t="s">
        <v>6723</v>
      </c>
      <c r="F499" s="164"/>
      <c r="G499" s="166"/>
      <c r="H499" s="167"/>
      <c r="I499" s="168"/>
      <c r="J499" s="167"/>
      <c r="K499" s="157" t="s">
        <v>6724</v>
      </c>
    </row>
    <row r="500" spans="1:11" ht="14.25" customHeight="1">
      <c r="A500" s="164"/>
      <c r="B500" s="164"/>
      <c r="C500" s="156" t="s">
        <v>6725</v>
      </c>
      <c r="D500" s="156" t="s">
        <v>6726</v>
      </c>
      <c r="E500" s="163" t="s">
        <v>6727</v>
      </c>
      <c r="F500" s="172" t="s">
        <v>6728</v>
      </c>
      <c r="G500" s="159" t="s">
        <v>38</v>
      </c>
      <c r="H500" s="160" t="s">
        <v>6729</v>
      </c>
      <c r="I500" s="169" t="s">
        <v>41</v>
      </c>
      <c r="J500" s="162" t="s">
        <v>6730</v>
      </c>
      <c r="K500" s="157" t="s">
        <v>6731</v>
      </c>
    </row>
    <row r="501" spans="1:11" ht="14.25" customHeight="1">
      <c r="A501" s="164"/>
      <c r="B501" s="164"/>
      <c r="C501" s="164"/>
      <c r="D501" s="164"/>
      <c r="E501" s="163" t="s">
        <v>6732</v>
      </c>
      <c r="F501" s="164"/>
      <c r="G501" s="166"/>
      <c r="H501" s="167"/>
      <c r="I501" s="168"/>
      <c r="J501" s="167"/>
      <c r="K501" s="157" t="s">
        <v>6733</v>
      </c>
    </row>
    <row r="502" spans="1:11" ht="14.25" customHeight="1">
      <c r="A502" s="164"/>
      <c r="B502" s="164"/>
      <c r="C502" s="164"/>
      <c r="D502" s="156" t="s">
        <v>6734</v>
      </c>
      <c r="E502" s="163" t="s">
        <v>6735</v>
      </c>
      <c r="F502" s="172" t="s">
        <v>6736</v>
      </c>
      <c r="G502" s="159" t="s">
        <v>16</v>
      </c>
      <c r="H502" s="160" t="s">
        <v>6737</v>
      </c>
      <c r="I502" s="169" t="s">
        <v>41</v>
      </c>
      <c r="J502" s="162" t="s">
        <v>6738</v>
      </c>
      <c r="K502" s="157" t="s">
        <v>6739</v>
      </c>
    </row>
    <row r="503" spans="1:11" ht="14.25" customHeight="1">
      <c r="A503" s="164"/>
      <c r="B503" s="164"/>
      <c r="C503" s="164"/>
      <c r="D503" s="164"/>
      <c r="E503" s="163" t="s">
        <v>6740</v>
      </c>
      <c r="F503" s="164"/>
      <c r="G503" s="166"/>
      <c r="H503" s="167"/>
      <c r="I503" s="168"/>
      <c r="J503" s="167"/>
      <c r="K503" s="157" t="s">
        <v>6741</v>
      </c>
    </row>
    <row r="504" spans="1:11" ht="14.25" customHeight="1">
      <c r="A504" s="164"/>
      <c r="B504" s="164"/>
      <c r="C504" s="164"/>
      <c r="D504" s="156" t="s">
        <v>6742</v>
      </c>
      <c r="E504" s="163" t="s">
        <v>6743</v>
      </c>
      <c r="F504" s="172" t="s">
        <v>6744</v>
      </c>
      <c r="G504" s="159" t="s">
        <v>16</v>
      </c>
      <c r="H504" s="160" t="s">
        <v>6745</v>
      </c>
      <c r="I504" s="170" t="s">
        <v>33</v>
      </c>
      <c r="J504" s="162" t="s">
        <v>6746</v>
      </c>
      <c r="K504" s="157" t="s">
        <v>6747</v>
      </c>
    </row>
    <row r="505" spans="1:11" ht="14.25" customHeight="1">
      <c r="A505" s="164"/>
      <c r="B505" s="164"/>
      <c r="C505" s="164"/>
      <c r="D505" s="164"/>
      <c r="E505" s="163" t="s">
        <v>6748</v>
      </c>
      <c r="F505" s="164"/>
      <c r="G505" s="166"/>
      <c r="H505" s="167"/>
      <c r="I505" s="168"/>
      <c r="J505" s="167"/>
      <c r="K505" s="157" t="s">
        <v>6749</v>
      </c>
    </row>
    <row r="506" spans="1:11" ht="14.25" customHeight="1">
      <c r="A506" s="164"/>
      <c r="B506" s="164"/>
      <c r="C506" s="164"/>
      <c r="D506" s="156" t="s">
        <v>6750</v>
      </c>
      <c r="E506" s="163" t="s">
        <v>6751</v>
      </c>
      <c r="F506" s="172" t="s">
        <v>6752</v>
      </c>
      <c r="G506" s="159" t="s">
        <v>16</v>
      </c>
      <c r="H506" s="160" t="s">
        <v>6753</v>
      </c>
      <c r="I506" s="161" t="s">
        <v>19</v>
      </c>
      <c r="J506" s="162" t="s">
        <v>6754</v>
      </c>
      <c r="K506" s="157" t="s">
        <v>6755</v>
      </c>
    </row>
    <row r="507" spans="1:11" ht="14.25" customHeight="1">
      <c r="A507" s="164"/>
      <c r="B507" s="164"/>
      <c r="C507" s="164"/>
      <c r="D507" s="164"/>
      <c r="E507" s="163" t="s">
        <v>6756</v>
      </c>
      <c r="F507" s="164"/>
      <c r="G507" s="166"/>
      <c r="H507" s="167"/>
      <c r="I507" s="168"/>
      <c r="J507" s="167"/>
      <c r="K507" s="157" t="s">
        <v>6757</v>
      </c>
    </row>
    <row r="508" spans="1:11" ht="14.25" customHeight="1">
      <c r="A508" s="164"/>
      <c r="B508" s="164"/>
      <c r="C508" s="164"/>
      <c r="D508" s="156" t="s">
        <v>6758</v>
      </c>
      <c r="E508" s="163" t="s">
        <v>6759</v>
      </c>
      <c r="F508" s="172" t="s">
        <v>6760</v>
      </c>
      <c r="G508" s="159" t="s">
        <v>38</v>
      </c>
      <c r="H508" s="160" t="s">
        <v>6761</v>
      </c>
      <c r="I508" s="170" t="s">
        <v>33</v>
      </c>
      <c r="J508" s="162" t="s">
        <v>6762</v>
      </c>
      <c r="K508" s="157" t="s">
        <v>6763</v>
      </c>
    </row>
    <row r="509" spans="1:11" ht="14.25" customHeight="1">
      <c r="A509" s="164"/>
      <c r="B509" s="164"/>
      <c r="C509" s="164"/>
      <c r="D509" s="164"/>
      <c r="E509" s="163" t="s">
        <v>6764</v>
      </c>
      <c r="F509" s="164"/>
      <c r="G509" s="166"/>
      <c r="H509" s="167"/>
      <c r="I509" s="168"/>
      <c r="J509" s="167"/>
      <c r="K509" s="157" t="s">
        <v>6765</v>
      </c>
    </row>
    <row r="510" spans="1:11" ht="14.25" customHeight="1">
      <c r="A510" s="164"/>
      <c r="B510" s="164"/>
      <c r="C510" s="156" t="s">
        <v>6766</v>
      </c>
      <c r="D510" s="156" t="s">
        <v>6767</v>
      </c>
      <c r="E510" s="163" t="s">
        <v>6768</v>
      </c>
      <c r="F510" s="172" t="s">
        <v>6769</v>
      </c>
      <c r="G510" s="159" t="s">
        <v>200</v>
      </c>
      <c r="H510" s="160" t="s">
        <v>6713</v>
      </c>
      <c r="I510" s="169" t="s">
        <v>41</v>
      </c>
      <c r="J510" s="162" t="s">
        <v>6770</v>
      </c>
      <c r="K510" s="157" t="s">
        <v>6771</v>
      </c>
    </row>
    <row r="511" spans="1:11" ht="14.25" customHeight="1">
      <c r="A511" s="164"/>
      <c r="B511" s="164"/>
      <c r="C511" s="164"/>
      <c r="D511" s="164"/>
      <c r="E511" s="163" t="s">
        <v>6772</v>
      </c>
      <c r="F511" s="164"/>
      <c r="G511" s="166"/>
      <c r="H511" s="167"/>
      <c r="I511" s="168"/>
      <c r="J511" s="167"/>
      <c r="K511" s="157" t="s">
        <v>6773</v>
      </c>
    </row>
    <row r="512" spans="1:11" ht="14.25" customHeight="1">
      <c r="A512" s="164"/>
      <c r="B512" s="164"/>
      <c r="C512" s="164"/>
      <c r="D512" s="156" t="s">
        <v>6774</v>
      </c>
      <c r="E512" s="163" t="s">
        <v>6775</v>
      </c>
      <c r="F512" s="172" t="s">
        <v>6776</v>
      </c>
      <c r="G512" s="159" t="s">
        <v>38</v>
      </c>
      <c r="H512" s="160" t="s">
        <v>6777</v>
      </c>
      <c r="I512" s="169" t="s">
        <v>41</v>
      </c>
      <c r="J512" s="162" t="s">
        <v>6778</v>
      </c>
      <c r="K512" s="157" t="s">
        <v>6779</v>
      </c>
    </row>
    <row r="513" spans="1:11" ht="14.25" customHeight="1">
      <c r="A513" s="164"/>
      <c r="B513" s="164"/>
      <c r="C513" s="164"/>
      <c r="D513" s="164"/>
      <c r="E513" s="163" t="s">
        <v>6780</v>
      </c>
      <c r="F513" s="164"/>
      <c r="G513" s="166"/>
      <c r="H513" s="167"/>
      <c r="I513" s="168"/>
      <c r="J513" s="167"/>
      <c r="K513" s="157" t="s">
        <v>6781</v>
      </c>
    </row>
    <row r="514" spans="1:11" ht="14.25" customHeight="1">
      <c r="A514" s="164"/>
      <c r="B514" s="164"/>
      <c r="C514" s="164"/>
      <c r="D514" s="156" t="s">
        <v>6782</v>
      </c>
      <c r="E514" s="163" t="s">
        <v>6783</v>
      </c>
      <c r="F514" s="172" t="s">
        <v>6784</v>
      </c>
      <c r="G514" s="159" t="s">
        <v>38</v>
      </c>
      <c r="H514" s="160" t="s">
        <v>6785</v>
      </c>
      <c r="I514" s="170" t="s">
        <v>33</v>
      </c>
      <c r="J514" s="162" t="s">
        <v>6786</v>
      </c>
      <c r="K514" s="157" t="s">
        <v>6787</v>
      </c>
    </row>
    <row r="515" spans="1:11" ht="14.25" customHeight="1">
      <c r="A515" s="164"/>
      <c r="B515" s="164"/>
      <c r="C515" s="164"/>
      <c r="D515" s="164"/>
      <c r="E515" s="163" t="s">
        <v>6788</v>
      </c>
      <c r="F515" s="164"/>
      <c r="G515" s="166"/>
      <c r="H515" s="167"/>
      <c r="I515" s="168"/>
      <c r="J515" s="167"/>
      <c r="K515" s="157" t="s">
        <v>6789</v>
      </c>
    </row>
    <row r="516" spans="1:11" ht="14.25" customHeight="1">
      <c r="A516" s="164"/>
      <c r="B516" s="164"/>
      <c r="C516" s="164"/>
      <c r="D516" s="156" t="s">
        <v>6790</v>
      </c>
      <c r="E516" s="163" t="s">
        <v>6791</v>
      </c>
      <c r="F516" s="172" t="s">
        <v>6792</v>
      </c>
      <c r="G516" s="159" t="s">
        <v>16</v>
      </c>
      <c r="H516" s="160" t="s">
        <v>6793</v>
      </c>
      <c r="I516" s="161" t="s">
        <v>19</v>
      </c>
      <c r="J516" s="162" t="s">
        <v>6794</v>
      </c>
      <c r="K516" s="157" t="s">
        <v>6795</v>
      </c>
    </row>
    <row r="517" spans="1:11" ht="14.25" customHeight="1">
      <c r="A517" s="164"/>
      <c r="B517" s="164"/>
      <c r="C517" s="164"/>
      <c r="D517" s="164"/>
      <c r="E517" s="163" t="s">
        <v>6796</v>
      </c>
      <c r="F517" s="164"/>
      <c r="G517" s="166"/>
      <c r="H517" s="167"/>
      <c r="I517" s="168"/>
      <c r="J517" s="167"/>
      <c r="K517" s="157" t="s">
        <v>6797</v>
      </c>
    </row>
    <row r="518" spans="1:11" ht="14.25" customHeight="1">
      <c r="A518" s="164"/>
      <c r="B518" s="164"/>
      <c r="C518" s="164"/>
      <c r="D518" s="156" t="s">
        <v>6798</v>
      </c>
      <c r="E518" s="163" t="s">
        <v>6798</v>
      </c>
      <c r="F518" s="172" t="s">
        <v>6799</v>
      </c>
      <c r="G518" s="159" t="s">
        <v>16</v>
      </c>
      <c r="H518" s="160" t="s">
        <v>6800</v>
      </c>
      <c r="I518" s="170" t="s">
        <v>33</v>
      </c>
      <c r="J518" s="162" t="s">
        <v>6801</v>
      </c>
      <c r="K518" s="157" t="s">
        <v>6802</v>
      </c>
    </row>
    <row r="519" spans="1:11" ht="14.25" customHeight="1">
      <c r="A519" s="164"/>
      <c r="B519" s="164"/>
      <c r="C519" s="164"/>
      <c r="D519" s="164"/>
      <c r="E519" s="163" t="s">
        <v>6803</v>
      </c>
      <c r="F519" s="164"/>
      <c r="G519" s="166"/>
      <c r="H519" s="167"/>
      <c r="I519" s="168"/>
      <c r="J519" s="167"/>
      <c r="K519" s="157" t="s">
        <v>6804</v>
      </c>
    </row>
    <row r="520" spans="1:11" ht="14.25" customHeight="1">
      <c r="A520" s="164"/>
      <c r="B520" s="164"/>
      <c r="C520" s="156" t="s">
        <v>6805</v>
      </c>
      <c r="D520" s="156" t="s">
        <v>6806</v>
      </c>
      <c r="E520" s="163" t="s">
        <v>6806</v>
      </c>
      <c r="F520" s="172" t="s">
        <v>6807</v>
      </c>
      <c r="G520" s="159" t="s">
        <v>16</v>
      </c>
      <c r="H520" s="160" t="s">
        <v>6808</v>
      </c>
      <c r="I520" s="169" t="s">
        <v>41</v>
      </c>
      <c r="J520" s="162" t="s">
        <v>6809</v>
      </c>
      <c r="K520" s="157" t="s">
        <v>6810</v>
      </c>
    </row>
    <row r="521" spans="1:11" ht="14.25" customHeight="1">
      <c r="A521" s="164"/>
      <c r="B521" s="164"/>
      <c r="C521" s="164"/>
      <c r="D521" s="164"/>
      <c r="E521" s="163" t="s">
        <v>6811</v>
      </c>
      <c r="F521" s="164"/>
      <c r="G521" s="166"/>
      <c r="H521" s="167"/>
      <c r="I521" s="168"/>
      <c r="J521" s="167"/>
      <c r="K521" s="157" t="s">
        <v>6812</v>
      </c>
    </row>
    <row r="522" spans="1:11" ht="14.25" customHeight="1">
      <c r="A522" s="164"/>
      <c r="B522" s="164"/>
      <c r="C522" s="164"/>
      <c r="D522" s="156" t="s">
        <v>6813</v>
      </c>
      <c r="E522" s="163" t="s">
        <v>6814</v>
      </c>
      <c r="F522" s="172" t="s">
        <v>6815</v>
      </c>
      <c r="G522" s="159" t="s">
        <v>38</v>
      </c>
      <c r="H522" s="160" t="s">
        <v>6816</v>
      </c>
      <c r="I522" s="169" t="s">
        <v>41</v>
      </c>
      <c r="J522" s="162" t="s">
        <v>6817</v>
      </c>
      <c r="K522" s="157" t="s">
        <v>6818</v>
      </c>
    </row>
    <row r="523" spans="1:11" ht="14.25" customHeight="1">
      <c r="A523" s="164"/>
      <c r="B523" s="164"/>
      <c r="C523" s="164"/>
      <c r="D523" s="164"/>
      <c r="E523" s="163" t="s">
        <v>6819</v>
      </c>
      <c r="F523" s="164"/>
      <c r="G523" s="166"/>
      <c r="H523" s="167"/>
      <c r="I523" s="168"/>
      <c r="J523" s="167"/>
      <c r="K523" s="157" t="s">
        <v>6820</v>
      </c>
    </row>
    <row r="524" spans="1:11" ht="14.25" customHeight="1">
      <c r="A524" s="164"/>
      <c r="B524" s="164"/>
      <c r="C524" s="164"/>
      <c r="D524" s="156" t="s">
        <v>6821</v>
      </c>
      <c r="E524" s="163" t="s">
        <v>6822</v>
      </c>
      <c r="F524" s="172" t="s">
        <v>6823</v>
      </c>
      <c r="G524" s="159" t="s">
        <v>200</v>
      </c>
      <c r="H524" s="160" t="s">
        <v>6824</v>
      </c>
      <c r="I524" s="170" t="s">
        <v>33</v>
      </c>
      <c r="J524" s="162" t="s">
        <v>6825</v>
      </c>
      <c r="K524" s="157" t="s">
        <v>6826</v>
      </c>
    </row>
    <row r="525" spans="1:11" ht="14.25" customHeight="1">
      <c r="A525" s="164"/>
      <c r="B525" s="164"/>
      <c r="C525" s="164"/>
      <c r="D525" s="164"/>
      <c r="E525" s="163" t="s">
        <v>6609</v>
      </c>
      <c r="F525" s="164"/>
      <c r="G525" s="166"/>
      <c r="H525" s="167"/>
      <c r="I525" s="168"/>
      <c r="J525" s="167"/>
      <c r="K525" s="157" t="s">
        <v>6827</v>
      </c>
    </row>
    <row r="526" spans="1:11" ht="14.25" customHeight="1">
      <c r="A526" s="164"/>
      <c r="B526" s="164"/>
      <c r="C526" s="164"/>
      <c r="D526" s="156" t="s">
        <v>6828</v>
      </c>
      <c r="E526" s="163" t="s">
        <v>6829</v>
      </c>
      <c r="F526" s="172" t="s">
        <v>6830</v>
      </c>
      <c r="G526" s="159" t="s">
        <v>38</v>
      </c>
      <c r="H526" s="160" t="s">
        <v>6831</v>
      </c>
      <c r="I526" s="161" t="s">
        <v>19</v>
      </c>
      <c r="J526" s="162" t="s">
        <v>6832</v>
      </c>
      <c r="K526" s="157" t="s">
        <v>6833</v>
      </c>
    </row>
    <row r="527" spans="1:11" ht="14.25" customHeight="1">
      <c r="A527" s="164"/>
      <c r="B527" s="164"/>
      <c r="C527" s="164"/>
      <c r="D527" s="164"/>
      <c r="E527" s="163" t="s">
        <v>6834</v>
      </c>
      <c r="F527" s="164"/>
      <c r="G527" s="166"/>
      <c r="H527" s="167"/>
      <c r="I527" s="168"/>
      <c r="J527" s="167"/>
      <c r="K527" s="157" t="s">
        <v>6835</v>
      </c>
    </row>
    <row r="528" spans="1:11" ht="14.25" customHeight="1">
      <c r="A528" s="164"/>
      <c r="B528" s="164"/>
      <c r="C528" s="164"/>
      <c r="D528" s="156" t="s">
        <v>6836</v>
      </c>
      <c r="E528" s="163" t="s">
        <v>6837</v>
      </c>
      <c r="F528" s="172" t="s">
        <v>6838</v>
      </c>
      <c r="G528" s="159" t="s">
        <v>38</v>
      </c>
      <c r="H528" s="160" t="s">
        <v>6839</v>
      </c>
      <c r="I528" s="170" t="s">
        <v>33</v>
      </c>
      <c r="J528" s="162" t="s">
        <v>6840</v>
      </c>
      <c r="K528" s="157" t="s">
        <v>6841</v>
      </c>
    </row>
    <row r="529" spans="1:11" ht="14.25" customHeight="1">
      <c r="A529" s="164"/>
      <c r="B529" s="164"/>
      <c r="C529" s="164"/>
      <c r="D529" s="164"/>
      <c r="E529" s="163" t="s">
        <v>6842</v>
      </c>
      <c r="F529" s="164"/>
      <c r="G529" s="166"/>
      <c r="H529" s="167"/>
      <c r="I529" s="168"/>
      <c r="J529" s="167"/>
      <c r="K529" s="157" t="s">
        <v>6843</v>
      </c>
    </row>
    <row r="530" spans="1:11" ht="14.25" customHeight="1">
      <c r="A530" s="164"/>
      <c r="B530" s="164"/>
      <c r="C530" s="156" t="s">
        <v>6844</v>
      </c>
      <c r="D530" s="156" t="s">
        <v>6845</v>
      </c>
      <c r="E530" s="163" t="s">
        <v>6846</v>
      </c>
      <c r="F530" s="172" t="s">
        <v>6847</v>
      </c>
      <c r="G530" s="159" t="s">
        <v>16</v>
      </c>
      <c r="H530" s="160" t="s">
        <v>6848</v>
      </c>
      <c r="I530" s="169" t="s">
        <v>41</v>
      </c>
      <c r="J530" s="162" t="s">
        <v>6849</v>
      </c>
      <c r="K530" s="157" t="s">
        <v>6850</v>
      </c>
    </row>
    <row r="531" spans="1:11" ht="14.25" customHeight="1">
      <c r="A531" s="164"/>
      <c r="B531" s="164"/>
      <c r="C531" s="164"/>
      <c r="D531" s="164"/>
      <c r="E531" s="163" t="s">
        <v>6851</v>
      </c>
      <c r="F531" s="164"/>
      <c r="G531" s="166"/>
      <c r="H531" s="167"/>
      <c r="I531" s="168"/>
      <c r="J531" s="167"/>
      <c r="K531" s="157" t="s">
        <v>6852</v>
      </c>
    </row>
    <row r="532" spans="1:11" ht="14.25" customHeight="1">
      <c r="A532" s="164"/>
      <c r="B532" s="164"/>
      <c r="C532" s="164"/>
      <c r="D532" s="156" t="s">
        <v>6853</v>
      </c>
      <c r="E532" s="163" t="s">
        <v>6854</v>
      </c>
      <c r="F532" s="172" t="s">
        <v>6855</v>
      </c>
      <c r="G532" s="159" t="s">
        <v>16</v>
      </c>
      <c r="H532" s="160" t="s">
        <v>6856</v>
      </c>
      <c r="I532" s="169" t="s">
        <v>41</v>
      </c>
      <c r="J532" s="162" t="s">
        <v>6857</v>
      </c>
      <c r="K532" s="157" t="s">
        <v>6858</v>
      </c>
    </row>
    <row r="533" spans="1:11" ht="14.25" customHeight="1">
      <c r="A533" s="164"/>
      <c r="B533" s="164"/>
      <c r="C533" s="164"/>
      <c r="D533" s="164"/>
      <c r="E533" s="163" t="s">
        <v>6859</v>
      </c>
      <c r="F533" s="164"/>
      <c r="G533" s="166"/>
      <c r="H533" s="167"/>
      <c r="I533" s="168"/>
      <c r="J533" s="167"/>
      <c r="K533" s="157" t="s">
        <v>6860</v>
      </c>
    </row>
    <row r="534" spans="1:11" ht="14.25" customHeight="1">
      <c r="A534" s="164"/>
      <c r="B534" s="164"/>
      <c r="C534" s="164"/>
      <c r="D534" s="156" t="s">
        <v>6861</v>
      </c>
      <c r="E534" s="163" t="s">
        <v>6862</v>
      </c>
      <c r="F534" s="172" t="s">
        <v>6863</v>
      </c>
      <c r="G534" s="159" t="s">
        <v>16</v>
      </c>
      <c r="H534" s="160" t="s">
        <v>6864</v>
      </c>
      <c r="I534" s="170" t="s">
        <v>33</v>
      </c>
      <c r="J534" s="162" t="s">
        <v>6865</v>
      </c>
      <c r="K534" s="157" t="s">
        <v>6866</v>
      </c>
    </row>
    <row r="535" spans="1:11" ht="14.25" customHeight="1">
      <c r="A535" s="164"/>
      <c r="B535" s="164"/>
      <c r="C535" s="164"/>
      <c r="D535" s="164"/>
      <c r="E535" s="163" t="s">
        <v>6867</v>
      </c>
      <c r="F535" s="164"/>
      <c r="G535" s="166"/>
      <c r="H535" s="167"/>
      <c r="I535" s="168"/>
      <c r="J535" s="167"/>
      <c r="K535" s="157" t="s">
        <v>6276</v>
      </c>
    </row>
    <row r="536" spans="1:11" ht="14.25" customHeight="1">
      <c r="A536" s="164"/>
      <c r="B536" s="164"/>
      <c r="C536" s="164"/>
      <c r="D536" s="156" t="s">
        <v>6868</v>
      </c>
      <c r="E536" s="163" t="s">
        <v>6869</v>
      </c>
      <c r="F536" s="172" t="s">
        <v>6870</v>
      </c>
      <c r="G536" s="159" t="s">
        <v>38</v>
      </c>
      <c r="H536" s="160" t="s">
        <v>6871</v>
      </c>
      <c r="I536" s="161" t="s">
        <v>19</v>
      </c>
      <c r="J536" s="162" t="s">
        <v>6872</v>
      </c>
      <c r="K536" s="157" t="s">
        <v>6873</v>
      </c>
    </row>
    <row r="537" spans="1:11" ht="14.25" customHeight="1">
      <c r="A537" s="164"/>
      <c r="B537" s="164"/>
      <c r="C537" s="164"/>
      <c r="D537" s="164"/>
      <c r="E537" s="163" t="s">
        <v>6874</v>
      </c>
      <c r="F537" s="164"/>
      <c r="G537" s="166"/>
      <c r="H537" s="167"/>
      <c r="I537" s="168"/>
      <c r="J537" s="167"/>
      <c r="K537" s="157" t="s">
        <v>6875</v>
      </c>
    </row>
    <row r="538" spans="1:11" ht="14.25" customHeight="1">
      <c r="A538" s="164"/>
      <c r="B538" s="164"/>
      <c r="C538" s="164"/>
      <c r="D538" s="156" t="s">
        <v>6876</v>
      </c>
      <c r="E538" s="163" t="s">
        <v>6877</v>
      </c>
      <c r="F538" s="172" t="s">
        <v>6878</v>
      </c>
      <c r="G538" s="159" t="s">
        <v>200</v>
      </c>
      <c r="H538" s="160" t="s">
        <v>6879</v>
      </c>
      <c r="I538" s="170" t="s">
        <v>33</v>
      </c>
      <c r="J538" s="162" t="s">
        <v>6880</v>
      </c>
      <c r="K538" s="157" t="s">
        <v>6881</v>
      </c>
    </row>
    <row r="539" spans="1:11" ht="14.25" customHeight="1">
      <c r="A539" s="164"/>
      <c r="B539" s="164"/>
      <c r="C539" s="164"/>
      <c r="D539" s="164"/>
      <c r="E539" s="163" t="s">
        <v>6882</v>
      </c>
      <c r="F539" s="164"/>
      <c r="G539" s="166"/>
      <c r="H539" s="167"/>
      <c r="I539" s="168"/>
      <c r="J539" s="167"/>
      <c r="K539" s="157" t="s">
        <v>6883</v>
      </c>
    </row>
    <row r="540" spans="1:11" ht="14.25" customHeight="1">
      <c r="A540" s="164"/>
      <c r="B540" s="164"/>
      <c r="C540" s="156" t="s">
        <v>6884</v>
      </c>
      <c r="D540" s="156" t="s">
        <v>6885</v>
      </c>
      <c r="E540" s="163" t="s">
        <v>6886</v>
      </c>
      <c r="F540" s="172" t="s">
        <v>6887</v>
      </c>
      <c r="G540" s="159" t="s">
        <v>38</v>
      </c>
      <c r="H540" s="160" t="s">
        <v>6888</v>
      </c>
      <c r="I540" s="169" t="s">
        <v>41</v>
      </c>
      <c r="J540" s="162" t="s">
        <v>6889</v>
      </c>
      <c r="K540" s="157" t="s">
        <v>6890</v>
      </c>
    </row>
    <row r="541" spans="1:11" ht="14.25" customHeight="1">
      <c r="A541" s="164"/>
      <c r="B541" s="164"/>
      <c r="C541" s="164"/>
      <c r="D541" s="164"/>
      <c r="E541" s="163" t="s">
        <v>6891</v>
      </c>
      <c r="F541" s="164"/>
      <c r="G541" s="166"/>
      <c r="H541" s="167"/>
      <c r="I541" s="168"/>
      <c r="J541" s="167"/>
      <c r="K541" s="157" t="s">
        <v>6892</v>
      </c>
    </row>
    <row r="542" spans="1:11" ht="14.25" customHeight="1">
      <c r="A542" s="164"/>
      <c r="B542" s="164"/>
      <c r="C542" s="164"/>
      <c r="D542" s="156" t="s">
        <v>6893</v>
      </c>
      <c r="E542" s="163" t="s">
        <v>6894</v>
      </c>
      <c r="F542" s="172" t="s">
        <v>6895</v>
      </c>
      <c r="G542" s="159" t="s">
        <v>38</v>
      </c>
      <c r="H542" s="160" t="s">
        <v>6896</v>
      </c>
      <c r="I542" s="169" t="s">
        <v>41</v>
      </c>
      <c r="J542" s="162" t="s">
        <v>6897</v>
      </c>
      <c r="K542" s="157" t="s">
        <v>6898</v>
      </c>
    </row>
    <row r="543" spans="1:11" ht="14.25" customHeight="1">
      <c r="A543" s="164"/>
      <c r="B543" s="164"/>
      <c r="C543" s="164"/>
      <c r="D543" s="164"/>
      <c r="E543" s="163" t="s">
        <v>6899</v>
      </c>
      <c r="F543" s="164"/>
      <c r="G543" s="166"/>
      <c r="H543" s="167"/>
      <c r="I543" s="168"/>
      <c r="J543" s="167"/>
      <c r="K543" s="157" t="s">
        <v>6826</v>
      </c>
    </row>
    <row r="544" spans="1:11" ht="14.25" customHeight="1">
      <c r="A544" s="164"/>
      <c r="B544" s="164"/>
      <c r="C544" s="164"/>
      <c r="D544" s="156" t="s">
        <v>6900</v>
      </c>
      <c r="E544" s="163" t="s">
        <v>6901</v>
      </c>
      <c r="F544" s="172" t="s">
        <v>6902</v>
      </c>
      <c r="G544" s="159" t="s">
        <v>16</v>
      </c>
      <c r="H544" s="160" t="s">
        <v>6903</v>
      </c>
      <c r="I544" s="170" t="s">
        <v>33</v>
      </c>
      <c r="J544" s="162" t="s">
        <v>6904</v>
      </c>
      <c r="K544" s="157" t="s">
        <v>6795</v>
      </c>
    </row>
    <row r="545" spans="1:11" ht="14.25" customHeight="1">
      <c r="A545" s="164"/>
      <c r="B545" s="164"/>
      <c r="C545" s="164"/>
      <c r="D545" s="164"/>
      <c r="E545" s="163" t="s">
        <v>6905</v>
      </c>
      <c r="F545" s="164"/>
      <c r="G545" s="166"/>
      <c r="H545" s="167"/>
      <c r="I545" s="168"/>
      <c r="J545" s="167"/>
      <c r="K545" s="157" t="s">
        <v>6797</v>
      </c>
    </row>
    <row r="546" spans="1:11" ht="14.25" customHeight="1">
      <c r="A546" s="164"/>
      <c r="B546" s="164"/>
      <c r="C546" s="164"/>
      <c r="D546" s="156" t="s">
        <v>6906</v>
      </c>
      <c r="E546" s="163" t="s">
        <v>6907</v>
      </c>
      <c r="F546" s="172" t="s">
        <v>6908</v>
      </c>
      <c r="G546" s="159" t="s">
        <v>16</v>
      </c>
      <c r="H546" s="160" t="s">
        <v>6909</v>
      </c>
      <c r="I546" s="161" t="s">
        <v>19</v>
      </c>
      <c r="J546" s="162" t="s">
        <v>6910</v>
      </c>
      <c r="K546" s="157" t="s">
        <v>6802</v>
      </c>
    </row>
    <row r="547" spans="1:11" ht="14.25" customHeight="1">
      <c r="A547" s="164"/>
      <c r="B547" s="164"/>
      <c r="C547" s="164"/>
      <c r="D547" s="164"/>
      <c r="E547" s="163" t="s">
        <v>6911</v>
      </c>
      <c r="F547" s="164"/>
      <c r="G547" s="166"/>
      <c r="H547" s="167"/>
      <c r="I547" s="168"/>
      <c r="J547" s="167"/>
      <c r="K547" s="157" t="s">
        <v>6804</v>
      </c>
    </row>
    <row r="548" spans="1:11" ht="14.25" customHeight="1">
      <c r="A548" s="164"/>
      <c r="B548" s="164"/>
      <c r="C548" s="164"/>
      <c r="D548" s="156" t="s">
        <v>6912</v>
      </c>
      <c r="E548" s="163" t="s">
        <v>6913</v>
      </c>
      <c r="F548" s="172" t="s">
        <v>6914</v>
      </c>
      <c r="G548" s="159" t="s">
        <v>16</v>
      </c>
      <c r="H548" s="160" t="s">
        <v>6915</v>
      </c>
      <c r="I548" s="170" t="s">
        <v>33</v>
      </c>
      <c r="J548" s="162" t="s">
        <v>6916</v>
      </c>
      <c r="K548" s="157" t="s">
        <v>6810</v>
      </c>
    </row>
    <row r="549" spans="1:11" ht="14.25" customHeight="1">
      <c r="A549" s="164"/>
      <c r="B549" s="164"/>
      <c r="C549" s="164"/>
      <c r="D549" s="164"/>
      <c r="E549" s="163" t="s">
        <v>6917</v>
      </c>
      <c r="F549" s="164"/>
      <c r="G549" s="166"/>
      <c r="H549" s="167"/>
      <c r="I549" s="168"/>
      <c r="J549" s="167"/>
      <c r="K549" s="157" t="s">
        <v>6812</v>
      </c>
    </row>
    <row r="550" spans="1:11" ht="14.25" customHeight="1">
      <c r="A550" s="164"/>
      <c r="B550" s="164"/>
      <c r="C550" s="156" t="s">
        <v>6918</v>
      </c>
      <c r="D550" s="156" t="s">
        <v>6919</v>
      </c>
      <c r="E550" s="163" t="s">
        <v>6920</v>
      </c>
      <c r="F550" s="172" t="s">
        <v>6921</v>
      </c>
      <c r="G550" s="159" t="s">
        <v>38</v>
      </c>
      <c r="H550" s="160" t="s">
        <v>6922</v>
      </c>
      <c r="I550" s="169" t="s">
        <v>41</v>
      </c>
      <c r="J550" s="162" t="s">
        <v>6923</v>
      </c>
      <c r="K550" s="157" t="s">
        <v>6818</v>
      </c>
    </row>
    <row r="551" spans="1:11" ht="14.25" customHeight="1">
      <c r="A551" s="164"/>
      <c r="B551" s="164"/>
      <c r="C551" s="164"/>
      <c r="D551" s="164"/>
      <c r="E551" s="163" t="s">
        <v>6924</v>
      </c>
      <c r="F551" s="164"/>
      <c r="G551" s="166"/>
      <c r="H551" s="167"/>
      <c r="I551" s="168"/>
      <c r="J551" s="167"/>
      <c r="K551" s="157" t="s">
        <v>6820</v>
      </c>
    </row>
    <row r="552" spans="1:11" ht="14.25" customHeight="1">
      <c r="A552" s="164"/>
      <c r="B552" s="164"/>
      <c r="C552" s="164"/>
      <c r="D552" s="156" t="s">
        <v>6925</v>
      </c>
      <c r="E552" s="163" t="s">
        <v>6926</v>
      </c>
      <c r="F552" s="172" t="s">
        <v>6927</v>
      </c>
      <c r="G552" s="159" t="s">
        <v>200</v>
      </c>
      <c r="H552" s="160" t="s">
        <v>6928</v>
      </c>
      <c r="I552" s="169" t="s">
        <v>41</v>
      </c>
      <c r="J552" s="162" t="s">
        <v>6929</v>
      </c>
      <c r="K552" s="157" t="s">
        <v>6826</v>
      </c>
    </row>
    <row r="553" spans="1:11" ht="14.25" customHeight="1">
      <c r="A553" s="164"/>
      <c r="B553" s="164"/>
      <c r="C553" s="164"/>
      <c r="D553" s="164"/>
      <c r="E553" s="163" t="s">
        <v>6269</v>
      </c>
      <c r="F553" s="164"/>
      <c r="G553" s="166"/>
      <c r="H553" s="167"/>
      <c r="I553" s="168"/>
      <c r="J553" s="167"/>
      <c r="K553" s="157" t="s">
        <v>6827</v>
      </c>
    </row>
    <row r="554" spans="1:11" ht="14.25" customHeight="1">
      <c r="A554" s="164"/>
      <c r="B554" s="164"/>
      <c r="C554" s="164"/>
      <c r="D554" s="156" t="s">
        <v>6930</v>
      </c>
      <c r="E554" s="163" t="s">
        <v>6931</v>
      </c>
      <c r="F554" s="172" t="s">
        <v>6932</v>
      </c>
      <c r="G554" s="159" t="s">
        <v>38</v>
      </c>
      <c r="H554" s="160" t="s">
        <v>6933</v>
      </c>
      <c r="I554" s="170" t="s">
        <v>33</v>
      </c>
      <c r="J554" s="162" t="s">
        <v>6934</v>
      </c>
      <c r="K554" s="157" t="s">
        <v>6833</v>
      </c>
    </row>
    <row r="555" spans="1:11" ht="14.25" customHeight="1">
      <c r="A555" s="164"/>
      <c r="B555" s="164"/>
      <c r="C555" s="164"/>
      <c r="D555" s="164"/>
      <c r="E555" s="163" t="s">
        <v>6935</v>
      </c>
      <c r="F555" s="164"/>
      <c r="G555" s="166"/>
      <c r="H555" s="167"/>
      <c r="I555" s="168"/>
      <c r="J555" s="167"/>
      <c r="K555" s="157" t="s">
        <v>6835</v>
      </c>
    </row>
    <row r="556" spans="1:11" ht="14.25" customHeight="1">
      <c r="A556" s="164"/>
      <c r="B556" s="164"/>
      <c r="C556" s="164"/>
      <c r="D556" s="156" t="s">
        <v>6936</v>
      </c>
      <c r="E556" s="163" t="s">
        <v>6901</v>
      </c>
      <c r="F556" s="172" t="s">
        <v>6937</v>
      </c>
      <c r="G556" s="159" t="s">
        <v>38</v>
      </c>
      <c r="H556" s="160" t="s">
        <v>6938</v>
      </c>
      <c r="I556" s="161" t="s">
        <v>19</v>
      </c>
      <c r="J556" s="162" t="s">
        <v>6939</v>
      </c>
      <c r="K556" s="157" t="s">
        <v>6841</v>
      </c>
    </row>
    <row r="557" spans="1:11" ht="14.25" customHeight="1">
      <c r="A557" s="164"/>
      <c r="B557" s="164"/>
      <c r="C557" s="164"/>
      <c r="D557" s="164"/>
      <c r="E557" s="163" t="s">
        <v>6940</v>
      </c>
      <c r="F557" s="164"/>
      <c r="G557" s="166"/>
      <c r="H557" s="167"/>
      <c r="I557" s="168"/>
      <c r="J557" s="167"/>
      <c r="K557" s="157" t="s">
        <v>6843</v>
      </c>
    </row>
    <row r="558" spans="1:11" ht="14.25" customHeight="1">
      <c r="A558" s="164"/>
      <c r="B558" s="164"/>
      <c r="C558" s="164"/>
      <c r="D558" s="156" t="s">
        <v>6941</v>
      </c>
      <c r="E558" s="163" t="s">
        <v>6905</v>
      </c>
      <c r="F558" s="172" t="s">
        <v>6942</v>
      </c>
      <c r="G558" s="159" t="s">
        <v>16</v>
      </c>
      <c r="H558" s="160" t="s">
        <v>6943</v>
      </c>
      <c r="I558" s="170" t="s">
        <v>33</v>
      </c>
      <c r="J558" s="162" t="s">
        <v>6944</v>
      </c>
      <c r="K558" s="157" t="s">
        <v>6850</v>
      </c>
    </row>
    <row r="559" spans="1:11" ht="14.25" customHeight="1">
      <c r="A559" s="164"/>
      <c r="B559" s="164"/>
      <c r="C559" s="164"/>
      <c r="D559" s="164"/>
      <c r="E559" s="163" t="s">
        <v>6945</v>
      </c>
      <c r="F559" s="164"/>
      <c r="G559" s="166"/>
      <c r="H559" s="167"/>
      <c r="I559" s="168"/>
      <c r="J559" s="167"/>
      <c r="K559" s="157" t="s">
        <v>6852</v>
      </c>
    </row>
    <row r="560" spans="1:11" ht="14.25" customHeight="1">
      <c r="A560" s="164"/>
      <c r="B560" s="164"/>
      <c r="C560" s="156" t="s">
        <v>6946</v>
      </c>
      <c r="D560" s="156" t="s">
        <v>6947</v>
      </c>
      <c r="E560" s="163" t="s">
        <v>6907</v>
      </c>
      <c r="F560" s="172" t="s">
        <v>6948</v>
      </c>
      <c r="G560" s="159" t="s">
        <v>16</v>
      </c>
      <c r="H560" s="160" t="s">
        <v>6949</v>
      </c>
      <c r="I560" s="169" t="s">
        <v>41</v>
      </c>
      <c r="J560" s="162" t="s">
        <v>6950</v>
      </c>
      <c r="K560" s="157" t="s">
        <v>6858</v>
      </c>
    </row>
    <row r="561" spans="1:11" ht="14.25" customHeight="1">
      <c r="A561" s="164"/>
      <c r="B561" s="164"/>
      <c r="C561" s="164"/>
      <c r="D561" s="164"/>
      <c r="E561" s="163" t="s">
        <v>6951</v>
      </c>
      <c r="F561" s="164"/>
      <c r="G561" s="166"/>
      <c r="H561" s="167"/>
      <c r="I561" s="168"/>
      <c r="J561" s="167"/>
      <c r="K561" s="157" t="s">
        <v>6860</v>
      </c>
    </row>
    <row r="562" spans="1:11" ht="14.25" customHeight="1">
      <c r="A562" s="164"/>
      <c r="B562" s="164"/>
      <c r="C562" s="164"/>
      <c r="D562" s="156" t="s">
        <v>6952</v>
      </c>
      <c r="E562" s="163" t="s">
        <v>6911</v>
      </c>
      <c r="F562" s="172" t="s">
        <v>6953</v>
      </c>
      <c r="G562" s="159" t="s">
        <v>16</v>
      </c>
      <c r="H562" s="160" t="s">
        <v>6954</v>
      </c>
      <c r="I562" s="169" t="s">
        <v>41</v>
      </c>
      <c r="J562" s="162" t="s">
        <v>6396</v>
      </c>
      <c r="K562" s="157" t="s">
        <v>6866</v>
      </c>
    </row>
    <row r="563" spans="1:11" ht="14.25" customHeight="1">
      <c r="A563" s="164"/>
      <c r="B563" s="164"/>
      <c r="C563" s="164"/>
      <c r="D563" s="164"/>
      <c r="E563" s="163" t="s">
        <v>6955</v>
      </c>
      <c r="F563" s="164"/>
      <c r="G563" s="166"/>
      <c r="H563" s="167"/>
      <c r="I563" s="168"/>
      <c r="J563" s="167"/>
      <c r="K563" s="157" t="s">
        <v>6276</v>
      </c>
    </row>
    <row r="564" spans="1:11" ht="14.25" customHeight="1">
      <c r="A564" s="164"/>
      <c r="B564" s="164"/>
      <c r="C564" s="164"/>
      <c r="D564" s="156" t="s">
        <v>6956</v>
      </c>
      <c r="E564" s="163" t="s">
        <v>6913</v>
      </c>
      <c r="F564" s="172" t="s">
        <v>6957</v>
      </c>
      <c r="G564" s="159" t="s">
        <v>38</v>
      </c>
      <c r="H564" s="160" t="s">
        <v>6958</v>
      </c>
      <c r="I564" s="170" t="s">
        <v>33</v>
      </c>
      <c r="J564" s="162" t="s">
        <v>6959</v>
      </c>
      <c r="K564" s="157" t="s">
        <v>6873</v>
      </c>
    </row>
    <row r="565" spans="1:11" ht="14.25" customHeight="1">
      <c r="A565" s="164"/>
      <c r="B565" s="164"/>
      <c r="C565" s="164"/>
      <c r="D565" s="164"/>
      <c r="E565" s="163" t="s">
        <v>6960</v>
      </c>
      <c r="F565" s="164"/>
      <c r="G565" s="166"/>
      <c r="H565" s="167"/>
      <c r="I565" s="168"/>
      <c r="J565" s="167"/>
      <c r="K565" s="157" t="s">
        <v>6875</v>
      </c>
    </row>
    <row r="566" spans="1:11" ht="14.25" customHeight="1">
      <c r="A566" s="164"/>
      <c r="B566" s="164"/>
      <c r="C566" s="164"/>
      <c r="D566" s="156" t="s">
        <v>6961</v>
      </c>
      <c r="E566" s="163" t="s">
        <v>6917</v>
      </c>
      <c r="F566" s="172" t="s">
        <v>6962</v>
      </c>
      <c r="G566" s="159" t="s">
        <v>200</v>
      </c>
      <c r="H566" s="160" t="s">
        <v>6963</v>
      </c>
      <c r="I566" s="161" t="s">
        <v>19</v>
      </c>
      <c r="J566" s="162" t="s">
        <v>6964</v>
      </c>
      <c r="K566" s="157" t="s">
        <v>6881</v>
      </c>
    </row>
    <row r="567" spans="1:11" ht="14.25" customHeight="1">
      <c r="A567" s="164"/>
      <c r="B567" s="164"/>
      <c r="C567" s="164"/>
      <c r="D567" s="164"/>
      <c r="E567" s="163" t="s">
        <v>6965</v>
      </c>
      <c r="F567" s="164"/>
      <c r="G567" s="166"/>
      <c r="H567" s="167"/>
      <c r="I567" s="168"/>
      <c r="J567" s="167"/>
      <c r="K567" s="157" t="s">
        <v>6883</v>
      </c>
    </row>
    <row r="568" spans="1:11" ht="14.25" customHeight="1">
      <c r="A568" s="164"/>
      <c r="B568" s="164"/>
      <c r="C568" s="164"/>
      <c r="D568" s="156" t="s">
        <v>6966</v>
      </c>
      <c r="E568" s="163" t="s">
        <v>6920</v>
      </c>
      <c r="F568" s="172" t="s">
        <v>6967</v>
      </c>
      <c r="G568" s="159" t="s">
        <v>38</v>
      </c>
      <c r="H568" s="160" t="s">
        <v>6968</v>
      </c>
      <c r="I568" s="170" t="s">
        <v>33</v>
      </c>
      <c r="J568" s="162" t="s">
        <v>6969</v>
      </c>
      <c r="K568" s="157" t="s">
        <v>6970</v>
      </c>
    </row>
    <row r="569" spans="1:11" ht="14.25" customHeight="1">
      <c r="A569" s="164"/>
      <c r="B569" s="164"/>
      <c r="C569" s="164"/>
      <c r="D569" s="164"/>
      <c r="E569" s="163" t="s">
        <v>6971</v>
      </c>
      <c r="F569" s="164"/>
      <c r="G569" s="166"/>
      <c r="H569" s="167"/>
      <c r="I569" s="168"/>
      <c r="J569" s="167"/>
      <c r="K569" s="157" t="s">
        <v>6972</v>
      </c>
    </row>
    <row r="570" spans="1:11" ht="14.25" customHeight="1">
      <c r="A570" s="164"/>
      <c r="B570" s="164"/>
      <c r="C570" s="156" t="s">
        <v>6973</v>
      </c>
      <c r="D570" s="156" t="s">
        <v>6974</v>
      </c>
      <c r="E570" s="163" t="s">
        <v>6924</v>
      </c>
      <c r="F570" s="172" t="s">
        <v>6975</v>
      </c>
      <c r="G570" s="159" t="s">
        <v>38</v>
      </c>
      <c r="H570" s="160" t="s">
        <v>6525</v>
      </c>
      <c r="I570" s="169" t="s">
        <v>41</v>
      </c>
      <c r="J570" s="162" t="s">
        <v>6976</v>
      </c>
      <c r="K570" s="157" t="s">
        <v>6977</v>
      </c>
    </row>
    <row r="571" spans="1:11" ht="14.25" customHeight="1">
      <c r="A571" s="164"/>
      <c r="B571" s="164"/>
      <c r="C571" s="164"/>
      <c r="D571" s="164"/>
      <c r="E571" s="163" t="s">
        <v>6978</v>
      </c>
      <c r="F571" s="164"/>
      <c r="G571" s="166"/>
      <c r="H571" s="167"/>
      <c r="I571" s="168"/>
      <c r="J571" s="167"/>
      <c r="K571" s="157" t="s">
        <v>6979</v>
      </c>
    </row>
    <row r="572" spans="1:11" ht="14.25" customHeight="1">
      <c r="A572" s="164"/>
      <c r="B572" s="164"/>
      <c r="C572" s="164"/>
      <c r="D572" s="156" t="s">
        <v>6980</v>
      </c>
      <c r="E572" s="163" t="s">
        <v>6926</v>
      </c>
      <c r="F572" s="172" t="s">
        <v>6981</v>
      </c>
      <c r="G572" s="159" t="s">
        <v>16</v>
      </c>
      <c r="H572" s="160" t="s">
        <v>6982</v>
      </c>
      <c r="I572" s="169" t="s">
        <v>41</v>
      </c>
      <c r="J572" s="162" t="s">
        <v>6983</v>
      </c>
      <c r="K572" s="157" t="s">
        <v>6984</v>
      </c>
    </row>
    <row r="573" spans="1:11" ht="14.25" customHeight="1">
      <c r="A573" s="164"/>
      <c r="B573" s="164"/>
      <c r="C573" s="164"/>
      <c r="D573" s="164"/>
      <c r="E573" s="163" t="s">
        <v>6985</v>
      </c>
      <c r="F573" s="164"/>
      <c r="G573" s="166"/>
      <c r="H573" s="167"/>
      <c r="I573" s="168"/>
      <c r="J573" s="167"/>
      <c r="K573" s="157" t="s">
        <v>6986</v>
      </c>
    </row>
    <row r="574" spans="1:11" ht="14.25" customHeight="1">
      <c r="A574" s="164"/>
      <c r="B574" s="164"/>
      <c r="C574" s="164"/>
      <c r="D574" s="156" t="s">
        <v>6987</v>
      </c>
      <c r="E574" s="163" t="s">
        <v>6269</v>
      </c>
      <c r="F574" s="172" t="s">
        <v>6988</v>
      </c>
      <c r="G574" s="159" t="s">
        <v>16</v>
      </c>
      <c r="H574" s="160" t="s">
        <v>6989</v>
      </c>
      <c r="I574" s="170" t="s">
        <v>33</v>
      </c>
      <c r="J574" s="162" t="s">
        <v>6990</v>
      </c>
      <c r="K574" s="157" t="s">
        <v>6991</v>
      </c>
    </row>
    <row r="575" spans="1:11" ht="14.25" customHeight="1">
      <c r="A575" s="164"/>
      <c r="B575" s="164"/>
      <c r="C575" s="164"/>
      <c r="D575" s="164"/>
      <c r="E575" s="163" t="s">
        <v>5336</v>
      </c>
      <c r="F575" s="164"/>
      <c r="G575" s="166"/>
      <c r="H575" s="167"/>
      <c r="I575" s="168"/>
      <c r="J575" s="167"/>
      <c r="K575" s="157" t="s">
        <v>6992</v>
      </c>
    </row>
    <row r="576" spans="1:11" ht="14.25" customHeight="1">
      <c r="A576" s="164"/>
      <c r="B576" s="164"/>
      <c r="C576" s="164"/>
      <c r="D576" s="156" t="s">
        <v>6993</v>
      </c>
      <c r="E576" s="163" t="s">
        <v>6931</v>
      </c>
      <c r="F576" s="172" t="s">
        <v>6994</v>
      </c>
      <c r="G576" s="159" t="s">
        <v>16</v>
      </c>
      <c r="H576" s="160" t="s">
        <v>6995</v>
      </c>
      <c r="I576" s="161" t="s">
        <v>19</v>
      </c>
      <c r="J576" s="162" t="s">
        <v>6996</v>
      </c>
      <c r="K576" s="157" t="s">
        <v>6997</v>
      </c>
    </row>
    <row r="577" spans="1:11" ht="14.25" customHeight="1">
      <c r="A577" s="164"/>
      <c r="B577" s="164"/>
      <c r="C577" s="164"/>
      <c r="D577" s="164"/>
      <c r="E577" s="163" t="s">
        <v>6998</v>
      </c>
      <c r="F577" s="164"/>
      <c r="G577" s="166"/>
      <c r="H577" s="167"/>
      <c r="I577" s="168"/>
      <c r="J577" s="167"/>
      <c r="K577" s="157" t="s">
        <v>6999</v>
      </c>
    </row>
    <row r="578" spans="1:11" ht="14.25" customHeight="1">
      <c r="A578" s="164"/>
      <c r="B578" s="164"/>
      <c r="C578" s="164"/>
      <c r="D578" s="156" t="s">
        <v>7000</v>
      </c>
      <c r="E578" s="163" t="s">
        <v>6935</v>
      </c>
      <c r="F578" s="172" t="s">
        <v>7001</v>
      </c>
      <c r="G578" s="159" t="s">
        <v>38</v>
      </c>
      <c r="H578" s="160" t="s">
        <v>7002</v>
      </c>
      <c r="I578" s="170" t="s">
        <v>33</v>
      </c>
      <c r="J578" s="162" t="s">
        <v>7003</v>
      </c>
      <c r="K578" s="157" t="s">
        <v>7004</v>
      </c>
    </row>
    <row r="579" spans="1:11" ht="14.25" customHeight="1">
      <c r="A579" s="164"/>
      <c r="B579" s="164"/>
      <c r="C579" s="164"/>
      <c r="D579" s="164"/>
      <c r="E579" s="163" t="s">
        <v>7005</v>
      </c>
      <c r="F579" s="164"/>
      <c r="G579" s="166"/>
      <c r="H579" s="167"/>
      <c r="I579" s="168"/>
      <c r="J579" s="167"/>
      <c r="K579" s="157" t="s">
        <v>7006</v>
      </c>
    </row>
    <row r="580" spans="1:11" ht="14.25" customHeight="1">
      <c r="A580" s="164"/>
      <c r="B580" s="164"/>
      <c r="C580" s="156" t="s">
        <v>7007</v>
      </c>
      <c r="D580" s="156" t="s">
        <v>7008</v>
      </c>
      <c r="E580" s="163" t="s">
        <v>7008</v>
      </c>
      <c r="F580" s="172" t="s">
        <v>7009</v>
      </c>
      <c r="G580" s="159" t="s">
        <v>200</v>
      </c>
      <c r="H580" s="160" t="s">
        <v>7010</v>
      </c>
      <c r="I580" s="169" t="s">
        <v>41</v>
      </c>
      <c r="J580" s="162" t="s">
        <v>7011</v>
      </c>
      <c r="K580" s="157" t="s">
        <v>7012</v>
      </c>
    </row>
    <row r="581" spans="1:11" ht="14.25" customHeight="1">
      <c r="A581" s="164"/>
      <c r="B581" s="164"/>
      <c r="C581" s="164"/>
      <c r="D581" s="164"/>
      <c r="E581" s="163" t="s">
        <v>7013</v>
      </c>
      <c r="F581" s="164"/>
      <c r="G581" s="166"/>
      <c r="H581" s="167"/>
      <c r="I581" s="168"/>
      <c r="J581" s="167"/>
      <c r="K581" s="157" t="s">
        <v>7014</v>
      </c>
    </row>
    <row r="582" spans="1:11" ht="14.25" customHeight="1">
      <c r="A582" s="164"/>
      <c r="B582" s="164"/>
      <c r="C582" s="164"/>
      <c r="D582" s="156" t="s">
        <v>7015</v>
      </c>
      <c r="E582" s="163" t="s">
        <v>7016</v>
      </c>
      <c r="F582" s="172" t="s">
        <v>7017</v>
      </c>
      <c r="G582" s="159" t="s">
        <v>38</v>
      </c>
      <c r="H582" s="160" t="s">
        <v>7018</v>
      </c>
      <c r="I582" s="169" t="s">
        <v>41</v>
      </c>
      <c r="J582" s="162" t="s">
        <v>7019</v>
      </c>
      <c r="K582" s="157" t="s">
        <v>7020</v>
      </c>
    </row>
    <row r="583" spans="1:11" ht="14.25" customHeight="1">
      <c r="A583" s="164"/>
      <c r="B583" s="164"/>
      <c r="C583" s="164"/>
      <c r="D583" s="164"/>
      <c r="E583" s="163" t="s">
        <v>7021</v>
      </c>
      <c r="F583" s="164"/>
      <c r="G583" s="166"/>
      <c r="H583" s="167"/>
      <c r="I583" s="168"/>
      <c r="J583" s="167"/>
      <c r="K583" s="157" t="s">
        <v>7022</v>
      </c>
    </row>
    <row r="584" spans="1:11" ht="14.25" customHeight="1">
      <c r="A584" s="164"/>
      <c r="B584" s="164"/>
      <c r="C584" s="164"/>
      <c r="D584" s="156" t="s">
        <v>7023</v>
      </c>
      <c r="E584" s="163" t="s">
        <v>7024</v>
      </c>
      <c r="F584" s="172" t="s">
        <v>7025</v>
      </c>
      <c r="G584" s="159" t="s">
        <v>38</v>
      </c>
      <c r="H584" s="160" t="s">
        <v>7026</v>
      </c>
      <c r="I584" s="170" t="s">
        <v>33</v>
      </c>
      <c r="J584" s="162" t="s">
        <v>7027</v>
      </c>
      <c r="K584" s="157" t="s">
        <v>7028</v>
      </c>
    </row>
    <row r="585" spans="1:11" ht="14.25" customHeight="1">
      <c r="A585" s="164"/>
      <c r="B585" s="164"/>
      <c r="C585" s="164"/>
      <c r="D585" s="164"/>
      <c r="E585" s="163" t="s">
        <v>7029</v>
      </c>
      <c r="F585" s="164"/>
      <c r="G585" s="166"/>
      <c r="H585" s="167"/>
      <c r="I585" s="168"/>
      <c r="J585" s="167"/>
      <c r="K585" s="157" t="s">
        <v>7030</v>
      </c>
    </row>
    <row r="586" spans="1:11" ht="14.25" customHeight="1">
      <c r="A586" s="164"/>
      <c r="B586" s="164"/>
      <c r="C586" s="164"/>
      <c r="D586" s="156" t="s">
        <v>7031</v>
      </c>
      <c r="E586" s="163" t="s">
        <v>7032</v>
      </c>
      <c r="F586" s="172" t="s">
        <v>7033</v>
      </c>
      <c r="G586" s="159" t="s">
        <v>16</v>
      </c>
      <c r="H586" s="160" t="s">
        <v>7034</v>
      </c>
      <c r="I586" s="161" t="s">
        <v>19</v>
      </c>
      <c r="J586" s="162" t="s">
        <v>7035</v>
      </c>
      <c r="K586" s="157" t="s">
        <v>7036</v>
      </c>
    </row>
    <row r="587" spans="1:11" ht="14.25" customHeight="1">
      <c r="A587" s="164"/>
      <c r="B587" s="164"/>
      <c r="C587" s="164"/>
      <c r="D587" s="164"/>
      <c r="E587" s="163" t="s">
        <v>7037</v>
      </c>
      <c r="F587" s="164"/>
      <c r="G587" s="166"/>
      <c r="H587" s="167"/>
      <c r="I587" s="168"/>
      <c r="J587" s="167"/>
      <c r="K587" s="157" t="s">
        <v>7038</v>
      </c>
    </row>
    <row r="588" spans="1:11" ht="14.25" customHeight="1">
      <c r="A588" s="164"/>
      <c r="B588" s="164"/>
      <c r="C588" s="164"/>
      <c r="D588" s="156" t="s">
        <v>7039</v>
      </c>
      <c r="E588" s="163" t="s">
        <v>7040</v>
      </c>
      <c r="F588" s="172" t="s">
        <v>7041</v>
      </c>
      <c r="G588" s="159" t="s">
        <v>16</v>
      </c>
      <c r="H588" s="160" t="s">
        <v>7042</v>
      </c>
      <c r="I588" s="170" t="s">
        <v>33</v>
      </c>
      <c r="J588" s="162" t="s">
        <v>7043</v>
      </c>
      <c r="K588" s="157" t="s">
        <v>7044</v>
      </c>
    </row>
    <row r="589" spans="1:11" ht="14.25" customHeight="1">
      <c r="A589" s="164"/>
      <c r="B589" s="164"/>
      <c r="C589" s="164"/>
      <c r="D589" s="164"/>
      <c r="E589" s="163" t="s">
        <v>7045</v>
      </c>
      <c r="F589" s="164"/>
      <c r="G589" s="166"/>
      <c r="H589" s="167"/>
      <c r="I589" s="168"/>
      <c r="J589" s="167"/>
      <c r="K589" s="157" t="s">
        <v>7046</v>
      </c>
    </row>
    <row r="590" spans="1:11" ht="14.25" customHeight="1">
      <c r="A590" s="164"/>
      <c r="B590" s="164"/>
      <c r="C590" s="156" t="s">
        <v>7047</v>
      </c>
      <c r="D590" s="156" t="s">
        <v>7048</v>
      </c>
      <c r="E590" s="163" t="s">
        <v>7049</v>
      </c>
      <c r="F590" s="172" t="s">
        <v>7050</v>
      </c>
      <c r="G590" s="159" t="s">
        <v>16</v>
      </c>
      <c r="H590" s="160" t="s">
        <v>7051</v>
      </c>
      <c r="I590" s="169" t="s">
        <v>41</v>
      </c>
      <c r="J590" s="162" t="s">
        <v>7052</v>
      </c>
      <c r="K590" s="157" t="s">
        <v>6881</v>
      </c>
    </row>
    <row r="591" spans="1:11" ht="14.25" customHeight="1">
      <c r="A591" s="164"/>
      <c r="B591" s="164"/>
      <c r="C591" s="164"/>
      <c r="D591" s="164"/>
      <c r="E591" s="163" t="s">
        <v>7053</v>
      </c>
      <c r="F591" s="164"/>
      <c r="G591" s="166"/>
      <c r="H591" s="167"/>
      <c r="I591" s="168"/>
      <c r="J591" s="167"/>
      <c r="K591" s="157" t="s">
        <v>6883</v>
      </c>
    </row>
    <row r="592" spans="1:11" ht="14.25" customHeight="1">
      <c r="A592" s="164"/>
      <c r="B592" s="164"/>
      <c r="C592" s="164"/>
      <c r="D592" s="156" t="s">
        <v>7054</v>
      </c>
      <c r="E592" s="163" t="s">
        <v>7055</v>
      </c>
      <c r="F592" s="172" t="s">
        <v>7056</v>
      </c>
      <c r="G592" s="159" t="s">
        <v>38</v>
      </c>
      <c r="H592" s="160" t="s">
        <v>7057</v>
      </c>
      <c r="I592" s="169" t="s">
        <v>41</v>
      </c>
      <c r="J592" s="162" t="s">
        <v>7058</v>
      </c>
      <c r="K592" s="157" t="s">
        <v>7059</v>
      </c>
    </row>
    <row r="593" spans="1:11" ht="14.25" customHeight="1">
      <c r="A593" s="164"/>
      <c r="B593" s="164"/>
      <c r="C593" s="164"/>
      <c r="D593" s="164"/>
      <c r="E593" s="163" t="s">
        <v>7060</v>
      </c>
      <c r="F593" s="164"/>
      <c r="G593" s="166"/>
      <c r="H593" s="167"/>
      <c r="I593" s="168"/>
      <c r="J593" s="167"/>
      <c r="K593" s="157" t="s">
        <v>7061</v>
      </c>
    </row>
    <row r="594" spans="1:11" ht="14.25" customHeight="1">
      <c r="A594" s="164"/>
      <c r="B594" s="164"/>
      <c r="C594" s="164"/>
      <c r="D594" s="156" t="s">
        <v>7062</v>
      </c>
      <c r="E594" s="163" t="s">
        <v>7063</v>
      </c>
      <c r="F594" s="172" t="s">
        <v>7064</v>
      </c>
      <c r="G594" s="159" t="s">
        <v>200</v>
      </c>
      <c r="H594" s="160" t="s">
        <v>7065</v>
      </c>
      <c r="I594" s="170" t="s">
        <v>33</v>
      </c>
      <c r="J594" s="162" t="s">
        <v>7066</v>
      </c>
      <c r="K594" s="157" t="s">
        <v>7067</v>
      </c>
    </row>
    <row r="595" spans="1:11" ht="14.25" customHeight="1">
      <c r="A595" s="164"/>
      <c r="B595" s="164"/>
      <c r="C595" s="164"/>
      <c r="D595" s="164"/>
      <c r="E595" s="163" t="s">
        <v>7068</v>
      </c>
      <c r="F595" s="164"/>
      <c r="G595" s="166"/>
      <c r="H595" s="167"/>
      <c r="I595" s="168"/>
      <c r="J595" s="167"/>
      <c r="K595" s="157" t="s">
        <v>7069</v>
      </c>
    </row>
    <row r="596" spans="1:11" ht="14.25" customHeight="1">
      <c r="A596" s="164"/>
      <c r="B596" s="164"/>
      <c r="C596" s="164"/>
      <c r="D596" s="156" t="s">
        <v>7070</v>
      </c>
      <c r="E596" s="163" t="s">
        <v>7071</v>
      </c>
      <c r="F596" s="172" t="s">
        <v>7072</v>
      </c>
      <c r="G596" s="159" t="s">
        <v>38</v>
      </c>
      <c r="H596" s="160" t="s">
        <v>7073</v>
      </c>
      <c r="I596" s="161" t="s">
        <v>19</v>
      </c>
      <c r="J596" s="162" t="s">
        <v>7074</v>
      </c>
      <c r="K596" s="157" t="s">
        <v>7075</v>
      </c>
    </row>
    <row r="597" spans="1:11" ht="14.25" customHeight="1">
      <c r="A597" s="164"/>
      <c r="B597" s="164"/>
      <c r="C597" s="164"/>
      <c r="D597" s="164"/>
      <c r="E597" s="163" t="s">
        <v>7076</v>
      </c>
      <c r="F597" s="164"/>
      <c r="G597" s="166"/>
      <c r="H597" s="167"/>
      <c r="I597" s="168"/>
      <c r="J597" s="167"/>
      <c r="K597" s="157" t="s">
        <v>7077</v>
      </c>
    </row>
    <row r="598" spans="1:11" ht="14.25" customHeight="1">
      <c r="A598" s="164"/>
      <c r="B598" s="164"/>
      <c r="C598" s="164"/>
      <c r="D598" s="156" t="s">
        <v>7078</v>
      </c>
      <c r="E598" s="163" t="s">
        <v>7079</v>
      </c>
      <c r="F598" s="172" t="s">
        <v>7080</v>
      </c>
      <c r="G598" s="159" t="s">
        <v>38</v>
      </c>
      <c r="H598" s="160" t="s">
        <v>7081</v>
      </c>
      <c r="I598" s="170" t="s">
        <v>33</v>
      </c>
      <c r="J598" s="162" t="s">
        <v>7082</v>
      </c>
      <c r="K598" s="157" t="s">
        <v>7083</v>
      </c>
    </row>
    <row r="599" spans="1:11" ht="14.25" customHeight="1">
      <c r="A599" s="164"/>
      <c r="B599" s="164"/>
      <c r="C599" s="164"/>
      <c r="D599" s="164"/>
      <c r="E599" s="163" t="s">
        <v>7084</v>
      </c>
      <c r="F599" s="164"/>
      <c r="G599" s="166"/>
      <c r="H599" s="167"/>
      <c r="I599" s="168"/>
      <c r="J599" s="167"/>
      <c r="K599" s="157" t="s">
        <v>7085</v>
      </c>
    </row>
    <row r="600" spans="1:11" ht="14.25" customHeight="1">
      <c r="A600" s="164"/>
      <c r="B600" s="164"/>
      <c r="C600" s="156" t="s">
        <v>7086</v>
      </c>
      <c r="D600" s="156" t="s">
        <v>7087</v>
      </c>
      <c r="E600" s="163" t="s">
        <v>7088</v>
      </c>
      <c r="F600" s="172" t="s">
        <v>7089</v>
      </c>
      <c r="G600" s="159" t="s">
        <v>16</v>
      </c>
      <c r="H600" s="160" t="s">
        <v>7090</v>
      </c>
      <c r="I600" s="169" t="s">
        <v>41</v>
      </c>
      <c r="J600" s="162" t="s">
        <v>7091</v>
      </c>
      <c r="K600" s="157" t="s">
        <v>7092</v>
      </c>
    </row>
    <row r="601" spans="1:11" ht="14.25" customHeight="1">
      <c r="A601" s="164"/>
      <c r="B601" s="164"/>
      <c r="C601" s="164"/>
      <c r="D601" s="164"/>
      <c r="E601" s="163" t="s">
        <v>7093</v>
      </c>
      <c r="F601" s="164"/>
      <c r="G601" s="166"/>
      <c r="H601" s="167"/>
      <c r="I601" s="168"/>
      <c r="J601" s="167"/>
      <c r="K601" s="157" t="s">
        <v>7094</v>
      </c>
    </row>
    <row r="602" spans="1:11" ht="14.25" customHeight="1">
      <c r="A602" s="164"/>
      <c r="B602" s="164"/>
      <c r="C602" s="164"/>
      <c r="D602" s="156" t="s">
        <v>7095</v>
      </c>
      <c r="E602" s="163" t="s">
        <v>6134</v>
      </c>
      <c r="F602" s="172" t="s">
        <v>7096</v>
      </c>
      <c r="G602" s="159" t="s">
        <v>16</v>
      </c>
      <c r="H602" s="160" t="s">
        <v>7097</v>
      </c>
      <c r="I602" s="169" t="s">
        <v>41</v>
      </c>
      <c r="J602" s="162" t="s">
        <v>7098</v>
      </c>
      <c r="K602" s="157" t="s">
        <v>7099</v>
      </c>
    </row>
    <row r="603" spans="1:11" ht="14.25" customHeight="1">
      <c r="A603" s="164"/>
      <c r="B603" s="164"/>
      <c r="C603" s="164"/>
      <c r="D603" s="164"/>
      <c r="E603" s="163" t="s">
        <v>7100</v>
      </c>
      <c r="F603" s="164"/>
      <c r="G603" s="166"/>
      <c r="H603" s="167"/>
      <c r="I603" s="168"/>
      <c r="J603" s="167"/>
      <c r="K603" s="157" t="s">
        <v>7101</v>
      </c>
    </row>
    <row r="604" spans="1:11" ht="14.25" customHeight="1">
      <c r="A604" s="164"/>
      <c r="B604" s="164"/>
      <c r="C604" s="164"/>
      <c r="D604" s="156" t="s">
        <v>7102</v>
      </c>
      <c r="E604" s="163" t="s">
        <v>7103</v>
      </c>
      <c r="F604" s="172" t="s">
        <v>7104</v>
      </c>
      <c r="G604" s="159" t="s">
        <v>16</v>
      </c>
      <c r="H604" s="160" t="s">
        <v>7105</v>
      </c>
      <c r="I604" s="170" t="s">
        <v>33</v>
      </c>
      <c r="J604" s="162" t="s">
        <v>7106</v>
      </c>
      <c r="K604" s="157" t="s">
        <v>7107</v>
      </c>
    </row>
    <row r="605" spans="1:11" ht="14.25" customHeight="1">
      <c r="A605" s="164"/>
      <c r="B605" s="164"/>
      <c r="C605" s="164"/>
      <c r="D605" s="164"/>
      <c r="E605" s="163" t="s">
        <v>7108</v>
      </c>
      <c r="F605" s="164"/>
      <c r="G605" s="166"/>
      <c r="H605" s="167"/>
      <c r="I605" s="168"/>
      <c r="J605" s="167"/>
      <c r="K605" s="157" t="s">
        <v>7109</v>
      </c>
    </row>
    <row r="606" spans="1:11" ht="14.25" customHeight="1">
      <c r="A606" s="164"/>
      <c r="B606" s="164"/>
      <c r="C606" s="164"/>
      <c r="D606" s="156" t="s">
        <v>7110</v>
      </c>
      <c r="E606" s="163" t="s">
        <v>7111</v>
      </c>
      <c r="F606" s="172" t="s">
        <v>7112</v>
      </c>
      <c r="G606" s="159" t="s">
        <v>38</v>
      </c>
      <c r="H606" s="160" t="s">
        <v>7113</v>
      </c>
      <c r="I606" s="161" t="s">
        <v>19</v>
      </c>
      <c r="J606" s="162" t="s">
        <v>7114</v>
      </c>
      <c r="K606" s="157" t="s">
        <v>7115</v>
      </c>
    </row>
    <row r="607" spans="1:11" ht="14.25" customHeight="1">
      <c r="A607" s="164"/>
      <c r="B607" s="164"/>
      <c r="C607" s="164"/>
      <c r="D607" s="164"/>
      <c r="E607" s="163" t="s">
        <v>7116</v>
      </c>
      <c r="F607" s="164"/>
      <c r="G607" s="166"/>
      <c r="H607" s="167"/>
      <c r="I607" s="168"/>
      <c r="J607" s="167"/>
      <c r="K607" s="157" t="s">
        <v>7117</v>
      </c>
    </row>
    <row r="608" spans="1:11" ht="14.25" customHeight="1">
      <c r="A608" s="164"/>
      <c r="B608" s="164"/>
      <c r="C608" s="164"/>
      <c r="D608" s="156" t="s">
        <v>7118</v>
      </c>
      <c r="E608" s="163" t="s">
        <v>7119</v>
      </c>
      <c r="F608" s="172" t="s">
        <v>7120</v>
      </c>
      <c r="G608" s="159" t="s">
        <v>200</v>
      </c>
      <c r="H608" s="160" t="s">
        <v>5212</v>
      </c>
      <c r="I608" s="170" t="s">
        <v>33</v>
      </c>
      <c r="J608" s="162" t="s">
        <v>7121</v>
      </c>
      <c r="K608" s="157" t="s">
        <v>7122</v>
      </c>
    </row>
    <row r="609" spans="1:11" ht="14.25" customHeight="1">
      <c r="A609" s="164"/>
      <c r="B609" s="164"/>
      <c r="C609" s="164"/>
      <c r="D609" s="164"/>
      <c r="E609" s="163" t="s">
        <v>7123</v>
      </c>
      <c r="F609" s="164"/>
      <c r="G609" s="166"/>
      <c r="H609" s="167"/>
      <c r="I609" s="168"/>
      <c r="J609" s="167"/>
      <c r="K609" s="157" t="s">
        <v>7124</v>
      </c>
    </row>
    <row r="610" spans="1:11" ht="14.25" customHeight="1">
      <c r="A610" s="164"/>
      <c r="B610" s="164"/>
      <c r="C610" s="156" t="s">
        <v>7125</v>
      </c>
      <c r="D610" s="156" t="s">
        <v>7126</v>
      </c>
      <c r="E610" s="163" t="s">
        <v>7127</v>
      </c>
      <c r="F610" s="172" t="s">
        <v>7128</v>
      </c>
      <c r="G610" s="159" t="s">
        <v>38</v>
      </c>
      <c r="H610" s="160" t="s">
        <v>7129</v>
      </c>
      <c r="I610" s="169" t="s">
        <v>41</v>
      </c>
      <c r="J610" s="162" t="s">
        <v>7130</v>
      </c>
      <c r="K610" s="157" t="s">
        <v>7004</v>
      </c>
    </row>
    <row r="611" spans="1:11" ht="14.25" customHeight="1">
      <c r="A611" s="164"/>
      <c r="B611" s="164"/>
      <c r="C611" s="164"/>
      <c r="D611" s="164"/>
      <c r="E611" s="163" t="s">
        <v>6383</v>
      </c>
      <c r="F611" s="164"/>
      <c r="G611" s="166"/>
      <c r="H611" s="167"/>
      <c r="I611" s="168"/>
      <c r="J611" s="167"/>
      <c r="K611" s="157" t="s">
        <v>7006</v>
      </c>
    </row>
    <row r="612" spans="1:11" ht="14.25" customHeight="1">
      <c r="A612" s="164"/>
      <c r="B612" s="164"/>
      <c r="C612" s="164"/>
      <c r="D612" s="156" t="s">
        <v>7131</v>
      </c>
      <c r="E612" s="163" t="s">
        <v>7132</v>
      </c>
      <c r="F612" s="172" t="s">
        <v>7133</v>
      </c>
      <c r="G612" s="159" t="s">
        <v>38</v>
      </c>
      <c r="H612" s="160" t="s">
        <v>7134</v>
      </c>
      <c r="I612" s="169" t="s">
        <v>41</v>
      </c>
      <c r="J612" s="162" t="s">
        <v>7135</v>
      </c>
      <c r="K612" s="157" t="s">
        <v>7012</v>
      </c>
    </row>
    <row r="613" spans="1:11" ht="14.25" customHeight="1">
      <c r="A613" s="164"/>
      <c r="B613" s="164"/>
      <c r="C613" s="164"/>
      <c r="D613" s="164"/>
      <c r="E613" s="163" t="s">
        <v>7136</v>
      </c>
      <c r="F613" s="164"/>
      <c r="G613" s="166"/>
      <c r="H613" s="167"/>
      <c r="I613" s="168"/>
      <c r="J613" s="167"/>
      <c r="K613" s="157" t="s">
        <v>7014</v>
      </c>
    </row>
    <row r="614" spans="1:11" ht="14.25" customHeight="1">
      <c r="A614" s="164"/>
      <c r="B614" s="164"/>
      <c r="C614" s="164"/>
      <c r="D614" s="156" t="s">
        <v>7137</v>
      </c>
      <c r="E614" s="163" t="s">
        <v>7138</v>
      </c>
      <c r="F614" s="172" t="s">
        <v>7139</v>
      </c>
      <c r="G614" s="159" t="s">
        <v>16</v>
      </c>
      <c r="H614" s="160" t="s">
        <v>7140</v>
      </c>
      <c r="I614" s="170" t="s">
        <v>33</v>
      </c>
      <c r="J614" s="162" t="s">
        <v>7141</v>
      </c>
      <c r="K614" s="157" t="s">
        <v>7020</v>
      </c>
    </row>
    <row r="615" spans="1:11" ht="14.25" customHeight="1">
      <c r="A615" s="164"/>
      <c r="B615" s="164"/>
      <c r="C615" s="164"/>
      <c r="D615" s="164"/>
      <c r="E615" s="163" t="s">
        <v>7142</v>
      </c>
      <c r="F615" s="164"/>
      <c r="G615" s="166"/>
      <c r="H615" s="167"/>
      <c r="I615" s="168"/>
      <c r="J615" s="167"/>
      <c r="K615" s="157" t="s">
        <v>7022</v>
      </c>
    </row>
    <row r="616" spans="1:11" ht="14.25" customHeight="1">
      <c r="A616" s="164"/>
      <c r="B616" s="164"/>
      <c r="C616" s="164"/>
      <c r="D616" s="156" t="s">
        <v>7143</v>
      </c>
      <c r="E616" s="163" t="s">
        <v>7144</v>
      </c>
      <c r="F616" s="172" t="s">
        <v>7145</v>
      </c>
      <c r="G616" s="159" t="s">
        <v>16</v>
      </c>
      <c r="H616" s="160" t="s">
        <v>7146</v>
      </c>
      <c r="I616" s="161" t="s">
        <v>19</v>
      </c>
      <c r="J616" s="162" t="s">
        <v>7147</v>
      </c>
      <c r="K616" s="157" t="s">
        <v>7028</v>
      </c>
    </row>
    <row r="617" spans="1:11" ht="14.25" customHeight="1">
      <c r="A617" s="164"/>
      <c r="B617" s="164"/>
      <c r="C617" s="164"/>
      <c r="D617" s="164"/>
      <c r="E617" s="163" t="s">
        <v>7148</v>
      </c>
      <c r="F617" s="164"/>
      <c r="G617" s="166"/>
      <c r="H617" s="167"/>
      <c r="I617" s="168"/>
      <c r="J617" s="167"/>
      <c r="K617" s="157" t="s">
        <v>7030</v>
      </c>
    </row>
    <row r="618" spans="1:11" ht="14.25" customHeight="1">
      <c r="A618" s="164"/>
      <c r="B618" s="164"/>
      <c r="C618" s="164"/>
      <c r="D618" s="156" t="s">
        <v>7149</v>
      </c>
      <c r="E618" s="163" t="s">
        <v>7150</v>
      </c>
      <c r="F618" s="172" t="s">
        <v>7151</v>
      </c>
      <c r="G618" s="159" t="s">
        <v>16</v>
      </c>
      <c r="H618" s="160" t="s">
        <v>7152</v>
      </c>
      <c r="I618" s="170" t="s">
        <v>33</v>
      </c>
      <c r="J618" s="162" t="s">
        <v>7114</v>
      </c>
      <c r="K618" s="157" t="s">
        <v>7153</v>
      </c>
    </row>
    <row r="619" spans="1:11" ht="14.25" customHeight="1">
      <c r="A619" s="164"/>
      <c r="B619" s="164"/>
      <c r="C619" s="164"/>
      <c r="D619" s="164"/>
      <c r="E619" s="163" t="s">
        <v>7154</v>
      </c>
      <c r="F619" s="164"/>
      <c r="G619" s="166"/>
      <c r="H619" s="167"/>
      <c r="I619" s="168"/>
      <c r="J619" s="167"/>
      <c r="K619" s="157" t="s">
        <v>7155</v>
      </c>
    </row>
    <row r="620" spans="1:11" ht="14.25" customHeight="1">
      <c r="A620" s="164"/>
      <c r="B620" s="164"/>
      <c r="C620" s="156" t="s">
        <v>7156</v>
      </c>
      <c r="D620" s="156" t="s">
        <v>7157</v>
      </c>
      <c r="E620" s="163" t="s">
        <v>7158</v>
      </c>
      <c r="F620" s="172" t="s">
        <v>7159</v>
      </c>
      <c r="G620" s="159" t="s">
        <v>38</v>
      </c>
      <c r="H620" s="160" t="s">
        <v>7160</v>
      </c>
      <c r="I620" s="169" t="s">
        <v>41</v>
      </c>
      <c r="J620" s="162" t="s">
        <v>7161</v>
      </c>
      <c r="K620" s="157" t="s">
        <v>7162</v>
      </c>
    </row>
    <row r="621" spans="1:11" ht="14.25" customHeight="1">
      <c r="A621" s="164"/>
      <c r="B621" s="164"/>
      <c r="C621" s="164"/>
      <c r="D621" s="164"/>
      <c r="E621" s="163" t="s">
        <v>7163</v>
      </c>
      <c r="F621" s="164"/>
      <c r="G621" s="166"/>
      <c r="H621" s="167"/>
      <c r="I621" s="168"/>
      <c r="J621" s="167"/>
      <c r="K621" s="157" t="s">
        <v>7164</v>
      </c>
    </row>
    <row r="622" spans="1:11" ht="14.25" customHeight="1">
      <c r="A622" s="164"/>
      <c r="B622" s="164"/>
      <c r="C622" s="164"/>
      <c r="D622" s="156" t="s">
        <v>7165</v>
      </c>
      <c r="E622" s="163" t="s">
        <v>7166</v>
      </c>
      <c r="F622" s="172" t="s">
        <v>7167</v>
      </c>
      <c r="G622" s="159" t="s">
        <v>200</v>
      </c>
      <c r="H622" s="160" t="s">
        <v>7168</v>
      </c>
      <c r="I622" s="169" t="s">
        <v>41</v>
      </c>
      <c r="J622" s="162" t="s">
        <v>7169</v>
      </c>
      <c r="K622" s="157" t="s">
        <v>7170</v>
      </c>
    </row>
    <row r="623" spans="1:11" ht="14.25" customHeight="1">
      <c r="A623" s="164"/>
      <c r="B623" s="164"/>
      <c r="C623" s="164"/>
      <c r="D623" s="164"/>
      <c r="E623" s="163" t="s">
        <v>7171</v>
      </c>
      <c r="F623" s="164"/>
      <c r="G623" s="166"/>
      <c r="H623" s="167"/>
      <c r="I623" s="168"/>
      <c r="J623" s="167"/>
      <c r="K623" s="157" t="s">
        <v>7172</v>
      </c>
    </row>
    <row r="624" spans="1:11" ht="14.25" customHeight="1">
      <c r="A624" s="164"/>
      <c r="B624" s="164"/>
      <c r="C624" s="164"/>
      <c r="D624" s="156" t="s">
        <v>7173</v>
      </c>
      <c r="E624" s="163" t="s">
        <v>7174</v>
      </c>
      <c r="F624" s="172" t="s">
        <v>7175</v>
      </c>
      <c r="G624" s="159" t="s">
        <v>38</v>
      </c>
      <c r="H624" s="160" t="s">
        <v>7176</v>
      </c>
      <c r="I624" s="170" t="s">
        <v>33</v>
      </c>
      <c r="J624" s="162" t="s">
        <v>7177</v>
      </c>
      <c r="K624" s="157" t="s">
        <v>7044</v>
      </c>
    </row>
    <row r="625" spans="1:11" ht="14.25" customHeight="1">
      <c r="A625" s="164"/>
      <c r="B625" s="164"/>
      <c r="C625" s="164"/>
      <c r="D625" s="164"/>
      <c r="E625" s="163" t="s">
        <v>5919</v>
      </c>
      <c r="F625" s="164"/>
      <c r="G625" s="166"/>
      <c r="H625" s="167"/>
      <c r="I625" s="168"/>
      <c r="J625" s="167"/>
      <c r="K625" s="157" t="s">
        <v>7046</v>
      </c>
    </row>
    <row r="626" spans="1:11" ht="14.25" customHeight="1">
      <c r="A626" s="164"/>
      <c r="B626" s="164"/>
      <c r="C626" s="164"/>
      <c r="D626" s="156" t="s">
        <v>7178</v>
      </c>
      <c r="E626" s="163" t="s">
        <v>7179</v>
      </c>
      <c r="F626" s="172" t="s">
        <v>7180</v>
      </c>
      <c r="G626" s="159" t="s">
        <v>38</v>
      </c>
      <c r="H626" s="160" t="s">
        <v>7181</v>
      </c>
      <c r="I626" s="161" t="s">
        <v>19</v>
      </c>
      <c r="J626" s="162" t="s">
        <v>7182</v>
      </c>
      <c r="K626" s="157" t="s">
        <v>6881</v>
      </c>
    </row>
    <row r="627" spans="1:11" ht="14.25" customHeight="1">
      <c r="A627" s="164"/>
      <c r="B627" s="164"/>
      <c r="C627" s="164"/>
      <c r="D627" s="164"/>
      <c r="E627" s="163" t="s">
        <v>7183</v>
      </c>
      <c r="F627" s="164"/>
      <c r="G627" s="166"/>
      <c r="H627" s="167"/>
      <c r="I627" s="168"/>
      <c r="J627" s="167"/>
      <c r="K627" s="157" t="s">
        <v>6883</v>
      </c>
    </row>
    <row r="628" spans="1:11" ht="14.25" customHeight="1">
      <c r="A628" s="164"/>
      <c r="B628" s="164"/>
      <c r="C628" s="164"/>
      <c r="D628" s="156" t="s">
        <v>7184</v>
      </c>
      <c r="E628" s="163" t="s">
        <v>7185</v>
      </c>
      <c r="F628" s="172" t="s">
        <v>7186</v>
      </c>
      <c r="G628" s="159" t="s">
        <v>16</v>
      </c>
      <c r="H628" s="160" t="s">
        <v>7187</v>
      </c>
      <c r="I628" s="170" t="s">
        <v>33</v>
      </c>
      <c r="J628" s="162" t="s">
        <v>7188</v>
      </c>
      <c r="K628" s="157" t="s">
        <v>7059</v>
      </c>
    </row>
    <row r="629" spans="1:11" ht="14.25" customHeight="1">
      <c r="A629" s="164"/>
      <c r="B629" s="164"/>
      <c r="C629" s="164"/>
      <c r="D629" s="164"/>
      <c r="E629" s="163" t="s">
        <v>7189</v>
      </c>
      <c r="F629" s="164"/>
      <c r="G629" s="166"/>
      <c r="H629" s="167"/>
      <c r="I629" s="168"/>
      <c r="J629" s="167"/>
      <c r="K629" s="157" t="s">
        <v>7061</v>
      </c>
    </row>
    <row r="630" spans="1:11" ht="14.25" customHeight="1">
      <c r="A630" s="164"/>
      <c r="B630" s="164"/>
      <c r="C630" s="156" t="s">
        <v>7190</v>
      </c>
      <c r="D630" s="156" t="s">
        <v>7191</v>
      </c>
      <c r="E630" s="163" t="s">
        <v>7192</v>
      </c>
      <c r="F630" s="172" t="s">
        <v>7193</v>
      </c>
      <c r="G630" s="159" t="s">
        <v>16</v>
      </c>
      <c r="H630" s="160" t="s">
        <v>7194</v>
      </c>
      <c r="I630" s="169" t="s">
        <v>41</v>
      </c>
      <c r="J630" s="162" t="s">
        <v>7195</v>
      </c>
      <c r="K630" s="157" t="s">
        <v>7067</v>
      </c>
    </row>
    <row r="631" spans="1:11" ht="14.25" customHeight="1">
      <c r="A631" s="164"/>
      <c r="B631" s="164"/>
      <c r="C631" s="164"/>
      <c r="D631" s="164"/>
      <c r="E631" s="163" t="s">
        <v>7148</v>
      </c>
      <c r="F631" s="164"/>
      <c r="G631" s="166"/>
      <c r="H631" s="167"/>
      <c r="I631" s="168"/>
      <c r="J631" s="167"/>
      <c r="K631" s="157" t="s">
        <v>7069</v>
      </c>
    </row>
    <row r="632" spans="1:11" ht="14.25" customHeight="1">
      <c r="A632" s="164"/>
      <c r="B632" s="164"/>
      <c r="C632" s="164"/>
      <c r="D632" s="156" t="s">
        <v>7196</v>
      </c>
      <c r="E632" s="163" t="s">
        <v>7197</v>
      </c>
      <c r="F632" s="172" t="s">
        <v>7198</v>
      </c>
      <c r="G632" s="159" t="s">
        <v>16</v>
      </c>
      <c r="H632" s="160" t="s">
        <v>7199</v>
      </c>
      <c r="I632" s="169" t="s">
        <v>41</v>
      </c>
      <c r="J632" s="162" t="s">
        <v>7200</v>
      </c>
      <c r="K632" s="157" t="s">
        <v>7075</v>
      </c>
    </row>
    <row r="633" spans="1:11" ht="14.25" customHeight="1">
      <c r="A633" s="164"/>
      <c r="B633" s="164"/>
      <c r="C633" s="164"/>
      <c r="D633" s="164"/>
      <c r="E633" s="163" t="s">
        <v>7201</v>
      </c>
      <c r="F633" s="164"/>
      <c r="G633" s="166"/>
      <c r="H633" s="167"/>
      <c r="I633" s="168"/>
      <c r="J633" s="167"/>
      <c r="K633" s="157" t="s">
        <v>7077</v>
      </c>
    </row>
    <row r="634" spans="1:11" ht="14.25" customHeight="1">
      <c r="A634" s="164"/>
      <c r="B634" s="164"/>
      <c r="C634" s="164"/>
      <c r="D634" s="156" t="s">
        <v>7202</v>
      </c>
      <c r="E634" s="163" t="s">
        <v>7202</v>
      </c>
      <c r="F634" s="172" t="s">
        <v>7203</v>
      </c>
      <c r="G634" s="159" t="s">
        <v>38</v>
      </c>
      <c r="H634" s="160" t="s">
        <v>7204</v>
      </c>
      <c r="I634" s="170" t="s">
        <v>33</v>
      </c>
      <c r="J634" s="162" t="s">
        <v>7205</v>
      </c>
      <c r="K634" s="157" t="s">
        <v>7083</v>
      </c>
    </row>
    <row r="635" spans="1:11" ht="14.25" customHeight="1">
      <c r="A635" s="164"/>
      <c r="B635" s="164"/>
      <c r="C635" s="164"/>
      <c r="D635" s="164"/>
      <c r="E635" s="163" t="s">
        <v>7206</v>
      </c>
      <c r="F635" s="164"/>
      <c r="G635" s="166"/>
      <c r="H635" s="167"/>
      <c r="I635" s="168"/>
      <c r="J635" s="167"/>
      <c r="K635" s="157" t="s">
        <v>7085</v>
      </c>
    </row>
    <row r="636" spans="1:11" ht="14.25" customHeight="1">
      <c r="A636" s="164"/>
      <c r="B636" s="164"/>
      <c r="C636" s="164"/>
      <c r="D636" s="156" t="s">
        <v>7207</v>
      </c>
      <c r="E636" s="163" t="s">
        <v>7208</v>
      </c>
      <c r="F636" s="172" t="s">
        <v>7209</v>
      </c>
      <c r="G636" s="159" t="s">
        <v>200</v>
      </c>
      <c r="H636" s="160" t="s">
        <v>7210</v>
      </c>
      <c r="I636" s="161" t="s">
        <v>19</v>
      </c>
      <c r="J636" s="162" t="s">
        <v>7211</v>
      </c>
      <c r="K636" s="157" t="s">
        <v>7092</v>
      </c>
    </row>
    <row r="637" spans="1:11" ht="14.25" customHeight="1">
      <c r="A637" s="164"/>
      <c r="B637" s="164"/>
      <c r="C637" s="164"/>
      <c r="D637" s="164"/>
      <c r="E637" s="163" t="s">
        <v>7212</v>
      </c>
      <c r="F637" s="164"/>
      <c r="G637" s="166"/>
      <c r="H637" s="167"/>
      <c r="I637" s="168"/>
      <c r="J637" s="167"/>
      <c r="K637" s="157" t="s">
        <v>7094</v>
      </c>
    </row>
    <row r="638" spans="1:11" ht="14.25" customHeight="1">
      <c r="A638" s="164"/>
      <c r="B638" s="164"/>
      <c r="C638" s="164"/>
      <c r="D638" s="156" t="s">
        <v>7213</v>
      </c>
      <c r="E638" s="163" t="s">
        <v>7214</v>
      </c>
      <c r="F638" s="172" t="s">
        <v>7215</v>
      </c>
      <c r="G638" s="159" t="s">
        <v>38</v>
      </c>
      <c r="H638" s="160" t="s">
        <v>6793</v>
      </c>
      <c r="I638" s="170" t="s">
        <v>33</v>
      </c>
      <c r="J638" s="162" t="s">
        <v>7216</v>
      </c>
      <c r="K638" s="157" t="s">
        <v>7099</v>
      </c>
    </row>
    <row r="639" spans="1:11" ht="14.25" customHeight="1">
      <c r="A639" s="164"/>
      <c r="B639" s="164"/>
      <c r="C639" s="164"/>
      <c r="D639" s="164"/>
      <c r="E639" s="163" t="s">
        <v>7217</v>
      </c>
      <c r="F639" s="164"/>
      <c r="G639" s="166"/>
      <c r="H639" s="167"/>
      <c r="I639" s="168"/>
      <c r="J639" s="167"/>
      <c r="K639" s="157" t="s">
        <v>7101</v>
      </c>
    </row>
    <row r="640" spans="1:11" ht="14.25" customHeight="1">
      <c r="A640" s="164"/>
      <c r="B640" s="155" t="s">
        <v>7218</v>
      </c>
      <c r="C640" s="156" t="s">
        <v>7219</v>
      </c>
      <c r="D640" s="156" t="s">
        <v>7220</v>
      </c>
      <c r="E640" s="163" t="s">
        <v>7221</v>
      </c>
      <c r="F640" s="172" t="s">
        <v>7222</v>
      </c>
      <c r="G640" s="159" t="s">
        <v>38</v>
      </c>
      <c r="H640" s="160" t="s">
        <v>7223</v>
      </c>
      <c r="I640" s="169" t="s">
        <v>41</v>
      </c>
      <c r="J640" s="162" t="s">
        <v>7224</v>
      </c>
      <c r="K640" s="157" t="s">
        <v>7107</v>
      </c>
    </row>
    <row r="641" spans="1:11" ht="14.25" customHeight="1">
      <c r="A641" s="164"/>
      <c r="B641" s="164"/>
      <c r="C641" s="164"/>
      <c r="D641" s="164"/>
      <c r="E641" s="163" t="s">
        <v>7225</v>
      </c>
      <c r="F641" s="164"/>
      <c r="G641" s="166"/>
      <c r="H641" s="167"/>
      <c r="I641" s="168"/>
      <c r="J641" s="167"/>
      <c r="K641" s="157" t="s">
        <v>7109</v>
      </c>
    </row>
    <row r="642" spans="1:11" ht="14.25" customHeight="1">
      <c r="A642" s="164"/>
      <c r="B642" s="164"/>
      <c r="C642" s="164"/>
      <c r="D642" s="156" t="s">
        <v>7226</v>
      </c>
      <c r="E642" s="163" t="s">
        <v>7227</v>
      </c>
      <c r="F642" s="172" t="s">
        <v>7228</v>
      </c>
      <c r="G642" s="159" t="s">
        <v>16</v>
      </c>
      <c r="H642" s="160" t="s">
        <v>7229</v>
      </c>
      <c r="I642" s="169" t="s">
        <v>41</v>
      </c>
      <c r="J642" s="162" t="s">
        <v>7230</v>
      </c>
      <c r="K642" s="157" t="s">
        <v>7115</v>
      </c>
    </row>
    <row r="643" spans="1:11" ht="14.25" customHeight="1">
      <c r="A643" s="164"/>
      <c r="B643" s="164"/>
      <c r="C643" s="164"/>
      <c r="D643" s="164"/>
      <c r="E643" s="163" t="s">
        <v>7231</v>
      </c>
      <c r="F643" s="164"/>
      <c r="G643" s="166"/>
      <c r="H643" s="167"/>
      <c r="I643" s="168"/>
      <c r="J643" s="167"/>
      <c r="K643" s="157" t="s">
        <v>7117</v>
      </c>
    </row>
    <row r="644" spans="1:11" ht="14.25" customHeight="1">
      <c r="A644" s="164"/>
      <c r="B644" s="164"/>
      <c r="C644" s="164"/>
      <c r="D644" s="156" t="s">
        <v>7232</v>
      </c>
      <c r="E644" s="163" t="s">
        <v>7233</v>
      </c>
      <c r="F644" s="172" t="s">
        <v>7234</v>
      </c>
      <c r="G644" s="159" t="s">
        <v>16</v>
      </c>
      <c r="H644" s="160" t="s">
        <v>7235</v>
      </c>
      <c r="I644" s="170" t="s">
        <v>33</v>
      </c>
      <c r="J644" s="162" t="s">
        <v>7236</v>
      </c>
      <c r="K644" s="157" t="s">
        <v>7122</v>
      </c>
    </row>
    <row r="645" spans="1:11" ht="14.25" customHeight="1">
      <c r="A645" s="164"/>
      <c r="B645" s="164"/>
      <c r="C645" s="164"/>
      <c r="D645" s="164"/>
      <c r="E645" s="163" t="s">
        <v>7237</v>
      </c>
      <c r="F645" s="164"/>
      <c r="G645" s="166"/>
      <c r="H645" s="167"/>
      <c r="I645" s="168"/>
      <c r="J645" s="167"/>
      <c r="K645" s="157" t="s">
        <v>7124</v>
      </c>
    </row>
    <row r="646" spans="1:11" ht="14.25" customHeight="1">
      <c r="A646" s="164"/>
      <c r="B646" s="164"/>
      <c r="C646" s="164"/>
      <c r="D646" s="156" t="s">
        <v>7238</v>
      </c>
      <c r="E646" s="163" t="s">
        <v>7239</v>
      </c>
      <c r="F646" s="172" t="s">
        <v>7240</v>
      </c>
      <c r="G646" s="159" t="s">
        <v>16</v>
      </c>
      <c r="H646" s="160" t="s">
        <v>7241</v>
      </c>
      <c r="I646" s="161" t="s">
        <v>19</v>
      </c>
      <c r="J646" s="162" t="s">
        <v>7242</v>
      </c>
      <c r="K646" s="157" t="s">
        <v>6826</v>
      </c>
    </row>
    <row r="647" spans="1:11" ht="14.25" customHeight="1">
      <c r="A647" s="164"/>
      <c r="B647" s="164"/>
      <c r="C647" s="164"/>
      <c r="D647" s="164"/>
      <c r="E647" s="163" t="s">
        <v>7243</v>
      </c>
      <c r="F647" s="164"/>
      <c r="G647" s="166"/>
      <c r="H647" s="167"/>
      <c r="I647" s="168"/>
      <c r="J647" s="167"/>
      <c r="K647" s="157" t="s">
        <v>6827</v>
      </c>
    </row>
    <row r="648" spans="1:11" ht="14.25" customHeight="1">
      <c r="A648" s="164"/>
      <c r="B648" s="164"/>
      <c r="C648" s="164"/>
      <c r="D648" s="156" t="s">
        <v>7244</v>
      </c>
      <c r="E648" s="163" t="s">
        <v>7245</v>
      </c>
      <c r="F648" s="172" t="s">
        <v>7246</v>
      </c>
      <c r="G648" s="159" t="s">
        <v>38</v>
      </c>
      <c r="H648" s="160" t="s">
        <v>7247</v>
      </c>
      <c r="I648" s="170" t="s">
        <v>33</v>
      </c>
      <c r="J648" s="162" t="s">
        <v>7248</v>
      </c>
      <c r="K648" s="157" t="s">
        <v>7249</v>
      </c>
    </row>
    <row r="649" spans="1:11" ht="14.25" customHeight="1">
      <c r="A649" s="164"/>
      <c r="B649" s="164"/>
      <c r="C649" s="164"/>
      <c r="D649" s="164"/>
      <c r="E649" s="163" t="s">
        <v>7250</v>
      </c>
      <c r="F649" s="164"/>
      <c r="G649" s="166"/>
      <c r="H649" s="167"/>
      <c r="I649" s="168"/>
      <c r="J649" s="167"/>
      <c r="K649" s="157" t="s">
        <v>7251</v>
      </c>
    </row>
    <row r="650" spans="1:11" ht="14.25" customHeight="1">
      <c r="A650" s="164"/>
      <c r="B650" s="164"/>
      <c r="C650" s="156" t="s">
        <v>7252</v>
      </c>
      <c r="D650" s="156" t="s">
        <v>7253</v>
      </c>
      <c r="E650" s="163" t="s">
        <v>7254</v>
      </c>
      <c r="F650" s="172" t="s">
        <v>7255</v>
      </c>
      <c r="G650" s="159" t="s">
        <v>200</v>
      </c>
      <c r="H650" s="160" t="s">
        <v>7256</v>
      </c>
      <c r="I650" s="169" t="s">
        <v>41</v>
      </c>
      <c r="J650" s="162" t="s">
        <v>7257</v>
      </c>
      <c r="K650" s="157" t="s">
        <v>7258</v>
      </c>
    </row>
    <row r="651" spans="1:11" ht="14.25" customHeight="1">
      <c r="A651" s="164"/>
      <c r="B651" s="164"/>
      <c r="C651" s="164"/>
      <c r="D651" s="164"/>
      <c r="E651" s="163" t="s">
        <v>7259</v>
      </c>
      <c r="F651" s="164"/>
      <c r="G651" s="166"/>
      <c r="H651" s="167"/>
      <c r="I651" s="168"/>
      <c r="J651" s="167"/>
      <c r="K651" s="157" t="s">
        <v>7260</v>
      </c>
    </row>
    <row r="652" spans="1:11" ht="14.25" customHeight="1">
      <c r="A652" s="164"/>
      <c r="B652" s="164"/>
      <c r="C652" s="164"/>
      <c r="D652" s="156" t="s">
        <v>7261</v>
      </c>
      <c r="E652" s="163" t="s">
        <v>7262</v>
      </c>
      <c r="F652" s="172" t="s">
        <v>7263</v>
      </c>
      <c r="G652" s="159" t="s">
        <v>38</v>
      </c>
      <c r="H652" s="160" t="s">
        <v>7264</v>
      </c>
      <c r="I652" s="169" t="s">
        <v>41</v>
      </c>
      <c r="J652" s="162" t="s">
        <v>7265</v>
      </c>
      <c r="K652" s="157" t="s">
        <v>7266</v>
      </c>
    </row>
    <row r="653" spans="1:11" ht="14.25" customHeight="1">
      <c r="A653" s="164"/>
      <c r="B653" s="164"/>
      <c r="C653" s="164"/>
      <c r="D653" s="164"/>
      <c r="E653" s="163" t="s">
        <v>7267</v>
      </c>
      <c r="F653" s="164"/>
      <c r="G653" s="166"/>
      <c r="H653" s="167"/>
      <c r="I653" s="168"/>
      <c r="J653" s="167"/>
      <c r="K653" s="157" t="s">
        <v>7268</v>
      </c>
    </row>
    <row r="654" spans="1:11" ht="14.25" customHeight="1">
      <c r="A654" s="164"/>
      <c r="B654" s="164"/>
      <c r="C654" s="164"/>
      <c r="D654" s="156" t="s">
        <v>7269</v>
      </c>
      <c r="E654" s="163" t="s">
        <v>7270</v>
      </c>
      <c r="F654" s="172" t="s">
        <v>7271</v>
      </c>
      <c r="G654" s="159" t="s">
        <v>38</v>
      </c>
      <c r="H654" s="160" t="s">
        <v>7272</v>
      </c>
      <c r="I654" s="170" t="s">
        <v>33</v>
      </c>
      <c r="J654" s="162" t="s">
        <v>7273</v>
      </c>
      <c r="K654" s="157" t="s">
        <v>7274</v>
      </c>
    </row>
    <row r="655" spans="1:11" ht="14.25" customHeight="1">
      <c r="A655" s="164"/>
      <c r="B655" s="164"/>
      <c r="C655" s="164"/>
      <c r="D655" s="164"/>
      <c r="E655" s="163" t="s">
        <v>7275</v>
      </c>
      <c r="F655" s="164"/>
      <c r="G655" s="166"/>
      <c r="H655" s="167"/>
      <c r="I655" s="168"/>
      <c r="J655" s="167"/>
      <c r="K655" s="157" t="s">
        <v>7276</v>
      </c>
    </row>
    <row r="656" spans="1:11" ht="14.25" customHeight="1">
      <c r="A656" s="164"/>
      <c r="B656" s="164"/>
      <c r="C656" s="164"/>
      <c r="D656" s="156" t="s">
        <v>7277</v>
      </c>
      <c r="E656" s="163" t="s">
        <v>7278</v>
      </c>
      <c r="F656" s="172" t="s">
        <v>7279</v>
      </c>
      <c r="G656" s="159" t="s">
        <v>16</v>
      </c>
      <c r="H656" s="160" t="s">
        <v>6793</v>
      </c>
      <c r="I656" s="161" t="s">
        <v>19</v>
      </c>
      <c r="J656" s="162" t="s">
        <v>7280</v>
      </c>
      <c r="K656" s="157" t="s">
        <v>7281</v>
      </c>
    </row>
    <row r="657" spans="1:11" ht="14.25" customHeight="1">
      <c r="A657" s="164"/>
      <c r="B657" s="164"/>
      <c r="C657" s="164"/>
      <c r="D657" s="164"/>
      <c r="E657" s="163" t="s">
        <v>7282</v>
      </c>
      <c r="F657" s="164"/>
      <c r="G657" s="166"/>
      <c r="H657" s="167"/>
      <c r="I657" s="168"/>
      <c r="J657" s="167"/>
      <c r="K657" s="157" t="s">
        <v>7283</v>
      </c>
    </row>
    <row r="658" spans="1:11" ht="14.25" customHeight="1">
      <c r="A658" s="164"/>
      <c r="B658" s="164"/>
      <c r="C658" s="164"/>
      <c r="D658" s="156" t="s">
        <v>7284</v>
      </c>
      <c r="E658" s="163" t="s">
        <v>7285</v>
      </c>
      <c r="F658" s="172" t="s">
        <v>7286</v>
      </c>
      <c r="G658" s="159" t="s">
        <v>16</v>
      </c>
      <c r="H658" s="160" t="s">
        <v>7287</v>
      </c>
      <c r="I658" s="170" t="s">
        <v>33</v>
      </c>
      <c r="J658" s="162" t="s">
        <v>7288</v>
      </c>
      <c r="K658" s="157" t="s">
        <v>7289</v>
      </c>
    </row>
    <row r="659" spans="1:11" ht="14.25" customHeight="1">
      <c r="A659" s="164"/>
      <c r="B659" s="164"/>
      <c r="C659" s="164"/>
      <c r="D659" s="164"/>
      <c r="E659" s="163" t="s">
        <v>7290</v>
      </c>
      <c r="F659" s="164"/>
      <c r="G659" s="166"/>
      <c r="H659" s="167"/>
      <c r="I659" s="168"/>
      <c r="J659" s="167"/>
      <c r="K659" s="157" t="s">
        <v>7291</v>
      </c>
    </row>
    <row r="660" spans="1:11" ht="14.25" customHeight="1">
      <c r="A660" s="164"/>
      <c r="B660" s="164"/>
      <c r="C660" s="156" t="s">
        <v>7292</v>
      </c>
      <c r="D660" s="156" t="s">
        <v>7293</v>
      </c>
      <c r="E660" s="163" t="s">
        <v>7294</v>
      </c>
      <c r="F660" s="172" t="s">
        <v>7295</v>
      </c>
      <c r="G660" s="159" t="s">
        <v>16</v>
      </c>
      <c r="H660" s="160" t="s">
        <v>7296</v>
      </c>
      <c r="I660" s="169" t="s">
        <v>41</v>
      </c>
      <c r="J660" s="162" t="s">
        <v>7297</v>
      </c>
      <c r="K660" s="157" t="s">
        <v>7298</v>
      </c>
    </row>
    <row r="661" spans="1:11" ht="14.25" customHeight="1">
      <c r="A661" s="164"/>
      <c r="B661" s="164"/>
      <c r="C661" s="164"/>
      <c r="D661" s="164"/>
      <c r="E661" s="163" t="s">
        <v>7299</v>
      </c>
      <c r="F661" s="164"/>
      <c r="G661" s="166"/>
      <c r="H661" s="167"/>
      <c r="I661" s="168"/>
      <c r="J661" s="167"/>
      <c r="K661" s="157" t="s">
        <v>7300</v>
      </c>
    </row>
    <row r="662" spans="1:11" ht="14.25" customHeight="1">
      <c r="A662" s="164"/>
      <c r="B662" s="164"/>
      <c r="C662" s="164"/>
      <c r="D662" s="156" t="s">
        <v>7301</v>
      </c>
      <c r="E662" s="163" t="s">
        <v>7302</v>
      </c>
      <c r="F662" s="172" t="s">
        <v>7301</v>
      </c>
      <c r="G662" s="159" t="s">
        <v>38</v>
      </c>
      <c r="H662" s="160" t="s">
        <v>7303</v>
      </c>
      <c r="I662" s="169" t="s">
        <v>41</v>
      </c>
      <c r="J662" s="162" t="s">
        <v>7304</v>
      </c>
      <c r="K662" s="157" t="s">
        <v>7305</v>
      </c>
    </row>
    <row r="663" spans="1:11" ht="14.25" customHeight="1">
      <c r="A663" s="164"/>
      <c r="B663" s="164"/>
      <c r="C663" s="164"/>
      <c r="D663" s="164"/>
      <c r="E663" s="163" t="s">
        <v>7306</v>
      </c>
      <c r="F663" s="164"/>
      <c r="G663" s="166"/>
      <c r="H663" s="167"/>
      <c r="I663" s="168"/>
      <c r="J663" s="167"/>
      <c r="K663" s="157" t="s">
        <v>7307</v>
      </c>
    </row>
    <row r="664" spans="1:11" ht="14.25" customHeight="1">
      <c r="A664" s="164"/>
      <c r="B664" s="164"/>
      <c r="C664" s="164"/>
      <c r="D664" s="156" t="s">
        <v>7308</v>
      </c>
      <c r="E664" s="163" t="s">
        <v>7309</v>
      </c>
      <c r="F664" s="172" t="s">
        <v>7310</v>
      </c>
      <c r="G664" s="159" t="s">
        <v>200</v>
      </c>
      <c r="H664" s="160" t="s">
        <v>7311</v>
      </c>
      <c r="I664" s="170" t="s">
        <v>33</v>
      </c>
      <c r="J664" s="162" t="s">
        <v>7312</v>
      </c>
      <c r="K664" s="157" t="s">
        <v>7313</v>
      </c>
    </row>
    <row r="665" spans="1:11" ht="14.25" customHeight="1">
      <c r="A665" s="164"/>
      <c r="B665" s="164"/>
      <c r="C665" s="164"/>
      <c r="D665" s="164"/>
      <c r="E665" s="163" t="s">
        <v>7314</v>
      </c>
      <c r="F665" s="164"/>
      <c r="G665" s="166"/>
      <c r="H665" s="167"/>
      <c r="I665" s="168"/>
      <c r="J665" s="167"/>
      <c r="K665" s="157" t="s">
        <v>7315</v>
      </c>
    </row>
    <row r="666" spans="1:11" ht="14.25" customHeight="1">
      <c r="A666" s="164"/>
      <c r="B666" s="164"/>
      <c r="C666" s="164"/>
      <c r="D666" s="156" t="s">
        <v>7316</v>
      </c>
      <c r="E666" s="163" t="s">
        <v>7317</v>
      </c>
      <c r="F666" s="172" t="s">
        <v>7318</v>
      </c>
      <c r="G666" s="159" t="s">
        <v>38</v>
      </c>
      <c r="H666" s="160" t="s">
        <v>7319</v>
      </c>
      <c r="I666" s="161" t="s">
        <v>19</v>
      </c>
      <c r="J666" s="162" t="s">
        <v>7320</v>
      </c>
      <c r="K666" s="157" t="s">
        <v>7321</v>
      </c>
    </row>
    <row r="667" spans="1:11" ht="14.25" customHeight="1">
      <c r="A667" s="164"/>
      <c r="B667" s="164"/>
      <c r="C667" s="164"/>
      <c r="D667" s="164"/>
      <c r="E667" s="163" t="s">
        <v>7322</v>
      </c>
      <c r="F667" s="164"/>
      <c r="G667" s="166"/>
      <c r="H667" s="167"/>
      <c r="I667" s="168"/>
      <c r="J667" s="167"/>
      <c r="K667" s="157" t="s">
        <v>7300</v>
      </c>
    </row>
    <row r="668" spans="1:11" ht="14.25" customHeight="1">
      <c r="A668" s="164"/>
      <c r="B668" s="164"/>
      <c r="C668" s="164"/>
      <c r="D668" s="156" t="s">
        <v>7323</v>
      </c>
      <c r="E668" s="163" t="s">
        <v>7324</v>
      </c>
      <c r="F668" s="172" t="s">
        <v>7325</v>
      </c>
      <c r="G668" s="159" t="s">
        <v>38</v>
      </c>
      <c r="H668" s="160" t="s">
        <v>7326</v>
      </c>
      <c r="I668" s="170" t="s">
        <v>33</v>
      </c>
      <c r="J668" s="162" t="s">
        <v>7327</v>
      </c>
      <c r="K668" s="157" t="s">
        <v>7305</v>
      </c>
    </row>
    <row r="669" spans="1:11" ht="14.25" customHeight="1">
      <c r="A669" s="164"/>
      <c r="B669" s="164"/>
      <c r="C669" s="164"/>
      <c r="D669" s="164"/>
      <c r="E669" s="163" t="s">
        <v>7328</v>
      </c>
      <c r="F669" s="164"/>
      <c r="G669" s="166"/>
      <c r="H669" s="167"/>
      <c r="I669" s="168"/>
      <c r="J669" s="167"/>
      <c r="K669" s="157" t="s">
        <v>7307</v>
      </c>
    </row>
    <row r="670" spans="1:11" ht="14.25" customHeight="1">
      <c r="A670" s="164"/>
      <c r="B670" s="164"/>
      <c r="C670" s="156" t="s">
        <v>7329</v>
      </c>
      <c r="D670" s="156" t="s">
        <v>7330</v>
      </c>
      <c r="E670" s="163" t="s">
        <v>7331</v>
      </c>
      <c r="F670" s="172" t="s">
        <v>7332</v>
      </c>
      <c r="G670" s="159" t="s">
        <v>16</v>
      </c>
      <c r="H670" s="160" t="s">
        <v>6325</v>
      </c>
      <c r="I670" s="169" t="s">
        <v>41</v>
      </c>
      <c r="J670" s="162" t="s">
        <v>7333</v>
      </c>
      <c r="K670" s="157" t="s">
        <v>7313</v>
      </c>
    </row>
    <row r="671" spans="1:11" ht="14.25" customHeight="1">
      <c r="A671" s="164"/>
      <c r="B671" s="164"/>
      <c r="C671" s="164"/>
      <c r="D671" s="164"/>
      <c r="E671" s="163" t="s">
        <v>7334</v>
      </c>
      <c r="F671" s="164"/>
      <c r="G671" s="166"/>
      <c r="H671" s="167"/>
      <c r="I671" s="168"/>
      <c r="J671" s="167"/>
      <c r="K671" s="157" t="s">
        <v>7315</v>
      </c>
    </row>
    <row r="672" spans="1:11" ht="14.25" customHeight="1">
      <c r="A672" s="164"/>
      <c r="B672" s="164"/>
      <c r="C672" s="164"/>
      <c r="D672" s="156" t="s">
        <v>7335</v>
      </c>
      <c r="E672" s="163" t="s">
        <v>7330</v>
      </c>
      <c r="F672" s="172" t="s">
        <v>7336</v>
      </c>
      <c r="G672" s="159" t="s">
        <v>16</v>
      </c>
      <c r="H672" s="160" t="s">
        <v>7337</v>
      </c>
      <c r="I672" s="169" t="s">
        <v>41</v>
      </c>
      <c r="J672" s="162" t="s">
        <v>7338</v>
      </c>
      <c r="K672" s="157" t="s">
        <v>7321</v>
      </c>
    </row>
    <row r="673" spans="1:11" ht="14.25" customHeight="1">
      <c r="A673" s="164"/>
      <c r="B673" s="164"/>
      <c r="C673" s="164"/>
      <c r="D673" s="164"/>
      <c r="E673" s="163" t="s">
        <v>7339</v>
      </c>
      <c r="F673" s="164"/>
      <c r="G673" s="166"/>
      <c r="H673" s="167"/>
      <c r="I673" s="168"/>
      <c r="J673" s="167"/>
      <c r="K673" s="157" t="s">
        <v>7300</v>
      </c>
    </row>
    <row r="674" spans="1:11" ht="14.25" customHeight="1">
      <c r="A674" s="164"/>
      <c r="B674" s="164"/>
      <c r="C674" s="164"/>
      <c r="D674" s="156" t="s">
        <v>7340</v>
      </c>
      <c r="E674" s="163" t="s">
        <v>7341</v>
      </c>
      <c r="F674" s="172" t="s">
        <v>7342</v>
      </c>
      <c r="G674" s="159" t="s">
        <v>16</v>
      </c>
      <c r="H674" s="160" t="s">
        <v>7343</v>
      </c>
      <c r="I674" s="170" t="s">
        <v>33</v>
      </c>
      <c r="J674" s="162" t="s">
        <v>7344</v>
      </c>
      <c r="K674" s="157" t="s">
        <v>7305</v>
      </c>
    </row>
    <row r="675" spans="1:11" ht="14.25" customHeight="1">
      <c r="A675" s="164"/>
      <c r="B675" s="164"/>
      <c r="C675" s="164"/>
      <c r="D675" s="164"/>
      <c r="E675" s="163" t="s">
        <v>7345</v>
      </c>
      <c r="F675" s="164"/>
      <c r="G675" s="166"/>
      <c r="H675" s="167"/>
      <c r="I675" s="168"/>
      <c r="J675" s="167"/>
      <c r="K675" s="157" t="s">
        <v>7307</v>
      </c>
    </row>
    <row r="676" spans="1:11" ht="14.25" customHeight="1">
      <c r="A676" s="164"/>
      <c r="B676" s="164"/>
      <c r="C676" s="164"/>
      <c r="D676" s="156" t="s">
        <v>7346</v>
      </c>
      <c r="E676" s="163" t="s">
        <v>7347</v>
      </c>
      <c r="F676" s="172" t="s">
        <v>7348</v>
      </c>
      <c r="G676" s="159" t="s">
        <v>38</v>
      </c>
      <c r="H676" s="160" t="s">
        <v>7349</v>
      </c>
      <c r="I676" s="161" t="s">
        <v>19</v>
      </c>
      <c r="J676" s="162" t="s">
        <v>7350</v>
      </c>
      <c r="K676" s="157" t="s">
        <v>7313</v>
      </c>
    </row>
    <row r="677" spans="1:11" ht="14.25" customHeight="1">
      <c r="A677" s="164"/>
      <c r="B677" s="164"/>
      <c r="C677" s="164"/>
      <c r="D677" s="164"/>
      <c r="E677" s="163" t="s">
        <v>7351</v>
      </c>
      <c r="F677" s="164"/>
      <c r="G677" s="166"/>
      <c r="H677" s="167"/>
      <c r="I677" s="168"/>
      <c r="J677" s="167"/>
      <c r="K677" s="157" t="s">
        <v>7315</v>
      </c>
    </row>
    <row r="678" spans="1:11" ht="14.25" customHeight="1">
      <c r="A678" s="164"/>
      <c r="B678" s="164"/>
      <c r="C678" s="164"/>
      <c r="D678" s="156" t="s">
        <v>7352</v>
      </c>
      <c r="E678" s="163" t="s">
        <v>7353</v>
      </c>
      <c r="F678" s="172" t="s">
        <v>7354</v>
      </c>
      <c r="G678" s="159" t="s">
        <v>200</v>
      </c>
      <c r="H678" s="160" t="s">
        <v>7355</v>
      </c>
      <c r="I678" s="170" t="s">
        <v>33</v>
      </c>
      <c r="J678" s="162" t="s">
        <v>7356</v>
      </c>
      <c r="K678" s="157" t="s">
        <v>7321</v>
      </c>
    </row>
    <row r="679" spans="1:11" ht="14.25" customHeight="1">
      <c r="A679" s="164"/>
      <c r="B679" s="164"/>
      <c r="C679" s="164"/>
      <c r="D679" s="164"/>
      <c r="E679" s="163" t="s">
        <v>6597</v>
      </c>
      <c r="F679" s="164"/>
      <c r="G679" s="166"/>
      <c r="H679" s="167"/>
      <c r="I679" s="168"/>
      <c r="J679" s="167"/>
      <c r="K679" s="157" t="s">
        <v>7300</v>
      </c>
    </row>
    <row r="680" spans="1:11" ht="14.25" customHeight="1">
      <c r="A680" s="164"/>
      <c r="B680" s="164"/>
      <c r="C680" s="156" t="s">
        <v>7357</v>
      </c>
      <c r="D680" s="156" t="s">
        <v>7358</v>
      </c>
      <c r="E680" s="163" t="s">
        <v>7352</v>
      </c>
      <c r="F680" s="172" t="s">
        <v>7359</v>
      </c>
      <c r="G680" s="159" t="s">
        <v>38</v>
      </c>
      <c r="H680" s="160" t="s">
        <v>7360</v>
      </c>
      <c r="I680" s="169" t="s">
        <v>41</v>
      </c>
      <c r="J680" s="162" t="s">
        <v>7361</v>
      </c>
      <c r="K680" s="157" t="s">
        <v>7305</v>
      </c>
    </row>
    <row r="681" spans="1:11" ht="14.25" customHeight="1">
      <c r="A681" s="164"/>
      <c r="B681" s="164"/>
      <c r="C681" s="164"/>
      <c r="D681" s="164"/>
      <c r="E681" s="163" t="s">
        <v>7362</v>
      </c>
      <c r="F681" s="164"/>
      <c r="G681" s="166"/>
      <c r="H681" s="167"/>
      <c r="I681" s="168"/>
      <c r="J681" s="167"/>
      <c r="K681" s="157" t="s">
        <v>7307</v>
      </c>
    </row>
    <row r="682" spans="1:11" ht="14.25" customHeight="1">
      <c r="A682" s="164"/>
      <c r="B682" s="164"/>
      <c r="C682" s="164"/>
      <c r="D682" s="156" t="s">
        <v>7363</v>
      </c>
      <c r="E682" s="163" t="s">
        <v>7358</v>
      </c>
      <c r="F682" s="172" t="s">
        <v>7364</v>
      </c>
      <c r="G682" s="159" t="s">
        <v>38</v>
      </c>
      <c r="H682" s="160" t="s">
        <v>6396</v>
      </c>
      <c r="I682" s="169" t="s">
        <v>41</v>
      </c>
      <c r="J682" s="162" t="s">
        <v>7365</v>
      </c>
      <c r="K682" s="157" t="s">
        <v>7313</v>
      </c>
    </row>
    <row r="683" spans="1:11" ht="14.25" customHeight="1">
      <c r="A683" s="164"/>
      <c r="B683" s="164"/>
      <c r="C683" s="164"/>
      <c r="D683" s="164"/>
      <c r="E683" s="163" t="s">
        <v>7366</v>
      </c>
      <c r="F683" s="164"/>
      <c r="G683" s="166"/>
      <c r="H683" s="167"/>
      <c r="I683" s="168"/>
      <c r="J683" s="167"/>
      <c r="K683" s="157" t="s">
        <v>7315</v>
      </c>
    </row>
    <row r="684" spans="1:11" ht="14.25" customHeight="1">
      <c r="A684" s="164"/>
      <c r="B684" s="164"/>
      <c r="C684" s="164"/>
      <c r="D684" s="156" t="s">
        <v>7367</v>
      </c>
      <c r="E684" s="163" t="s">
        <v>7368</v>
      </c>
      <c r="F684" s="172" t="s">
        <v>7369</v>
      </c>
      <c r="G684" s="159" t="s">
        <v>16</v>
      </c>
      <c r="H684" s="160" t="s">
        <v>7370</v>
      </c>
      <c r="I684" s="170" t="s">
        <v>33</v>
      </c>
      <c r="J684" s="162" t="s">
        <v>7371</v>
      </c>
      <c r="K684" s="157" t="s">
        <v>7321</v>
      </c>
    </row>
    <row r="685" spans="1:11" ht="14.25" customHeight="1">
      <c r="A685" s="164"/>
      <c r="B685" s="164"/>
      <c r="C685" s="164"/>
      <c r="D685" s="164"/>
      <c r="E685" s="163" t="s">
        <v>7372</v>
      </c>
      <c r="F685" s="164"/>
      <c r="G685" s="166"/>
      <c r="H685" s="167"/>
      <c r="I685" s="168"/>
      <c r="J685" s="167"/>
      <c r="K685" s="157" t="s">
        <v>7300</v>
      </c>
    </row>
    <row r="686" spans="1:11" ht="14.25" customHeight="1">
      <c r="A686" s="164"/>
      <c r="B686" s="164"/>
      <c r="C686" s="164"/>
      <c r="D686" s="156" t="s">
        <v>7373</v>
      </c>
      <c r="E686" s="163" t="s">
        <v>7367</v>
      </c>
      <c r="F686" s="172" t="s">
        <v>7374</v>
      </c>
      <c r="G686" s="159" t="s">
        <v>16</v>
      </c>
      <c r="H686" s="160" t="s">
        <v>6949</v>
      </c>
      <c r="I686" s="161" t="s">
        <v>19</v>
      </c>
      <c r="J686" s="162" t="s">
        <v>7375</v>
      </c>
      <c r="K686" s="157" t="s">
        <v>7305</v>
      </c>
    </row>
    <row r="687" spans="1:11" ht="14.25" customHeight="1">
      <c r="A687" s="164"/>
      <c r="B687" s="164"/>
      <c r="C687" s="164"/>
      <c r="D687" s="164"/>
      <c r="E687" s="163" t="s">
        <v>7376</v>
      </c>
      <c r="F687" s="164"/>
      <c r="G687" s="166"/>
      <c r="H687" s="167"/>
      <c r="I687" s="168"/>
      <c r="J687" s="167"/>
      <c r="K687" s="157" t="s">
        <v>7307</v>
      </c>
    </row>
    <row r="688" spans="1:11" ht="14.25" customHeight="1">
      <c r="A688" s="164"/>
      <c r="B688" s="164"/>
      <c r="C688" s="164"/>
      <c r="D688" s="156" t="s">
        <v>7377</v>
      </c>
      <c r="E688" s="163" t="s">
        <v>7378</v>
      </c>
      <c r="F688" s="172" t="s">
        <v>7379</v>
      </c>
      <c r="G688" s="159" t="s">
        <v>16</v>
      </c>
      <c r="H688" s="160" t="s">
        <v>7380</v>
      </c>
      <c r="I688" s="170" t="s">
        <v>33</v>
      </c>
      <c r="J688" s="162" t="s">
        <v>7381</v>
      </c>
      <c r="K688" s="157" t="s">
        <v>7313</v>
      </c>
    </row>
    <row r="689" spans="1:11" ht="14.25" customHeight="1">
      <c r="A689" s="164"/>
      <c r="B689" s="164"/>
      <c r="C689" s="164"/>
      <c r="D689" s="164"/>
      <c r="E689" s="163" t="s">
        <v>7382</v>
      </c>
      <c r="F689" s="164"/>
      <c r="G689" s="166"/>
      <c r="H689" s="167"/>
      <c r="I689" s="168"/>
      <c r="J689" s="167"/>
      <c r="K689" s="157" t="s">
        <v>7315</v>
      </c>
    </row>
    <row r="690" spans="1:11" ht="14.25" customHeight="1">
      <c r="A690" s="164"/>
      <c r="B690" s="164"/>
      <c r="C690" s="156" t="s">
        <v>7383</v>
      </c>
      <c r="D690" s="156" t="s">
        <v>7384</v>
      </c>
      <c r="E690" s="163" t="s">
        <v>7385</v>
      </c>
      <c r="F690" s="172" t="s">
        <v>7386</v>
      </c>
      <c r="G690" s="159" t="s">
        <v>38</v>
      </c>
      <c r="H690" s="160" t="s">
        <v>7387</v>
      </c>
      <c r="I690" s="169" t="s">
        <v>41</v>
      </c>
      <c r="J690" s="162" t="s">
        <v>7388</v>
      </c>
      <c r="K690" s="157" t="s">
        <v>7389</v>
      </c>
    </row>
    <row r="691" spans="1:11" ht="14.25" customHeight="1">
      <c r="A691" s="164"/>
      <c r="B691" s="164"/>
      <c r="C691" s="164"/>
      <c r="D691" s="164"/>
      <c r="E691" s="163" t="s">
        <v>7390</v>
      </c>
      <c r="F691" s="164"/>
      <c r="G691" s="166"/>
      <c r="H691" s="167"/>
      <c r="I691" s="168"/>
      <c r="J691" s="167"/>
      <c r="K691" s="157" t="s">
        <v>7391</v>
      </c>
    </row>
    <row r="692" spans="1:11" ht="14.25" customHeight="1">
      <c r="A692" s="164"/>
      <c r="B692" s="164"/>
      <c r="C692" s="164"/>
      <c r="D692" s="156" t="s">
        <v>7392</v>
      </c>
      <c r="E692" s="163" t="s">
        <v>7393</v>
      </c>
      <c r="F692" s="172" t="s">
        <v>7394</v>
      </c>
      <c r="G692" s="159" t="s">
        <v>200</v>
      </c>
      <c r="H692" s="160" t="s">
        <v>7395</v>
      </c>
      <c r="I692" s="169" t="s">
        <v>41</v>
      </c>
      <c r="J692" s="162" t="s">
        <v>7396</v>
      </c>
      <c r="K692" s="157" t="s">
        <v>7397</v>
      </c>
    </row>
    <row r="693" spans="1:11" ht="14.25" customHeight="1">
      <c r="A693" s="164"/>
      <c r="B693" s="164"/>
      <c r="C693" s="164"/>
      <c r="D693" s="164"/>
      <c r="E693" s="163" t="s">
        <v>7398</v>
      </c>
      <c r="F693" s="164"/>
      <c r="G693" s="166"/>
      <c r="H693" s="167"/>
      <c r="I693" s="168"/>
      <c r="J693" s="167"/>
      <c r="K693" s="157" t="s">
        <v>7399</v>
      </c>
    </row>
    <row r="694" spans="1:11" ht="14.25" customHeight="1">
      <c r="A694" s="164"/>
      <c r="B694" s="164"/>
      <c r="C694" s="164"/>
      <c r="D694" s="156" t="s">
        <v>7400</v>
      </c>
      <c r="E694" s="163" t="s">
        <v>7401</v>
      </c>
      <c r="F694" s="172" t="s">
        <v>7402</v>
      </c>
      <c r="G694" s="159" t="s">
        <v>38</v>
      </c>
      <c r="H694" s="160" t="s">
        <v>7403</v>
      </c>
      <c r="I694" s="170" t="s">
        <v>33</v>
      </c>
      <c r="J694" s="162" t="s">
        <v>7404</v>
      </c>
      <c r="K694" s="157" t="s">
        <v>7405</v>
      </c>
    </row>
    <row r="695" spans="1:11" ht="14.25" customHeight="1">
      <c r="A695" s="164"/>
      <c r="B695" s="164"/>
      <c r="C695" s="164"/>
      <c r="D695" s="164"/>
      <c r="E695" s="163" t="s">
        <v>7406</v>
      </c>
      <c r="F695" s="164"/>
      <c r="G695" s="166"/>
      <c r="H695" s="167"/>
      <c r="I695" s="168"/>
      <c r="J695" s="167"/>
      <c r="K695" s="157" t="s">
        <v>7407</v>
      </c>
    </row>
    <row r="696" spans="1:11" ht="14.25" customHeight="1">
      <c r="A696" s="164"/>
      <c r="B696" s="164"/>
      <c r="C696" s="164"/>
      <c r="D696" s="156" t="s">
        <v>7408</v>
      </c>
      <c r="E696" s="163" t="s">
        <v>7409</v>
      </c>
      <c r="F696" s="172" t="s">
        <v>7410</v>
      </c>
      <c r="G696" s="159" t="s">
        <v>38</v>
      </c>
      <c r="H696" s="160" t="s">
        <v>7411</v>
      </c>
      <c r="I696" s="161" t="s">
        <v>19</v>
      </c>
      <c r="J696" s="162" t="s">
        <v>7412</v>
      </c>
      <c r="K696" s="157" t="s">
        <v>7413</v>
      </c>
    </row>
    <row r="697" spans="1:11" ht="14.25" customHeight="1">
      <c r="A697" s="164"/>
      <c r="B697" s="164"/>
      <c r="C697" s="164"/>
      <c r="D697" s="164"/>
      <c r="E697" s="163" t="s">
        <v>2416</v>
      </c>
      <c r="F697" s="164"/>
      <c r="G697" s="166"/>
      <c r="H697" s="167"/>
      <c r="I697" s="168"/>
      <c r="J697" s="167"/>
      <c r="K697" s="157" t="s">
        <v>7414</v>
      </c>
    </row>
    <row r="698" spans="1:11" ht="14.25" customHeight="1">
      <c r="A698" s="164"/>
      <c r="B698" s="164"/>
      <c r="C698" s="164"/>
      <c r="D698" s="156" t="s">
        <v>7415</v>
      </c>
      <c r="E698" s="163" t="s">
        <v>7416</v>
      </c>
      <c r="F698" s="172" t="s">
        <v>7417</v>
      </c>
      <c r="G698" s="159" t="s">
        <v>16</v>
      </c>
      <c r="H698" s="160" t="s">
        <v>7418</v>
      </c>
      <c r="I698" s="170" t="s">
        <v>33</v>
      </c>
      <c r="J698" s="162" t="s">
        <v>7419</v>
      </c>
      <c r="K698" s="157" t="s">
        <v>7420</v>
      </c>
    </row>
    <row r="699" spans="1:11" ht="14.25" customHeight="1">
      <c r="A699" s="164"/>
      <c r="B699" s="164"/>
      <c r="C699" s="164"/>
      <c r="D699" s="164"/>
      <c r="E699" s="163" t="s">
        <v>7421</v>
      </c>
      <c r="F699" s="164"/>
      <c r="G699" s="166"/>
      <c r="H699" s="167"/>
      <c r="I699" s="168"/>
      <c r="J699" s="167"/>
      <c r="K699" s="157" t="s">
        <v>7422</v>
      </c>
    </row>
    <row r="700" spans="1:11" ht="14.25" customHeight="1">
      <c r="A700" s="164"/>
      <c r="B700" s="155" t="s">
        <v>7423</v>
      </c>
      <c r="C700" s="156" t="s">
        <v>7424</v>
      </c>
      <c r="D700" s="156" t="s">
        <v>7425</v>
      </c>
      <c r="E700" s="163" t="s">
        <v>7426</v>
      </c>
      <c r="F700" s="172" t="s">
        <v>7427</v>
      </c>
      <c r="G700" s="159" t="s">
        <v>16</v>
      </c>
      <c r="H700" s="160" t="s">
        <v>7428</v>
      </c>
      <c r="I700" s="169" t="s">
        <v>41</v>
      </c>
      <c r="J700" s="162" t="s">
        <v>7429</v>
      </c>
      <c r="K700" s="157" t="s">
        <v>7430</v>
      </c>
    </row>
    <row r="701" spans="1:11" ht="14.25" customHeight="1">
      <c r="A701" s="164"/>
      <c r="B701" s="164"/>
      <c r="C701" s="164"/>
      <c r="D701" s="164"/>
      <c r="E701" s="163" t="s">
        <v>7431</v>
      </c>
      <c r="F701" s="164"/>
      <c r="G701" s="166"/>
      <c r="H701" s="167"/>
      <c r="I701" s="168"/>
      <c r="J701" s="167"/>
      <c r="K701" s="157" t="s">
        <v>7432</v>
      </c>
    </row>
    <row r="702" spans="1:11" ht="14.25" customHeight="1">
      <c r="A702" s="164"/>
      <c r="B702" s="164"/>
      <c r="C702" s="164"/>
      <c r="D702" s="156" t="s">
        <v>7433</v>
      </c>
      <c r="E702" s="163" t="s">
        <v>7434</v>
      </c>
      <c r="F702" s="172" t="s">
        <v>7435</v>
      </c>
      <c r="G702" s="159" t="s">
        <v>16</v>
      </c>
      <c r="H702" s="160" t="s">
        <v>7436</v>
      </c>
      <c r="I702" s="169" t="s">
        <v>41</v>
      </c>
      <c r="J702" s="162" t="s">
        <v>7437</v>
      </c>
      <c r="K702" s="157" t="s">
        <v>7438</v>
      </c>
    </row>
    <row r="703" spans="1:11" ht="14.25" customHeight="1">
      <c r="A703" s="164"/>
      <c r="B703" s="164"/>
      <c r="C703" s="164"/>
      <c r="D703" s="164"/>
      <c r="E703" s="163" t="s">
        <v>7439</v>
      </c>
      <c r="F703" s="164"/>
      <c r="G703" s="166"/>
      <c r="H703" s="167"/>
      <c r="I703" s="168"/>
      <c r="J703" s="167"/>
      <c r="K703" s="157" t="s">
        <v>7440</v>
      </c>
    </row>
    <row r="704" spans="1:11" ht="14.25" customHeight="1">
      <c r="A704" s="164"/>
      <c r="B704" s="164"/>
      <c r="C704" s="164"/>
      <c r="D704" s="156" t="s">
        <v>7441</v>
      </c>
      <c r="E704" s="163" t="s">
        <v>7442</v>
      </c>
      <c r="F704" s="172" t="s">
        <v>7443</v>
      </c>
      <c r="G704" s="159" t="s">
        <v>38</v>
      </c>
      <c r="H704" s="160" t="s">
        <v>7444</v>
      </c>
      <c r="I704" s="170" t="s">
        <v>33</v>
      </c>
      <c r="J704" s="162" t="s">
        <v>7445</v>
      </c>
      <c r="K704" s="157" t="s">
        <v>7446</v>
      </c>
    </row>
    <row r="705" spans="1:11" ht="14.25" customHeight="1">
      <c r="A705" s="164"/>
      <c r="B705" s="164"/>
      <c r="C705" s="164"/>
      <c r="D705" s="164"/>
      <c r="E705" s="163" t="s">
        <v>7447</v>
      </c>
      <c r="F705" s="164"/>
      <c r="G705" s="166"/>
      <c r="H705" s="167"/>
      <c r="I705" s="168"/>
      <c r="J705" s="167"/>
      <c r="K705" s="157" t="s">
        <v>7448</v>
      </c>
    </row>
    <row r="706" spans="1:11" ht="14.25" customHeight="1">
      <c r="A706" s="164"/>
      <c r="B706" s="164"/>
      <c r="C706" s="164"/>
      <c r="D706" s="156" t="s">
        <v>7449</v>
      </c>
      <c r="E706" s="163" t="s">
        <v>7450</v>
      </c>
      <c r="F706" s="172" t="s">
        <v>7451</v>
      </c>
      <c r="G706" s="159" t="s">
        <v>200</v>
      </c>
      <c r="H706" s="160" t="s">
        <v>7452</v>
      </c>
      <c r="I706" s="161" t="s">
        <v>19</v>
      </c>
      <c r="J706" s="162" t="s">
        <v>7453</v>
      </c>
      <c r="K706" s="157" t="s">
        <v>7454</v>
      </c>
    </row>
    <row r="707" spans="1:11" ht="14.25" customHeight="1">
      <c r="A707" s="164"/>
      <c r="B707" s="164"/>
      <c r="C707" s="164"/>
      <c r="D707" s="164"/>
      <c r="E707" s="163" t="s">
        <v>7455</v>
      </c>
      <c r="F707" s="164"/>
      <c r="G707" s="166"/>
      <c r="H707" s="167"/>
      <c r="I707" s="168"/>
      <c r="J707" s="167"/>
      <c r="K707" s="157" t="s">
        <v>7456</v>
      </c>
    </row>
    <row r="708" spans="1:11" ht="14.25" customHeight="1">
      <c r="A708" s="164"/>
      <c r="B708" s="164"/>
      <c r="C708" s="164"/>
      <c r="D708" s="156" t="s">
        <v>7457</v>
      </c>
      <c r="E708" s="163" t="s">
        <v>7458</v>
      </c>
      <c r="F708" s="172" t="s">
        <v>7459</v>
      </c>
      <c r="G708" s="159" t="s">
        <v>38</v>
      </c>
      <c r="H708" s="160" t="s">
        <v>7380</v>
      </c>
      <c r="I708" s="170" t="s">
        <v>33</v>
      </c>
      <c r="J708" s="162" t="s">
        <v>7460</v>
      </c>
      <c r="K708" s="157" t="s">
        <v>7461</v>
      </c>
    </row>
    <row r="709" spans="1:11" ht="14.25" customHeight="1">
      <c r="A709" s="164"/>
      <c r="B709" s="164"/>
      <c r="C709" s="164"/>
      <c r="D709" s="164"/>
      <c r="E709" s="163" t="s">
        <v>7462</v>
      </c>
      <c r="F709" s="164"/>
      <c r="G709" s="166"/>
      <c r="H709" s="167"/>
      <c r="I709" s="168"/>
      <c r="J709" s="167"/>
      <c r="K709" s="157" t="s">
        <v>7463</v>
      </c>
    </row>
    <row r="710" spans="1:11" ht="14.25" customHeight="1">
      <c r="A710" s="164"/>
      <c r="B710" s="164"/>
      <c r="C710" s="156" t="s">
        <v>7464</v>
      </c>
      <c r="D710" s="156" t="s">
        <v>7465</v>
      </c>
      <c r="E710" s="163" t="s">
        <v>7466</v>
      </c>
      <c r="F710" s="172" t="s">
        <v>7467</v>
      </c>
      <c r="G710" s="159" t="s">
        <v>38</v>
      </c>
      <c r="H710" s="160" t="s">
        <v>7468</v>
      </c>
      <c r="I710" s="169" t="s">
        <v>41</v>
      </c>
      <c r="J710" s="162" t="s">
        <v>7469</v>
      </c>
      <c r="K710" s="157" t="s">
        <v>7470</v>
      </c>
    </row>
    <row r="711" spans="1:11" ht="14.25" customHeight="1">
      <c r="A711" s="164"/>
      <c r="B711" s="164"/>
      <c r="C711" s="164"/>
      <c r="D711" s="164"/>
      <c r="E711" s="163" t="s">
        <v>7471</v>
      </c>
      <c r="F711" s="164"/>
      <c r="G711" s="166"/>
      <c r="H711" s="167"/>
      <c r="I711" s="168"/>
      <c r="J711" s="167"/>
      <c r="K711" s="157" t="s">
        <v>7472</v>
      </c>
    </row>
    <row r="712" spans="1:11" ht="14.25" customHeight="1">
      <c r="A712" s="164"/>
      <c r="B712" s="164"/>
      <c r="C712" s="164"/>
      <c r="D712" s="156" t="s">
        <v>7473</v>
      </c>
      <c r="E712" s="163" t="s">
        <v>7474</v>
      </c>
      <c r="F712" s="172" t="s">
        <v>7475</v>
      </c>
      <c r="G712" s="159" t="s">
        <v>16</v>
      </c>
      <c r="H712" s="160" t="s">
        <v>7476</v>
      </c>
      <c r="I712" s="169" t="s">
        <v>41</v>
      </c>
      <c r="J712" s="162" t="s">
        <v>7477</v>
      </c>
      <c r="K712" s="157" t="s">
        <v>7478</v>
      </c>
    </row>
    <row r="713" spans="1:11" ht="14.25" customHeight="1">
      <c r="A713" s="164"/>
      <c r="B713" s="164"/>
      <c r="C713" s="164"/>
      <c r="D713" s="164"/>
      <c r="E713" s="163" t="s">
        <v>7479</v>
      </c>
      <c r="F713" s="164"/>
      <c r="G713" s="166"/>
      <c r="H713" s="167"/>
      <c r="I713" s="168"/>
      <c r="J713" s="167"/>
      <c r="K713" s="157" t="s">
        <v>7480</v>
      </c>
    </row>
    <row r="714" spans="1:11" ht="14.25" customHeight="1">
      <c r="A714" s="164"/>
      <c r="B714" s="164"/>
      <c r="C714" s="164"/>
      <c r="D714" s="156" t="s">
        <v>7481</v>
      </c>
      <c r="E714" s="163" t="s">
        <v>7481</v>
      </c>
      <c r="F714" s="172" t="s">
        <v>7482</v>
      </c>
      <c r="G714" s="159" t="s">
        <v>16</v>
      </c>
      <c r="H714" s="160" t="s">
        <v>7483</v>
      </c>
      <c r="I714" s="170" t="s">
        <v>33</v>
      </c>
      <c r="J714" s="162" t="s">
        <v>7484</v>
      </c>
      <c r="K714" s="157" t="s">
        <v>7485</v>
      </c>
    </row>
    <row r="715" spans="1:11" ht="14.25" customHeight="1">
      <c r="A715" s="164"/>
      <c r="B715" s="164"/>
      <c r="C715" s="164"/>
      <c r="D715" s="164"/>
      <c r="E715" s="163" t="s">
        <v>7486</v>
      </c>
      <c r="F715" s="164"/>
      <c r="G715" s="166"/>
      <c r="H715" s="167"/>
      <c r="I715" s="168"/>
      <c r="J715" s="167"/>
      <c r="K715" s="157" t="s">
        <v>7487</v>
      </c>
    </row>
    <row r="716" spans="1:11" ht="14.25" customHeight="1">
      <c r="A716" s="164"/>
      <c r="B716" s="164"/>
      <c r="C716" s="164"/>
      <c r="D716" s="156" t="s">
        <v>7488</v>
      </c>
      <c r="E716" s="163" t="s">
        <v>7489</v>
      </c>
      <c r="F716" s="172" t="s">
        <v>7490</v>
      </c>
      <c r="G716" s="159" t="s">
        <v>16</v>
      </c>
      <c r="H716" s="160" t="s">
        <v>7370</v>
      </c>
      <c r="I716" s="161" t="s">
        <v>19</v>
      </c>
      <c r="J716" s="162" t="s">
        <v>7491</v>
      </c>
      <c r="K716" s="157" t="s">
        <v>7492</v>
      </c>
    </row>
    <row r="717" spans="1:11" ht="14.25" customHeight="1">
      <c r="A717" s="164"/>
      <c r="B717" s="164"/>
      <c r="C717" s="164"/>
      <c r="D717" s="164"/>
      <c r="E717" s="163" t="s">
        <v>7493</v>
      </c>
      <c r="F717" s="164"/>
      <c r="G717" s="166"/>
      <c r="H717" s="167"/>
      <c r="I717" s="168"/>
      <c r="J717" s="167"/>
      <c r="K717" s="157" t="s">
        <v>7494</v>
      </c>
    </row>
    <row r="718" spans="1:11" ht="14.25" customHeight="1">
      <c r="A718" s="164"/>
      <c r="B718" s="164"/>
      <c r="C718" s="164"/>
      <c r="D718" s="156" t="s">
        <v>7495</v>
      </c>
      <c r="E718" s="163" t="s">
        <v>7496</v>
      </c>
      <c r="F718" s="172" t="s">
        <v>7497</v>
      </c>
      <c r="G718" s="159" t="s">
        <v>38</v>
      </c>
      <c r="H718" s="160" t="s">
        <v>7380</v>
      </c>
      <c r="I718" s="170" t="s">
        <v>33</v>
      </c>
      <c r="J718" s="162" t="s">
        <v>7498</v>
      </c>
      <c r="K718" s="157" t="s">
        <v>7170</v>
      </c>
    </row>
    <row r="719" spans="1:11" ht="14.25" customHeight="1">
      <c r="A719" s="164"/>
      <c r="B719" s="164"/>
      <c r="C719" s="164"/>
      <c r="D719" s="164"/>
      <c r="E719" s="163" t="s">
        <v>7499</v>
      </c>
      <c r="F719" s="164"/>
      <c r="G719" s="166"/>
      <c r="H719" s="167"/>
      <c r="I719" s="168"/>
      <c r="J719" s="167"/>
      <c r="K719" s="157" t="s">
        <v>7500</v>
      </c>
    </row>
    <row r="720" spans="1:11" ht="14.25" customHeight="1">
      <c r="A720" s="164"/>
      <c r="B720" s="164"/>
      <c r="C720" s="156" t="s">
        <v>7501</v>
      </c>
      <c r="D720" s="156" t="s">
        <v>7502</v>
      </c>
      <c r="E720" s="163" t="s">
        <v>7502</v>
      </c>
      <c r="F720" s="172" t="s">
        <v>7503</v>
      </c>
      <c r="G720" s="159" t="s">
        <v>200</v>
      </c>
      <c r="H720" s="160" t="s">
        <v>7504</v>
      </c>
      <c r="I720" s="169" t="s">
        <v>41</v>
      </c>
      <c r="J720" s="162" t="s">
        <v>7505</v>
      </c>
      <c r="K720" s="157" t="s">
        <v>7305</v>
      </c>
    </row>
    <row r="721" spans="1:11" ht="14.25" customHeight="1">
      <c r="A721" s="164"/>
      <c r="B721" s="164"/>
      <c r="C721" s="164"/>
      <c r="D721" s="164"/>
      <c r="E721" s="163" t="s">
        <v>7506</v>
      </c>
      <c r="F721" s="164"/>
      <c r="G721" s="166"/>
      <c r="H721" s="167"/>
      <c r="I721" s="168"/>
      <c r="J721" s="167"/>
      <c r="K721" s="157" t="s">
        <v>7507</v>
      </c>
    </row>
    <row r="722" spans="1:11" ht="14.25" customHeight="1">
      <c r="A722" s="164"/>
      <c r="B722" s="164"/>
      <c r="C722" s="164"/>
      <c r="D722" s="156" t="s">
        <v>7508</v>
      </c>
      <c r="E722" s="163" t="s">
        <v>7509</v>
      </c>
      <c r="F722" s="172" t="s">
        <v>7510</v>
      </c>
      <c r="G722" s="159" t="s">
        <v>38</v>
      </c>
      <c r="H722" s="160" t="s">
        <v>7511</v>
      </c>
      <c r="I722" s="169" t="s">
        <v>41</v>
      </c>
      <c r="J722" s="162" t="s">
        <v>7512</v>
      </c>
      <c r="K722" s="157" t="s">
        <v>7513</v>
      </c>
    </row>
    <row r="723" spans="1:11" ht="14.25" customHeight="1">
      <c r="A723" s="164"/>
      <c r="B723" s="164"/>
      <c r="C723" s="164"/>
      <c r="D723" s="164"/>
      <c r="E723" s="163" t="s">
        <v>7514</v>
      </c>
      <c r="F723" s="164"/>
      <c r="G723" s="166"/>
      <c r="H723" s="167"/>
      <c r="I723" s="168"/>
      <c r="J723" s="167"/>
      <c r="K723" s="157" t="s">
        <v>7515</v>
      </c>
    </row>
    <row r="724" spans="1:11" ht="14.25" customHeight="1">
      <c r="A724" s="164"/>
      <c r="B724" s="164"/>
      <c r="C724" s="164"/>
      <c r="D724" s="156" t="s">
        <v>7516</v>
      </c>
      <c r="E724" s="163" t="s">
        <v>7517</v>
      </c>
      <c r="F724" s="172" t="s">
        <v>7518</v>
      </c>
      <c r="G724" s="159" t="s">
        <v>38</v>
      </c>
      <c r="H724" s="160" t="s">
        <v>7519</v>
      </c>
      <c r="I724" s="170" t="s">
        <v>33</v>
      </c>
      <c r="J724" s="162" t="s">
        <v>4807</v>
      </c>
      <c r="K724" s="157" t="s">
        <v>7520</v>
      </c>
    </row>
    <row r="725" spans="1:11" ht="14.25" customHeight="1">
      <c r="A725" s="164"/>
      <c r="B725" s="164"/>
      <c r="C725" s="164"/>
      <c r="D725" s="164"/>
      <c r="E725" s="163" t="s">
        <v>7521</v>
      </c>
      <c r="F725" s="164"/>
      <c r="G725" s="166"/>
      <c r="H725" s="167"/>
      <c r="I725" s="168"/>
      <c r="J725" s="167"/>
      <c r="K725" s="157" t="s">
        <v>7522</v>
      </c>
    </row>
    <row r="726" spans="1:11" ht="14.25" customHeight="1">
      <c r="A726" s="164"/>
      <c r="B726" s="164"/>
      <c r="C726" s="164"/>
      <c r="D726" s="156" t="s">
        <v>7523</v>
      </c>
      <c r="E726" s="163" t="s">
        <v>7524</v>
      </c>
      <c r="F726" s="172" t="s">
        <v>7525</v>
      </c>
      <c r="G726" s="159" t="s">
        <v>16</v>
      </c>
      <c r="H726" s="160" t="s">
        <v>7526</v>
      </c>
      <c r="I726" s="161" t="s">
        <v>19</v>
      </c>
      <c r="J726" s="162" t="s">
        <v>4815</v>
      </c>
      <c r="K726" s="157" t="s">
        <v>7527</v>
      </c>
    </row>
    <row r="727" spans="1:11" ht="14.25" customHeight="1">
      <c r="A727" s="164"/>
      <c r="B727" s="164"/>
      <c r="C727" s="164"/>
      <c r="D727" s="164"/>
      <c r="E727" s="163" t="s">
        <v>7528</v>
      </c>
      <c r="F727" s="164"/>
      <c r="G727" s="166"/>
      <c r="H727" s="167"/>
      <c r="I727" s="168"/>
      <c r="J727" s="167"/>
      <c r="K727" s="157" t="s">
        <v>7529</v>
      </c>
    </row>
    <row r="728" spans="1:11" ht="14.25" customHeight="1">
      <c r="A728" s="164"/>
      <c r="B728" s="164"/>
      <c r="C728" s="164"/>
      <c r="D728" s="156" t="s">
        <v>7530</v>
      </c>
      <c r="E728" s="163" t="s">
        <v>7531</v>
      </c>
      <c r="F728" s="172" t="s">
        <v>7532</v>
      </c>
      <c r="G728" s="159" t="s">
        <v>16</v>
      </c>
      <c r="H728" s="160" t="s">
        <v>6336</v>
      </c>
      <c r="I728" s="170" t="s">
        <v>33</v>
      </c>
      <c r="J728" s="162" t="s">
        <v>4823</v>
      </c>
      <c r="K728" s="157" t="s">
        <v>7533</v>
      </c>
    </row>
    <row r="729" spans="1:11" ht="14.25" customHeight="1">
      <c r="A729" s="164"/>
      <c r="B729" s="164"/>
      <c r="C729" s="164"/>
      <c r="D729" s="164"/>
      <c r="E729" s="163" t="s">
        <v>7534</v>
      </c>
      <c r="F729" s="164"/>
      <c r="G729" s="166"/>
      <c r="H729" s="167"/>
      <c r="I729" s="168"/>
      <c r="J729" s="167"/>
      <c r="K729" s="157" t="s">
        <v>7535</v>
      </c>
    </row>
    <row r="730" spans="1:11" ht="14.25" customHeight="1">
      <c r="A730" s="164"/>
      <c r="B730" s="164"/>
      <c r="C730" s="156" t="s">
        <v>7536</v>
      </c>
      <c r="D730" s="156" t="s">
        <v>7537</v>
      </c>
      <c r="E730" s="163" t="s">
        <v>7538</v>
      </c>
      <c r="F730" s="172" t="s">
        <v>7539</v>
      </c>
      <c r="G730" s="159" t="s">
        <v>16</v>
      </c>
      <c r="H730" s="160" t="s">
        <v>7540</v>
      </c>
      <c r="I730" s="169" t="s">
        <v>41</v>
      </c>
      <c r="J730" s="162" t="s">
        <v>4830</v>
      </c>
      <c r="K730" s="157" t="s">
        <v>7541</v>
      </c>
    </row>
    <row r="731" spans="1:11" ht="14.25" customHeight="1">
      <c r="A731" s="164"/>
      <c r="B731" s="164"/>
      <c r="C731" s="164"/>
      <c r="D731" s="164"/>
      <c r="E731" s="163" t="s">
        <v>7542</v>
      </c>
      <c r="F731" s="164"/>
      <c r="G731" s="166"/>
      <c r="H731" s="167"/>
      <c r="I731" s="168"/>
      <c r="J731" s="167"/>
      <c r="K731" s="157" t="s">
        <v>7543</v>
      </c>
    </row>
    <row r="732" spans="1:11" ht="14.25" customHeight="1">
      <c r="A732" s="164"/>
      <c r="B732" s="164"/>
      <c r="C732" s="164"/>
      <c r="D732" s="156" t="s">
        <v>7544</v>
      </c>
      <c r="E732" s="163" t="s">
        <v>7544</v>
      </c>
      <c r="F732" s="172" t="s">
        <v>7545</v>
      </c>
      <c r="G732" s="159" t="s">
        <v>38</v>
      </c>
      <c r="H732" s="160" t="s">
        <v>7546</v>
      </c>
      <c r="I732" s="169" t="s">
        <v>41</v>
      </c>
      <c r="J732" s="162" t="s">
        <v>4838</v>
      </c>
      <c r="K732" s="157" t="s">
        <v>7547</v>
      </c>
    </row>
    <row r="733" spans="1:11" ht="14.25" customHeight="1">
      <c r="A733" s="164"/>
      <c r="B733" s="164"/>
      <c r="C733" s="164"/>
      <c r="D733" s="164"/>
      <c r="E733" s="163" t="s">
        <v>7548</v>
      </c>
      <c r="F733" s="164"/>
      <c r="G733" s="166"/>
      <c r="H733" s="167"/>
      <c r="I733" s="168"/>
      <c r="J733" s="167"/>
      <c r="K733" s="157" t="s">
        <v>7549</v>
      </c>
    </row>
    <row r="734" spans="1:11" ht="14.25" customHeight="1">
      <c r="A734" s="164"/>
      <c r="B734" s="164"/>
      <c r="C734" s="164"/>
      <c r="D734" s="156" t="s">
        <v>7550</v>
      </c>
      <c r="E734" s="163" t="s">
        <v>7550</v>
      </c>
      <c r="F734" s="172" t="s">
        <v>7551</v>
      </c>
      <c r="G734" s="159" t="s">
        <v>200</v>
      </c>
      <c r="H734" s="160" t="s">
        <v>7552</v>
      </c>
      <c r="I734" s="170" t="s">
        <v>33</v>
      </c>
      <c r="J734" s="162" t="s">
        <v>4847</v>
      </c>
      <c r="K734" s="157" t="s">
        <v>7553</v>
      </c>
    </row>
    <row r="735" spans="1:11" ht="14.25" customHeight="1">
      <c r="A735" s="164"/>
      <c r="B735" s="164"/>
      <c r="C735" s="164"/>
      <c r="D735" s="164"/>
      <c r="E735" s="163" t="s">
        <v>5841</v>
      </c>
      <c r="F735" s="164"/>
      <c r="G735" s="166"/>
      <c r="H735" s="167"/>
      <c r="I735" s="168"/>
      <c r="J735" s="167"/>
      <c r="K735" s="157" t="s">
        <v>7554</v>
      </c>
    </row>
    <row r="736" spans="1:11" ht="14.25" customHeight="1">
      <c r="A736" s="164"/>
      <c r="B736" s="164"/>
      <c r="C736" s="164"/>
      <c r="D736" s="156" t="s">
        <v>7555</v>
      </c>
      <c r="E736" s="163" t="s">
        <v>7555</v>
      </c>
      <c r="F736" s="172" t="s">
        <v>7556</v>
      </c>
      <c r="G736" s="159" t="s">
        <v>38</v>
      </c>
      <c r="H736" s="160" t="s">
        <v>7557</v>
      </c>
      <c r="I736" s="161" t="s">
        <v>19</v>
      </c>
      <c r="J736" s="162" t="s">
        <v>4855</v>
      </c>
      <c r="K736" s="157" t="s">
        <v>7558</v>
      </c>
    </row>
    <row r="737" spans="1:11" ht="14.25" customHeight="1">
      <c r="A737" s="164"/>
      <c r="B737" s="164"/>
      <c r="C737" s="164"/>
      <c r="D737" s="164"/>
      <c r="E737" s="163" t="s">
        <v>7559</v>
      </c>
      <c r="F737" s="164"/>
      <c r="G737" s="166"/>
      <c r="H737" s="167"/>
      <c r="I737" s="168"/>
      <c r="J737" s="167"/>
      <c r="K737" s="157" t="s">
        <v>7560</v>
      </c>
    </row>
    <row r="738" spans="1:11" ht="14.25" customHeight="1">
      <c r="A738" s="164"/>
      <c r="B738" s="164"/>
      <c r="C738" s="164"/>
      <c r="D738" s="156" t="s">
        <v>7561</v>
      </c>
      <c r="E738" s="163" t="s">
        <v>7561</v>
      </c>
      <c r="F738" s="172" t="s">
        <v>7532</v>
      </c>
      <c r="G738" s="159" t="s">
        <v>38</v>
      </c>
      <c r="H738" s="160" t="s">
        <v>6336</v>
      </c>
      <c r="I738" s="170" t="s">
        <v>33</v>
      </c>
      <c r="J738" s="162" t="s">
        <v>4863</v>
      </c>
      <c r="K738" s="157" t="s">
        <v>7562</v>
      </c>
    </row>
    <row r="739" spans="1:11" ht="14.25" customHeight="1">
      <c r="A739" s="164"/>
      <c r="B739" s="164"/>
      <c r="C739" s="164"/>
      <c r="D739" s="164"/>
      <c r="E739" s="163" t="s">
        <v>7563</v>
      </c>
      <c r="F739" s="164"/>
      <c r="G739" s="166"/>
      <c r="H739" s="167"/>
      <c r="I739" s="168"/>
      <c r="J739" s="167"/>
      <c r="K739" s="157" t="s">
        <v>7564</v>
      </c>
    </row>
    <row r="740" spans="1:11" ht="14.25" customHeight="1">
      <c r="A740" s="164"/>
      <c r="B740" s="164"/>
      <c r="C740" s="156" t="s">
        <v>7565</v>
      </c>
      <c r="D740" s="156" t="s">
        <v>7537</v>
      </c>
      <c r="E740" s="163" t="s">
        <v>7566</v>
      </c>
      <c r="F740" s="172" t="s">
        <v>7539</v>
      </c>
      <c r="G740" s="159" t="s">
        <v>16</v>
      </c>
      <c r="H740" s="160" t="s">
        <v>7540</v>
      </c>
      <c r="I740" s="169" t="s">
        <v>41</v>
      </c>
      <c r="J740" s="162" t="s">
        <v>4871</v>
      </c>
      <c r="K740" s="157" t="s">
        <v>7567</v>
      </c>
    </row>
    <row r="741" spans="1:11" ht="14.25" customHeight="1">
      <c r="A741" s="164"/>
      <c r="B741" s="164"/>
      <c r="C741" s="164"/>
      <c r="D741" s="164"/>
      <c r="E741" s="163" t="s">
        <v>7568</v>
      </c>
      <c r="F741" s="164"/>
      <c r="G741" s="166"/>
      <c r="H741" s="167"/>
      <c r="I741" s="168"/>
      <c r="J741" s="167"/>
      <c r="K741" s="157" t="s">
        <v>7569</v>
      </c>
    </row>
    <row r="742" spans="1:11" ht="14.25" customHeight="1">
      <c r="A742" s="164"/>
      <c r="B742" s="164"/>
      <c r="C742" s="164"/>
      <c r="D742" s="156" t="s">
        <v>7544</v>
      </c>
      <c r="E742" s="163" t="s">
        <v>7570</v>
      </c>
      <c r="F742" s="172" t="s">
        <v>7545</v>
      </c>
      <c r="G742" s="159" t="s">
        <v>16</v>
      </c>
      <c r="H742" s="160" t="s">
        <v>7546</v>
      </c>
      <c r="I742" s="169" t="s">
        <v>41</v>
      </c>
      <c r="J742" s="162" t="s">
        <v>4879</v>
      </c>
      <c r="K742" s="157" t="s">
        <v>7571</v>
      </c>
    </row>
    <row r="743" spans="1:11" ht="14.25" customHeight="1">
      <c r="A743" s="164"/>
      <c r="B743" s="164"/>
      <c r="C743" s="164"/>
      <c r="D743" s="164"/>
      <c r="E743" s="163" t="s">
        <v>7572</v>
      </c>
      <c r="F743" s="164"/>
      <c r="G743" s="166"/>
      <c r="H743" s="167"/>
      <c r="I743" s="168"/>
      <c r="J743" s="167"/>
      <c r="K743" s="157" t="s">
        <v>7573</v>
      </c>
    </row>
    <row r="744" spans="1:11" ht="14.25" customHeight="1">
      <c r="A744" s="164"/>
      <c r="B744" s="164"/>
      <c r="C744" s="164"/>
      <c r="D744" s="156" t="s">
        <v>7550</v>
      </c>
      <c r="E744" s="163" t="s">
        <v>7574</v>
      </c>
      <c r="F744" s="172" t="s">
        <v>7551</v>
      </c>
      <c r="G744" s="159" t="s">
        <v>16</v>
      </c>
      <c r="H744" s="160" t="s">
        <v>7552</v>
      </c>
      <c r="I744" s="170" t="s">
        <v>33</v>
      </c>
      <c r="J744" s="162" t="s">
        <v>4887</v>
      </c>
      <c r="K744" s="157" t="s">
        <v>7575</v>
      </c>
    </row>
    <row r="745" spans="1:11" ht="14.25" customHeight="1">
      <c r="A745" s="164"/>
      <c r="B745" s="164"/>
      <c r="C745" s="164"/>
      <c r="D745" s="164"/>
      <c r="E745" s="163" t="s">
        <v>7576</v>
      </c>
      <c r="F745" s="164"/>
      <c r="G745" s="166"/>
      <c r="H745" s="167"/>
      <c r="I745" s="168"/>
      <c r="J745" s="167"/>
      <c r="K745" s="157" t="s">
        <v>7577</v>
      </c>
    </row>
    <row r="746" spans="1:11" ht="14.25" customHeight="1">
      <c r="A746" s="164"/>
      <c r="B746" s="164"/>
      <c r="C746" s="164"/>
      <c r="D746" s="156" t="s">
        <v>7555</v>
      </c>
      <c r="E746" s="163" t="s">
        <v>7578</v>
      </c>
      <c r="F746" s="172" t="s">
        <v>7556</v>
      </c>
      <c r="G746" s="159" t="s">
        <v>38</v>
      </c>
      <c r="H746" s="160" t="s">
        <v>7403</v>
      </c>
      <c r="I746" s="161" t="s">
        <v>19</v>
      </c>
      <c r="J746" s="162" t="s">
        <v>4894</v>
      </c>
      <c r="K746" s="157" t="s">
        <v>7579</v>
      </c>
    </row>
    <row r="747" spans="1:11" ht="14.25" customHeight="1">
      <c r="A747" s="164"/>
      <c r="B747" s="164"/>
      <c r="C747" s="164"/>
      <c r="D747" s="164"/>
      <c r="E747" s="163" t="s">
        <v>7580</v>
      </c>
      <c r="F747" s="164"/>
      <c r="G747" s="166"/>
      <c r="H747" s="167"/>
      <c r="I747" s="168"/>
      <c r="J747" s="167"/>
      <c r="K747" s="157" t="s">
        <v>7581</v>
      </c>
    </row>
    <row r="748" spans="1:11" ht="14.25" customHeight="1">
      <c r="A748" s="164"/>
      <c r="B748" s="164"/>
      <c r="C748" s="164"/>
      <c r="D748" s="156" t="s">
        <v>7561</v>
      </c>
      <c r="E748" s="163" t="s">
        <v>7561</v>
      </c>
      <c r="F748" s="172" t="s">
        <v>7582</v>
      </c>
      <c r="G748" s="159" t="s">
        <v>200</v>
      </c>
      <c r="H748" s="160" t="s">
        <v>7583</v>
      </c>
      <c r="I748" s="170" t="s">
        <v>33</v>
      </c>
      <c r="J748" s="162" t="s">
        <v>4903</v>
      </c>
      <c r="K748" s="157" t="s">
        <v>7584</v>
      </c>
    </row>
    <row r="749" spans="1:11" ht="14.25" customHeight="1">
      <c r="A749" s="164"/>
      <c r="B749" s="164"/>
      <c r="C749" s="164"/>
      <c r="D749" s="164"/>
      <c r="E749" s="163" t="s">
        <v>7563</v>
      </c>
      <c r="F749" s="164"/>
      <c r="G749" s="166"/>
      <c r="H749" s="167"/>
      <c r="I749" s="168"/>
      <c r="J749" s="167"/>
      <c r="K749" s="157" t="s">
        <v>7585</v>
      </c>
    </row>
    <row r="750" spans="1:11" ht="14.25" customHeight="1">
      <c r="A750" s="164"/>
      <c r="B750" s="164"/>
      <c r="C750" s="156" t="s">
        <v>7586</v>
      </c>
      <c r="D750" s="156" t="s">
        <v>7587</v>
      </c>
      <c r="E750" s="163" t="s">
        <v>7587</v>
      </c>
      <c r="F750" s="172" t="s">
        <v>7588</v>
      </c>
      <c r="G750" s="159" t="s">
        <v>38</v>
      </c>
      <c r="H750" s="160" t="s">
        <v>7589</v>
      </c>
      <c r="I750" s="169" t="s">
        <v>41</v>
      </c>
      <c r="J750" s="162" t="s">
        <v>4911</v>
      </c>
      <c r="K750" s="157" t="s">
        <v>7590</v>
      </c>
    </row>
    <row r="751" spans="1:11" ht="14.25" customHeight="1">
      <c r="A751" s="164"/>
      <c r="B751" s="164"/>
      <c r="C751" s="164"/>
      <c r="D751" s="164"/>
      <c r="E751" s="163" t="s">
        <v>7591</v>
      </c>
      <c r="F751" s="164"/>
      <c r="G751" s="166"/>
      <c r="H751" s="167"/>
      <c r="I751" s="168"/>
      <c r="J751" s="167"/>
      <c r="K751" s="157" t="s">
        <v>7592</v>
      </c>
    </row>
    <row r="752" spans="1:11" ht="14.25" customHeight="1">
      <c r="A752" s="164"/>
      <c r="B752" s="164"/>
      <c r="C752" s="164"/>
      <c r="D752" s="156" t="s">
        <v>7593</v>
      </c>
      <c r="E752" s="163" t="s">
        <v>7593</v>
      </c>
      <c r="F752" s="172" t="s">
        <v>7594</v>
      </c>
      <c r="G752" s="159" t="s">
        <v>38</v>
      </c>
      <c r="H752" s="160" t="s">
        <v>7540</v>
      </c>
      <c r="I752" s="169" t="s">
        <v>41</v>
      </c>
      <c r="J752" s="162" t="s">
        <v>4919</v>
      </c>
      <c r="K752" s="157" t="s">
        <v>7567</v>
      </c>
    </row>
    <row r="753" spans="1:11" ht="14.25" customHeight="1">
      <c r="A753" s="164"/>
      <c r="B753" s="164"/>
      <c r="C753" s="164"/>
      <c r="D753" s="164"/>
      <c r="E753" s="163" t="s">
        <v>7595</v>
      </c>
      <c r="F753" s="164"/>
      <c r="G753" s="166"/>
      <c r="H753" s="167"/>
      <c r="I753" s="168"/>
      <c r="J753" s="167"/>
      <c r="K753" s="157" t="s">
        <v>7569</v>
      </c>
    </row>
    <row r="754" spans="1:11" ht="14.25" customHeight="1">
      <c r="A754" s="164"/>
      <c r="B754" s="164"/>
      <c r="C754" s="164"/>
      <c r="D754" s="156" t="s">
        <v>7596</v>
      </c>
      <c r="E754" s="163" t="s">
        <v>7596</v>
      </c>
      <c r="F754" s="172" t="s">
        <v>7597</v>
      </c>
      <c r="G754" s="159" t="s">
        <v>16</v>
      </c>
      <c r="H754" s="160" t="s">
        <v>7598</v>
      </c>
      <c r="I754" s="170" t="s">
        <v>33</v>
      </c>
      <c r="J754" s="162" t="s">
        <v>4927</v>
      </c>
      <c r="K754" s="157" t="s">
        <v>7571</v>
      </c>
    </row>
    <row r="755" spans="1:11" ht="14.25" customHeight="1">
      <c r="A755" s="164"/>
      <c r="B755" s="164"/>
      <c r="C755" s="164"/>
      <c r="D755" s="164"/>
      <c r="E755" s="163" t="s">
        <v>7599</v>
      </c>
      <c r="F755" s="164"/>
      <c r="G755" s="166"/>
      <c r="H755" s="167"/>
      <c r="I755" s="168"/>
      <c r="J755" s="167"/>
      <c r="K755" s="157" t="s">
        <v>7573</v>
      </c>
    </row>
    <row r="756" spans="1:11" ht="14.25" customHeight="1">
      <c r="A756" s="164"/>
      <c r="B756" s="164"/>
      <c r="C756" s="164"/>
      <c r="D756" s="156" t="s">
        <v>7600</v>
      </c>
      <c r="E756" s="163" t="s">
        <v>7600</v>
      </c>
      <c r="F756" s="172" t="s">
        <v>7601</v>
      </c>
      <c r="G756" s="159" t="s">
        <v>16</v>
      </c>
      <c r="H756" s="160" t="s">
        <v>7602</v>
      </c>
      <c r="I756" s="161" t="s">
        <v>19</v>
      </c>
      <c r="J756" s="162" t="s">
        <v>7603</v>
      </c>
      <c r="K756" s="157" t="s">
        <v>7575</v>
      </c>
    </row>
    <row r="757" spans="1:11" ht="14.25" customHeight="1">
      <c r="A757" s="164"/>
      <c r="B757" s="164"/>
      <c r="C757" s="164"/>
      <c r="D757" s="164"/>
      <c r="E757" s="163" t="s">
        <v>7604</v>
      </c>
      <c r="F757" s="164"/>
      <c r="G757" s="166"/>
      <c r="H757" s="167"/>
      <c r="I757" s="168"/>
      <c r="J757" s="167"/>
      <c r="K757" s="157" t="s">
        <v>7577</v>
      </c>
    </row>
    <row r="758" spans="1:11" ht="14.25" customHeight="1">
      <c r="A758" s="164"/>
      <c r="B758" s="164"/>
      <c r="C758" s="164"/>
      <c r="D758" s="156" t="s">
        <v>7605</v>
      </c>
      <c r="E758" s="163" t="s">
        <v>7605</v>
      </c>
      <c r="F758" s="172" t="s">
        <v>7606</v>
      </c>
      <c r="G758" s="159" t="s">
        <v>16</v>
      </c>
      <c r="H758" s="160" t="s">
        <v>7403</v>
      </c>
      <c r="I758" s="170" t="s">
        <v>33</v>
      </c>
      <c r="J758" s="162" t="s">
        <v>7607</v>
      </c>
      <c r="K758" s="157" t="s">
        <v>7579</v>
      </c>
    </row>
    <row r="759" spans="1:11" ht="14.25" customHeight="1">
      <c r="A759" s="164"/>
      <c r="B759" s="164"/>
      <c r="C759" s="164"/>
      <c r="D759" s="164"/>
      <c r="E759" s="163" t="s">
        <v>7608</v>
      </c>
      <c r="F759" s="164"/>
      <c r="G759" s="166"/>
      <c r="H759" s="167"/>
      <c r="I759" s="168"/>
      <c r="J759" s="167"/>
      <c r="K759" s="157" t="s">
        <v>7581</v>
      </c>
    </row>
    <row r="760" spans="1:11" ht="14.25" customHeight="1">
      <c r="A760" s="164"/>
      <c r="B760" s="164"/>
      <c r="C760" s="156" t="s">
        <v>7609</v>
      </c>
      <c r="D760" s="156" t="s">
        <v>7610</v>
      </c>
      <c r="E760" s="163" t="s">
        <v>7611</v>
      </c>
      <c r="F760" s="172" t="s">
        <v>7612</v>
      </c>
      <c r="G760" s="159" t="s">
        <v>38</v>
      </c>
      <c r="H760" s="160" t="s">
        <v>7613</v>
      </c>
      <c r="I760" s="169" t="s">
        <v>41</v>
      </c>
      <c r="J760" s="162" t="s">
        <v>7614</v>
      </c>
      <c r="K760" s="157" t="s">
        <v>7584</v>
      </c>
    </row>
    <row r="761" spans="1:11" ht="14.25" customHeight="1">
      <c r="A761" s="164"/>
      <c r="B761" s="164"/>
      <c r="C761" s="164"/>
      <c r="D761" s="164"/>
      <c r="E761" s="163" t="s">
        <v>7615</v>
      </c>
      <c r="F761" s="164"/>
      <c r="G761" s="166"/>
      <c r="H761" s="167"/>
      <c r="I761" s="168"/>
      <c r="J761" s="167"/>
      <c r="K761" s="157" t="s">
        <v>7585</v>
      </c>
    </row>
    <row r="762" spans="1:11" ht="14.25" customHeight="1">
      <c r="A762" s="164"/>
      <c r="B762" s="164"/>
      <c r="C762" s="164"/>
      <c r="D762" s="156" t="s">
        <v>7616</v>
      </c>
      <c r="E762" s="163" t="s">
        <v>7616</v>
      </c>
      <c r="F762" s="172" t="s">
        <v>7617</v>
      </c>
      <c r="G762" s="159" t="s">
        <v>200</v>
      </c>
      <c r="H762" s="160" t="s">
        <v>7618</v>
      </c>
      <c r="I762" s="169" t="s">
        <v>41</v>
      </c>
      <c r="J762" s="162" t="s">
        <v>5302</v>
      </c>
      <c r="K762" s="157" t="s">
        <v>7590</v>
      </c>
    </row>
    <row r="763" spans="1:11" ht="14.25" customHeight="1">
      <c r="A763" s="164"/>
      <c r="B763" s="164"/>
      <c r="C763" s="164"/>
      <c r="D763" s="164"/>
      <c r="E763" s="163" t="s">
        <v>7619</v>
      </c>
      <c r="F763" s="164"/>
      <c r="G763" s="166"/>
      <c r="H763" s="167"/>
      <c r="I763" s="168"/>
      <c r="J763" s="167"/>
      <c r="K763" s="157" t="s">
        <v>7592</v>
      </c>
    </row>
    <row r="764" spans="1:11" ht="14.25" customHeight="1">
      <c r="A764" s="164"/>
      <c r="B764" s="164"/>
      <c r="C764" s="164"/>
      <c r="D764" s="156" t="s">
        <v>7620</v>
      </c>
      <c r="E764" s="163" t="s">
        <v>7620</v>
      </c>
      <c r="F764" s="172" t="s">
        <v>7621</v>
      </c>
      <c r="G764" s="159" t="s">
        <v>38</v>
      </c>
      <c r="H764" s="160" t="s">
        <v>7622</v>
      </c>
      <c r="I764" s="170" t="s">
        <v>33</v>
      </c>
      <c r="J764" s="162" t="s">
        <v>5310</v>
      </c>
      <c r="K764" s="157" t="s">
        <v>7623</v>
      </c>
    </row>
    <row r="765" spans="1:11" ht="14.25" customHeight="1">
      <c r="A765" s="164"/>
      <c r="B765" s="164"/>
      <c r="C765" s="164"/>
      <c r="D765" s="164"/>
      <c r="E765" s="163" t="s">
        <v>7624</v>
      </c>
      <c r="F765" s="164"/>
      <c r="G765" s="166"/>
      <c r="H765" s="167"/>
      <c r="I765" s="168"/>
      <c r="J765" s="167"/>
      <c r="K765" s="157" t="s">
        <v>7625</v>
      </c>
    </row>
    <row r="766" spans="1:11" ht="14.25" customHeight="1">
      <c r="A766" s="164"/>
      <c r="B766" s="164"/>
      <c r="C766" s="164"/>
      <c r="D766" s="156" t="s">
        <v>7626</v>
      </c>
      <c r="E766" s="163" t="s">
        <v>7626</v>
      </c>
      <c r="F766" s="172" t="s">
        <v>7627</v>
      </c>
      <c r="G766" s="159" t="s">
        <v>38</v>
      </c>
      <c r="H766" s="160" t="s">
        <v>7476</v>
      </c>
      <c r="I766" s="161" t="s">
        <v>19</v>
      </c>
      <c r="J766" s="162" t="s">
        <v>7628</v>
      </c>
      <c r="K766" s="157" t="s">
        <v>7629</v>
      </c>
    </row>
    <row r="767" spans="1:11" ht="14.25" customHeight="1">
      <c r="A767" s="164"/>
      <c r="B767" s="164"/>
      <c r="C767" s="164"/>
      <c r="D767" s="164"/>
      <c r="E767" s="163" t="s">
        <v>7630</v>
      </c>
      <c r="F767" s="164"/>
      <c r="G767" s="166"/>
      <c r="H767" s="167"/>
      <c r="I767" s="168"/>
      <c r="J767" s="167"/>
      <c r="K767" s="157" t="s">
        <v>7631</v>
      </c>
    </row>
    <row r="768" spans="1:11" ht="14.25" customHeight="1">
      <c r="A768" s="164"/>
      <c r="B768" s="164"/>
      <c r="C768" s="164"/>
      <c r="D768" s="156" t="s">
        <v>7632</v>
      </c>
      <c r="E768" s="163" t="s">
        <v>7632</v>
      </c>
      <c r="F768" s="172" t="s">
        <v>7633</v>
      </c>
      <c r="G768" s="159" t="s">
        <v>16</v>
      </c>
      <c r="H768" s="160" t="s">
        <v>7634</v>
      </c>
      <c r="I768" s="170" t="s">
        <v>33</v>
      </c>
      <c r="J768" s="162" t="s">
        <v>7635</v>
      </c>
      <c r="K768" s="157" t="s">
        <v>7636</v>
      </c>
    </row>
    <row r="769" spans="1:11" ht="14.25" customHeight="1">
      <c r="A769" s="164"/>
      <c r="B769" s="164"/>
      <c r="C769" s="164"/>
      <c r="D769" s="164"/>
      <c r="E769" s="163" t="s">
        <v>7637</v>
      </c>
      <c r="F769" s="164"/>
      <c r="G769" s="166"/>
      <c r="H769" s="167"/>
      <c r="I769" s="168"/>
      <c r="J769" s="167"/>
      <c r="K769" s="157" t="s">
        <v>7638</v>
      </c>
    </row>
    <row r="770" spans="1:11" ht="14.25" customHeight="1">
      <c r="A770" s="164"/>
      <c r="B770" s="164"/>
      <c r="C770" s="156" t="s">
        <v>7639</v>
      </c>
      <c r="D770" s="156" t="s">
        <v>7640</v>
      </c>
      <c r="E770" s="163" t="s">
        <v>7640</v>
      </c>
      <c r="F770" s="172" t="s">
        <v>7641</v>
      </c>
      <c r="G770" s="159" t="s">
        <v>16</v>
      </c>
      <c r="H770" s="160" t="s">
        <v>7634</v>
      </c>
      <c r="I770" s="169" t="s">
        <v>41</v>
      </c>
      <c r="J770" s="162" t="s">
        <v>7642</v>
      </c>
      <c r="K770" s="157" t="s">
        <v>7643</v>
      </c>
    </row>
    <row r="771" spans="1:11" ht="14.25" customHeight="1">
      <c r="A771" s="164"/>
      <c r="B771" s="164"/>
      <c r="C771" s="164"/>
      <c r="D771" s="164"/>
      <c r="E771" s="163" t="s">
        <v>7644</v>
      </c>
      <c r="F771" s="164"/>
      <c r="G771" s="166"/>
      <c r="H771" s="167"/>
      <c r="I771" s="168"/>
      <c r="J771" s="167"/>
      <c r="K771" s="157" t="s">
        <v>7645</v>
      </c>
    </row>
    <row r="772" spans="1:11" ht="14.25" customHeight="1">
      <c r="A772" s="164"/>
      <c r="B772" s="164"/>
      <c r="C772" s="164"/>
      <c r="D772" s="156" t="s">
        <v>7646</v>
      </c>
      <c r="E772" s="163" t="s">
        <v>7646</v>
      </c>
      <c r="F772" s="172" t="s">
        <v>7647</v>
      </c>
      <c r="G772" s="159" t="s">
        <v>16</v>
      </c>
      <c r="H772" s="160" t="s">
        <v>6325</v>
      </c>
      <c r="I772" s="169" t="s">
        <v>41</v>
      </c>
      <c r="J772" s="162" t="s">
        <v>5342</v>
      </c>
      <c r="K772" s="157" t="s">
        <v>7648</v>
      </c>
    </row>
    <row r="773" spans="1:11" ht="14.25" customHeight="1">
      <c r="A773" s="164"/>
      <c r="B773" s="164"/>
      <c r="C773" s="164"/>
      <c r="D773" s="164"/>
      <c r="E773" s="163" t="s">
        <v>7649</v>
      </c>
      <c r="F773" s="164"/>
      <c r="G773" s="166"/>
      <c r="H773" s="167"/>
      <c r="I773" s="168"/>
      <c r="J773" s="167"/>
      <c r="K773" s="157" t="s">
        <v>7650</v>
      </c>
    </row>
    <row r="774" spans="1:11" ht="14.25" customHeight="1">
      <c r="A774" s="164"/>
      <c r="B774" s="164"/>
      <c r="C774" s="164"/>
      <c r="D774" s="156" t="s">
        <v>7651</v>
      </c>
      <c r="E774" s="163" t="s">
        <v>7651</v>
      </c>
      <c r="F774" s="172" t="s">
        <v>7652</v>
      </c>
      <c r="G774" s="159" t="s">
        <v>38</v>
      </c>
      <c r="H774" s="160" t="s">
        <v>7598</v>
      </c>
      <c r="I774" s="170" t="s">
        <v>33</v>
      </c>
      <c r="J774" s="162" t="s">
        <v>5350</v>
      </c>
      <c r="K774" s="157" t="s">
        <v>7653</v>
      </c>
    </row>
    <row r="775" spans="1:11" ht="14.25" customHeight="1">
      <c r="A775" s="164"/>
      <c r="B775" s="164"/>
      <c r="C775" s="164"/>
      <c r="D775" s="164"/>
      <c r="E775" s="163" t="s">
        <v>7654</v>
      </c>
      <c r="F775" s="164"/>
      <c r="G775" s="166"/>
      <c r="H775" s="167"/>
      <c r="I775" s="168"/>
      <c r="J775" s="167"/>
      <c r="K775" s="157" t="s">
        <v>7655</v>
      </c>
    </row>
    <row r="776" spans="1:11" ht="14.25" customHeight="1">
      <c r="A776" s="164"/>
      <c r="B776" s="164"/>
      <c r="C776" s="164"/>
      <c r="D776" s="156" t="s">
        <v>7656</v>
      </c>
      <c r="E776" s="163" t="s">
        <v>7656</v>
      </c>
      <c r="F776" s="172" t="s">
        <v>7657</v>
      </c>
      <c r="G776" s="159" t="s">
        <v>200</v>
      </c>
      <c r="H776" s="160" t="s">
        <v>7658</v>
      </c>
      <c r="I776" s="161" t="s">
        <v>19</v>
      </c>
      <c r="J776" s="162" t="s">
        <v>7659</v>
      </c>
      <c r="K776" s="157" t="s">
        <v>7660</v>
      </c>
    </row>
    <row r="777" spans="1:11" ht="14.25" customHeight="1">
      <c r="A777" s="164"/>
      <c r="B777" s="164"/>
      <c r="C777" s="164"/>
      <c r="D777" s="164"/>
      <c r="E777" s="163" t="s">
        <v>7661</v>
      </c>
      <c r="F777" s="164"/>
      <c r="G777" s="166"/>
      <c r="H777" s="167"/>
      <c r="I777" s="168"/>
      <c r="J777" s="167"/>
      <c r="K777" s="157" t="s">
        <v>7662</v>
      </c>
    </row>
    <row r="778" spans="1:11" ht="14.25" customHeight="1">
      <c r="A778" s="164"/>
      <c r="B778" s="164"/>
      <c r="C778" s="164"/>
      <c r="D778" s="156" t="s">
        <v>7663</v>
      </c>
      <c r="E778" s="163" t="s">
        <v>7663</v>
      </c>
      <c r="F778" s="172" t="s">
        <v>7664</v>
      </c>
      <c r="G778" s="159" t="s">
        <v>38</v>
      </c>
      <c r="H778" s="160" t="s">
        <v>7665</v>
      </c>
      <c r="I778" s="170" t="s">
        <v>33</v>
      </c>
      <c r="J778" s="162" t="s">
        <v>7666</v>
      </c>
      <c r="K778" s="157" t="s">
        <v>7667</v>
      </c>
    </row>
    <row r="779" spans="1:11" ht="14.25" customHeight="1">
      <c r="A779" s="164"/>
      <c r="B779" s="164"/>
      <c r="C779" s="164"/>
      <c r="D779" s="164"/>
      <c r="E779" s="163" t="s">
        <v>7668</v>
      </c>
      <c r="F779" s="164"/>
      <c r="G779" s="166"/>
      <c r="H779" s="167"/>
      <c r="I779" s="168"/>
      <c r="J779" s="167"/>
      <c r="K779" s="157" t="s">
        <v>7669</v>
      </c>
    </row>
    <row r="780" spans="1:11" ht="14.25" customHeight="1">
      <c r="A780" s="164"/>
      <c r="B780" s="164"/>
      <c r="C780" s="156" t="s">
        <v>7670</v>
      </c>
      <c r="D780" s="156" t="s">
        <v>7671</v>
      </c>
      <c r="E780" s="163" t="s">
        <v>7671</v>
      </c>
      <c r="F780" s="172" t="s">
        <v>7672</v>
      </c>
      <c r="G780" s="159" t="s">
        <v>38</v>
      </c>
      <c r="H780" s="160" t="s">
        <v>7673</v>
      </c>
      <c r="I780" s="169" t="s">
        <v>41</v>
      </c>
      <c r="J780" s="162" t="s">
        <v>5374</v>
      </c>
      <c r="K780" s="157" t="s">
        <v>7674</v>
      </c>
    </row>
    <row r="781" spans="1:11" ht="14.25" customHeight="1">
      <c r="A781" s="164"/>
      <c r="B781" s="164"/>
      <c r="C781" s="164"/>
      <c r="D781" s="164"/>
      <c r="E781" s="163" t="s">
        <v>7675</v>
      </c>
      <c r="F781" s="164"/>
      <c r="G781" s="166"/>
      <c r="H781" s="167"/>
      <c r="I781" s="168"/>
      <c r="J781" s="167"/>
      <c r="K781" s="157" t="s">
        <v>7676</v>
      </c>
    </row>
    <row r="782" spans="1:11" ht="14.25" customHeight="1">
      <c r="A782" s="164"/>
      <c r="B782" s="164"/>
      <c r="C782" s="164"/>
      <c r="D782" s="156" t="s">
        <v>7677</v>
      </c>
      <c r="E782" s="163" t="s">
        <v>7677</v>
      </c>
      <c r="F782" s="172" t="s">
        <v>7678</v>
      </c>
      <c r="G782" s="159" t="s">
        <v>16</v>
      </c>
      <c r="H782" s="160" t="s">
        <v>7679</v>
      </c>
      <c r="I782" s="169" t="s">
        <v>41</v>
      </c>
      <c r="J782" s="162" t="s">
        <v>7680</v>
      </c>
      <c r="K782" s="157" t="s">
        <v>7681</v>
      </c>
    </row>
    <row r="783" spans="1:11" ht="14.25" customHeight="1">
      <c r="A783" s="164"/>
      <c r="B783" s="164"/>
      <c r="C783" s="164"/>
      <c r="D783" s="164"/>
      <c r="E783" s="163" t="s">
        <v>7682</v>
      </c>
      <c r="F783" s="164"/>
      <c r="G783" s="166"/>
      <c r="H783" s="167"/>
      <c r="I783" s="168"/>
      <c r="J783" s="167"/>
      <c r="K783" s="157" t="s">
        <v>7592</v>
      </c>
    </row>
    <row r="784" spans="1:11" ht="14.25" customHeight="1">
      <c r="A784" s="164"/>
      <c r="B784" s="164"/>
      <c r="C784" s="164"/>
      <c r="D784" s="156" t="s">
        <v>7683</v>
      </c>
      <c r="E784" s="163" t="s">
        <v>7683</v>
      </c>
      <c r="F784" s="172" t="s">
        <v>7684</v>
      </c>
      <c r="G784" s="159" t="s">
        <v>16</v>
      </c>
      <c r="H784" s="160" t="s">
        <v>7685</v>
      </c>
      <c r="I784" s="170" t="s">
        <v>33</v>
      </c>
      <c r="J784" s="162" t="s">
        <v>7686</v>
      </c>
      <c r="K784" s="157" t="s">
        <v>7687</v>
      </c>
    </row>
    <row r="785" spans="1:11" ht="14.25" customHeight="1">
      <c r="A785" s="164"/>
      <c r="B785" s="164"/>
      <c r="C785" s="164"/>
      <c r="D785" s="164"/>
      <c r="E785" s="163" t="s">
        <v>7688</v>
      </c>
      <c r="F785" s="164"/>
      <c r="G785" s="166"/>
      <c r="H785" s="167"/>
      <c r="I785" s="168"/>
      <c r="J785" s="167"/>
      <c r="K785" s="157" t="s">
        <v>7689</v>
      </c>
    </row>
    <row r="786" spans="1:11" ht="14.25" customHeight="1">
      <c r="A786" s="164"/>
      <c r="B786" s="164"/>
      <c r="C786" s="164"/>
      <c r="D786" s="156" t="s">
        <v>7690</v>
      </c>
      <c r="E786" s="163" t="s">
        <v>7690</v>
      </c>
      <c r="F786" s="172" t="s">
        <v>7691</v>
      </c>
      <c r="G786" s="159" t="s">
        <v>16</v>
      </c>
      <c r="H786" s="160" t="s">
        <v>7692</v>
      </c>
      <c r="I786" s="161" t="s">
        <v>19</v>
      </c>
      <c r="J786" s="162" t="s">
        <v>5389</v>
      </c>
      <c r="K786" s="157" t="s">
        <v>7693</v>
      </c>
    </row>
    <row r="787" spans="1:11" ht="14.25" customHeight="1">
      <c r="A787" s="164"/>
      <c r="B787" s="164"/>
      <c r="C787" s="164"/>
      <c r="D787" s="164"/>
      <c r="E787" s="163" t="s">
        <v>7694</v>
      </c>
      <c r="F787" s="164"/>
      <c r="G787" s="166"/>
      <c r="H787" s="167"/>
      <c r="I787" s="168"/>
      <c r="J787" s="167"/>
      <c r="K787" s="157" t="s">
        <v>7695</v>
      </c>
    </row>
    <row r="788" spans="1:11" ht="14.25" customHeight="1">
      <c r="A788" s="164"/>
      <c r="B788" s="164"/>
      <c r="C788" s="164"/>
      <c r="D788" s="156" t="s">
        <v>7696</v>
      </c>
      <c r="E788" s="163" t="s">
        <v>7696</v>
      </c>
      <c r="F788" s="158" t="s">
        <v>7697</v>
      </c>
      <c r="G788" s="159" t="s">
        <v>38</v>
      </c>
      <c r="H788" s="160" t="s">
        <v>7698</v>
      </c>
      <c r="I788" s="170" t="s">
        <v>33</v>
      </c>
      <c r="J788" s="162" t="s">
        <v>7699</v>
      </c>
      <c r="K788" s="157" t="s">
        <v>7700</v>
      </c>
    </row>
    <row r="789" spans="1:11" ht="14.25" customHeight="1">
      <c r="A789" s="164"/>
      <c r="B789" s="164"/>
      <c r="C789" s="164"/>
      <c r="D789" s="164"/>
      <c r="E789" s="163" t="s">
        <v>7701</v>
      </c>
      <c r="F789" s="165"/>
      <c r="G789" s="166"/>
      <c r="H789" s="167"/>
      <c r="I789" s="168"/>
      <c r="J789" s="167"/>
      <c r="K789" s="157" t="s">
        <v>7702</v>
      </c>
    </row>
    <row r="790" spans="1:11" ht="14.25" customHeight="1">
      <c r="A790" s="164"/>
      <c r="B790" s="164"/>
      <c r="C790" s="156" t="s">
        <v>7703</v>
      </c>
      <c r="D790" s="156" t="s">
        <v>7704</v>
      </c>
      <c r="E790" s="163" t="s">
        <v>7704</v>
      </c>
      <c r="F790" s="158" t="s">
        <v>7705</v>
      </c>
      <c r="G790" s="159" t="s">
        <v>200</v>
      </c>
      <c r="H790" s="160" t="s">
        <v>7706</v>
      </c>
      <c r="I790" s="169" t="s">
        <v>41</v>
      </c>
      <c r="J790" s="162" t="s">
        <v>7707</v>
      </c>
      <c r="K790" s="157" t="s">
        <v>7708</v>
      </c>
    </row>
    <row r="791" spans="1:11" ht="14.25" customHeight="1">
      <c r="A791" s="164"/>
      <c r="B791" s="164"/>
      <c r="C791" s="164"/>
      <c r="D791" s="164"/>
      <c r="E791" s="163" t="s">
        <v>7709</v>
      </c>
      <c r="F791" s="165"/>
      <c r="G791" s="166"/>
      <c r="H791" s="167"/>
      <c r="I791" s="168"/>
      <c r="J791" s="167"/>
      <c r="K791" s="157" t="s">
        <v>7710</v>
      </c>
    </row>
    <row r="792" spans="1:11" ht="14.25" customHeight="1">
      <c r="A792" s="164"/>
      <c r="B792" s="164"/>
      <c r="C792" s="164"/>
      <c r="D792" s="156" t="s">
        <v>7711</v>
      </c>
      <c r="E792" s="163" t="s">
        <v>7711</v>
      </c>
      <c r="F792" s="158" t="s">
        <v>7712</v>
      </c>
      <c r="G792" s="159" t="s">
        <v>38</v>
      </c>
      <c r="H792" s="160" t="s">
        <v>7713</v>
      </c>
      <c r="I792" s="169" t="s">
        <v>41</v>
      </c>
      <c r="J792" s="162" t="s">
        <v>7714</v>
      </c>
      <c r="K792" s="157" t="s">
        <v>7715</v>
      </c>
    </row>
    <row r="793" spans="1:11" ht="14.25" customHeight="1">
      <c r="A793" s="164"/>
      <c r="B793" s="164"/>
      <c r="C793" s="164"/>
      <c r="D793" s="164"/>
      <c r="E793" s="163" t="s">
        <v>7716</v>
      </c>
      <c r="F793" s="165"/>
      <c r="G793" s="166"/>
      <c r="H793" s="167"/>
      <c r="I793" s="168"/>
      <c r="J793" s="167"/>
      <c r="K793" s="157" t="s">
        <v>7717</v>
      </c>
    </row>
    <row r="794" spans="1:11" ht="14.25" customHeight="1">
      <c r="A794" s="164"/>
      <c r="B794" s="164"/>
      <c r="C794" s="164"/>
      <c r="D794" s="156" t="s">
        <v>7718</v>
      </c>
      <c r="E794" s="163" t="s">
        <v>7718</v>
      </c>
      <c r="F794" s="158" t="s">
        <v>7719</v>
      </c>
      <c r="G794" s="159" t="s">
        <v>38</v>
      </c>
      <c r="H794" s="160" t="s">
        <v>7720</v>
      </c>
      <c r="I794" s="170" t="s">
        <v>33</v>
      </c>
      <c r="J794" s="162" t="s">
        <v>7721</v>
      </c>
      <c r="K794" s="157" t="s">
        <v>7693</v>
      </c>
    </row>
    <row r="795" spans="1:11" ht="14.25" customHeight="1">
      <c r="A795" s="164"/>
      <c r="B795" s="164"/>
      <c r="C795" s="164"/>
      <c r="D795" s="164"/>
      <c r="E795" s="163" t="s">
        <v>6710</v>
      </c>
      <c r="F795" s="165"/>
      <c r="G795" s="166"/>
      <c r="H795" s="167"/>
      <c r="I795" s="168"/>
      <c r="J795" s="167"/>
      <c r="K795" s="157" t="s">
        <v>7695</v>
      </c>
    </row>
    <row r="796" spans="1:11" ht="14.25" customHeight="1">
      <c r="A796" s="164"/>
      <c r="B796" s="164"/>
      <c r="C796" s="164"/>
      <c r="D796" s="156" t="s">
        <v>7722</v>
      </c>
      <c r="E796" s="163" t="s">
        <v>7722</v>
      </c>
      <c r="F796" s="158" t="s">
        <v>7723</v>
      </c>
      <c r="G796" s="159" t="s">
        <v>16</v>
      </c>
      <c r="H796" s="160" t="s">
        <v>7724</v>
      </c>
      <c r="I796" s="161" t="s">
        <v>19</v>
      </c>
      <c r="J796" s="162" t="s">
        <v>7725</v>
      </c>
      <c r="K796" s="157" t="s">
        <v>7700</v>
      </c>
    </row>
    <row r="797" spans="1:11" ht="14.25" customHeight="1">
      <c r="A797" s="164"/>
      <c r="B797" s="164"/>
      <c r="C797" s="164"/>
      <c r="D797" s="164"/>
      <c r="E797" s="163" t="s">
        <v>7726</v>
      </c>
      <c r="F797" s="165"/>
      <c r="G797" s="166"/>
      <c r="H797" s="167"/>
      <c r="I797" s="168"/>
      <c r="J797" s="167"/>
      <c r="K797" s="157" t="s">
        <v>7702</v>
      </c>
    </row>
    <row r="798" spans="1:11" ht="14.25" customHeight="1">
      <c r="A798" s="164"/>
      <c r="B798" s="164"/>
      <c r="C798" s="164"/>
      <c r="D798" s="156" t="s">
        <v>7727</v>
      </c>
      <c r="E798" s="163" t="s">
        <v>7727</v>
      </c>
      <c r="F798" s="158" t="s">
        <v>7728</v>
      </c>
      <c r="G798" s="159" t="s">
        <v>16</v>
      </c>
      <c r="H798" s="160" t="s">
        <v>6541</v>
      </c>
      <c r="I798" s="170" t="s">
        <v>33</v>
      </c>
      <c r="J798" s="162" t="s">
        <v>5190</v>
      </c>
      <c r="K798" s="157" t="s">
        <v>7708</v>
      </c>
    </row>
    <row r="799" spans="1:11" ht="14.25" customHeight="1">
      <c r="A799" s="164"/>
      <c r="B799" s="164"/>
      <c r="C799" s="164"/>
      <c r="D799" s="164"/>
      <c r="E799" s="163" t="s">
        <v>7729</v>
      </c>
      <c r="F799" s="165"/>
      <c r="G799" s="166"/>
      <c r="H799" s="167"/>
      <c r="I799" s="168"/>
      <c r="J799" s="167"/>
      <c r="K799" s="157" t="s">
        <v>7710</v>
      </c>
    </row>
    <row r="800" spans="1:11" ht="14.25" customHeight="1">
      <c r="A800" s="164"/>
      <c r="B800" s="164"/>
      <c r="C800" s="156" t="s">
        <v>7730</v>
      </c>
      <c r="D800" s="156" t="s">
        <v>7731</v>
      </c>
      <c r="E800" s="163" t="s">
        <v>7731</v>
      </c>
      <c r="F800" s="172" t="s">
        <v>7732</v>
      </c>
      <c r="G800" s="159" t="s">
        <v>16</v>
      </c>
      <c r="H800" s="160" t="s">
        <v>6325</v>
      </c>
      <c r="I800" s="169" t="s">
        <v>41</v>
      </c>
      <c r="J800" s="162" t="s">
        <v>6849</v>
      </c>
      <c r="K800" s="157" t="s">
        <v>7715</v>
      </c>
    </row>
    <row r="801" spans="1:11" ht="14.25" customHeight="1">
      <c r="A801" s="164"/>
      <c r="B801" s="164"/>
      <c r="C801" s="164"/>
      <c r="D801" s="164"/>
      <c r="E801" s="163" t="s">
        <v>7733</v>
      </c>
      <c r="F801" s="164"/>
      <c r="G801" s="166"/>
      <c r="H801" s="167"/>
      <c r="I801" s="168"/>
      <c r="J801" s="167"/>
      <c r="K801" s="157" t="s">
        <v>7717</v>
      </c>
    </row>
    <row r="802" spans="1:11" ht="14.25" customHeight="1">
      <c r="A802" s="164"/>
      <c r="B802" s="164"/>
      <c r="C802" s="164"/>
      <c r="D802" s="156" t="s">
        <v>7734</v>
      </c>
      <c r="E802" s="163" t="s">
        <v>7734</v>
      </c>
      <c r="F802" s="172" t="s">
        <v>7735</v>
      </c>
      <c r="G802" s="159" t="s">
        <v>38</v>
      </c>
      <c r="H802" s="160" t="s">
        <v>7736</v>
      </c>
      <c r="I802" s="169" t="s">
        <v>41</v>
      </c>
      <c r="J802" s="162" t="s">
        <v>7737</v>
      </c>
      <c r="K802" s="157" t="s">
        <v>7738</v>
      </c>
    </row>
    <row r="803" spans="1:11" ht="14.25" customHeight="1">
      <c r="A803" s="164"/>
      <c r="B803" s="164"/>
      <c r="C803" s="164"/>
      <c r="D803" s="164"/>
      <c r="E803" s="163" t="s">
        <v>7739</v>
      </c>
      <c r="F803" s="164"/>
      <c r="G803" s="166"/>
      <c r="H803" s="167"/>
      <c r="I803" s="168"/>
      <c r="J803" s="167"/>
      <c r="K803" s="157" t="s">
        <v>7577</v>
      </c>
    </row>
    <row r="804" spans="1:11" ht="14.25" customHeight="1">
      <c r="A804" s="164"/>
      <c r="B804" s="164"/>
      <c r="C804" s="164"/>
      <c r="D804" s="156" t="s">
        <v>7740</v>
      </c>
      <c r="E804" s="163" t="s">
        <v>7740</v>
      </c>
      <c r="F804" s="172" t="s">
        <v>7741</v>
      </c>
      <c r="G804" s="159" t="s">
        <v>200</v>
      </c>
      <c r="H804" s="160" t="s">
        <v>7742</v>
      </c>
      <c r="I804" s="170" t="s">
        <v>33</v>
      </c>
      <c r="J804" s="162" t="s">
        <v>6349</v>
      </c>
      <c r="K804" s="157" t="s">
        <v>7743</v>
      </c>
    </row>
    <row r="805" spans="1:11" ht="14.25" customHeight="1">
      <c r="A805" s="164"/>
      <c r="B805" s="164"/>
      <c r="C805" s="164"/>
      <c r="D805" s="164"/>
      <c r="E805" s="163" t="s">
        <v>7744</v>
      </c>
      <c r="F805" s="164"/>
      <c r="G805" s="166"/>
      <c r="H805" s="167"/>
      <c r="I805" s="168"/>
      <c r="J805" s="167"/>
      <c r="K805" s="157" t="s">
        <v>7745</v>
      </c>
    </row>
    <row r="806" spans="1:11" ht="14.25" customHeight="1">
      <c r="A806" s="164"/>
      <c r="B806" s="164"/>
      <c r="C806" s="164"/>
      <c r="D806" s="156" t="s">
        <v>7746</v>
      </c>
      <c r="E806" s="163" t="s">
        <v>7746</v>
      </c>
      <c r="F806" s="172" t="s">
        <v>7747</v>
      </c>
      <c r="G806" s="159" t="s">
        <v>38</v>
      </c>
      <c r="H806" s="160" t="s">
        <v>7748</v>
      </c>
      <c r="I806" s="161" t="s">
        <v>19</v>
      </c>
      <c r="J806" s="162" t="s">
        <v>6218</v>
      </c>
      <c r="K806" s="157" t="s">
        <v>7749</v>
      </c>
    </row>
    <row r="807" spans="1:11" ht="14.25" customHeight="1">
      <c r="A807" s="164"/>
      <c r="B807" s="164"/>
      <c r="C807" s="164"/>
      <c r="D807" s="164"/>
      <c r="E807" s="163" t="s">
        <v>7750</v>
      </c>
      <c r="F807" s="164"/>
      <c r="G807" s="166"/>
      <c r="H807" s="167"/>
      <c r="I807" s="168"/>
      <c r="J807" s="167"/>
      <c r="K807" s="157" t="s">
        <v>7751</v>
      </c>
    </row>
    <row r="808" spans="1:11" ht="14.25" customHeight="1">
      <c r="A808" s="164"/>
      <c r="B808" s="164"/>
      <c r="C808" s="164"/>
      <c r="D808" s="156" t="s">
        <v>7752</v>
      </c>
      <c r="E808" s="163" t="s">
        <v>7752</v>
      </c>
      <c r="F808" s="172" t="s">
        <v>7753</v>
      </c>
      <c r="G808" s="159" t="s">
        <v>38</v>
      </c>
      <c r="H808" s="160" t="s">
        <v>7754</v>
      </c>
      <c r="I808" s="170" t="s">
        <v>33</v>
      </c>
      <c r="J808" s="162" t="s">
        <v>7755</v>
      </c>
      <c r="K808" s="157" t="s">
        <v>7756</v>
      </c>
    </row>
    <row r="809" spans="1:11" ht="14.25" customHeight="1">
      <c r="A809" s="164"/>
      <c r="B809" s="164"/>
      <c r="C809" s="164"/>
      <c r="D809" s="164"/>
      <c r="E809" s="163" t="s">
        <v>7757</v>
      </c>
      <c r="F809" s="164"/>
      <c r="G809" s="166"/>
      <c r="H809" s="167"/>
      <c r="I809" s="168"/>
      <c r="J809" s="167"/>
      <c r="K809" s="157" t="s">
        <v>7710</v>
      </c>
    </row>
    <row r="810" spans="1:11" ht="14.25" customHeight="1">
      <c r="A810" s="164"/>
      <c r="B810" s="164"/>
      <c r="C810" s="156" t="s">
        <v>7758</v>
      </c>
      <c r="D810" s="156" t="s">
        <v>7759</v>
      </c>
      <c r="E810" s="163" t="s">
        <v>7759</v>
      </c>
      <c r="F810" s="172" t="s">
        <v>7760</v>
      </c>
      <c r="G810" s="159" t="s">
        <v>16</v>
      </c>
      <c r="H810" s="160" t="s">
        <v>7761</v>
      </c>
      <c r="I810" s="169" t="s">
        <v>41</v>
      </c>
      <c r="J810" s="162" t="s">
        <v>7762</v>
      </c>
      <c r="K810" s="157" t="s">
        <v>7389</v>
      </c>
    </row>
    <row r="811" spans="1:11" ht="14.25" customHeight="1">
      <c r="A811" s="164"/>
      <c r="B811" s="164"/>
      <c r="C811" s="164"/>
      <c r="D811" s="164"/>
      <c r="E811" s="163" t="s">
        <v>7763</v>
      </c>
      <c r="F811" s="164"/>
      <c r="G811" s="166"/>
      <c r="H811" s="167"/>
      <c r="I811" s="168"/>
      <c r="J811" s="167"/>
      <c r="K811" s="157" t="s">
        <v>7764</v>
      </c>
    </row>
    <row r="812" spans="1:11" ht="14.25" customHeight="1">
      <c r="A812" s="164"/>
      <c r="B812" s="164"/>
      <c r="C812" s="164"/>
      <c r="D812" s="156" t="s">
        <v>7765</v>
      </c>
      <c r="E812" s="163" t="s">
        <v>7765</v>
      </c>
      <c r="F812" s="172" t="s">
        <v>7766</v>
      </c>
      <c r="G812" s="159" t="s">
        <v>16</v>
      </c>
      <c r="H812" s="160" t="s">
        <v>7767</v>
      </c>
      <c r="I812" s="169" t="s">
        <v>41</v>
      </c>
      <c r="J812" s="162" t="s">
        <v>7768</v>
      </c>
      <c r="K812" s="157" t="s">
        <v>7769</v>
      </c>
    </row>
    <row r="813" spans="1:11" ht="14.25" customHeight="1">
      <c r="A813" s="164"/>
      <c r="B813" s="164"/>
      <c r="C813" s="164"/>
      <c r="D813" s="164"/>
      <c r="E813" s="163" t="s">
        <v>7770</v>
      </c>
      <c r="F813" s="164"/>
      <c r="G813" s="166"/>
      <c r="H813" s="167"/>
      <c r="I813" s="168"/>
      <c r="J813" s="167"/>
      <c r="K813" s="157" t="s">
        <v>7771</v>
      </c>
    </row>
    <row r="814" spans="1:11" ht="14.25" customHeight="1">
      <c r="A814" s="164"/>
      <c r="B814" s="164"/>
      <c r="C814" s="164"/>
      <c r="D814" s="156" t="s">
        <v>7772</v>
      </c>
      <c r="E814" s="163" t="s">
        <v>7772</v>
      </c>
      <c r="F814" s="172" t="s">
        <v>7773</v>
      </c>
      <c r="G814" s="159" t="s">
        <v>16</v>
      </c>
      <c r="H814" s="160" t="s">
        <v>7774</v>
      </c>
      <c r="I814" s="170" t="s">
        <v>33</v>
      </c>
      <c r="J814" s="162" t="s">
        <v>7775</v>
      </c>
      <c r="K814" s="157" t="s">
        <v>7776</v>
      </c>
    </row>
    <row r="815" spans="1:11" ht="14.25" customHeight="1">
      <c r="A815" s="164"/>
      <c r="B815" s="164"/>
      <c r="C815" s="164"/>
      <c r="D815" s="164"/>
      <c r="E815" s="163" t="s">
        <v>7777</v>
      </c>
      <c r="F815" s="164"/>
      <c r="G815" s="166"/>
      <c r="H815" s="167"/>
      <c r="I815" s="168"/>
      <c r="J815" s="167"/>
      <c r="K815" s="157" t="s">
        <v>7778</v>
      </c>
    </row>
    <row r="816" spans="1:11" ht="14.25" customHeight="1">
      <c r="A816" s="164"/>
      <c r="B816" s="164"/>
      <c r="C816" s="164"/>
      <c r="D816" s="156" t="s">
        <v>7779</v>
      </c>
      <c r="E816" s="163" t="s">
        <v>7779</v>
      </c>
      <c r="F816" s="172" t="s">
        <v>7780</v>
      </c>
      <c r="G816" s="159" t="s">
        <v>38</v>
      </c>
      <c r="H816" s="160" t="s">
        <v>7781</v>
      </c>
      <c r="I816" s="161" t="s">
        <v>19</v>
      </c>
      <c r="J816" s="162" t="s">
        <v>7782</v>
      </c>
      <c r="K816" s="157" t="s">
        <v>7783</v>
      </c>
    </row>
    <row r="817" spans="1:11" ht="14.25" customHeight="1">
      <c r="A817" s="164"/>
      <c r="B817" s="164"/>
      <c r="C817" s="164"/>
      <c r="D817" s="164"/>
      <c r="E817" s="163" t="s">
        <v>7784</v>
      </c>
      <c r="F817" s="164"/>
      <c r="G817" s="166"/>
      <c r="H817" s="167"/>
      <c r="I817" s="168"/>
      <c r="J817" s="167"/>
      <c r="K817" s="157" t="s">
        <v>7785</v>
      </c>
    </row>
    <row r="818" spans="1:11" ht="14.25" customHeight="1">
      <c r="A818" s="164"/>
      <c r="B818" s="164"/>
      <c r="C818" s="164"/>
      <c r="D818" s="156" t="s">
        <v>7786</v>
      </c>
      <c r="E818" s="163" t="s">
        <v>7786</v>
      </c>
      <c r="F818" s="172" t="s">
        <v>7787</v>
      </c>
      <c r="G818" s="159" t="s">
        <v>200</v>
      </c>
      <c r="H818" s="160" t="s">
        <v>7788</v>
      </c>
      <c r="I818" s="170" t="s">
        <v>33</v>
      </c>
      <c r="J818" s="162" t="s">
        <v>7789</v>
      </c>
      <c r="K818" s="157" t="s">
        <v>6818</v>
      </c>
    </row>
    <row r="819" spans="1:11" ht="14.25" customHeight="1">
      <c r="A819" s="164"/>
      <c r="B819" s="164"/>
      <c r="C819" s="164"/>
      <c r="D819" s="164"/>
      <c r="E819" s="163" t="s">
        <v>6891</v>
      </c>
      <c r="F819" s="164"/>
      <c r="G819" s="166"/>
      <c r="H819" s="167"/>
      <c r="I819" s="168"/>
      <c r="J819" s="167"/>
      <c r="K819" s="157" t="s">
        <v>7790</v>
      </c>
    </row>
    <row r="820" spans="1:11" ht="14.25" customHeight="1">
      <c r="A820" s="164"/>
      <c r="B820" s="164"/>
      <c r="C820" s="156" t="s">
        <v>7791</v>
      </c>
      <c r="D820" s="156" t="s">
        <v>7792</v>
      </c>
      <c r="E820" s="163" t="s">
        <v>7792</v>
      </c>
      <c r="F820" s="172" t="s">
        <v>7793</v>
      </c>
      <c r="G820" s="159" t="s">
        <v>38</v>
      </c>
      <c r="H820" s="160" t="s">
        <v>7794</v>
      </c>
      <c r="I820" s="169" t="s">
        <v>41</v>
      </c>
      <c r="J820" s="162" t="s">
        <v>7795</v>
      </c>
      <c r="K820" s="157" t="s">
        <v>7796</v>
      </c>
    </row>
    <row r="821" spans="1:11" ht="14.25" customHeight="1">
      <c r="A821" s="164"/>
      <c r="B821" s="164"/>
      <c r="C821" s="164"/>
      <c r="D821" s="164"/>
      <c r="E821" s="163" t="s">
        <v>7797</v>
      </c>
      <c r="F821" s="164"/>
      <c r="G821" s="166"/>
      <c r="H821" s="167"/>
      <c r="I821" s="168"/>
      <c r="J821" s="167"/>
      <c r="K821" s="157" t="s">
        <v>7798</v>
      </c>
    </row>
    <row r="822" spans="1:11" ht="14.25" customHeight="1">
      <c r="A822" s="164"/>
      <c r="B822" s="164"/>
      <c r="C822" s="164"/>
      <c r="D822" s="156" t="s">
        <v>7799</v>
      </c>
      <c r="E822" s="163" t="s">
        <v>7799</v>
      </c>
      <c r="F822" s="172" t="s">
        <v>7800</v>
      </c>
      <c r="G822" s="159" t="s">
        <v>38</v>
      </c>
      <c r="H822" s="160" t="s">
        <v>7801</v>
      </c>
      <c r="I822" s="169" t="s">
        <v>41</v>
      </c>
      <c r="J822" s="162" t="s">
        <v>7802</v>
      </c>
      <c r="K822" s="157" t="s">
        <v>7803</v>
      </c>
    </row>
    <row r="823" spans="1:11" ht="14.25" customHeight="1">
      <c r="A823" s="164"/>
      <c r="B823" s="164"/>
      <c r="C823" s="164"/>
      <c r="D823" s="164"/>
      <c r="E823" s="163" t="s">
        <v>7804</v>
      </c>
      <c r="F823" s="164"/>
      <c r="G823" s="166"/>
      <c r="H823" s="167"/>
      <c r="I823" s="168"/>
      <c r="J823" s="167"/>
      <c r="K823" s="157" t="s">
        <v>7805</v>
      </c>
    </row>
    <row r="824" spans="1:11" ht="14.25" customHeight="1">
      <c r="A824" s="164"/>
      <c r="B824" s="164"/>
      <c r="C824" s="164"/>
      <c r="D824" s="156" t="s">
        <v>7806</v>
      </c>
      <c r="E824" s="163" t="s">
        <v>7806</v>
      </c>
      <c r="F824" s="172" t="s">
        <v>7807</v>
      </c>
      <c r="G824" s="159" t="s">
        <v>16</v>
      </c>
      <c r="H824" s="160" t="s">
        <v>7808</v>
      </c>
      <c r="I824" s="170" t="s">
        <v>33</v>
      </c>
      <c r="J824" s="162" t="s">
        <v>7809</v>
      </c>
      <c r="K824" s="157" t="s">
        <v>7810</v>
      </c>
    </row>
    <row r="825" spans="1:11" ht="14.25" customHeight="1">
      <c r="A825" s="164"/>
      <c r="B825" s="164"/>
      <c r="C825" s="164"/>
      <c r="D825" s="164"/>
      <c r="E825" s="163" t="s">
        <v>7811</v>
      </c>
      <c r="F825" s="164"/>
      <c r="G825" s="166"/>
      <c r="H825" s="167"/>
      <c r="I825" s="168"/>
      <c r="J825" s="167"/>
      <c r="K825" s="157" t="s">
        <v>7812</v>
      </c>
    </row>
    <row r="826" spans="1:11" ht="14.25" customHeight="1">
      <c r="A826" s="164"/>
      <c r="B826" s="164"/>
      <c r="C826" s="164"/>
      <c r="D826" s="156" t="s">
        <v>7813</v>
      </c>
      <c r="E826" s="163" t="s">
        <v>7813</v>
      </c>
      <c r="F826" s="172" t="s">
        <v>7814</v>
      </c>
      <c r="G826" s="159" t="s">
        <v>16</v>
      </c>
      <c r="H826" s="160" t="s">
        <v>7815</v>
      </c>
      <c r="I826" s="161" t="s">
        <v>19</v>
      </c>
      <c r="J826" s="162" t="s">
        <v>7816</v>
      </c>
      <c r="K826" s="157" t="s">
        <v>7817</v>
      </c>
    </row>
    <row r="827" spans="1:11" ht="14.25" customHeight="1">
      <c r="A827" s="164"/>
      <c r="B827" s="164"/>
      <c r="C827" s="164"/>
      <c r="D827" s="164"/>
      <c r="E827" s="163" t="s">
        <v>7818</v>
      </c>
      <c r="F827" s="164"/>
      <c r="G827" s="166"/>
      <c r="H827" s="167"/>
      <c r="I827" s="168"/>
      <c r="J827" s="167"/>
      <c r="K827" s="157" t="s">
        <v>7819</v>
      </c>
    </row>
    <row r="828" spans="1:11" ht="14.25" customHeight="1">
      <c r="A828" s="164"/>
      <c r="B828" s="164"/>
      <c r="C828" s="164"/>
      <c r="D828" s="156" t="s">
        <v>7820</v>
      </c>
      <c r="E828" s="163" t="s">
        <v>7820</v>
      </c>
      <c r="F828" s="172" t="s">
        <v>7821</v>
      </c>
      <c r="G828" s="159" t="s">
        <v>16</v>
      </c>
      <c r="H828" s="160" t="s">
        <v>7822</v>
      </c>
      <c r="I828" s="170" t="s">
        <v>33</v>
      </c>
      <c r="J828" s="162" t="s">
        <v>7823</v>
      </c>
      <c r="K828" s="157" t="s">
        <v>7824</v>
      </c>
    </row>
    <row r="829" spans="1:11" ht="14.25" customHeight="1">
      <c r="A829" s="164"/>
      <c r="B829" s="164"/>
      <c r="C829" s="164"/>
      <c r="D829" s="164"/>
      <c r="E829" s="163" t="s">
        <v>7825</v>
      </c>
      <c r="F829" s="164"/>
      <c r="G829" s="166"/>
      <c r="H829" s="167"/>
      <c r="I829" s="168"/>
      <c r="J829" s="167"/>
      <c r="K829" s="157" t="s">
        <v>7826</v>
      </c>
    </row>
    <row r="830" spans="1:11" ht="14.25" customHeight="1">
      <c r="A830" s="164"/>
      <c r="B830" s="155" t="s">
        <v>7827</v>
      </c>
      <c r="C830" s="156" t="s">
        <v>7828</v>
      </c>
      <c r="D830" s="156" t="s">
        <v>7829</v>
      </c>
      <c r="E830" s="157" t="s">
        <v>7830</v>
      </c>
      <c r="F830" s="172" t="s">
        <v>7831</v>
      </c>
      <c r="G830" s="159" t="s">
        <v>38</v>
      </c>
      <c r="H830" s="160" t="s">
        <v>7832</v>
      </c>
      <c r="I830" s="169" t="s">
        <v>41</v>
      </c>
      <c r="J830" s="162" t="s">
        <v>7833</v>
      </c>
      <c r="K830" s="157" t="s">
        <v>7834</v>
      </c>
    </row>
    <row r="831" spans="1:11" ht="14.25" customHeight="1">
      <c r="A831" s="164"/>
      <c r="B831" s="164"/>
      <c r="C831" s="164"/>
      <c r="D831" s="164"/>
      <c r="E831" s="157" t="s">
        <v>7835</v>
      </c>
      <c r="F831" s="164"/>
      <c r="G831" s="166"/>
      <c r="H831" s="167"/>
      <c r="I831" s="168"/>
      <c r="J831" s="167"/>
      <c r="K831" s="157" t="s">
        <v>7836</v>
      </c>
    </row>
    <row r="832" spans="1:11" ht="14.25" customHeight="1">
      <c r="A832" s="164"/>
      <c r="B832" s="164"/>
      <c r="C832" s="164"/>
      <c r="D832" s="156" t="s">
        <v>7837</v>
      </c>
      <c r="E832" s="157" t="s">
        <v>7221</v>
      </c>
      <c r="F832" s="172" t="s">
        <v>7838</v>
      </c>
      <c r="G832" s="159" t="s">
        <v>200</v>
      </c>
      <c r="H832" s="160" t="s">
        <v>7839</v>
      </c>
      <c r="I832" s="169" t="s">
        <v>41</v>
      </c>
      <c r="J832" s="162" t="s">
        <v>7840</v>
      </c>
      <c r="K832" s="157" t="s">
        <v>7841</v>
      </c>
    </row>
    <row r="833" spans="1:11" ht="14.25" customHeight="1">
      <c r="A833" s="164"/>
      <c r="B833" s="164"/>
      <c r="C833" s="164"/>
      <c r="D833" s="164"/>
      <c r="E833" s="157" t="s">
        <v>7842</v>
      </c>
      <c r="F833" s="164"/>
      <c r="G833" s="166"/>
      <c r="H833" s="167"/>
      <c r="I833" s="168"/>
      <c r="J833" s="167"/>
      <c r="K833" s="157" t="s">
        <v>7843</v>
      </c>
    </row>
    <row r="834" spans="1:11" ht="14.25" customHeight="1">
      <c r="A834" s="164"/>
      <c r="B834" s="164"/>
      <c r="C834" s="164"/>
      <c r="D834" s="156" t="s">
        <v>7844</v>
      </c>
      <c r="E834" s="157" t="s">
        <v>7845</v>
      </c>
      <c r="F834" s="172" t="s">
        <v>7846</v>
      </c>
      <c r="G834" s="159" t="s">
        <v>38</v>
      </c>
      <c r="H834" s="160" t="s">
        <v>7847</v>
      </c>
      <c r="I834" s="170" t="s">
        <v>33</v>
      </c>
      <c r="J834" s="162" t="s">
        <v>7848</v>
      </c>
      <c r="K834" s="157" t="s">
        <v>7849</v>
      </c>
    </row>
    <row r="835" spans="1:11" ht="14.25" customHeight="1">
      <c r="A835" s="164"/>
      <c r="B835" s="164"/>
      <c r="C835" s="164"/>
      <c r="D835" s="164"/>
      <c r="E835" s="157" t="s">
        <v>7850</v>
      </c>
      <c r="F835" s="164"/>
      <c r="G835" s="166"/>
      <c r="H835" s="167"/>
      <c r="I835" s="168"/>
      <c r="J835" s="167"/>
      <c r="K835" s="157" t="s">
        <v>7851</v>
      </c>
    </row>
    <row r="836" spans="1:11" ht="14.25" customHeight="1">
      <c r="A836" s="164"/>
      <c r="B836" s="164"/>
      <c r="C836" s="164"/>
      <c r="D836" s="156" t="s">
        <v>7852</v>
      </c>
      <c r="E836" s="157" t="s">
        <v>7853</v>
      </c>
      <c r="F836" s="172" t="s">
        <v>7854</v>
      </c>
      <c r="G836" s="159" t="s">
        <v>38</v>
      </c>
      <c r="H836" s="160" t="s">
        <v>7855</v>
      </c>
      <c r="I836" s="161" t="s">
        <v>19</v>
      </c>
      <c r="J836" s="162" t="s">
        <v>7856</v>
      </c>
      <c r="K836" s="157" t="s">
        <v>7817</v>
      </c>
    </row>
    <row r="837" spans="1:11" ht="14.25" customHeight="1">
      <c r="A837" s="164"/>
      <c r="B837" s="164"/>
      <c r="C837" s="164"/>
      <c r="D837" s="164"/>
      <c r="E837" s="157" t="s">
        <v>7857</v>
      </c>
      <c r="F837" s="164"/>
      <c r="G837" s="166"/>
      <c r="H837" s="167"/>
      <c r="I837" s="168"/>
      <c r="J837" s="167"/>
      <c r="K837" s="157" t="s">
        <v>7858</v>
      </c>
    </row>
    <row r="838" spans="1:11" ht="14.25" customHeight="1">
      <c r="A838" s="164"/>
      <c r="B838" s="164"/>
      <c r="C838" s="164"/>
      <c r="D838" s="156" t="s">
        <v>7859</v>
      </c>
      <c r="E838" s="157" t="s">
        <v>7860</v>
      </c>
      <c r="F838" s="172" t="s">
        <v>7861</v>
      </c>
      <c r="G838" s="159" t="s">
        <v>16</v>
      </c>
      <c r="H838" s="160" t="s">
        <v>7862</v>
      </c>
      <c r="I838" s="170" t="s">
        <v>33</v>
      </c>
      <c r="J838" s="162" t="s">
        <v>7863</v>
      </c>
      <c r="K838" s="157" t="s">
        <v>7864</v>
      </c>
    </row>
    <row r="839" spans="1:11" ht="14.25" customHeight="1">
      <c r="A839" s="164"/>
      <c r="B839" s="164"/>
      <c r="C839" s="164"/>
      <c r="D839" s="164"/>
      <c r="E839" s="157" t="s">
        <v>7865</v>
      </c>
      <c r="F839" s="164"/>
      <c r="G839" s="166"/>
      <c r="H839" s="167"/>
      <c r="I839" s="168"/>
      <c r="J839" s="167"/>
      <c r="K839" s="157" t="s">
        <v>7866</v>
      </c>
    </row>
    <row r="840" spans="1:11" ht="14.25" customHeight="1">
      <c r="A840" s="164"/>
      <c r="B840" s="164"/>
      <c r="C840" s="156" t="s">
        <v>7867</v>
      </c>
      <c r="D840" s="156" t="s">
        <v>7868</v>
      </c>
      <c r="E840" s="157" t="s">
        <v>7869</v>
      </c>
      <c r="F840" s="172" t="s">
        <v>7870</v>
      </c>
      <c r="G840" s="159" t="s">
        <v>16</v>
      </c>
      <c r="H840" s="160" t="s">
        <v>7871</v>
      </c>
      <c r="I840" s="169" t="s">
        <v>41</v>
      </c>
      <c r="J840" s="162" t="s">
        <v>7872</v>
      </c>
      <c r="K840" s="157" t="s">
        <v>7873</v>
      </c>
    </row>
    <row r="841" spans="1:11" ht="14.25" customHeight="1">
      <c r="A841" s="164"/>
      <c r="B841" s="164"/>
      <c r="C841" s="164"/>
      <c r="D841" s="164"/>
      <c r="E841" s="157" t="s">
        <v>7874</v>
      </c>
      <c r="F841" s="164"/>
      <c r="G841" s="166"/>
      <c r="H841" s="167"/>
      <c r="I841" s="168"/>
      <c r="J841" s="167"/>
      <c r="K841" s="157" t="s">
        <v>7875</v>
      </c>
    </row>
    <row r="842" spans="1:11" ht="14.25" customHeight="1">
      <c r="A842" s="164"/>
      <c r="B842" s="164"/>
      <c r="C842" s="164"/>
      <c r="D842" s="156" t="s">
        <v>7876</v>
      </c>
      <c r="E842" s="157" t="s">
        <v>7877</v>
      </c>
      <c r="F842" s="172" t="s">
        <v>7878</v>
      </c>
      <c r="G842" s="159" t="s">
        <v>16</v>
      </c>
      <c r="H842" s="160" t="s">
        <v>7879</v>
      </c>
      <c r="I842" s="169" t="s">
        <v>41</v>
      </c>
      <c r="J842" s="162" t="s">
        <v>7880</v>
      </c>
      <c r="K842" s="157" t="s">
        <v>7873</v>
      </c>
    </row>
    <row r="843" spans="1:11" ht="14.25" customHeight="1">
      <c r="A843" s="164"/>
      <c r="B843" s="164"/>
      <c r="C843" s="164"/>
      <c r="D843" s="164"/>
      <c r="E843" s="157" t="s">
        <v>7881</v>
      </c>
      <c r="F843" s="164"/>
      <c r="G843" s="166"/>
      <c r="H843" s="167"/>
      <c r="I843" s="168"/>
      <c r="J843" s="167"/>
      <c r="K843" s="157" t="s">
        <v>7875</v>
      </c>
    </row>
    <row r="844" spans="1:11" ht="14.25" customHeight="1">
      <c r="A844" s="164"/>
      <c r="B844" s="164"/>
      <c r="C844" s="164"/>
      <c r="D844" s="156" t="s">
        <v>7882</v>
      </c>
      <c r="E844" s="157" t="s">
        <v>7883</v>
      </c>
      <c r="F844" s="172" t="s">
        <v>7884</v>
      </c>
      <c r="G844" s="159" t="s">
        <v>38</v>
      </c>
      <c r="H844" s="160" t="s">
        <v>7885</v>
      </c>
      <c r="I844" s="170" t="s">
        <v>33</v>
      </c>
      <c r="J844" s="162" t="s">
        <v>7886</v>
      </c>
      <c r="K844" s="157" t="s">
        <v>7887</v>
      </c>
    </row>
    <row r="845" spans="1:11" ht="14.25" customHeight="1">
      <c r="A845" s="164"/>
      <c r="B845" s="164"/>
      <c r="C845" s="164"/>
      <c r="D845" s="164"/>
      <c r="E845" s="157" t="s">
        <v>7888</v>
      </c>
      <c r="F845" s="164"/>
      <c r="G845" s="166"/>
      <c r="H845" s="167"/>
      <c r="I845" s="168"/>
      <c r="J845" s="167"/>
      <c r="K845" s="157" t="s">
        <v>7889</v>
      </c>
    </row>
    <row r="846" spans="1:11" ht="14.25" customHeight="1">
      <c r="A846" s="164"/>
      <c r="B846" s="164"/>
      <c r="C846" s="164"/>
      <c r="D846" s="156" t="s">
        <v>7890</v>
      </c>
      <c r="E846" s="157" t="s">
        <v>7891</v>
      </c>
      <c r="F846" s="172" t="s">
        <v>7892</v>
      </c>
      <c r="G846" s="159" t="s">
        <v>200</v>
      </c>
      <c r="H846" s="160" t="s">
        <v>7893</v>
      </c>
      <c r="I846" s="161" t="s">
        <v>19</v>
      </c>
      <c r="J846" s="162" t="s">
        <v>7894</v>
      </c>
      <c r="K846" s="157" t="s">
        <v>7796</v>
      </c>
    </row>
    <row r="847" spans="1:11" ht="14.25" customHeight="1">
      <c r="A847" s="164"/>
      <c r="B847" s="164"/>
      <c r="C847" s="164"/>
      <c r="D847" s="164"/>
      <c r="E847" s="157" t="s">
        <v>7895</v>
      </c>
      <c r="F847" s="164"/>
      <c r="G847" s="166"/>
      <c r="H847" s="167"/>
      <c r="I847" s="168"/>
      <c r="J847" s="167"/>
      <c r="K847" s="157" t="s">
        <v>7896</v>
      </c>
    </row>
    <row r="848" spans="1:11" ht="14.25" customHeight="1">
      <c r="A848" s="164"/>
      <c r="B848" s="164"/>
      <c r="C848" s="164"/>
      <c r="D848" s="156" t="s">
        <v>7897</v>
      </c>
      <c r="E848" s="157" t="s">
        <v>7898</v>
      </c>
      <c r="F848" s="172" t="s">
        <v>7899</v>
      </c>
      <c r="G848" s="159" t="s">
        <v>38</v>
      </c>
      <c r="H848" s="160" t="s">
        <v>7900</v>
      </c>
      <c r="I848" s="170" t="s">
        <v>33</v>
      </c>
      <c r="J848" s="162" t="s">
        <v>7901</v>
      </c>
      <c r="K848" s="157" t="s">
        <v>7902</v>
      </c>
    </row>
    <row r="849" spans="1:11" ht="14.25" customHeight="1">
      <c r="A849" s="164"/>
      <c r="B849" s="164"/>
      <c r="C849" s="164"/>
      <c r="D849" s="164"/>
      <c r="E849" s="157" t="s">
        <v>7903</v>
      </c>
      <c r="F849" s="164"/>
      <c r="G849" s="166"/>
      <c r="H849" s="167"/>
      <c r="I849" s="168"/>
      <c r="J849" s="167"/>
      <c r="K849" s="157" t="s">
        <v>7904</v>
      </c>
    </row>
    <row r="850" spans="1:11" ht="14.25" customHeight="1">
      <c r="A850" s="164"/>
      <c r="B850" s="164"/>
      <c r="C850" s="156" t="s">
        <v>7905</v>
      </c>
      <c r="D850" s="156" t="s">
        <v>7906</v>
      </c>
      <c r="E850" s="157" t="s">
        <v>7907</v>
      </c>
      <c r="F850" s="172" t="s">
        <v>7908</v>
      </c>
      <c r="G850" s="159" t="s">
        <v>38</v>
      </c>
      <c r="H850" s="160" t="s">
        <v>7909</v>
      </c>
      <c r="I850" s="169" t="s">
        <v>41</v>
      </c>
      <c r="J850" s="162" t="s">
        <v>7910</v>
      </c>
      <c r="K850" s="157" t="s">
        <v>7911</v>
      </c>
    </row>
    <row r="851" spans="1:11" ht="14.25" customHeight="1">
      <c r="A851" s="164"/>
      <c r="B851" s="164"/>
      <c r="C851" s="164"/>
      <c r="D851" s="164"/>
      <c r="E851" s="157" t="s">
        <v>7912</v>
      </c>
      <c r="F851" s="164"/>
      <c r="G851" s="166"/>
      <c r="H851" s="167"/>
      <c r="I851" s="168"/>
      <c r="J851" s="167"/>
      <c r="K851" s="157" t="s">
        <v>7913</v>
      </c>
    </row>
    <row r="852" spans="1:11" ht="14.25" customHeight="1">
      <c r="A852" s="164"/>
      <c r="B852" s="164"/>
      <c r="C852" s="164"/>
      <c r="D852" s="156" t="s">
        <v>7914</v>
      </c>
      <c r="E852" s="157" t="s">
        <v>7915</v>
      </c>
      <c r="F852" s="172" t="s">
        <v>7916</v>
      </c>
      <c r="G852" s="159" t="s">
        <v>16</v>
      </c>
      <c r="H852" s="160" t="s">
        <v>7917</v>
      </c>
      <c r="I852" s="169" t="s">
        <v>41</v>
      </c>
      <c r="J852" s="162" t="s">
        <v>7918</v>
      </c>
      <c r="K852" s="157" t="s">
        <v>7919</v>
      </c>
    </row>
    <row r="853" spans="1:11" ht="14.25" customHeight="1">
      <c r="A853" s="164"/>
      <c r="B853" s="164"/>
      <c r="C853" s="164"/>
      <c r="D853" s="164"/>
      <c r="E853" s="157" t="s">
        <v>7920</v>
      </c>
      <c r="F853" s="164"/>
      <c r="G853" s="166"/>
      <c r="H853" s="167"/>
      <c r="I853" s="168"/>
      <c r="J853" s="167"/>
      <c r="K853" s="157" t="s">
        <v>7921</v>
      </c>
    </row>
    <row r="854" spans="1:11" ht="14.25" customHeight="1">
      <c r="A854" s="164"/>
      <c r="B854" s="164"/>
      <c r="C854" s="164"/>
      <c r="D854" s="156" t="s">
        <v>7922</v>
      </c>
      <c r="E854" s="157" t="s">
        <v>7923</v>
      </c>
      <c r="F854" s="172" t="s">
        <v>7924</v>
      </c>
      <c r="G854" s="159" t="s">
        <v>16</v>
      </c>
      <c r="H854" s="160" t="s">
        <v>7925</v>
      </c>
      <c r="I854" s="170" t="s">
        <v>33</v>
      </c>
      <c r="J854" s="162" t="s">
        <v>7926</v>
      </c>
      <c r="K854" s="157" t="s">
        <v>7927</v>
      </c>
    </row>
    <row r="855" spans="1:11" ht="14.25" customHeight="1">
      <c r="A855" s="164"/>
      <c r="B855" s="164"/>
      <c r="C855" s="164"/>
      <c r="D855" s="164"/>
      <c r="E855" s="157" t="s">
        <v>7928</v>
      </c>
      <c r="F855" s="164"/>
      <c r="G855" s="166"/>
      <c r="H855" s="167"/>
      <c r="I855" s="168"/>
      <c r="J855" s="167"/>
      <c r="K855" s="157" t="s">
        <v>7929</v>
      </c>
    </row>
    <row r="856" spans="1:11" ht="14.25" customHeight="1">
      <c r="A856" s="164"/>
      <c r="B856" s="164"/>
      <c r="C856" s="164"/>
      <c r="D856" s="156" t="s">
        <v>7930</v>
      </c>
      <c r="E856" s="157" t="s">
        <v>7931</v>
      </c>
      <c r="F856" s="172" t="s">
        <v>7932</v>
      </c>
      <c r="G856" s="159" t="s">
        <v>16</v>
      </c>
      <c r="H856" s="160" t="s">
        <v>7933</v>
      </c>
      <c r="I856" s="161" t="s">
        <v>19</v>
      </c>
      <c r="J856" s="162" t="s">
        <v>7934</v>
      </c>
      <c r="K856" s="157" t="s">
        <v>7935</v>
      </c>
    </row>
    <row r="857" spans="1:11" ht="14.25" customHeight="1">
      <c r="A857" s="164"/>
      <c r="B857" s="164"/>
      <c r="C857" s="164"/>
      <c r="D857" s="164"/>
      <c r="E857" s="157" t="s">
        <v>7936</v>
      </c>
      <c r="F857" s="164"/>
      <c r="G857" s="166"/>
      <c r="H857" s="167"/>
      <c r="I857" s="168"/>
      <c r="J857" s="167"/>
      <c r="K857" s="157" t="s">
        <v>7819</v>
      </c>
    </row>
    <row r="858" spans="1:11" ht="14.25" customHeight="1">
      <c r="A858" s="164"/>
      <c r="B858" s="164"/>
      <c r="C858" s="164"/>
      <c r="D858" s="156" t="s">
        <v>7937</v>
      </c>
      <c r="E858" s="157" t="s">
        <v>7938</v>
      </c>
      <c r="F858" s="172" t="s">
        <v>7939</v>
      </c>
      <c r="G858" s="159" t="s">
        <v>38</v>
      </c>
      <c r="H858" s="160" t="s">
        <v>7940</v>
      </c>
      <c r="I858" s="170" t="s">
        <v>33</v>
      </c>
      <c r="J858" s="162" t="s">
        <v>7941</v>
      </c>
      <c r="K858" s="157" t="s">
        <v>7942</v>
      </c>
    </row>
    <row r="859" spans="1:11" ht="14.25" customHeight="1">
      <c r="A859" s="164"/>
      <c r="B859" s="164"/>
      <c r="C859" s="164"/>
      <c r="D859" s="164"/>
      <c r="E859" s="157" t="s">
        <v>7943</v>
      </c>
      <c r="F859" s="164"/>
      <c r="G859" s="166"/>
      <c r="H859" s="167"/>
      <c r="I859" s="168"/>
      <c r="J859" s="167"/>
      <c r="K859" s="157" t="s">
        <v>7944</v>
      </c>
    </row>
    <row r="860" spans="1:11" ht="14.25" customHeight="1">
      <c r="A860" s="164"/>
      <c r="B860" s="164"/>
      <c r="C860" s="156" t="s">
        <v>7945</v>
      </c>
      <c r="D860" s="156" t="s">
        <v>7946</v>
      </c>
      <c r="E860" s="157" t="s">
        <v>7947</v>
      </c>
      <c r="F860" s="172" t="s">
        <v>7948</v>
      </c>
      <c r="G860" s="159" t="s">
        <v>200</v>
      </c>
      <c r="H860" s="160" t="s">
        <v>7949</v>
      </c>
      <c r="I860" s="169" t="s">
        <v>41</v>
      </c>
      <c r="J860" s="162" t="s">
        <v>7950</v>
      </c>
      <c r="K860" s="157" t="s">
        <v>7841</v>
      </c>
    </row>
    <row r="861" spans="1:11" ht="14.25" customHeight="1">
      <c r="A861" s="164"/>
      <c r="B861" s="164"/>
      <c r="C861" s="164"/>
      <c r="D861" s="164"/>
      <c r="E861" s="157" t="s">
        <v>7951</v>
      </c>
      <c r="F861" s="164"/>
      <c r="G861" s="166"/>
      <c r="H861" s="167"/>
      <c r="I861" s="168"/>
      <c r="J861" s="167"/>
      <c r="K861" s="157" t="s">
        <v>7843</v>
      </c>
    </row>
    <row r="862" spans="1:11" ht="14.25" customHeight="1">
      <c r="A862" s="164"/>
      <c r="B862" s="164"/>
      <c r="C862" s="164"/>
      <c r="D862" s="156" t="s">
        <v>7952</v>
      </c>
      <c r="E862" s="157" t="s">
        <v>7953</v>
      </c>
      <c r="F862" s="172" t="s">
        <v>7954</v>
      </c>
      <c r="G862" s="159" t="s">
        <v>38</v>
      </c>
      <c r="H862" s="160" t="s">
        <v>7955</v>
      </c>
      <c r="I862" s="169" t="s">
        <v>41</v>
      </c>
      <c r="J862" s="162" t="s">
        <v>7848</v>
      </c>
      <c r="K862" s="157" t="s">
        <v>7911</v>
      </c>
    </row>
    <row r="863" spans="1:11" ht="14.25" customHeight="1">
      <c r="A863" s="164"/>
      <c r="B863" s="164"/>
      <c r="C863" s="164"/>
      <c r="D863" s="164"/>
      <c r="E863" s="157" t="s">
        <v>7956</v>
      </c>
      <c r="F863" s="164"/>
      <c r="G863" s="166"/>
      <c r="H863" s="167"/>
      <c r="I863" s="168"/>
      <c r="J863" s="167"/>
      <c r="K863" s="157" t="s">
        <v>7913</v>
      </c>
    </row>
    <row r="864" spans="1:11" ht="14.25" customHeight="1">
      <c r="A864" s="164"/>
      <c r="B864" s="164"/>
      <c r="C864" s="164"/>
      <c r="D864" s="156" t="s">
        <v>7957</v>
      </c>
      <c r="E864" s="157" t="s">
        <v>7958</v>
      </c>
      <c r="F864" s="172" t="s">
        <v>7959</v>
      </c>
      <c r="G864" s="159" t="s">
        <v>38</v>
      </c>
      <c r="H864" s="160" t="s">
        <v>7960</v>
      </c>
      <c r="I864" s="170" t="s">
        <v>33</v>
      </c>
      <c r="J864" s="162" t="s">
        <v>7910</v>
      </c>
      <c r="K864" s="157" t="s">
        <v>7961</v>
      </c>
    </row>
    <row r="865" spans="1:11" ht="14.25" customHeight="1">
      <c r="A865" s="164"/>
      <c r="B865" s="164"/>
      <c r="C865" s="164"/>
      <c r="D865" s="164"/>
      <c r="E865" s="157" t="s">
        <v>7962</v>
      </c>
      <c r="F865" s="164"/>
      <c r="G865" s="166"/>
      <c r="H865" s="167"/>
      <c r="I865" s="168"/>
      <c r="J865" s="167"/>
      <c r="K865" s="157" t="s">
        <v>7963</v>
      </c>
    </row>
    <row r="866" spans="1:11" ht="14.25" customHeight="1">
      <c r="A866" s="164"/>
      <c r="B866" s="164"/>
      <c r="C866" s="164"/>
      <c r="D866" s="156" t="s">
        <v>7964</v>
      </c>
      <c r="E866" s="157" t="s">
        <v>7965</v>
      </c>
      <c r="F866" s="172" t="s">
        <v>7966</v>
      </c>
      <c r="G866" s="159" t="s">
        <v>16</v>
      </c>
      <c r="H866" s="160" t="s">
        <v>7967</v>
      </c>
      <c r="I866" s="161" t="s">
        <v>19</v>
      </c>
      <c r="J866" s="162" t="s">
        <v>7968</v>
      </c>
      <c r="K866" s="157" t="s">
        <v>7969</v>
      </c>
    </row>
    <row r="867" spans="1:11" ht="14.25" customHeight="1">
      <c r="A867" s="164"/>
      <c r="B867" s="164"/>
      <c r="C867" s="164"/>
      <c r="D867" s="164"/>
      <c r="E867" s="157" t="s">
        <v>7970</v>
      </c>
      <c r="F867" s="164"/>
      <c r="G867" s="166"/>
      <c r="H867" s="167"/>
      <c r="I867" s="168"/>
      <c r="J867" s="167"/>
      <c r="K867" s="157" t="s">
        <v>7971</v>
      </c>
    </row>
    <row r="868" spans="1:11" ht="14.25" customHeight="1">
      <c r="A868" s="164"/>
      <c r="B868" s="164"/>
      <c r="C868" s="164"/>
      <c r="D868" s="156" t="s">
        <v>7972</v>
      </c>
      <c r="E868" s="157" t="s">
        <v>7973</v>
      </c>
      <c r="F868" s="172" t="s">
        <v>7974</v>
      </c>
      <c r="G868" s="159" t="s">
        <v>16</v>
      </c>
      <c r="H868" s="160" t="s">
        <v>7975</v>
      </c>
      <c r="I868" s="170" t="s">
        <v>33</v>
      </c>
      <c r="J868" s="162" t="s">
        <v>7976</v>
      </c>
      <c r="K868" s="157" t="s">
        <v>7977</v>
      </c>
    </row>
    <row r="869" spans="1:11" ht="14.25" customHeight="1">
      <c r="A869" s="164"/>
      <c r="B869" s="164"/>
      <c r="C869" s="164"/>
      <c r="D869" s="164"/>
      <c r="E869" s="157" t="s">
        <v>7978</v>
      </c>
      <c r="F869" s="164"/>
      <c r="G869" s="166"/>
      <c r="H869" s="167"/>
      <c r="I869" s="168"/>
      <c r="J869" s="167"/>
      <c r="K869" s="157" t="s">
        <v>7979</v>
      </c>
    </row>
    <row r="870" spans="1:11" ht="14.25" customHeight="1">
      <c r="A870" s="164"/>
      <c r="B870" s="164"/>
      <c r="C870" s="156" t="s">
        <v>7980</v>
      </c>
      <c r="D870" s="156" t="s">
        <v>7981</v>
      </c>
      <c r="E870" s="157" t="s">
        <v>7982</v>
      </c>
      <c r="F870" s="172" t="s">
        <v>7983</v>
      </c>
      <c r="G870" s="159" t="s">
        <v>16</v>
      </c>
      <c r="H870" s="160" t="s">
        <v>7984</v>
      </c>
      <c r="I870" s="169" t="s">
        <v>41</v>
      </c>
      <c r="J870" s="162" t="s">
        <v>7985</v>
      </c>
      <c r="K870" s="157" t="s">
        <v>7986</v>
      </c>
    </row>
    <row r="871" spans="1:11" ht="14.25" customHeight="1">
      <c r="A871" s="164"/>
      <c r="B871" s="164"/>
      <c r="C871" s="164"/>
      <c r="D871" s="164"/>
      <c r="E871" s="157" t="s">
        <v>7987</v>
      </c>
      <c r="F871" s="164"/>
      <c r="G871" s="166"/>
      <c r="H871" s="167"/>
      <c r="I871" s="168"/>
      <c r="J871" s="167"/>
      <c r="K871" s="157" t="s">
        <v>7988</v>
      </c>
    </row>
    <row r="872" spans="1:11" ht="14.25" customHeight="1">
      <c r="A872" s="164"/>
      <c r="B872" s="164"/>
      <c r="C872" s="164"/>
      <c r="D872" s="156" t="s">
        <v>7989</v>
      </c>
      <c r="E872" s="157" t="s">
        <v>7990</v>
      </c>
      <c r="F872" s="172" t="s">
        <v>7991</v>
      </c>
      <c r="G872" s="159" t="s">
        <v>38</v>
      </c>
      <c r="H872" s="160" t="s">
        <v>7992</v>
      </c>
      <c r="I872" s="169" t="s">
        <v>41</v>
      </c>
      <c r="J872" s="162" t="s">
        <v>7993</v>
      </c>
      <c r="K872" s="157" t="s">
        <v>7994</v>
      </c>
    </row>
    <row r="873" spans="1:11" ht="14.25" customHeight="1">
      <c r="A873" s="164"/>
      <c r="B873" s="164"/>
      <c r="C873" s="164"/>
      <c r="D873" s="164"/>
      <c r="E873" s="157" t="s">
        <v>7995</v>
      </c>
      <c r="F873" s="164"/>
      <c r="G873" s="166"/>
      <c r="H873" s="167"/>
      <c r="I873" s="168"/>
      <c r="J873" s="167"/>
      <c r="K873" s="157" t="s">
        <v>7996</v>
      </c>
    </row>
    <row r="874" spans="1:11" ht="14.25" customHeight="1">
      <c r="A874" s="164"/>
      <c r="B874" s="164"/>
      <c r="C874" s="164"/>
      <c r="D874" s="156" t="s">
        <v>7997</v>
      </c>
      <c r="E874" s="157" t="s">
        <v>7998</v>
      </c>
      <c r="F874" s="172" t="s">
        <v>7999</v>
      </c>
      <c r="G874" s="159" t="s">
        <v>200</v>
      </c>
      <c r="H874" s="160" t="s">
        <v>8000</v>
      </c>
      <c r="I874" s="170" t="s">
        <v>33</v>
      </c>
      <c r="J874" s="162" t="s">
        <v>8001</v>
      </c>
      <c r="K874" s="157" t="s">
        <v>6282</v>
      </c>
    </row>
    <row r="875" spans="1:11" ht="14.25" customHeight="1">
      <c r="A875" s="164"/>
      <c r="B875" s="164"/>
      <c r="C875" s="164"/>
      <c r="D875" s="164"/>
      <c r="E875" s="157" t="s">
        <v>8002</v>
      </c>
      <c r="F875" s="164"/>
      <c r="G875" s="166"/>
      <c r="H875" s="167"/>
      <c r="I875" s="168"/>
      <c r="J875" s="167"/>
      <c r="K875" s="157" t="s">
        <v>6284</v>
      </c>
    </row>
    <row r="876" spans="1:11" ht="14.25" customHeight="1">
      <c r="A876" s="164"/>
      <c r="B876" s="164"/>
      <c r="C876" s="164"/>
      <c r="D876" s="156" t="s">
        <v>8003</v>
      </c>
      <c r="E876" s="157" t="s">
        <v>8004</v>
      </c>
      <c r="F876" s="172" t="s">
        <v>8005</v>
      </c>
      <c r="G876" s="159" t="s">
        <v>38</v>
      </c>
      <c r="H876" s="160" t="s">
        <v>8006</v>
      </c>
      <c r="I876" s="161" t="s">
        <v>19</v>
      </c>
      <c r="J876" s="162" t="s">
        <v>8007</v>
      </c>
      <c r="K876" s="157" t="s">
        <v>8008</v>
      </c>
    </row>
    <row r="877" spans="1:11" ht="14.25" customHeight="1">
      <c r="A877" s="164"/>
      <c r="B877" s="164"/>
      <c r="C877" s="164"/>
      <c r="D877" s="164"/>
      <c r="E877" s="157" t="s">
        <v>8009</v>
      </c>
      <c r="F877" s="164"/>
      <c r="G877" s="166"/>
      <c r="H877" s="167"/>
      <c r="I877" s="168"/>
      <c r="J877" s="167"/>
      <c r="K877" s="157" t="s">
        <v>8010</v>
      </c>
    </row>
    <row r="878" spans="1:11" ht="14.25" customHeight="1">
      <c r="A878" s="164"/>
      <c r="B878" s="164"/>
      <c r="C878" s="164"/>
      <c r="D878" s="156" t="s">
        <v>8011</v>
      </c>
      <c r="E878" s="157" t="s">
        <v>8012</v>
      </c>
      <c r="F878" s="172" t="s">
        <v>8013</v>
      </c>
      <c r="G878" s="159" t="s">
        <v>38</v>
      </c>
      <c r="H878" s="160" t="s">
        <v>8014</v>
      </c>
      <c r="I878" s="170" t="s">
        <v>33</v>
      </c>
      <c r="J878" s="162" t="s">
        <v>8015</v>
      </c>
      <c r="K878" s="157" t="s">
        <v>7969</v>
      </c>
    </row>
    <row r="879" spans="1:11" ht="14.25" customHeight="1">
      <c r="A879" s="164"/>
      <c r="B879" s="164"/>
      <c r="C879" s="164"/>
      <c r="D879" s="164"/>
      <c r="E879" s="157" t="s">
        <v>8016</v>
      </c>
      <c r="F879" s="164"/>
      <c r="G879" s="166"/>
      <c r="H879" s="167"/>
      <c r="I879" s="168"/>
      <c r="J879" s="167"/>
      <c r="K879" s="157" t="s">
        <v>8017</v>
      </c>
    </row>
    <row r="880" spans="1:11" ht="14.25" customHeight="1">
      <c r="A880" s="164"/>
      <c r="B880" s="164"/>
      <c r="C880" s="156" t="s">
        <v>8018</v>
      </c>
      <c r="D880" s="156" t="s">
        <v>8019</v>
      </c>
      <c r="E880" s="157" t="s">
        <v>8020</v>
      </c>
      <c r="F880" s="172" t="s">
        <v>8021</v>
      </c>
      <c r="G880" s="159" t="s">
        <v>16</v>
      </c>
      <c r="H880" s="160" t="s">
        <v>8022</v>
      </c>
      <c r="I880" s="169" t="s">
        <v>41</v>
      </c>
      <c r="J880" s="162" t="s">
        <v>8023</v>
      </c>
      <c r="K880" s="157" t="s">
        <v>8024</v>
      </c>
    </row>
    <row r="881" spans="1:11" ht="14.25" customHeight="1">
      <c r="A881" s="164"/>
      <c r="B881" s="164"/>
      <c r="C881" s="164"/>
      <c r="D881" s="164"/>
      <c r="E881" s="157" t="s">
        <v>8025</v>
      </c>
      <c r="F881" s="164"/>
      <c r="G881" s="166"/>
      <c r="H881" s="167"/>
      <c r="I881" s="168"/>
      <c r="J881" s="167"/>
      <c r="K881" s="157" t="s">
        <v>8026</v>
      </c>
    </row>
    <row r="882" spans="1:11" ht="14.25" customHeight="1">
      <c r="A882" s="164"/>
      <c r="B882" s="164"/>
      <c r="C882" s="164"/>
      <c r="D882" s="156" t="s">
        <v>8027</v>
      </c>
      <c r="E882" s="157" t="s">
        <v>8028</v>
      </c>
      <c r="F882" s="172" t="s">
        <v>8029</v>
      </c>
      <c r="G882" s="159" t="s">
        <v>16</v>
      </c>
      <c r="H882" s="160" t="s">
        <v>8030</v>
      </c>
      <c r="I882" s="169" t="s">
        <v>41</v>
      </c>
      <c r="J882" s="162" t="s">
        <v>8031</v>
      </c>
      <c r="K882" s="157" t="s">
        <v>8008</v>
      </c>
    </row>
    <row r="883" spans="1:11" ht="14.25" customHeight="1">
      <c r="A883" s="164"/>
      <c r="B883" s="164"/>
      <c r="C883" s="164"/>
      <c r="D883" s="164"/>
      <c r="E883" s="157" t="s">
        <v>8032</v>
      </c>
      <c r="F883" s="164"/>
      <c r="G883" s="166"/>
      <c r="H883" s="167"/>
      <c r="I883" s="168"/>
      <c r="J883" s="167"/>
      <c r="K883" s="157" t="s">
        <v>8033</v>
      </c>
    </row>
    <row r="884" spans="1:11" ht="14.25" customHeight="1">
      <c r="A884" s="164"/>
      <c r="B884" s="164"/>
      <c r="C884" s="164"/>
      <c r="D884" s="156" t="s">
        <v>8034</v>
      </c>
      <c r="E884" s="157" t="s">
        <v>8035</v>
      </c>
      <c r="F884" s="172" t="s">
        <v>8036</v>
      </c>
      <c r="G884" s="159" t="s">
        <v>16</v>
      </c>
      <c r="H884" s="160" t="s">
        <v>8037</v>
      </c>
      <c r="I884" s="170" t="s">
        <v>33</v>
      </c>
      <c r="J884" s="162" t="s">
        <v>8038</v>
      </c>
      <c r="K884" s="157" t="s">
        <v>8039</v>
      </c>
    </row>
    <row r="885" spans="1:11" ht="14.25" customHeight="1">
      <c r="A885" s="164"/>
      <c r="B885" s="164"/>
      <c r="C885" s="164"/>
      <c r="D885" s="164"/>
      <c r="E885" s="157" t="s">
        <v>8040</v>
      </c>
      <c r="F885" s="164"/>
      <c r="G885" s="166"/>
      <c r="H885" s="167"/>
      <c r="I885" s="168"/>
      <c r="J885" s="167"/>
      <c r="K885" s="157" t="s">
        <v>8041</v>
      </c>
    </row>
    <row r="886" spans="1:11" ht="14.25" customHeight="1">
      <c r="A886" s="164"/>
      <c r="B886" s="164"/>
      <c r="C886" s="164"/>
      <c r="D886" s="156" t="s">
        <v>8042</v>
      </c>
      <c r="E886" s="157" t="s">
        <v>8043</v>
      </c>
      <c r="F886" s="172" t="s">
        <v>8044</v>
      </c>
      <c r="G886" s="159" t="s">
        <v>38</v>
      </c>
      <c r="H886" s="160" t="s">
        <v>8045</v>
      </c>
      <c r="I886" s="161" t="s">
        <v>19</v>
      </c>
      <c r="J886" s="162" t="s">
        <v>8046</v>
      </c>
      <c r="K886" s="157" t="s">
        <v>8047</v>
      </c>
    </row>
    <row r="887" spans="1:11" ht="14.25" customHeight="1">
      <c r="A887" s="164"/>
      <c r="B887" s="164"/>
      <c r="C887" s="164"/>
      <c r="D887" s="164"/>
      <c r="E887" s="157" t="s">
        <v>8048</v>
      </c>
      <c r="F887" s="164"/>
      <c r="G887" s="166"/>
      <c r="H887" s="167"/>
      <c r="I887" s="168"/>
      <c r="J887" s="167"/>
      <c r="K887" s="157" t="s">
        <v>8049</v>
      </c>
    </row>
    <row r="888" spans="1:11" ht="14.25" customHeight="1">
      <c r="A888" s="164"/>
      <c r="B888" s="164"/>
      <c r="C888" s="164"/>
      <c r="D888" s="156" t="s">
        <v>8050</v>
      </c>
      <c r="E888" s="157" t="s">
        <v>8051</v>
      </c>
      <c r="F888" s="172" t="s">
        <v>8052</v>
      </c>
      <c r="G888" s="159" t="s">
        <v>200</v>
      </c>
      <c r="H888" s="160" t="s">
        <v>8053</v>
      </c>
      <c r="I888" s="170" t="s">
        <v>33</v>
      </c>
      <c r="J888" s="162" t="s">
        <v>8054</v>
      </c>
      <c r="K888" s="157" t="s">
        <v>8024</v>
      </c>
    </row>
    <row r="889" spans="1:11" ht="14.25" customHeight="1">
      <c r="A889" s="164"/>
      <c r="B889" s="164"/>
      <c r="C889" s="164"/>
      <c r="D889" s="164"/>
      <c r="E889" s="157" t="s">
        <v>8055</v>
      </c>
      <c r="F889" s="164"/>
      <c r="G889" s="166"/>
      <c r="H889" s="167"/>
      <c r="I889" s="168"/>
      <c r="J889" s="167"/>
      <c r="K889" s="157" t="s">
        <v>8056</v>
      </c>
    </row>
    <row r="890" spans="1:11" ht="14.25" customHeight="1">
      <c r="A890" s="164"/>
      <c r="B890" s="164"/>
      <c r="C890" s="156" t="s">
        <v>8057</v>
      </c>
      <c r="D890" s="156" t="s">
        <v>8058</v>
      </c>
      <c r="E890" s="157" t="s">
        <v>8059</v>
      </c>
      <c r="F890" s="172" t="s">
        <v>8060</v>
      </c>
      <c r="G890" s="159" t="s">
        <v>38</v>
      </c>
      <c r="H890" s="160" t="s">
        <v>8061</v>
      </c>
      <c r="I890" s="169" t="s">
        <v>41</v>
      </c>
      <c r="J890" s="162" t="s">
        <v>8062</v>
      </c>
      <c r="K890" s="157" t="s">
        <v>8024</v>
      </c>
    </row>
    <row r="891" spans="1:11" ht="14.25" customHeight="1">
      <c r="A891" s="164"/>
      <c r="B891" s="164"/>
      <c r="C891" s="164"/>
      <c r="D891" s="164"/>
      <c r="E891" s="157" t="s">
        <v>8063</v>
      </c>
      <c r="F891" s="164"/>
      <c r="G891" s="166"/>
      <c r="H891" s="167"/>
      <c r="I891" s="168"/>
      <c r="J891" s="167"/>
      <c r="K891" s="157" t="s">
        <v>8056</v>
      </c>
    </row>
    <row r="892" spans="1:11" ht="14.25" customHeight="1">
      <c r="A892" s="164"/>
      <c r="B892" s="164"/>
      <c r="C892" s="164"/>
      <c r="D892" s="156" t="s">
        <v>8064</v>
      </c>
      <c r="E892" s="157" t="s">
        <v>8065</v>
      </c>
      <c r="F892" s="172" t="s">
        <v>8066</v>
      </c>
      <c r="G892" s="159" t="s">
        <v>38</v>
      </c>
      <c r="H892" s="160" t="s">
        <v>8067</v>
      </c>
      <c r="I892" s="169" t="s">
        <v>41</v>
      </c>
      <c r="J892" s="162" t="s">
        <v>8068</v>
      </c>
      <c r="K892" s="157" t="s">
        <v>8069</v>
      </c>
    </row>
    <row r="893" spans="1:11" ht="14.25" customHeight="1">
      <c r="A893" s="164"/>
      <c r="B893" s="164"/>
      <c r="C893" s="164"/>
      <c r="D893" s="164"/>
      <c r="E893" s="157" t="s">
        <v>8070</v>
      </c>
      <c r="F893" s="164"/>
      <c r="G893" s="166"/>
      <c r="H893" s="167"/>
      <c r="I893" s="168"/>
      <c r="J893" s="167"/>
      <c r="K893" s="157" t="s">
        <v>8071</v>
      </c>
    </row>
    <row r="894" spans="1:11" ht="14.25" customHeight="1">
      <c r="A894" s="164"/>
      <c r="B894" s="164"/>
      <c r="C894" s="164"/>
      <c r="D894" s="156" t="s">
        <v>8072</v>
      </c>
      <c r="E894" s="157" t="s">
        <v>8073</v>
      </c>
      <c r="F894" s="172" t="s">
        <v>8074</v>
      </c>
      <c r="G894" s="159" t="s">
        <v>16</v>
      </c>
      <c r="H894" s="160" t="s">
        <v>8075</v>
      </c>
      <c r="I894" s="170" t="s">
        <v>33</v>
      </c>
      <c r="J894" s="162" t="s">
        <v>8076</v>
      </c>
      <c r="K894" s="157" t="s">
        <v>8077</v>
      </c>
    </row>
    <row r="895" spans="1:11" ht="14.25" customHeight="1">
      <c r="A895" s="164"/>
      <c r="B895" s="164"/>
      <c r="C895" s="164"/>
      <c r="D895" s="164"/>
      <c r="E895" s="157" t="s">
        <v>8078</v>
      </c>
      <c r="F895" s="164"/>
      <c r="G895" s="166"/>
      <c r="H895" s="167"/>
      <c r="I895" s="168"/>
      <c r="J895" s="167"/>
      <c r="K895" s="157" t="s">
        <v>8079</v>
      </c>
    </row>
    <row r="896" spans="1:11" ht="14.25" customHeight="1">
      <c r="A896" s="164"/>
      <c r="B896" s="164"/>
      <c r="C896" s="164"/>
      <c r="D896" s="156" t="s">
        <v>8080</v>
      </c>
      <c r="E896" s="157" t="s">
        <v>8081</v>
      </c>
      <c r="F896" s="172" t="s">
        <v>8082</v>
      </c>
      <c r="G896" s="159" t="s">
        <v>16</v>
      </c>
      <c r="H896" s="160" t="s">
        <v>8083</v>
      </c>
      <c r="I896" s="161" t="s">
        <v>19</v>
      </c>
      <c r="J896" s="162" t="s">
        <v>8084</v>
      </c>
      <c r="K896" s="157" t="s">
        <v>8085</v>
      </c>
    </row>
    <row r="897" spans="1:11" ht="14.25" customHeight="1">
      <c r="A897" s="164"/>
      <c r="B897" s="164"/>
      <c r="C897" s="164"/>
      <c r="D897" s="164"/>
      <c r="E897" s="157" t="s">
        <v>8086</v>
      </c>
      <c r="F897" s="164"/>
      <c r="G897" s="166"/>
      <c r="H897" s="167"/>
      <c r="I897" s="168"/>
      <c r="J897" s="167"/>
      <c r="K897" s="157" t="s">
        <v>8087</v>
      </c>
    </row>
    <row r="898" spans="1:11" ht="14.25" customHeight="1">
      <c r="A898" s="164"/>
      <c r="B898" s="164"/>
      <c r="C898" s="164"/>
      <c r="D898" s="156" t="s">
        <v>8088</v>
      </c>
      <c r="E898" s="157" t="s">
        <v>8089</v>
      </c>
      <c r="F898" s="172" t="s">
        <v>8090</v>
      </c>
      <c r="G898" s="159" t="s">
        <v>16</v>
      </c>
      <c r="H898" s="160" t="s">
        <v>8091</v>
      </c>
      <c r="I898" s="170" t="s">
        <v>33</v>
      </c>
      <c r="J898" s="162" t="s">
        <v>8092</v>
      </c>
      <c r="K898" s="157" t="s">
        <v>7420</v>
      </c>
    </row>
    <row r="899" spans="1:11" ht="14.25" customHeight="1">
      <c r="A899" s="164"/>
      <c r="B899" s="164"/>
      <c r="C899" s="164"/>
      <c r="D899" s="164"/>
      <c r="E899" s="157" t="s">
        <v>8093</v>
      </c>
      <c r="F899" s="164"/>
      <c r="G899" s="166"/>
      <c r="H899" s="167"/>
      <c r="I899" s="168"/>
      <c r="J899" s="167"/>
      <c r="K899" s="157" t="s">
        <v>8094</v>
      </c>
    </row>
    <row r="900" spans="1:11" ht="14.25" customHeight="1">
      <c r="A900" s="164"/>
      <c r="B900" s="164"/>
      <c r="C900" s="156" t="s">
        <v>8095</v>
      </c>
      <c r="D900" s="156" t="s">
        <v>8096</v>
      </c>
      <c r="E900" s="157" t="s">
        <v>8097</v>
      </c>
      <c r="F900" s="172" t="s">
        <v>8098</v>
      </c>
      <c r="G900" s="159" t="s">
        <v>38</v>
      </c>
      <c r="H900" s="160" t="s">
        <v>8099</v>
      </c>
      <c r="I900" s="169" t="s">
        <v>41</v>
      </c>
      <c r="J900" s="162" t="s">
        <v>8100</v>
      </c>
      <c r="K900" s="157" t="s">
        <v>8101</v>
      </c>
    </row>
    <row r="901" spans="1:11" ht="14.25" customHeight="1">
      <c r="A901" s="164"/>
      <c r="B901" s="164"/>
      <c r="C901" s="164"/>
      <c r="D901" s="164"/>
      <c r="E901" s="157" t="s">
        <v>3516</v>
      </c>
      <c r="F901" s="164"/>
      <c r="G901" s="166"/>
      <c r="H901" s="167"/>
      <c r="I901" s="168"/>
      <c r="J901" s="167"/>
      <c r="K901" s="157" t="s">
        <v>8102</v>
      </c>
    </row>
    <row r="902" spans="1:11" ht="14.25" customHeight="1">
      <c r="A902" s="164"/>
      <c r="B902" s="164"/>
      <c r="C902" s="164"/>
      <c r="D902" s="156" t="s">
        <v>8103</v>
      </c>
      <c r="E902" s="157" t="s">
        <v>8104</v>
      </c>
      <c r="F902" s="172" t="s">
        <v>8105</v>
      </c>
      <c r="G902" s="159" t="s">
        <v>200</v>
      </c>
      <c r="H902" s="160" t="s">
        <v>8106</v>
      </c>
      <c r="I902" s="169" t="s">
        <v>41</v>
      </c>
      <c r="J902" s="162" t="s">
        <v>8107</v>
      </c>
      <c r="K902" s="157" t="s">
        <v>8108</v>
      </c>
    </row>
    <row r="903" spans="1:11" ht="14.25" customHeight="1">
      <c r="A903" s="164"/>
      <c r="B903" s="164"/>
      <c r="C903" s="164"/>
      <c r="D903" s="164"/>
      <c r="E903" s="157" t="s">
        <v>8109</v>
      </c>
      <c r="F903" s="164"/>
      <c r="G903" s="166"/>
      <c r="H903" s="167"/>
      <c r="I903" s="168"/>
      <c r="J903" s="167"/>
      <c r="K903" s="157" t="s">
        <v>8110</v>
      </c>
    </row>
    <row r="904" spans="1:11" ht="14.25" customHeight="1">
      <c r="A904" s="164"/>
      <c r="B904" s="164"/>
      <c r="C904" s="164"/>
      <c r="D904" s="156" t="s">
        <v>8111</v>
      </c>
      <c r="E904" s="157" t="s">
        <v>8112</v>
      </c>
      <c r="F904" s="172" t="s">
        <v>8113</v>
      </c>
      <c r="G904" s="159" t="s">
        <v>38</v>
      </c>
      <c r="H904" s="160" t="s">
        <v>7598</v>
      </c>
      <c r="I904" s="170" t="s">
        <v>33</v>
      </c>
      <c r="J904" s="162" t="s">
        <v>8114</v>
      </c>
      <c r="K904" s="157" t="s">
        <v>8115</v>
      </c>
    </row>
    <row r="905" spans="1:11" ht="14.25" customHeight="1">
      <c r="A905" s="164"/>
      <c r="B905" s="164"/>
      <c r="C905" s="164"/>
      <c r="D905" s="164"/>
      <c r="E905" s="157" t="s">
        <v>8116</v>
      </c>
      <c r="F905" s="164"/>
      <c r="G905" s="166"/>
      <c r="H905" s="167"/>
      <c r="I905" s="168"/>
      <c r="J905" s="167"/>
      <c r="K905" s="157" t="s">
        <v>8117</v>
      </c>
    </row>
    <row r="906" spans="1:11" ht="14.25" customHeight="1">
      <c r="A906" s="164"/>
      <c r="B906" s="164"/>
      <c r="C906" s="164"/>
      <c r="D906" s="156" t="s">
        <v>8118</v>
      </c>
      <c r="E906" s="157" t="s">
        <v>8119</v>
      </c>
      <c r="F906" s="172" t="s">
        <v>8120</v>
      </c>
      <c r="G906" s="159" t="s">
        <v>38</v>
      </c>
      <c r="H906" s="160" t="s">
        <v>8121</v>
      </c>
      <c r="I906" s="161" t="s">
        <v>19</v>
      </c>
      <c r="J906" s="162" t="s">
        <v>8122</v>
      </c>
      <c r="K906" s="157" t="s">
        <v>8123</v>
      </c>
    </row>
    <row r="907" spans="1:11" ht="14.25" customHeight="1">
      <c r="A907" s="164"/>
      <c r="B907" s="164"/>
      <c r="C907" s="164"/>
      <c r="D907" s="164"/>
      <c r="E907" s="157" t="s">
        <v>8124</v>
      </c>
      <c r="F907" s="164"/>
      <c r="G907" s="166"/>
      <c r="H907" s="167"/>
      <c r="I907" s="168"/>
      <c r="J907" s="167"/>
      <c r="K907" s="157" t="s">
        <v>7819</v>
      </c>
    </row>
    <row r="908" spans="1:11" ht="14.25" customHeight="1">
      <c r="A908" s="164"/>
      <c r="B908" s="164"/>
      <c r="C908" s="164"/>
      <c r="D908" s="156" t="s">
        <v>8125</v>
      </c>
      <c r="E908" s="157" t="s">
        <v>8126</v>
      </c>
      <c r="F908" s="172" t="s">
        <v>8127</v>
      </c>
      <c r="G908" s="159" t="s">
        <v>16</v>
      </c>
      <c r="H908" s="160" t="s">
        <v>8128</v>
      </c>
      <c r="I908" s="170" t="s">
        <v>33</v>
      </c>
      <c r="J908" s="162" t="s">
        <v>8129</v>
      </c>
      <c r="K908" s="157" t="s">
        <v>8130</v>
      </c>
    </row>
    <row r="909" spans="1:11" ht="14.25" customHeight="1">
      <c r="A909" s="164"/>
      <c r="B909" s="164"/>
      <c r="C909" s="164"/>
      <c r="D909" s="164"/>
      <c r="E909" s="157" t="s">
        <v>8131</v>
      </c>
      <c r="F909" s="164"/>
      <c r="G909" s="166"/>
      <c r="H909" s="167"/>
      <c r="I909" s="168"/>
      <c r="J909" s="167"/>
      <c r="K909" s="157" t="s">
        <v>7260</v>
      </c>
    </row>
    <row r="910" spans="1:11" ht="14.25" customHeight="1">
      <c r="A910" s="164"/>
      <c r="B910" s="164"/>
      <c r="C910" s="156" t="s">
        <v>8132</v>
      </c>
      <c r="D910" s="156" t="s">
        <v>8133</v>
      </c>
      <c r="E910" s="157" t="s">
        <v>8134</v>
      </c>
      <c r="F910" s="172" t="s">
        <v>8135</v>
      </c>
      <c r="G910" s="159" t="s">
        <v>16</v>
      </c>
      <c r="H910" s="160" t="s">
        <v>8136</v>
      </c>
      <c r="I910" s="169" t="s">
        <v>41</v>
      </c>
      <c r="J910" s="162" t="s">
        <v>8137</v>
      </c>
      <c r="K910" s="157" t="s">
        <v>8138</v>
      </c>
    </row>
    <row r="911" spans="1:11" ht="14.25" customHeight="1">
      <c r="A911" s="164"/>
      <c r="B911" s="164"/>
      <c r="C911" s="164"/>
      <c r="D911" s="164"/>
      <c r="E911" s="157" t="s">
        <v>8139</v>
      </c>
      <c r="F911" s="164"/>
      <c r="G911" s="166"/>
      <c r="H911" s="167"/>
      <c r="I911" s="168"/>
      <c r="J911" s="167"/>
      <c r="K911" s="157" t="s">
        <v>8140</v>
      </c>
    </row>
    <row r="912" spans="1:11" ht="14.25" customHeight="1">
      <c r="A912" s="164"/>
      <c r="B912" s="164"/>
      <c r="C912" s="164"/>
      <c r="D912" s="156" t="s">
        <v>8141</v>
      </c>
      <c r="E912" s="157" t="s">
        <v>8142</v>
      </c>
      <c r="F912" s="172" t="s">
        <v>8143</v>
      </c>
      <c r="G912" s="159" t="s">
        <v>16</v>
      </c>
      <c r="H912" s="160" t="s">
        <v>8144</v>
      </c>
      <c r="I912" s="169" t="s">
        <v>41</v>
      </c>
      <c r="J912" s="162" t="s">
        <v>8145</v>
      </c>
      <c r="K912" s="157" t="s">
        <v>8146</v>
      </c>
    </row>
    <row r="913" spans="1:11" ht="14.25" customHeight="1">
      <c r="A913" s="164"/>
      <c r="B913" s="164"/>
      <c r="C913" s="164"/>
      <c r="D913" s="164"/>
      <c r="E913" s="157" t="s">
        <v>8147</v>
      </c>
      <c r="F913" s="164"/>
      <c r="G913" s="166"/>
      <c r="H913" s="167"/>
      <c r="I913" s="168"/>
      <c r="J913" s="167"/>
      <c r="K913" s="157" t="s">
        <v>8148</v>
      </c>
    </row>
    <row r="914" spans="1:11" ht="14.25" customHeight="1">
      <c r="A914" s="164"/>
      <c r="B914" s="164"/>
      <c r="C914" s="164"/>
      <c r="D914" s="156" t="s">
        <v>8149</v>
      </c>
      <c r="E914" s="157" t="s">
        <v>8150</v>
      </c>
      <c r="F914" s="172" t="s">
        <v>8151</v>
      </c>
      <c r="G914" s="159" t="s">
        <v>38</v>
      </c>
      <c r="H914" s="160" t="s">
        <v>8152</v>
      </c>
      <c r="I914" s="170" t="s">
        <v>33</v>
      </c>
      <c r="J914" s="162" t="s">
        <v>8153</v>
      </c>
      <c r="K914" s="157" t="s">
        <v>8154</v>
      </c>
    </row>
    <row r="915" spans="1:11" ht="14.25" customHeight="1">
      <c r="A915" s="164"/>
      <c r="B915" s="164"/>
      <c r="C915" s="164"/>
      <c r="D915" s="164"/>
      <c r="E915" s="157" t="s">
        <v>8155</v>
      </c>
      <c r="F915" s="164"/>
      <c r="G915" s="166"/>
      <c r="H915" s="167"/>
      <c r="I915" s="168"/>
      <c r="J915" s="167"/>
      <c r="K915" s="157" t="s">
        <v>8156</v>
      </c>
    </row>
    <row r="916" spans="1:11" ht="14.25" customHeight="1">
      <c r="A916" s="164"/>
      <c r="B916" s="164"/>
      <c r="C916" s="164"/>
      <c r="D916" s="156" t="s">
        <v>8157</v>
      </c>
      <c r="E916" s="157" t="s">
        <v>8158</v>
      </c>
      <c r="F916" s="172" t="s">
        <v>8159</v>
      </c>
      <c r="G916" s="159" t="s">
        <v>200</v>
      </c>
      <c r="H916" s="160" t="s">
        <v>8160</v>
      </c>
      <c r="I916" s="161" t="s">
        <v>19</v>
      </c>
      <c r="J916" s="162" t="s">
        <v>8161</v>
      </c>
      <c r="K916" s="157" t="s">
        <v>8162</v>
      </c>
    </row>
    <row r="917" spans="1:11" ht="14.25" customHeight="1">
      <c r="A917" s="164"/>
      <c r="B917" s="164"/>
      <c r="C917" s="164"/>
      <c r="D917" s="164"/>
      <c r="E917" s="157" t="s">
        <v>8163</v>
      </c>
      <c r="F917" s="164"/>
      <c r="G917" s="166"/>
      <c r="H917" s="167"/>
      <c r="I917" s="168"/>
      <c r="J917" s="167"/>
      <c r="K917" s="157" t="s">
        <v>8164</v>
      </c>
    </row>
    <row r="918" spans="1:11" ht="14.25" customHeight="1">
      <c r="A918" s="164"/>
      <c r="B918" s="164"/>
      <c r="C918" s="164"/>
      <c r="D918" s="156" t="s">
        <v>8165</v>
      </c>
      <c r="E918" s="157" t="s">
        <v>8166</v>
      </c>
      <c r="F918" s="172" t="s">
        <v>8167</v>
      </c>
      <c r="G918" s="159" t="s">
        <v>38</v>
      </c>
      <c r="H918" s="160" t="s">
        <v>8168</v>
      </c>
      <c r="I918" s="170" t="s">
        <v>33</v>
      </c>
      <c r="J918" s="162" t="s">
        <v>8169</v>
      </c>
      <c r="K918" s="157" t="s">
        <v>8170</v>
      </c>
    </row>
    <row r="919" spans="1:11" ht="14.25" customHeight="1">
      <c r="A919" s="164"/>
      <c r="B919" s="164"/>
      <c r="C919" s="164"/>
      <c r="D919" s="164"/>
      <c r="E919" s="157" t="s">
        <v>8171</v>
      </c>
      <c r="F919" s="164"/>
      <c r="G919" s="166"/>
      <c r="H919" s="167"/>
      <c r="I919" s="168"/>
      <c r="J919" s="167"/>
      <c r="K919" s="157" t="s">
        <v>8172</v>
      </c>
    </row>
    <row r="920" spans="1:11" ht="14.25" customHeight="1">
      <c r="A920" s="164"/>
      <c r="B920" s="164"/>
      <c r="C920" s="156" t="s">
        <v>8173</v>
      </c>
      <c r="D920" s="156" t="s">
        <v>8174</v>
      </c>
      <c r="E920" s="157" t="s">
        <v>8175</v>
      </c>
      <c r="F920" s="172" t="s">
        <v>8176</v>
      </c>
      <c r="G920" s="159" t="s">
        <v>38</v>
      </c>
      <c r="H920" s="160" t="s">
        <v>8177</v>
      </c>
      <c r="I920" s="169" t="s">
        <v>41</v>
      </c>
      <c r="J920" s="162" t="s">
        <v>8178</v>
      </c>
      <c r="K920" s="157" t="s">
        <v>8179</v>
      </c>
    </row>
    <row r="921" spans="1:11" ht="14.25" customHeight="1">
      <c r="A921" s="164"/>
      <c r="B921" s="164"/>
      <c r="C921" s="164"/>
      <c r="D921" s="164"/>
      <c r="E921" s="157" t="s">
        <v>8180</v>
      </c>
      <c r="F921" s="164"/>
      <c r="G921" s="166"/>
      <c r="H921" s="167"/>
      <c r="I921" s="168"/>
      <c r="J921" s="167"/>
      <c r="K921" s="157" t="s">
        <v>8181</v>
      </c>
    </row>
    <row r="922" spans="1:11" ht="14.25" customHeight="1">
      <c r="A922" s="164"/>
      <c r="B922" s="164"/>
      <c r="C922" s="164"/>
      <c r="D922" s="156" t="s">
        <v>8182</v>
      </c>
      <c r="E922" s="157" t="s">
        <v>8183</v>
      </c>
      <c r="F922" s="172" t="s">
        <v>8184</v>
      </c>
      <c r="G922" s="159" t="s">
        <v>16</v>
      </c>
      <c r="H922" s="160" t="s">
        <v>8185</v>
      </c>
      <c r="I922" s="169" t="s">
        <v>41</v>
      </c>
      <c r="J922" s="162" t="s">
        <v>8186</v>
      </c>
      <c r="K922" s="157" t="s">
        <v>8187</v>
      </c>
    </row>
    <row r="923" spans="1:11" ht="14.25" customHeight="1">
      <c r="A923" s="164"/>
      <c r="B923" s="164"/>
      <c r="C923" s="164"/>
      <c r="D923" s="164"/>
      <c r="E923" s="157" t="s">
        <v>8188</v>
      </c>
      <c r="F923" s="164"/>
      <c r="G923" s="166"/>
      <c r="H923" s="167"/>
      <c r="I923" s="168"/>
      <c r="J923" s="167"/>
      <c r="K923" s="157" t="s">
        <v>8189</v>
      </c>
    </row>
    <row r="924" spans="1:11" ht="14.25" customHeight="1">
      <c r="A924" s="164"/>
      <c r="B924" s="164"/>
      <c r="C924" s="164"/>
      <c r="D924" s="156" t="s">
        <v>8190</v>
      </c>
      <c r="E924" s="157" t="s">
        <v>8191</v>
      </c>
      <c r="F924" s="172" t="s">
        <v>8192</v>
      </c>
      <c r="G924" s="159" t="s">
        <v>16</v>
      </c>
      <c r="H924" s="160" t="s">
        <v>8193</v>
      </c>
      <c r="I924" s="170" t="s">
        <v>33</v>
      </c>
      <c r="J924" s="162" t="s">
        <v>8194</v>
      </c>
      <c r="K924" s="157" t="s">
        <v>8195</v>
      </c>
    </row>
    <row r="925" spans="1:11" ht="14.25" customHeight="1">
      <c r="A925" s="164"/>
      <c r="B925" s="164"/>
      <c r="C925" s="164"/>
      <c r="D925" s="164"/>
      <c r="E925" s="157" t="s">
        <v>8196</v>
      </c>
      <c r="F925" s="164"/>
      <c r="G925" s="166"/>
      <c r="H925" s="167"/>
      <c r="I925" s="168"/>
      <c r="J925" s="167"/>
      <c r="K925" s="157" t="s">
        <v>8197</v>
      </c>
    </row>
    <row r="926" spans="1:11" ht="14.25" customHeight="1">
      <c r="A926" s="164"/>
      <c r="B926" s="164"/>
      <c r="C926" s="164"/>
      <c r="D926" s="156" t="s">
        <v>8198</v>
      </c>
      <c r="E926" s="157" t="s">
        <v>8199</v>
      </c>
      <c r="F926" s="172" t="s">
        <v>8200</v>
      </c>
      <c r="G926" s="159" t="s">
        <v>16</v>
      </c>
      <c r="H926" s="160" t="s">
        <v>8201</v>
      </c>
      <c r="I926" s="161" t="s">
        <v>19</v>
      </c>
      <c r="J926" s="162" t="s">
        <v>8202</v>
      </c>
      <c r="K926" s="157" t="s">
        <v>8203</v>
      </c>
    </row>
    <row r="927" spans="1:11" ht="14.25" customHeight="1">
      <c r="A927" s="164"/>
      <c r="B927" s="164"/>
      <c r="C927" s="164"/>
      <c r="D927" s="164"/>
      <c r="E927" s="157" t="s">
        <v>8204</v>
      </c>
      <c r="F927" s="164"/>
      <c r="G927" s="166"/>
      <c r="H927" s="167"/>
      <c r="I927" s="168"/>
      <c r="J927" s="167"/>
      <c r="K927" s="157" t="s">
        <v>8205</v>
      </c>
    </row>
    <row r="928" spans="1:11" ht="14.25" customHeight="1">
      <c r="A928" s="164"/>
      <c r="B928" s="164"/>
      <c r="C928" s="164"/>
      <c r="D928" s="156" t="s">
        <v>8206</v>
      </c>
      <c r="E928" s="157" t="s">
        <v>8207</v>
      </c>
      <c r="F928" s="172" t="s">
        <v>8208</v>
      </c>
      <c r="G928" s="159" t="s">
        <v>38</v>
      </c>
      <c r="H928" s="160" t="s">
        <v>8209</v>
      </c>
      <c r="I928" s="170" t="s">
        <v>33</v>
      </c>
      <c r="J928" s="162" t="s">
        <v>8210</v>
      </c>
      <c r="K928" s="157" t="s">
        <v>8211</v>
      </c>
    </row>
    <row r="929" spans="1:11" ht="14.25" customHeight="1">
      <c r="A929" s="164"/>
      <c r="B929" s="164"/>
      <c r="C929" s="164"/>
      <c r="D929" s="164"/>
      <c r="E929" s="157" t="s">
        <v>8212</v>
      </c>
      <c r="F929" s="164"/>
      <c r="G929" s="166"/>
      <c r="H929" s="167"/>
      <c r="I929" s="168"/>
      <c r="J929" s="167"/>
      <c r="K929" s="157" t="s">
        <v>8189</v>
      </c>
    </row>
    <row r="930" spans="1:11" ht="14.25" customHeight="1">
      <c r="A930" s="164"/>
      <c r="B930" s="164"/>
      <c r="C930" s="156" t="s">
        <v>8213</v>
      </c>
      <c r="D930" s="156" t="s">
        <v>8214</v>
      </c>
      <c r="E930" s="157" t="s">
        <v>8215</v>
      </c>
      <c r="F930" s="172" t="s">
        <v>8216</v>
      </c>
      <c r="G930" s="159" t="s">
        <v>200</v>
      </c>
      <c r="H930" s="160" t="s">
        <v>8217</v>
      </c>
      <c r="I930" s="169" t="s">
        <v>41</v>
      </c>
      <c r="J930" s="162" t="s">
        <v>8218</v>
      </c>
      <c r="K930" s="157" t="s">
        <v>8219</v>
      </c>
    </row>
    <row r="931" spans="1:11" ht="14.25" customHeight="1">
      <c r="A931" s="164"/>
      <c r="B931" s="164"/>
      <c r="C931" s="164"/>
      <c r="D931" s="164"/>
      <c r="E931" s="157" t="s">
        <v>8220</v>
      </c>
      <c r="F931" s="164"/>
      <c r="G931" s="166"/>
      <c r="H931" s="167"/>
      <c r="I931" s="168"/>
      <c r="J931" s="167"/>
      <c r="K931" s="157" t="s">
        <v>8221</v>
      </c>
    </row>
    <row r="932" spans="1:11" ht="14.25" customHeight="1">
      <c r="A932" s="164"/>
      <c r="B932" s="164"/>
      <c r="C932" s="164"/>
      <c r="D932" s="156" t="s">
        <v>8222</v>
      </c>
      <c r="E932" s="157" t="s">
        <v>8223</v>
      </c>
      <c r="F932" s="172" t="s">
        <v>8224</v>
      </c>
      <c r="G932" s="159" t="s">
        <v>38</v>
      </c>
      <c r="H932" s="160" t="s">
        <v>8225</v>
      </c>
      <c r="I932" s="169" t="s">
        <v>41</v>
      </c>
      <c r="J932" s="162" t="s">
        <v>8226</v>
      </c>
      <c r="K932" s="157" t="s">
        <v>8227</v>
      </c>
    </row>
    <row r="933" spans="1:11" ht="14.25" customHeight="1">
      <c r="A933" s="164"/>
      <c r="B933" s="164"/>
      <c r="C933" s="164"/>
      <c r="D933" s="164"/>
      <c r="E933" s="157" t="s">
        <v>8228</v>
      </c>
      <c r="F933" s="164"/>
      <c r="G933" s="166"/>
      <c r="H933" s="167"/>
      <c r="I933" s="168"/>
      <c r="J933" s="167"/>
      <c r="K933" s="157" t="s">
        <v>7695</v>
      </c>
    </row>
    <row r="934" spans="1:11" ht="14.25" customHeight="1">
      <c r="A934" s="164"/>
      <c r="B934" s="164"/>
      <c r="C934" s="164"/>
      <c r="D934" s="156" t="s">
        <v>8229</v>
      </c>
      <c r="E934" s="157" t="s">
        <v>8230</v>
      </c>
      <c r="F934" s="172" t="s">
        <v>8231</v>
      </c>
      <c r="G934" s="159" t="s">
        <v>38</v>
      </c>
      <c r="H934" s="160" t="s">
        <v>8232</v>
      </c>
      <c r="I934" s="170" t="s">
        <v>33</v>
      </c>
      <c r="J934" s="162" t="s">
        <v>8233</v>
      </c>
      <c r="K934" s="157" t="s">
        <v>6282</v>
      </c>
    </row>
    <row r="935" spans="1:11" ht="14.25" customHeight="1">
      <c r="A935" s="164"/>
      <c r="B935" s="164"/>
      <c r="C935" s="164"/>
      <c r="D935" s="164"/>
      <c r="E935" s="157" t="s">
        <v>8234</v>
      </c>
      <c r="F935" s="164"/>
      <c r="G935" s="166"/>
      <c r="H935" s="167"/>
      <c r="I935" s="168"/>
      <c r="J935" s="167"/>
      <c r="K935" s="157" t="s">
        <v>6284</v>
      </c>
    </row>
    <row r="936" spans="1:11" ht="14.25" customHeight="1">
      <c r="A936" s="164"/>
      <c r="B936" s="164"/>
      <c r="C936" s="164"/>
      <c r="D936" s="156" t="s">
        <v>8235</v>
      </c>
      <c r="E936" s="157" t="s">
        <v>8236</v>
      </c>
      <c r="F936" s="172" t="s">
        <v>8237</v>
      </c>
      <c r="G936" s="159" t="s">
        <v>16</v>
      </c>
      <c r="H936" s="160" t="s">
        <v>8238</v>
      </c>
      <c r="I936" s="161" t="s">
        <v>19</v>
      </c>
      <c r="J936" s="162" t="s">
        <v>8239</v>
      </c>
      <c r="K936" s="157" t="s">
        <v>8047</v>
      </c>
    </row>
    <row r="937" spans="1:11" ht="14.25" customHeight="1">
      <c r="A937" s="164"/>
      <c r="B937" s="164"/>
      <c r="C937" s="164"/>
      <c r="D937" s="164"/>
      <c r="E937" s="157" t="s">
        <v>8240</v>
      </c>
      <c r="F937" s="164"/>
      <c r="G937" s="166"/>
      <c r="H937" s="167"/>
      <c r="I937" s="168"/>
      <c r="J937" s="167"/>
      <c r="K937" s="157" t="s">
        <v>8049</v>
      </c>
    </row>
    <row r="938" spans="1:11" ht="14.25" customHeight="1">
      <c r="A938" s="164"/>
      <c r="B938" s="164"/>
      <c r="C938" s="164"/>
      <c r="D938" s="156" t="s">
        <v>8241</v>
      </c>
      <c r="E938" s="157" t="s">
        <v>8242</v>
      </c>
      <c r="F938" s="172" t="s">
        <v>8243</v>
      </c>
      <c r="G938" s="159" t="s">
        <v>16</v>
      </c>
      <c r="H938" s="160" t="s">
        <v>6233</v>
      </c>
      <c r="I938" s="170" t="s">
        <v>33</v>
      </c>
      <c r="J938" s="162" t="s">
        <v>8244</v>
      </c>
      <c r="K938" s="157" t="s">
        <v>8245</v>
      </c>
    </row>
    <row r="939" spans="1:11" ht="14.25" customHeight="1">
      <c r="A939" s="164"/>
      <c r="B939" s="164"/>
      <c r="C939" s="164"/>
      <c r="D939" s="164"/>
      <c r="E939" s="157" t="s">
        <v>8246</v>
      </c>
      <c r="F939" s="164"/>
      <c r="G939" s="166"/>
      <c r="H939" s="167"/>
      <c r="I939" s="168"/>
      <c r="J939" s="167"/>
      <c r="K939" s="157" t="s">
        <v>8247</v>
      </c>
    </row>
    <row r="940" spans="1:11" ht="14.25" customHeight="1">
      <c r="A940" s="164"/>
      <c r="B940" s="164"/>
      <c r="C940" s="156" t="s">
        <v>8248</v>
      </c>
      <c r="D940" s="156" t="s">
        <v>8249</v>
      </c>
      <c r="E940" s="157" t="s">
        <v>8250</v>
      </c>
      <c r="F940" s="172" t="s">
        <v>8251</v>
      </c>
      <c r="G940" s="159" t="s">
        <v>16</v>
      </c>
      <c r="H940" s="160" t="s">
        <v>8252</v>
      </c>
      <c r="I940" s="169" t="s">
        <v>41</v>
      </c>
      <c r="J940" s="162" t="s">
        <v>8253</v>
      </c>
      <c r="K940" s="157" t="s">
        <v>8069</v>
      </c>
    </row>
    <row r="941" spans="1:11" ht="14.25" customHeight="1">
      <c r="A941" s="164"/>
      <c r="B941" s="164"/>
      <c r="C941" s="164"/>
      <c r="D941" s="164"/>
      <c r="E941" s="157" t="s">
        <v>8254</v>
      </c>
      <c r="F941" s="164"/>
      <c r="G941" s="166"/>
      <c r="H941" s="167"/>
      <c r="I941" s="168"/>
      <c r="J941" s="167"/>
      <c r="K941" s="157" t="s">
        <v>8071</v>
      </c>
    </row>
    <row r="942" spans="1:11" ht="14.25" customHeight="1">
      <c r="A942" s="164"/>
      <c r="B942" s="164"/>
      <c r="C942" s="164"/>
      <c r="D942" s="156" t="s">
        <v>8255</v>
      </c>
      <c r="E942" s="157" t="s">
        <v>8256</v>
      </c>
      <c r="F942" s="172" t="s">
        <v>8257</v>
      </c>
      <c r="G942" s="159" t="s">
        <v>38</v>
      </c>
      <c r="H942" s="160" t="s">
        <v>8258</v>
      </c>
      <c r="I942" s="169" t="s">
        <v>41</v>
      </c>
      <c r="J942" s="162" t="s">
        <v>7768</v>
      </c>
      <c r="K942" s="157" t="s">
        <v>7389</v>
      </c>
    </row>
    <row r="943" spans="1:11" ht="14.25" customHeight="1">
      <c r="A943" s="164"/>
      <c r="B943" s="164"/>
      <c r="C943" s="164"/>
      <c r="D943" s="164"/>
      <c r="E943" s="157" t="s">
        <v>8259</v>
      </c>
      <c r="F943" s="164"/>
      <c r="G943" s="166"/>
      <c r="H943" s="167"/>
      <c r="I943" s="168"/>
      <c r="J943" s="167"/>
      <c r="K943" s="157" t="s">
        <v>7764</v>
      </c>
    </row>
    <row r="944" spans="1:11" ht="14.25" customHeight="1">
      <c r="A944" s="164"/>
      <c r="B944" s="164"/>
      <c r="C944" s="164"/>
      <c r="D944" s="156" t="s">
        <v>8260</v>
      </c>
      <c r="E944" s="157" t="s">
        <v>8261</v>
      </c>
      <c r="F944" s="172" t="s">
        <v>8262</v>
      </c>
      <c r="G944" s="159" t="s">
        <v>200</v>
      </c>
      <c r="H944" s="160" t="s">
        <v>8263</v>
      </c>
      <c r="I944" s="170" t="s">
        <v>33</v>
      </c>
      <c r="J944" s="162" t="s">
        <v>7775</v>
      </c>
      <c r="K944" s="157" t="s">
        <v>7769</v>
      </c>
    </row>
    <row r="945" spans="1:11" ht="14.25" customHeight="1">
      <c r="A945" s="164"/>
      <c r="B945" s="164"/>
      <c r="C945" s="164"/>
      <c r="D945" s="164"/>
      <c r="E945" s="157" t="s">
        <v>8264</v>
      </c>
      <c r="F945" s="164"/>
      <c r="G945" s="166"/>
      <c r="H945" s="167"/>
      <c r="I945" s="168"/>
      <c r="J945" s="167"/>
      <c r="K945" s="157" t="s">
        <v>7771</v>
      </c>
    </row>
    <row r="946" spans="1:11" ht="14.25" customHeight="1">
      <c r="A946" s="164"/>
      <c r="B946" s="164"/>
      <c r="C946" s="164"/>
      <c r="D946" s="156" t="s">
        <v>8265</v>
      </c>
      <c r="E946" s="157" t="s">
        <v>3388</v>
      </c>
      <c r="F946" s="172" t="s">
        <v>8266</v>
      </c>
      <c r="G946" s="159" t="s">
        <v>38</v>
      </c>
      <c r="H946" s="160" t="s">
        <v>8267</v>
      </c>
      <c r="I946" s="161" t="s">
        <v>19</v>
      </c>
      <c r="J946" s="162" t="s">
        <v>7782</v>
      </c>
      <c r="K946" s="157" t="s">
        <v>7776</v>
      </c>
    </row>
    <row r="947" spans="1:11" ht="14.25" customHeight="1">
      <c r="A947" s="164"/>
      <c r="B947" s="164"/>
      <c r="C947" s="164"/>
      <c r="D947" s="164"/>
      <c r="E947" s="157" t="s">
        <v>8268</v>
      </c>
      <c r="F947" s="164"/>
      <c r="G947" s="166"/>
      <c r="H947" s="167"/>
      <c r="I947" s="168"/>
      <c r="J947" s="167"/>
      <c r="K947" s="157" t="s">
        <v>7778</v>
      </c>
    </row>
    <row r="948" spans="1:11" ht="14.25" customHeight="1">
      <c r="A948" s="164"/>
      <c r="B948" s="164"/>
      <c r="C948" s="164"/>
      <c r="D948" s="156" t="s">
        <v>8269</v>
      </c>
      <c r="E948" s="157" t="s">
        <v>8270</v>
      </c>
      <c r="F948" s="172" t="s">
        <v>8271</v>
      </c>
      <c r="G948" s="159" t="s">
        <v>38</v>
      </c>
      <c r="H948" s="160" t="s">
        <v>8272</v>
      </c>
      <c r="I948" s="170" t="s">
        <v>33</v>
      </c>
      <c r="J948" s="162" t="s">
        <v>7789</v>
      </c>
      <c r="K948" s="157" t="s">
        <v>8273</v>
      </c>
    </row>
    <row r="949" spans="1:11" ht="14.25" customHeight="1">
      <c r="A949" s="164"/>
      <c r="B949" s="164"/>
      <c r="C949" s="164"/>
      <c r="D949" s="164"/>
      <c r="E949" s="157" t="s">
        <v>8274</v>
      </c>
      <c r="F949" s="164"/>
      <c r="G949" s="166"/>
      <c r="H949" s="167"/>
      <c r="I949" s="168"/>
      <c r="J949" s="167"/>
      <c r="K949" s="157" t="s">
        <v>8275</v>
      </c>
    </row>
    <row r="950" spans="1:11" ht="14.25" customHeight="1">
      <c r="A950" s="164"/>
      <c r="B950" s="164"/>
      <c r="C950" s="156" t="s">
        <v>8276</v>
      </c>
      <c r="D950" s="156" t="s">
        <v>8277</v>
      </c>
      <c r="E950" s="157" t="s">
        <v>8278</v>
      </c>
      <c r="F950" s="172" t="s">
        <v>8279</v>
      </c>
      <c r="G950" s="159" t="s">
        <v>16</v>
      </c>
      <c r="H950" s="160" t="s">
        <v>8280</v>
      </c>
      <c r="I950" s="169" t="s">
        <v>41</v>
      </c>
      <c r="J950" s="162" t="s">
        <v>8281</v>
      </c>
      <c r="K950" s="157" t="s">
        <v>7841</v>
      </c>
    </row>
    <row r="951" spans="1:11" ht="14.25" customHeight="1">
      <c r="A951" s="164"/>
      <c r="B951" s="164"/>
      <c r="C951" s="164"/>
      <c r="D951" s="164"/>
      <c r="E951" s="157" t="s">
        <v>8282</v>
      </c>
      <c r="F951" s="164"/>
      <c r="G951" s="166"/>
      <c r="H951" s="167"/>
      <c r="I951" s="168"/>
      <c r="J951" s="167"/>
      <c r="K951" s="157" t="s">
        <v>8283</v>
      </c>
    </row>
    <row r="952" spans="1:11" ht="14.25" customHeight="1">
      <c r="A952" s="164"/>
      <c r="B952" s="164"/>
      <c r="C952" s="164"/>
      <c r="D952" s="156" t="s">
        <v>8284</v>
      </c>
      <c r="E952" s="157" t="s">
        <v>8285</v>
      </c>
      <c r="F952" s="172" t="s">
        <v>8286</v>
      </c>
      <c r="G952" s="159" t="s">
        <v>16</v>
      </c>
      <c r="H952" s="160" t="s">
        <v>8287</v>
      </c>
      <c r="I952" s="169" t="s">
        <v>41</v>
      </c>
      <c r="J952" s="162" t="s">
        <v>8288</v>
      </c>
      <c r="K952" s="157" t="s">
        <v>6282</v>
      </c>
    </row>
    <row r="953" spans="1:11" ht="14.25" customHeight="1">
      <c r="A953" s="164"/>
      <c r="B953" s="164"/>
      <c r="C953" s="164"/>
      <c r="D953" s="164"/>
      <c r="E953" s="157" t="s">
        <v>8289</v>
      </c>
      <c r="F953" s="164"/>
      <c r="G953" s="166"/>
      <c r="H953" s="167"/>
      <c r="I953" s="168"/>
      <c r="J953" s="167"/>
      <c r="K953" s="157" t="s">
        <v>6284</v>
      </c>
    </row>
    <row r="954" spans="1:11" ht="14.25" customHeight="1">
      <c r="A954" s="164"/>
      <c r="B954" s="164"/>
      <c r="C954" s="164"/>
      <c r="D954" s="156" t="s">
        <v>8290</v>
      </c>
      <c r="E954" s="157" t="s">
        <v>8291</v>
      </c>
      <c r="F954" s="172" t="s">
        <v>8292</v>
      </c>
      <c r="G954" s="159" t="s">
        <v>16</v>
      </c>
      <c r="H954" s="160" t="s">
        <v>8293</v>
      </c>
      <c r="I954" s="170" t="s">
        <v>33</v>
      </c>
      <c r="J954" s="162" t="s">
        <v>8233</v>
      </c>
      <c r="K954" s="157" t="s">
        <v>8294</v>
      </c>
    </row>
    <row r="955" spans="1:11" ht="14.25" customHeight="1">
      <c r="A955" s="164"/>
      <c r="B955" s="164"/>
      <c r="C955" s="164"/>
      <c r="D955" s="164"/>
      <c r="E955" s="157" t="s">
        <v>8295</v>
      </c>
      <c r="F955" s="164"/>
      <c r="G955" s="166"/>
      <c r="H955" s="167"/>
      <c r="I955" s="168"/>
      <c r="J955" s="167"/>
      <c r="K955" s="157" t="s">
        <v>8010</v>
      </c>
    </row>
    <row r="956" spans="1:11" ht="14.25" customHeight="1">
      <c r="A956" s="164"/>
      <c r="B956" s="164"/>
      <c r="C956" s="164"/>
      <c r="D956" s="156" t="s">
        <v>8296</v>
      </c>
      <c r="E956" s="157" t="s">
        <v>8297</v>
      </c>
      <c r="F956" s="172" t="s">
        <v>8298</v>
      </c>
      <c r="G956" s="159" t="s">
        <v>38</v>
      </c>
      <c r="H956" s="160" t="s">
        <v>8299</v>
      </c>
      <c r="I956" s="161" t="s">
        <v>19</v>
      </c>
      <c r="J956" s="162" t="s">
        <v>8300</v>
      </c>
      <c r="K956" s="157" t="s">
        <v>8301</v>
      </c>
    </row>
    <row r="957" spans="1:11" ht="14.25" customHeight="1">
      <c r="A957" s="164"/>
      <c r="B957" s="164"/>
      <c r="C957" s="164"/>
      <c r="D957" s="164"/>
      <c r="E957" s="157" t="s">
        <v>8302</v>
      </c>
      <c r="F957" s="164"/>
      <c r="G957" s="166"/>
      <c r="H957" s="167"/>
      <c r="I957" s="168"/>
      <c r="J957" s="167"/>
      <c r="K957" s="157" t="s">
        <v>8303</v>
      </c>
    </row>
    <row r="958" spans="1:11" ht="14.25" customHeight="1">
      <c r="A958" s="164"/>
      <c r="B958" s="164"/>
      <c r="C958" s="164"/>
      <c r="D958" s="156" t="s">
        <v>8304</v>
      </c>
      <c r="E958" s="157" t="s">
        <v>8305</v>
      </c>
      <c r="F958" s="172" t="s">
        <v>8306</v>
      </c>
      <c r="G958" s="159" t="s">
        <v>200</v>
      </c>
      <c r="H958" s="160" t="s">
        <v>8307</v>
      </c>
      <c r="I958" s="170" t="s">
        <v>33</v>
      </c>
      <c r="J958" s="162" t="s">
        <v>8308</v>
      </c>
      <c r="K958" s="157" t="s">
        <v>8309</v>
      </c>
    </row>
    <row r="959" spans="1:11" ht="14.25" customHeight="1">
      <c r="A959" s="164"/>
      <c r="B959" s="164"/>
      <c r="C959" s="164"/>
      <c r="D959" s="164"/>
      <c r="E959" s="157" t="s">
        <v>8310</v>
      </c>
      <c r="F959" s="164"/>
      <c r="G959" s="166"/>
      <c r="H959" s="167"/>
      <c r="I959" s="168"/>
      <c r="J959" s="167"/>
      <c r="K959" s="157" t="s">
        <v>8311</v>
      </c>
    </row>
    <row r="960" spans="1:11" ht="14.25" customHeight="1">
      <c r="A960" s="164"/>
      <c r="B960" s="164"/>
      <c r="C960" s="156" t="s">
        <v>8312</v>
      </c>
      <c r="D960" s="156" t="s">
        <v>8313</v>
      </c>
      <c r="E960" s="157" t="s">
        <v>8314</v>
      </c>
      <c r="F960" s="172" t="s">
        <v>8315</v>
      </c>
      <c r="G960" s="159" t="s">
        <v>38</v>
      </c>
      <c r="H960" s="160" t="s">
        <v>8316</v>
      </c>
      <c r="I960" s="169" t="s">
        <v>41</v>
      </c>
      <c r="J960" s="162" t="s">
        <v>8317</v>
      </c>
      <c r="K960" s="157" t="s">
        <v>8318</v>
      </c>
    </row>
    <row r="961" spans="1:11" ht="14.25" customHeight="1">
      <c r="A961" s="164"/>
      <c r="B961" s="164"/>
      <c r="C961" s="164"/>
      <c r="D961" s="164"/>
      <c r="E961" s="157" t="s">
        <v>8319</v>
      </c>
      <c r="F961" s="164"/>
      <c r="G961" s="166"/>
      <c r="H961" s="167"/>
      <c r="I961" s="168"/>
      <c r="J961" s="167"/>
      <c r="K961" s="157" t="s">
        <v>8320</v>
      </c>
    </row>
    <row r="962" spans="1:11" ht="14.25" customHeight="1">
      <c r="A962" s="164"/>
      <c r="B962" s="164"/>
      <c r="C962" s="164"/>
      <c r="D962" s="156" t="s">
        <v>8321</v>
      </c>
      <c r="E962" s="157" t="s">
        <v>7973</v>
      </c>
      <c r="F962" s="172" t="s">
        <v>8322</v>
      </c>
      <c r="G962" s="159" t="s">
        <v>38</v>
      </c>
      <c r="H962" s="160" t="s">
        <v>8323</v>
      </c>
      <c r="I962" s="169" t="s">
        <v>41</v>
      </c>
      <c r="J962" s="162" t="s">
        <v>8324</v>
      </c>
      <c r="K962" s="157" t="s">
        <v>7413</v>
      </c>
    </row>
    <row r="963" spans="1:11" ht="14.25" customHeight="1">
      <c r="A963" s="164"/>
      <c r="B963" s="164"/>
      <c r="C963" s="164"/>
      <c r="D963" s="164"/>
      <c r="E963" s="157" t="s">
        <v>7912</v>
      </c>
      <c r="F963" s="164"/>
      <c r="G963" s="166"/>
      <c r="H963" s="167"/>
      <c r="I963" s="168"/>
      <c r="J963" s="167"/>
      <c r="K963" s="157" t="s">
        <v>8325</v>
      </c>
    </row>
    <row r="964" spans="1:11" ht="14.25" customHeight="1">
      <c r="A964" s="164"/>
      <c r="B964" s="164"/>
      <c r="C964" s="164"/>
      <c r="D964" s="156" t="s">
        <v>8326</v>
      </c>
      <c r="E964" s="157" t="s">
        <v>8327</v>
      </c>
      <c r="F964" s="172" t="s">
        <v>8328</v>
      </c>
      <c r="G964" s="159" t="s">
        <v>16</v>
      </c>
      <c r="H964" s="160" t="s">
        <v>8329</v>
      </c>
      <c r="I964" s="170" t="s">
        <v>33</v>
      </c>
      <c r="J964" s="162" t="s">
        <v>8330</v>
      </c>
      <c r="K964" s="157" t="s">
        <v>8203</v>
      </c>
    </row>
    <row r="965" spans="1:11" ht="14.25" customHeight="1">
      <c r="A965" s="164"/>
      <c r="B965" s="164"/>
      <c r="C965" s="164"/>
      <c r="D965" s="164"/>
      <c r="E965" s="157" t="s">
        <v>8331</v>
      </c>
      <c r="F965" s="164"/>
      <c r="G965" s="166"/>
      <c r="H965" s="167"/>
      <c r="I965" s="168"/>
      <c r="J965" s="167"/>
      <c r="K965" s="157" t="s">
        <v>8205</v>
      </c>
    </row>
    <row r="966" spans="1:11" ht="14.25" customHeight="1">
      <c r="A966" s="164"/>
      <c r="B966" s="164"/>
      <c r="C966" s="164"/>
      <c r="D966" s="156" t="s">
        <v>8332</v>
      </c>
      <c r="E966" s="157" t="s">
        <v>8333</v>
      </c>
      <c r="F966" s="172" t="s">
        <v>8334</v>
      </c>
      <c r="G966" s="159" t="s">
        <v>16</v>
      </c>
      <c r="H966" s="160" t="s">
        <v>8335</v>
      </c>
      <c r="I966" s="161" t="s">
        <v>19</v>
      </c>
      <c r="J966" s="162" t="s">
        <v>8336</v>
      </c>
      <c r="K966" s="157" t="s">
        <v>8337</v>
      </c>
    </row>
    <row r="967" spans="1:11" ht="14.25" customHeight="1">
      <c r="A967" s="164"/>
      <c r="B967" s="164"/>
      <c r="C967" s="164"/>
      <c r="D967" s="164"/>
      <c r="E967" s="157" t="s">
        <v>8338</v>
      </c>
      <c r="F967" s="164"/>
      <c r="G967" s="166"/>
      <c r="H967" s="167"/>
      <c r="I967" s="168"/>
      <c r="J967" s="167"/>
      <c r="K967" s="157" t="s">
        <v>8339</v>
      </c>
    </row>
    <row r="968" spans="1:11" ht="14.25" customHeight="1">
      <c r="A968" s="164"/>
      <c r="B968" s="164"/>
      <c r="C968" s="164"/>
      <c r="D968" s="156" t="s">
        <v>8340</v>
      </c>
      <c r="E968" s="157" t="s">
        <v>8341</v>
      </c>
      <c r="F968" s="172" t="s">
        <v>8342</v>
      </c>
      <c r="G968" s="159" t="s">
        <v>16</v>
      </c>
      <c r="H968" s="160" t="s">
        <v>8343</v>
      </c>
      <c r="I968" s="170" t="s">
        <v>33</v>
      </c>
      <c r="J968" s="162" t="s">
        <v>8344</v>
      </c>
      <c r="K968" s="157" t="s">
        <v>8345</v>
      </c>
    </row>
    <row r="969" spans="1:11" ht="14.25" customHeight="1">
      <c r="A969" s="164"/>
      <c r="B969" s="164"/>
      <c r="C969" s="164"/>
      <c r="D969" s="164"/>
      <c r="E969" s="157" t="s">
        <v>8346</v>
      </c>
      <c r="F969" s="164"/>
      <c r="G969" s="166"/>
      <c r="H969" s="167"/>
      <c r="I969" s="168"/>
      <c r="J969" s="167"/>
      <c r="K969" s="157" t="s">
        <v>8347</v>
      </c>
    </row>
    <row r="970" spans="1:11" ht="14.25" customHeight="1">
      <c r="A970" s="164"/>
      <c r="B970" s="164"/>
      <c r="C970" s="156" t="s">
        <v>8348</v>
      </c>
      <c r="D970" s="156" t="s">
        <v>8349</v>
      </c>
      <c r="E970" s="157" t="s">
        <v>8350</v>
      </c>
      <c r="F970" s="172" t="s">
        <v>8351</v>
      </c>
      <c r="G970" s="159" t="s">
        <v>38</v>
      </c>
      <c r="H970" s="160" t="s">
        <v>8352</v>
      </c>
      <c r="I970" s="169" t="s">
        <v>41</v>
      </c>
      <c r="J970" s="162" t="s">
        <v>8353</v>
      </c>
      <c r="K970" s="157" t="s">
        <v>8354</v>
      </c>
    </row>
    <row r="971" spans="1:11" ht="14.25" customHeight="1">
      <c r="A971" s="164"/>
      <c r="B971" s="164"/>
      <c r="C971" s="164"/>
      <c r="D971" s="164"/>
      <c r="E971" s="157" t="s">
        <v>8355</v>
      </c>
      <c r="F971" s="164"/>
      <c r="G971" s="166"/>
      <c r="H971" s="167"/>
      <c r="I971" s="168"/>
      <c r="J971" s="167"/>
      <c r="K971" s="157" t="s">
        <v>8356</v>
      </c>
    </row>
    <row r="972" spans="1:11" ht="14.25" customHeight="1">
      <c r="A972" s="164"/>
      <c r="B972" s="164"/>
      <c r="C972" s="164"/>
      <c r="D972" s="156" t="s">
        <v>8357</v>
      </c>
      <c r="E972" s="157" t="s">
        <v>8358</v>
      </c>
      <c r="F972" s="172" t="s">
        <v>8359</v>
      </c>
      <c r="G972" s="159" t="s">
        <v>200</v>
      </c>
      <c r="H972" s="160" t="s">
        <v>8360</v>
      </c>
      <c r="I972" s="169" t="s">
        <v>41</v>
      </c>
      <c r="J972" s="162" t="s">
        <v>8361</v>
      </c>
      <c r="K972" s="157" t="s">
        <v>8123</v>
      </c>
    </row>
    <row r="973" spans="1:11" ht="14.25" customHeight="1">
      <c r="A973" s="164"/>
      <c r="B973" s="164"/>
      <c r="C973" s="164"/>
      <c r="D973" s="164"/>
      <c r="E973" s="157" t="s">
        <v>8362</v>
      </c>
      <c r="F973" s="164"/>
      <c r="G973" s="166"/>
      <c r="H973" s="167"/>
      <c r="I973" s="168"/>
      <c r="J973" s="167"/>
      <c r="K973" s="157" t="s">
        <v>8363</v>
      </c>
    </row>
    <row r="974" spans="1:11" ht="14.25" customHeight="1">
      <c r="A974" s="164"/>
      <c r="B974" s="164"/>
      <c r="C974" s="164"/>
      <c r="D974" s="156" t="s">
        <v>8364</v>
      </c>
      <c r="E974" s="157" t="s">
        <v>8365</v>
      </c>
      <c r="F974" s="172" t="s">
        <v>8366</v>
      </c>
      <c r="G974" s="159" t="s">
        <v>38</v>
      </c>
      <c r="H974" s="160" t="s">
        <v>8367</v>
      </c>
      <c r="I974" s="170" t="s">
        <v>33</v>
      </c>
      <c r="J974" s="162" t="s">
        <v>8368</v>
      </c>
      <c r="K974" s="157" t="s">
        <v>8369</v>
      </c>
    </row>
    <row r="975" spans="1:11" ht="14.25" customHeight="1">
      <c r="A975" s="164"/>
      <c r="B975" s="164"/>
      <c r="C975" s="164"/>
      <c r="D975" s="164"/>
      <c r="E975" s="157" t="s">
        <v>8370</v>
      </c>
      <c r="F975" s="164"/>
      <c r="G975" s="166"/>
      <c r="H975" s="167"/>
      <c r="I975" s="168"/>
      <c r="J975" s="167"/>
      <c r="K975" s="157" t="s">
        <v>8371</v>
      </c>
    </row>
    <row r="976" spans="1:11" ht="14.25" customHeight="1">
      <c r="A976" s="164"/>
      <c r="B976" s="164"/>
      <c r="C976" s="164"/>
      <c r="D976" s="156" t="s">
        <v>8372</v>
      </c>
      <c r="E976" s="157" t="s">
        <v>8373</v>
      </c>
      <c r="F976" s="172" t="s">
        <v>8374</v>
      </c>
      <c r="G976" s="159" t="s">
        <v>38</v>
      </c>
      <c r="H976" s="160" t="s">
        <v>8375</v>
      </c>
      <c r="I976" s="161" t="s">
        <v>19</v>
      </c>
      <c r="J976" s="162" t="s">
        <v>8376</v>
      </c>
      <c r="K976" s="157" t="s">
        <v>8377</v>
      </c>
    </row>
    <row r="977" spans="1:11" ht="14.25" customHeight="1">
      <c r="A977" s="164"/>
      <c r="B977" s="164"/>
      <c r="C977" s="164"/>
      <c r="D977" s="164"/>
      <c r="E977" s="157" t="s">
        <v>8378</v>
      </c>
      <c r="F977" s="164"/>
      <c r="G977" s="166"/>
      <c r="H977" s="167"/>
      <c r="I977" s="168"/>
      <c r="J977" s="167"/>
      <c r="K977" s="157" t="s">
        <v>8379</v>
      </c>
    </row>
    <row r="978" spans="1:11" ht="14.25" customHeight="1">
      <c r="A978" s="164"/>
      <c r="B978" s="164"/>
      <c r="C978" s="164"/>
      <c r="D978" s="156" t="s">
        <v>8380</v>
      </c>
      <c r="E978" s="157" t="s">
        <v>8381</v>
      </c>
      <c r="F978" s="172" t="s">
        <v>8382</v>
      </c>
      <c r="G978" s="159" t="s">
        <v>16</v>
      </c>
      <c r="H978" s="160" t="s">
        <v>8383</v>
      </c>
      <c r="I978" s="170" t="s">
        <v>33</v>
      </c>
      <c r="J978" s="162" t="s">
        <v>8384</v>
      </c>
      <c r="K978" s="157" t="s">
        <v>8385</v>
      </c>
    </row>
    <row r="979" spans="1:11" ht="14.25" customHeight="1">
      <c r="A979" s="164"/>
      <c r="B979" s="164"/>
      <c r="C979" s="164"/>
      <c r="D979" s="164"/>
      <c r="E979" s="157" t="s">
        <v>8386</v>
      </c>
      <c r="F979" s="164"/>
      <c r="G979" s="166"/>
      <c r="H979" s="167"/>
      <c r="I979" s="168"/>
      <c r="J979" s="167"/>
      <c r="K979" s="157" t="s">
        <v>8387</v>
      </c>
    </row>
    <row r="980" spans="1:11" ht="14.25" customHeight="1">
      <c r="A980" s="164"/>
      <c r="B980" s="164"/>
      <c r="C980" s="156" t="s">
        <v>8388</v>
      </c>
      <c r="D980" s="156" t="s">
        <v>8389</v>
      </c>
      <c r="E980" s="157" t="s">
        <v>8390</v>
      </c>
      <c r="F980" s="172" t="s">
        <v>8391</v>
      </c>
      <c r="G980" s="159" t="s">
        <v>16</v>
      </c>
      <c r="H980" s="160" t="s">
        <v>8392</v>
      </c>
      <c r="I980" s="169" t="s">
        <v>41</v>
      </c>
      <c r="J980" s="162" t="s">
        <v>8393</v>
      </c>
      <c r="K980" s="157" t="s">
        <v>8394</v>
      </c>
    </row>
    <row r="981" spans="1:11" ht="14.25" customHeight="1">
      <c r="A981" s="164"/>
      <c r="B981" s="164"/>
      <c r="C981" s="164"/>
      <c r="D981" s="164"/>
      <c r="E981" s="157" t="s">
        <v>8395</v>
      </c>
      <c r="F981" s="164"/>
      <c r="G981" s="166"/>
      <c r="H981" s="167"/>
      <c r="I981" s="168"/>
      <c r="J981" s="167"/>
      <c r="K981" s="157" t="s">
        <v>8396</v>
      </c>
    </row>
    <row r="982" spans="1:11" ht="14.25" customHeight="1">
      <c r="A982" s="164"/>
      <c r="B982" s="164"/>
      <c r="C982" s="164"/>
      <c r="D982" s="156" t="s">
        <v>8397</v>
      </c>
      <c r="E982" s="157" t="s">
        <v>8398</v>
      </c>
      <c r="F982" s="172" t="s">
        <v>8399</v>
      </c>
      <c r="G982" s="159" t="s">
        <v>16</v>
      </c>
      <c r="H982" s="160" t="s">
        <v>8400</v>
      </c>
      <c r="I982" s="169" t="s">
        <v>41</v>
      </c>
      <c r="J982" s="162" t="s">
        <v>8401</v>
      </c>
      <c r="K982" s="157" t="s">
        <v>8402</v>
      </c>
    </row>
    <row r="983" spans="1:11" ht="14.25" customHeight="1">
      <c r="A983" s="164"/>
      <c r="B983" s="164"/>
      <c r="C983" s="164"/>
      <c r="D983" s="164"/>
      <c r="E983" s="157" t="s">
        <v>8403</v>
      </c>
      <c r="F983" s="164"/>
      <c r="G983" s="166"/>
      <c r="H983" s="167"/>
      <c r="I983" s="168"/>
      <c r="J983" s="167"/>
      <c r="K983" s="157" t="s">
        <v>8404</v>
      </c>
    </row>
    <row r="984" spans="1:11" ht="14.25" customHeight="1">
      <c r="A984" s="164"/>
      <c r="B984" s="164"/>
      <c r="C984" s="164"/>
      <c r="D984" s="156" t="s">
        <v>8405</v>
      </c>
      <c r="E984" s="157" t="s">
        <v>8406</v>
      </c>
      <c r="F984" s="172" t="s">
        <v>8407</v>
      </c>
      <c r="G984" s="159" t="s">
        <v>38</v>
      </c>
      <c r="H984" s="160" t="s">
        <v>8408</v>
      </c>
      <c r="I984" s="170" t="s">
        <v>33</v>
      </c>
      <c r="J984" s="162" t="s">
        <v>8409</v>
      </c>
      <c r="K984" s="157" t="s">
        <v>8385</v>
      </c>
    </row>
    <row r="985" spans="1:11" ht="14.25" customHeight="1">
      <c r="A985" s="164"/>
      <c r="B985" s="164"/>
      <c r="C985" s="164"/>
      <c r="D985" s="164"/>
      <c r="E985" s="157" t="s">
        <v>8410</v>
      </c>
      <c r="F985" s="164"/>
      <c r="G985" s="166"/>
      <c r="H985" s="167"/>
      <c r="I985" s="168"/>
      <c r="J985" s="167"/>
      <c r="K985" s="157" t="s">
        <v>8387</v>
      </c>
    </row>
    <row r="986" spans="1:11" ht="14.25" customHeight="1">
      <c r="A986" s="164"/>
      <c r="B986" s="164"/>
      <c r="C986" s="164"/>
      <c r="D986" s="156" t="s">
        <v>8411</v>
      </c>
      <c r="E986" s="157" t="s">
        <v>8412</v>
      </c>
      <c r="F986" s="172" t="s">
        <v>8413</v>
      </c>
      <c r="G986" s="159" t="s">
        <v>200</v>
      </c>
      <c r="H986" s="160" t="s">
        <v>8414</v>
      </c>
      <c r="I986" s="161" t="s">
        <v>19</v>
      </c>
      <c r="J986" s="162" t="s">
        <v>8415</v>
      </c>
      <c r="K986" s="157" t="s">
        <v>8394</v>
      </c>
    </row>
    <row r="987" spans="1:11" ht="14.25" customHeight="1">
      <c r="A987" s="164"/>
      <c r="B987" s="164"/>
      <c r="C987" s="164"/>
      <c r="D987" s="164"/>
      <c r="E987" s="157" t="s">
        <v>8416</v>
      </c>
      <c r="F987" s="164"/>
      <c r="G987" s="166"/>
      <c r="H987" s="167"/>
      <c r="I987" s="168"/>
      <c r="J987" s="167"/>
      <c r="K987" s="157" t="s">
        <v>8396</v>
      </c>
    </row>
    <row r="988" spans="1:11" ht="14.25" customHeight="1">
      <c r="A988" s="164"/>
      <c r="B988" s="164"/>
      <c r="C988" s="164"/>
      <c r="D988" s="156" t="s">
        <v>8417</v>
      </c>
      <c r="E988" s="157" t="s">
        <v>8418</v>
      </c>
      <c r="F988" s="172" t="s">
        <v>8419</v>
      </c>
      <c r="G988" s="159" t="s">
        <v>38</v>
      </c>
      <c r="H988" s="160" t="s">
        <v>8420</v>
      </c>
      <c r="I988" s="170" t="s">
        <v>33</v>
      </c>
      <c r="J988" s="162" t="s">
        <v>8421</v>
      </c>
      <c r="K988" s="157" t="s">
        <v>8402</v>
      </c>
    </row>
    <row r="989" spans="1:11" ht="14.25" customHeight="1">
      <c r="A989" s="164"/>
      <c r="B989" s="164"/>
      <c r="C989" s="164"/>
      <c r="D989" s="164"/>
      <c r="E989" s="157" t="s">
        <v>8422</v>
      </c>
      <c r="F989" s="164"/>
      <c r="G989" s="166"/>
      <c r="H989" s="167"/>
      <c r="I989" s="168"/>
      <c r="J989" s="167"/>
      <c r="K989" s="157" t="s">
        <v>8404</v>
      </c>
    </row>
    <row r="990" spans="1:11" ht="14.25" customHeight="1">
      <c r="A990" s="164"/>
      <c r="B990" s="164"/>
      <c r="C990" s="156" t="s">
        <v>8423</v>
      </c>
      <c r="D990" s="156" t="s">
        <v>8424</v>
      </c>
      <c r="E990" s="157" t="s">
        <v>8425</v>
      </c>
      <c r="F990" s="172" t="s">
        <v>8426</v>
      </c>
      <c r="G990" s="159" t="s">
        <v>38</v>
      </c>
      <c r="H990" s="160" t="s">
        <v>8427</v>
      </c>
      <c r="I990" s="169" t="s">
        <v>41</v>
      </c>
      <c r="J990" s="162" t="s">
        <v>8428</v>
      </c>
      <c r="K990" s="157" t="s">
        <v>8429</v>
      </c>
    </row>
    <row r="991" spans="1:11" ht="14.25" customHeight="1">
      <c r="A991" s="164"/>
      <c r="B991" s="164"/>
      <c r="C991" s="164"/>
      <c r="D991" s="164"/>
      <c r="E991" s="157" t="s">
        <v>8430</v>
      </c>
      <c r="F991" s="164"/>
      <c r="G991" s="166"/>
      <c r="H991" s="167"/>
      <c r="I991" s="168"/>
      <c r="J991" s="167"/>
      <c r="K991" s="157" t="s">
        <v>8431</v>
      </c>
    </row>
    <row r="992" spans="1:11" ht="14.25" customHeight="1">
      <c r="A992" s="164"/>
      <c r="B992" s="164"/>
      <c r="C992" s="164"/>
      <c r="D992" s="156" t="s">
        <v>8432</v>
      </c>
      <c r="E992" s="157" t="s">
        <v>8433</v>
      </c>
      <c r="F992" s="172" t="s">
        <v>8434</v>
      </c>
      <c r="G992" s="159" t="s">
        <v>16</v>
      </c>
      <c r="H992" s="160" t="s">
        <v>8435</v>
      </c>
      <c r="I992" s="169" t="s">
        <v>41</v>
      </c>
      <c r="J992" s="162" t="s">
        <v>8436</v>
      </c>
      <c r="K992" s="157" t="s">
        <v>8203</v>
      </c>
    </row>
    <row r="993" spans="1:11" ht="14.25" customHeight="1">
      <c r="A993" s="164"/>
      <c r="B993" s="164"/>
      <c r="C993" s="164"/>
      <c r="D993" s="164"/>
      <c r="E993" s="157" t="s">
        <v>8437</v>
      </c>
      <c r="F993" s="164"/>
      <c r="G993" s="166"/>
      <c r="H993" s="167"/>
      <c r="I993" s="168"/>
      <c r="J993" s="167"/>
      <c r="K993" s="157" t="s">
        <v>8438</v>
      </c>
    </row>
    <row r="994" spans="1:11" ht="14.25" customHeight="1">
      <c r="A994" s="164"/>
      <c r="B994" s="164"/>
      <c r="C994" s="164"/>
      <c r="D994" s="156" t="s">
        <v>8439</v>
      </c>
      <c r="E994" s="157" t="s">
        <v>8440</v>
      </c>
      <c r="F994" s="172" t="s">
        <v>8441</v>
      </c>
      <c r="G994" s="159" t="s">
        <v>16</v>
      </c>
      <c r="H994" s="160" t="s">
        <v>8442</v>
      </c>
      <c r="I994" s="170" t="s">
        <v>33</v>
      </c>
      <c r="J994" s="162" t="s">
        <v>8443</v>
      </c>
      <c r="K994" s="157" t="s">
        <v>8444</v>
      </c>
    </row>
    <row r="995" spans="1:11" ht="14.25" customHeight="1">
      <c r="A995" s="164"/>
      <c r="B995" s="164"/>
      <c r="C995" s="164"/>
      <c r="D995" s="164"/>
      <c r="E995" s="157" t="s">
        <v>8445</v>
      </c>
      <c r="F995" s="164"/>
      <c r="G995" s="166"/>
      <c r="H995" s="167"/>
      <c r="I995" s="168"/>
      <c r="J995" s="167"/>
      <c r="K995" s="157" t="s">
        <v>8446</v>
      </c>
    </row>
    <row r="996" spans="1:11" ht="14.25" customHeight="1">
      <c r="A996" s="164"/>
      <c r="B996" s="164"/>
      <c r="C996" s="164"/>
      <c r="D996" s="156" t="s">
        <v>8447</v>
      </c>
      <c r="E996" s="157" t="s">
        <v>8448</v>
      </c>
      <c r="F996" s="172" t="s">
        <v>8449</v>
      </c>
      <c r="G996" s="159" t="s">
        <v>16</v>
      </c>
      <c r="H996" s="160" t="s">
        <v>8450</v>
      </c>
      <c r="I996" s="161" t="s">
        <v>19</v>
      </c>
      <c r="J996" s="162" t="s">
        <v>8451</v>
      </c>
      <c r="K996" s="157" t="s">
        <v>8452</v>
      </c>
    </row>
    <row r="997" spans="1:11" ht="14.25" customHeight="1">
      <c r="A997" s="164"/>
      <c r="B997" s="164"/>
      <c r="C997" s="164"/>
      <c r="D997" s="164"/>
      <c r="E997" s="157" t="s">
        <v>8453</v>
      </c>
      <c r="F997" s="164"/>
      <c r="G997" s="166"/>
      <c r="H997" s="167"/>
      <c r="I997" s="168"/>
      <c r="J997" s="167"/>
      <c r="K997" s="157" t="s">
        <v>8454</v>
      </c>
    </row>
    <row r="998" spans="1:11" ht="14.25" customHeight="1">
      <c r="A998" s="164"/>
      <c r="B998" s="164"/>
      <c r="C998" s="164"/>
      <c r="D998" s="156" t="s">
        <v>8455</v>
      </c>
      <c r="E998" s="157" t="s">
        <v>8456</v>
      </c>
      <c r="F998" s="172" t="s">
        <v>8457</v>
      </c>
      <c r="G998" s="159" t="s">
        <v>38</v>
      </c>
      <c r="H998" s="160" t="s">
        <v>8458</v>
      </c>
      <c r="I998" s="170" t="s">
        <v>33</v>
      </c>
      <c r="J998" s="162" t="s">
        <v>8226</v>
      </c>
      <c r="K998" s="157" t="s">
        <v>8227</v>
      </c>
    </row>
    <row r="999" spans="1:11" ht="14.25" customHeight="1">
      <c r="A999" s="164"/>
      <c r="B999" s="164"/>
      <c r="C999" s="164"/>
      <c r="D999" s="164"/>
      <c r="E999" s="157" t="s">
        <v>8459</v>
      </c>
      <c r="F999" s="164"/>
      <c r="G999" s="166"/>
      <c r="H999" s="167"/>
      <c r="I999" s="168"/>
      <c r="J999" s="167"/>
      <c r="K999" s="157" t="s">
        <v>7695</v>
      </c>
    </row>
    <row r="1000" spans="1:11" ht="14.25" customHeight="1">
      <c r="A1000" s="164"/>
      <c r="B1000" s="164"/>
      <c r="C1000" s="156" t="s">
        <v>8460</v>
      </c>
      <c r="D1000" s="156" t="s">
        <v>8461</v>
      </c>
      <c r="E1000" s="157" t="s">
        <v>8462</v>
      </c>
      <c r="F1000" s="172" t="s">
        <v>8463</v>
      </c>
      <c r="G1000" s="159" t="s">
        <v>200</v>
      </c>
      <c r="H1000" s="160" t="s">
        <v>8464</v>
      </c>
      <c r="I1000" s="169" t="s">
        <v>41</v>
      </c>
      <c r="J1000" s="162" t="s">
        <v>8253</v>
      </c>
      <c r="K1000" s="157" t="s">
        <v>7571</v>
      </c>
    </row>
    <row r="1001" spans="1:11" ht="14.25" customHeight="1">
      <c r="A1001" s="164"/>
      <c r="B1001" s="164"/>
      <c r="C1001" s="164"/>
      <c r="D1001" s="164"/>
      <c r="E1001" s="157" t="s">
        <v>8465</v>
      </c>
      <c r="F1001" s="164"/>
      <c r="G1001" s="166"/>
      <c r="H1001" s="167"/>
      <c r="I1001" s="168"/>
      <c r="J1001" s="167"/>
      <c r="K1001" s="157" t="s">
        <v>8017</v>
      </c>
    </row>
    <row r="1002" spans="1:11" ht="14.25" customHeight="1">
      <c r="A1002" s="164"/>
      <c r="B1002" s="164"/>
      <c r="C1002" s="164"/>
      <c r="D1002" s="156" t="s">
        <v>8466</v>
      </c>
      <c r="E1002" s="157" t="s">
        <v>8467</v>
      </c>
      <c r="F1002" s="172" t="s">
        <v>8468</v>
      </c>
      <c r="G1002" s="159" t="s">
        <v>38</v>
      </c>
      <c r="H1002" s="160" t="s">
        <v>8469</v>
      </c>
      <c r="I1002" s="169" t="s">
        <v>41</v>
      </c>
      <c r="J1002" s="162" t="s">
        <v>8470</v>
      </c>
      <c r="K1002" s="157" t="s">
        <v>6282</v>
      </c>
    </row>
    <row r="1003" spans="1:11" ht="14.25" customHeight="1">
      <c r="A1003" s="164"/>
      <c r="B1003" s="164"/>
      <c r="C1003" s="164"/>
      <c r="D1003" s="164"/>
      <c r="E1003" s="157" t="s">
        <v>8471</v>
      </c>
      <c r="F1003" s="164"/>
      <c r="G1003" s="166"/>
      <c r="H1003" s="167"/>
      <c r="I1003" s="168"/>
      <c r="J1003" s="167"/>
      <c r="K1003" s="157" t="s">
        <v>6284</v>
      </c>
    </row>
    <row r="1004" spans="1:11" ht="14.25" customHeight="1">
      <c r="A1004" s="164"/>
      <c r="B1004" s="164"/>
      <c r="C1004" s="164"/>
      <c r="D1004" s="156" t="s">
        <v>8472</v>
      </c>
      <c r="E1004" s="157" t="s">
        <v>8473</v>
      </c>
      <c r="F1004" s="172" t="s">
        <v>8474</v>
      </c>
      <c r="G1004" s="159" t="s">
        <v>38</v>
      </c>
      <c r="H1004" s="160" t="s">
        <v>8475</v>
      </c>
      <c r="I1004" s="170" t="s">
        <v>33</v>
      </c>
      <c r="J1004" s="162" t="s">
        <v>8233</v>
      </c>
      <c r="K1004" s="157" t="s">
        <v>8047</v>
      </c>
    </row>
    <row r="1005" spans="1:11" ht="14.25" customHeight="1">
      <c r="A1005" s="164"/>
      <c r="B1005" s="164"/>
      <c r="C1005" s="164"/>
      <c r="D1005" s="164"/>
      <c r="E1005" s="157" t="s">
        <v>7973</v>
      </c>
      <c r="F1005" s="164"/>
      <c r="G1005" s="166"/>
      <c r="H1005" s="167"/>
      <c r="I1005" s="168"/>
      <c r="J1005" s="167"/>
      <c r="K1005" s="157" t="s">
        <v>8049</v>
      </c>
    </row>
    <row r="1006" spans="1:11" ht="14.25" customHeight="1">
      <c r="A1006" s="164"/>
      <c r="B1006" s="164"/>
      <c r="C1006" s="164"/>
      <c r="D1006" s="156" t="s">
        <v>8476</v>
      </c>
      <c r="E1006" s="157" t="s">
        <v>8477</v>
      </c>
      <c r="F1006" s="172" t="s">
        <v>8478</v>
      </c>
      <c r="G1006" s="159" t="s">
        <v>16</v>
      </c>
      <c r="H1006" s="160" t="s">
        <v>8258</v>
      </c>
      <c r="I1006" s="161" t="s">
        <v>19</v>
      </c>
      <c r="J1006" s="162" t="s">
        <v>8239</v>
      </c>
      <c r="K1006" s="157" t="s">
        <v>8479</v>
      </c>
    </row>
    <row r="1007" spans="1:11" ht="14.25" customHeight="1">
      <c r="A1007" s="164"/>
      <c r="B1007" s="164"/>
      <c r="C1007" s="164"/>
      <c r="D1007" s="164"/>
      <c r="E1007" s="157" t="s">
        <v>8480</v>
      </c>
      <c r="F1007" s="164"/>
      <c r="G1007" s="166"/>
      <c r="H1007" s="167"/>
      <c r="I1007" s="168"/>
      <c r="J1007" s="167"/>
      <c r="K1007" s="157" t="s">
        <v>8481</v>
      </c>
    </row>
    <row r="1008" spans="1:11" ht="14.25" customHeight="1">
      <c r="A1008" s="164"/>
      <c r="B1008" s="164"/>
      <c r="C1008" s="164"/>
      <c r="D1008" s="156" t="s">
        <v>8482</v>
      </c>
      <c r="E1008" s="157" t="s">
        <v>8483</v>
      </c>
      <c r="F1008" s="172" t="s">
        <v>8484</v>
      </c>
      <c r="G1008" s="159" t="s">
        <v>16</v>
      </c>
      <c r="H1008" s="160" t="s">
        <v>8485</v>
      </c>
      <c r="I1008" s="170" t="s">
        <v>33</v>
      </c>
      <c r="J1008" s="162" t="s">
        <v>8486</v>
      </c>
      <c r="K1008" s="157" t="s">
        <v>8487</v>
      </c>
    </row>
    <row r="1009" spans="1:11" ht="14.25" customHeight="1">
      <c r="A1009" s="164"/>
      <c r="B1009" s="164"/>
      <c r="C1009" s="164"/>
      <c r="D1009" s="164"/>
      <c r="E1009" s="157" t="s">
        <v>8488</v>
      </c>
      <c r="F1009" s="164"/>
      <c r="G1009" s="166"/>
      <c r="H1009" s="167"/>
      <c r="I1009" s="168"/>
      <c r="J1009" s="167"/>
      <c r="K1009" s="157" t="s">
        <v>8489</v>
      </c>
    </row>
    <row r="1010" spans="1:11" ht="14.25" customHeight="1">
      <c r="A1010" s="164"/>
      <c r="B1010" s="164"/>
      <c r="C1010" s="156" t="s">
        <v>8490</v>
      </c>
      <c r="D1010" s="156" t="s">
        <v>8491</v>
      </c>
      <c r="E1010" s="157" t="s">
        <v>8492</v>
      </c>
      <c r="F1010" s="172" t="s">
        <v>8493</v>
      </c>
      <c r="G1010" s="159" t="s">
        <v>16</v>
      </c>
      <c r="H1010" s="160" t="s">
        <v>8494</v>
      </c>
      <c r="I1010" s="169" t="s">
        <v>41</v>
      </c>
      <c r="J1010" s="162" t="s">
        <v>8495</v>
      </c>
      <c r="K1010" s="157" t="s">
        <v>8318</v>
      </c>
    </row>
    <row r="1011" spans="1:11" ht="14.25" customHeight="1">
      <c r="A1011" s="164"/>
      <c r="B1011" s="164"/>
      <c r="C1011" s="164"/>
      <c r="D1011" s="164"/>
      <c r="E1011" s="157" t="s">
        <v>8496</v>
      </c>
      <c r="F1011" s="164"/>
      <c r="G1011" s="166"/>
      <c r="H1011" s="167"/>
      <c r="I1011" s="168"/>
      <c r="J1011" s="167"/>
      <c r="K1011" s="157" t="s">
        <v>8320</v>
      </c>
    </row>
    <row r="1012" spans="1:11" ht="14.25" customHeight="1">
      <c r="A1012" s="164"/>
      <c r="B1012" s="164"/>
      <c r="C1012" s="164"/>
      <c r="D1012" s="156" t="s">
        <v>8497</v>
      </c>
      <c r="E1012" s="157" t="s">
        <v>8319</v>
      </c>
      <c r="F1012" s="172" t="s">
        <v>8498</v>
      </c>
      <c r="G1012" s="159" t="s">
        <v>38</v>
      </c>
      <c r="H1012" s="160" t="s">
        <v>8499</v>
      </c>
      <c r="I1012" s="169" t="s">
        <v>41</v>
      </c>
      <c r="J1012" s="162" t="s">
        <v>8500</v>
      </c>
      <c r="K1012" s="157" t="s">
        <v>8501</v>
      </c>
    </row>
    <row r="1013" spans="1:11" ht="14.25" customHeight="1">
      <c r="A1013" s="164"/>
      <c r="B1013" s="164"/>
      <c r="C1013" s="164"/>
      <c r="D1013" s="164"/>
      <c r="E1013" s="157" t="s">
        <v>8502</v>
      </c>
      <c r="F1013" s="164"/>
      <c r="G1013" s="166"/>
      <c r="H1013" s="167"/>
      <c r="I1013" s="168"/>
      <c r="J1013" s="167"/>
      <c r="K1013" s="157" t="s">
        <v>8503</v>
      </c>
    </row>
    <row r="1014" spans="1:11" ht="14.25" customHeight="1">
      <c r="A1014" s="164"/>
      <c r="B1014" s="164"/>
      <c r="C1014" s="164"/>
      <c r="D1014" s="156" t="s">
        <v>8504</v>
      </c>
      <c r="E1014" s="157" t="s">
        <v>8505</v>
      </c>
      <c r="F1014" s="172" t="s">
        <v>8506</v>
      </c>
      <c r="G1014" s="159" t="s">
        <v>200</v>
      </c>
      <c r="H1014" s="160" t="s">
        <v>8507</v>
      </c>
      <c r="I1014" s="170" t="s">
        <v>33</v>
      </c>
      <c r="J1014" s="162" t="s">
        <v>8508</v>
      </c>
      <c r="K1014" s="157" t="s">
        <v>8509</v>
      </c>
    </row>
    <row r="1015" spans="1:11" ht="14.25" customHeight="1">
      <c r="A1015" s="164"/>
      <c r="B1015" s="164"/>
      <c r="C1015" s="164"/>
      <c r="D1015" s="164"/>
      <c r="E1015" s="157" t="s">
        <v>8510</v>
      </c>
      <c r="F1015" s="164"/>
      <c r="G1015" s="166"/>
      <c r="H1015" s="167"/>
      <c r="I1015" s="168"/>
      <c r="J1015" s="167"/>
      <c r="K1015" s="157" t="s">
        <v>8511</v>
      </c>
    </row>
    <row r="1016" spans="1:11" ht="14.25" customHeight="1">
      <c r="A1016" s="164"/>
      <c r="B1016" s="164"/>
      <c r="C1016" s="164"/>
      <c r="D1016" s="156" t="s">
        <v>8512</v>
      </c>
      <c r="E1016" s="157" t="s">
        <v>8327</v>
      </c>
      <c r="F1016" s="172" t="s">
        <v>8513</v>
      </c>
      <c r="G1016" s="159" t="s">
        <v>38</v>
      </c>
      <c r="H1016" s="160" t="s">
        <v>8514</v>
      </c>
      <c r="I1016" s="161" t="s">
        <v>19</v>
      </c>
      <c r="J1016" s="162" t="s">
        <v>8515</v>
      </c>
      <c r="K1016" s="157" t="s">
        <v>8516</v>
      </c>
    </row>
    <row r="1017" spans="1:11" ht="14.25" customHeight="1">
      <c r="A1017" s="164"/>
      <c r="B1017" s="164"/>
      <c r="C1017" s="164"/>
      <c r="D1017" s="164"/>
      <c r="E1017" s="157" t="s">
        <v>8517</v>
      </c>
      <c r="F1017" s="164"/>
      <c r="G1017" s="166"/>
      <c r="H1017" s="167"/>
      <c r="I1017" s="168"/>
      <c r="J1017" s="167"/>
      <c r="K1017" s="157" t="s">
        <v>8518</v>
      </c>
    </row>
    <row r="1018" spans="1:11" ht="14.25" customHeight="1">
      <c r="A1018" s="164"/>
      <c r="B1018" s="164"/>
      <c r="C1018" s="164"/>
      <c r="D1018" s="156" t="s">
        <v>8519</v>
      </c>
      <c r="E1018" s="157" t="s">
        <v>8520</v>
      </c>
      <c r="F1018" s="158" t="s">
        <v>8521</v>
      </c>
      <c r="G1018" s="159" t="s">
        <v>38</v>
      </c>
      <c r="H1018" s="162" t="s">
        <v>8522</v>
      </c>
      <c r="I1018" s="169" t="s">
        <v>41</v>
      </c>
      <c r="J1018" s="162" t="s">
        <v>8523</v>
      </c>
      <c r="K1018" s="157" t="s">
        <v>8524</v>
      </c>
    </row>
    <row r="1019" spans="1:11" ht="14.25" customHeight="1">
      <c r="A1019" s="164"/>
      <c r="B1019" s="164"/>
      <c r="C1019" s="164"/>
      <c r="D1019" s="164"/>
      <c r="E1019" s="157" t="s">
        <v>8525</v>
      </c>
      <c r="F1019" s="165"/>
      <c r="G1019" s="166"/>
      <c r="H1019" s="167"/>
      <c r="I1019" s="168"/>
      <c r="J1019" s="167"/>
      <c r="K1019" s="157" t="s">
        <v>8526</v>
      </c>
    </row>
    <row r="1020" spans="1:11" ht="14.25" customHeight="1"/>
    <row r="1021" spans="1:11" ht="14.25" customHeight="1"/>
    <row r="1022" spans="1:11" ht="14.25" customHeight="1"/>
    <row r="1023" spans="1:11" ht="14.25" customHeight="1"/>
    <row r="1024" spans="1:11" ht="14.25" customHeight="1"/>
    <row r="1025" ht="14.25" customHeight="1"/>
    <row r="1026" ht="14.25" customHeight="1"/>
    <row r="1027" ht="14.25" customHeight="1"/>
    <row r="1028" ht="14.25" customHeight="1"/>
    <row r="1029" ht="14.25" customHeight="1"/>
    <row r="1030" ht="14.25" customHeight="1"/>
    <row r="1031" ht="14.25" customHeight="1"/>
  </sheetData>
  <mergeCells count="3162">
    <mergeCell ref="H2:H3"/>
    <mergeCell ref="I2:I3"/>
    <mergeCell ref="J2:J3"/>
    <mergeCell ref="D4:D5"/>
    <mergeCell ref="F4:F5"/>
    <mergeCell ref="G4:G5"/>
    <mergeCell ref="H4:H5"/>
    <mergeCell ref="I4:I5"/>
    <mergeCell ref="J4:J5"/>
    <mergeCell ref="A2:A1019"/>
    <mergeCell ref="B2:B109"/>
    <mergeCell ref="C2:C11"/>
    <mergeCell ref="D2:D3"/>
    <mergeCell ref="F2:F3"/>
    <mergeCell ref="G2:G3"/>
    <mergeCell ref="D6:D7"/>
    <mergeCell ref="F6:F7"/>
    <mergeCell ref="G6:G7"/>
    <mergeCell ref="D10:D11"/>
    <mergeCell ref="F10:F11"/>
    <mergeCell ref="G10:G11"/>
    <mergeCell ref="H10:H11"/>
    <mergeCell ref="I10:I11"/>
    <mergeCell ref="J10:J11"/>
    <mergeCell ref="C12:C25"/>
    <mergeCell ref="D12:D13"/>
    <mergeCell ref="F12:F13"/>
    <mergeCell ref="G12:G13"/>
    <mergeCell ref="H12:H13"/>
    <mergeCell ref="H6:H7"/>
    <mergeCell ref="I6:I7"/>
    <mergeCell ref="J6:J7"/>
    <mergeCell ref="D8:D9"/>
    <mergeCell ref="F8:F9"/>
    <mergeCell ref="G8:G9"/>
    <mergeCell ref="H8:H9"/>
    <mergeCell ref="I8:I9"/>
    <mergeCell ref="J8:J9"/>
    <mergeCell ref="D18:D19"/>
    <mergeCell ref="F18:F19"/>
    <mergeCell ref="G18:G19"/>
    <mergeCell ref="H18:H19"/>
    <mergeCell ref="I18:I19"/>
    <mergeCell ref="J18:J19"/>
    <mergeCell ref="D16:D17"/>
    <mergeCell ref="F16:F17"/>
    <mergeCell ref="G16:G17"/>
    <mergeCell ref="H16:H17"/>
    <mergeCell ref="I16:I17"/>
    <mergeCell ref="J16:J17"/>
    <mergeCell ref="I12:I13"/>
    <mergeCell ref="J12:J13"/>
    <mergeCell ref="D14:D15"/>
    <mergeCell ref="F14:F15"/>
    <mergeCell ref="G14:G15"/>
    <mergeCell ref="H14:H15"/>
    <mergeCell ref="I14:I15"/>
    <mergeCell ref="J14:J15"/>
    <mergeCell ref="D24:D25"/>
    <mergeCell ref="F24:F25"/>
    <mergeCell ref="G24:G25"/>
    <mergeCell ref="H24:H25"/>
    <mergeCell ref="I24:I25"/>
    <mergeCell ref="J24:J25"/>
    <mergeCell ref="D22:D23"/>
    <mergeCell ref="F22:F23"/>
    <mergeCell ref="G22:G23"/>
    <mergeCell ref="H22:H23"/>
    <mergeCell ref="I22:I23"/>
    <mergeCell ref="J22:J23"/>
    <mergeCell ref="D20:D21"/>
    <mergeCell ref="F20:F21"/>
    <mergeCell ref="G20:G21"/>
    <mergeCell ref="H20:H21"/>
    <mergeCell ref="I20:I21"/>
    <mergeCell ref="J20:J21"/>
    <mergeCell ref="J26:J27"/>
    <mergeCell ref="D28:D29"/>
    <mergeCell ref="F28:F29"/>
    <mergeCell ref="G28:G29"/>
    <mergeCell ref="H28:H29"/>
    <mergeCell ref="I28:I29"/>
    <mergeCell ref="J28:J29"/>
    <mergeCell ref="C26:C35"/>
    <mergeCell ref="D26:D27"/>
    <mergeCell ref="F26:F27"/>
    <mergeCell ref="G26:G27"/>
    <mergeCell ref="H26:H27"/>
    <mergeCell ref="I26:I27"/>
    <mergeCell ref="D30:D31"/>
    <mergeCell ref="F30:F31"/>
    <mergeCell ref="G30:G31"/>
    <mergeCell ref="H30:H31"/>
    <mergeCell ref="C36:C45"/>
    <mergeCell ref="D36:D37"/>
    <mergeCell ref="F36:F37"/>
    <mergeCell ref="G36:G37"/>
    <mergeCell ref="H36:H37"/>
    <mergeCell ref="I36:I37"/>
    <mergeCell ref="D40:D41"/>
    <mergeCell ref="F40:F41"/>
    <mergeCell ref="G40:G41"/>
    <mergeCell ref="H40:H41"/>
    <mergeCell ref="D34:D35"/>
    <mergeCell ref="F34:F35"/>
    <mergeCell ref="G34:G35"/>
    <mergeCell ref="H34:H35"/>
    <mergeCell ref="I34:I35"/>
    <mergeCell ref="J34:J35"/>
    <mergeCell ref="I30:I31"/>
    <mergeCell ref="J30:J31"/>
    <mergeCell ref="D32:D33"/>
    <mergeCell ref="F32:F33"/>
    <mergeCell ref="G32:G33"/>
    <mergeCell ref="H32:H33"/>
    <mergeCell ref="I32:I33"/>
    <mergeCell ref="J32:J33"/>
    <mergeCell ref="D44:D45"/>
    <mergeCell ref="F44:F45"/>
    <mergeCell ref="G44:G45"/>
    <mergeCell ref="H44:H45"/>
    <mergeCell ref="I44:I45"/>
    <mergeCell ref="J44:J45"/>
    <mergeCell ref="I40:I41"/>
    <mergeCell ref="J40:J41"/>
    <mergeCell ref="D42:D43"/>
    <mergeCell ref="F42:F43"/>
    <mergeCell ref="G42:G43"/>
    <mergeCell ref="H42:H43"/>
    <mergeCell ref="I42:I43"/>
    <mergeCell ref="J42:J43"/>
    <mergeCell ref="J36:J37"/>
    <mergeCell ref="D38:D39"/>
    <mergeCell ref="F38:F39"/>
    <mergeCell ref="G38:G39"/>
    <mergeCell ref="H38:H39"/>
    <mergeCell ref="I38:I39"/>
    <mergeCell ref="J38:J39"/>
    <mergeCell ref="J46:J47"/>
    <mergeCell ref="D48:D49"/>
    <mergeCell ref="F48:F49"/>
    <mergeCell ref="G48:G49"/>
    <mergeCell ref="H48:H49"/>
    <mergeCell ref="I48:I49"/>
    <mergeCell ref="J48:J49"/>
    <mergeCell ref="C46:C55"/>
    <mergeCell ref="D46:D47"/>
    <mergeCell ref="F46:F47"/>
    <mergeCell ref="G46:G47"/>
    <mergeCell ref="H46:H47"/>
    <mergeCell ref="I46:I47"/>
    <mergeCell ref="D50:D51"/>
    <mergeCell ref="F50:F51"/>
    <mergeCell ref="G50:G51"/>
    <mergeCell ref="H50:H51"/>
    <mergeCell ref="C56:C65"/>
    <mergeCell ref="D56:D57"/>
    <mergeCell ref="F56:F57"/>
    <mergeCell ref="G56:G57"/>
    <mergeCell ref="H56:H57"/>
    <mergeCell ref="I56:I57"/>
    <mergeCell ref="D60:D61"/>
    <mergeCell ref="F60:F61"/>
    <mergeCell ref="G60:G61"/>
    <mergeCell ref="H60:H61"/>
    <mergeCell ref="D54:D55"/>
    <mergeCell ref="F54:F55"/>
    <mergeCell ref="G54:G55"/>
    <mergeCell ref="H54:H55"/>
    <mergeCell ref="I54:I55"/>
    <mergeCell ref="J54:J55"/>
    <mergeCell ref="I50:I51"/>
    <mergeCell ref="J50:J51"/>
    <mergeCell ref="D52:D53"/>
    <mergeCell ref="F52:F53"/>
    <mergeCell ref="G52:G53"/>
    <mergeCell ref="H52:H53"/>
    <mergeCell ref="I52:I53"/>
    <mergeCell ref="J52:J53"/>
    <mergeCell ref="D64:D65"/>
    <mergeCell ref="F64:F65"/>
    <mergeCell ref="G64:G65"/>
    <mergeCell ref="H64:H65"/>
    <mergeCell ref="I64:I65"/>
    <mergeCell ref="J64:J65"/>
    <mergeCell ref="I60:I61"/>
    <mergeCell ref="J60:J61"/>
    <mergeCell ref="D62:D63"/>
    <mergeCell ref="F62:F63"/>
    <mergeCell ref="G62:G63"/>
    <mergeCell ref="H62:H63"/>
    <mergeCell ref="I62:I63"/>
    <mergeCell ref="J62:J63"/>
    <mergeCell ref="J56:J57"/>
    <mergeCell ref="D58:D59"/>
    <mergeCell ref="F58:F59"/>
    <mergeCell ref="G58:G59"/>
    <mergeCell ref="H58:H59"/>
    <mergeCell ref="I58:I59"/>
    <mergeCell ref="J58:J59"/>
    <mergeCell ref="J66:J67"/>
    <mergeCell ref="D68:D69"/>
    <mergeCell ref="F68:F69"/>
    <mergeCell ref="G68:G69"/>
    <mergeCell ref="H68:H69"/>
    <mergeCell ref="I68:I69"/>
    <mergeCell ref="J68:J69"/>
    <mergeCell ref="C66:C77"/>
    <mergeCell ref="D66:D67"/>
    <mergeCell ref="F66:F67"/>
    <mergeCell ref="G66:G67"/>
    <mergeCell ref="H66:H67"/>
    <mergeCell ref="I66:I67"/>
    <mergeCell ref="D70:D71"/>
    <mergeCell ref="F70:F71"/>
    <mergeCell ref="G70:G71"/>
    <mergeCell ref="H70:H71"/>
    <mergeCell ref="D76:D77"/>
    <mergeCell ref="F76:F77"/>
    <mergeCell ref="G76:G77"/>
    <mergeCell ref="H76:H77"/>
    <mergeCell ref="I76:I77"/>
    <mergeCell ref="J76:J77"/>
    <mergeCell ref="D74:D75"/>
    <mergeCell ref="F74:F75"/>
    <mergeCell ref="G74:G75"/>
    <mergeCell ref="H74:H75"/>
    <mergeCell ref="I74:I75"/>
    <mergeCell ref="J74:J75"/>
    <mergeCell ref="I70:I71"/>
    <mergeCell ref="J70:J71"/>
    <mergeCell ref="D72:D73"/>
    <mergeCell ref="F72:F73"/>
    <mergeCell ref="G72:G73"/>
    <mergeCell ref="H72:H73"/>
    <mergeCell ref="I72:I73"/>
    <mergeCell ref="J72:J73"/>
    <mergeCell ref="J78:J79"/>
    <mergeCell ref="D80:D81"/>
    <mergeCell ref="F80:F81"/>
    <mergeCell ref="G80:G81"/>
    <mergeCell ref="H80:H81"/>
    <mergeCell ref="I80:I81"/>
    <mergeCell ref="J80:J81"/>
    <mergeCell ref="C78:C87"/>
    <mergeCell ref="D78:D79"/>
    <mergeCell ref="F78:F79"/>
    <mergeCell ref="G78:G79"/>
    <mergeCell ref="H78:H79"/>
    <mergeCell ref="I78:I79"/>
    <mergeCell ref="D82:D83"/>
    <mergeCell ref="F82:F83"/>
    <mergeCell ref="G82:G83"/>
    <mergeCell ref="H82:H83"/>
    <mergeCell ref="C88:C97"/>
    <mergeCell ref="D88:D89"/>
    <mergeCell ref="F88:F89"/>
    <mergeCell ref="G88:G89"/>
    <mergeCell ref="H88:H89"/>
    <mergeCell ref="I88:I89"/>
    <mergeCell ref="D92:D93"/>
    <mergeCell ref="F92:F93"/>
    <mergeCell ref="G92:G93"/>
    <mergeCell ref="H92:H93"/>
    <mergeCell ref="D86:D87"/>
    <mergeCell ref="F86:F87"/>
    <mergeCell ref="G86:G87"/>
    <mergeCell ref="H86:H87"/>
    <mergeCell ref="I86:I87"/>
    <mergeCell ref="J86:J87"/>
    <mergeCell ref="I82:I83"/>
    <mergeCell ref="J82:J83"/>
    <mergeCell ref="D84:D85"/>
    <mergeCell ref="F84:F85"/>
    <mergeCell ref="G84:G85"/>
    <mergeCell ref="H84:H85"/>
    <mergeCell ref="I84:I85"/>
    <mergeCell ref="J84:J85"/>
    <mergeCell ref="D96:D97"/>
    <mergeCell ref="F96:F97"/>
    <mergeCell ref="G96:G97"/>
    <mergeCell ref="H96:H97"/>
    <mergeCell ref="I96:I97"/>
    <mergeCell ref="J96:J97"/>
    <mergeCell ref="I92:I93"/>
    <mergeCell ref="J92:J93"/>
    <mergeCell ref="D94:D95"/>
    <mergeCell ref="F94:F95"/>
    <mergeCell ref="G94:G95"/>
    <mergeCell ref="H94:H95"/>
    <mergeCell ref="I94:I95"/>
    <mergeCell ref="J94:J95"/>
    <mergeCell ref="J88:J89"/>
    <mergeCell ref="D90:D91"/>
    <mergeCell ref="F90:F91"/>
    <mergeCell ref="G90:G91"/>
    <mergeCell ref="H90:H91"/>
    <mergeCell ref="I90:I91"/>
    <mergeCell ref="J90:J91"/>
    <mergeCell ref="J98:J99"/>
    <mergeCell ref="D100:D101"/>
    <mergeCell ref="F100:F101"/>
    <mergeCell ref="G100:G101"/>
    <mergeCell ref="H100:H101"/>
    <mergeCell ref="I100:I101"/>
    <mergeCell ref="J100:J101"/>
    <mergeCell ref="C98:C109"/>
    <mergeCell ref="D98:D99"/>
    <mergeCell ref="F98:F99"/>
    <mergeCell ref="G98:G99"/>
    <mergeCell ref="H98:H99"/>
    <mergeCell ref="I98:I99"/>
    <mergeCell ref="D102:D103"/>
    <mergeCell ref="F102:F103"/>
    <mergeCell ref="G102:G103"/>
    <mergeCell ref="H102:H103"/>
    <mergeCell ref="D108:D109"/>
    <mergeCell ref="F108:F109"/>
    <mergeCell ref="G108:G109"/>
    <mergeCell ref="H108:H109"/>
    <mergeCell ref="I108:I109"/>
    <mergeCell ref="J108:J109"/>
    <mergeCell ref="D106:D107"/>
    <mergeCell ref="F106:F107"/>
    <mergeCell ref="G106:G107"/>
    <mergeCell ref="H106:H107"/>
    <mergeCell ref="I106:I107"/>
    <mergeCell ref="J106:J107"/>
    <mergeCell ref="I102:I103"/>
    <mergeCell ref="J102:J103"/>
    <mergeCell ref="D104:D105"/>
    <mergeCell ref="F104:F105"/>
    <mergeCell ref="G104:G105"/>
    <mergeCell ref="H104:H105"/>
    <mergeCell ref="I104:I105"/>
    <mergeCell ref="J104:J105"/>
    <mergeCell ref="D118:D119"/>
    <mergeCell ref="F118:F119"/>
    <mergeCell ref="G118:G119"/>
    <mergeCell ref="H118:H119"/>
    <mergeCell ref="I118:I119"/>
    <mergeCell ref="J118:J119"/>
    <mergeCell ref="I114:I115"/>
    <mergeCell ref="J114:J115"/>
    <mergeCell ref="D116:D117"/>
    <mergeCell ref="F116:F117"/>
    <mergeCell ref="G116:G117"/>
    <mergeCell ref="H116:H117"/>
    <mergeCell ref="I116:I117"/>
    <mergeCell ref="J116:J117"/>
    <mergeCell ref="I110:I111"/>
    <mergeCell ref="J110:J111"/>
    <mergeCell ref="D112:D113"/>
    <mergeCell ref="F112:F113"/>
    <mergeCell ref="G112:G113"/>
    <mergeCell ref="H112:H113"/>
    <mergeCell ref="I112:I113"/>
    <mergeCell ref="J112:J113"/>
    <mergeCell ref="D110:D111"/>
    <mergeCell ref="F110:F111"/>
    <mergeCell ref="G110:G111"/>
    <mergeCell ref="H110:H111"/>
    <mergeCell ref="D114:D115"/>
    <mergeCell ref="F114:F115"/>
    <mergeCell ref="G114:G115"/>
    <mergeCell ref="H114:H115"/>
    <mergeCell ref="J120:J121"/>
    <mergeCell ref="D122:D123"/>
    <mergeCell ref="F122:F123"/>
    <mergeCell ref="G122:G123"/>
    <mergeCell ref="H122:H123"/>
    <mergeCell ref="I122:I123"/>
    <mergeCell ref="J122:J123"/>
    <mergeCell ref="C120:C129"/>
    <mergeCell ref="D120:D121"/>
    <mergeCell ref="F120:F121"/>
    <mergeCell ref="G120:G121"/>
    <mergeCell ref="H120:H121"/>
    <mergeCell ref="I120:I121"/>
    <mergeCell ref="D124:D125"/>
    <mergeCell ref="F124:F125"/>
    <mergeCell ref="G124:G125"/>
    <mergeCell ref="H124:H125"/>
    <mergeCell ref="C130:C139"/>
    <mergeCell ref="D130:D131"/>
    <mergeCell ref="F130:F131"/>
    <mergeCell ref="G130:G131"/>
    <mergeCell ref="H130:H131"/>
    <mergeCell ref="I130:I131"/>
    <mergeCell ref="D134:D135"/>
    <mergeCell ref="F134:F135"/>
    <mergeCell ref="G134:G135"/>
    <mergeCell ref="H134:H135"/>
    <mergeCell ref="D128:D129"/>
    <mergeCell ref="F128:F129"/>
    <mergeCell ref="G128:G129"/>
    <mergeCell ref="H128:H129"/>
    <mergeCell ref="I128:I129"/>
    <mergeCell ref="J128:J129"/>
    <mergeCell ref="I124:I125"/>
    <mergeCell ref="J124:J125"/>
    <mergeCell ref="D126:D127"/>
    <mergeCell ref="F126:F127"/>
    <mergeCell ref="G126:G127"/>
    <mergeCell ref="H126:H127"/>
    <mergeCell ref="I126:I127"/>
    <mergeCell ref="J126:J127"/>
    <mergeCell ref="D138:D139"/>
    <mergeCell ref="F138:F139"/>
    <mergeCell ref="G138:G139"/>
    <mergeCell ref="H138:H139"/>
    <mergeCell ref="I138:I139"/>
    <mergeCell ref="J138:J139"/>
    <mergeCell ref="I134:I135"/>
    <mergeCell ref="J134:J135"/>
    <mergeCell ref="D136:D137"/>
    <mergeCell ref="F136:F137"/>
    <mergeCell ref="G136:G137"/>
    <mergeCell ref="H136:H137"/>
    <mergeCell ref="I136:I137"/>
    <mergeCell ref="J136:J137"/>
    <mergeCell ref="J130:J131"/>
    <mergeCell ref="D132:D133"/>
    <mergeCell ref="F132:F133"/>
    <mergeCell ref="G132:G133"/>
    <mergeCell ref="H132:H133"/>
    <mergeCell ref="I132:I133"/>
    <mergeCell ref="J132:J133"/>
    <mergeCell ref="J140:J141"/>
    <mergeCell ref="D142:D143"/>
    <mergeCell ref="F142:F143"/>
    <mergeCell ref="G142:G143"/>
    <mergeCell ref="H142:H143"/>
    <mergeCell ref="I142:I143"/>
    <mergeCell ref="J142:J143"/>
    <mergeCell ref="C140:C149"/>
    <mergeCell ref="D140:D141"/>
    <mergeCell ref="F140:F141"/>
    <mergeCell ref="G140:G141"/>
    <mergeCell ref="H140:H141"/>
    <mergeCell ref="I140:I141"/>
    <mergeCell ref="D144:D145"/>
    <mergeCell ref="F144:F145"/>
    <mergeCell ref="G144:G145"/>
    <mergeCell ref="H144:H145"/>
    <mergeCell ref="C150:C159"/>
    <mergeCell ref="D150:D151"/>
    <mergeCell ref="F150:F151"/>
    <mergeCell ref="G150:G151"/>
    <mergeCell ref="H150:H151"/>
    <mergeCell ref="I150:I151"/>
    <mergeCell ref="D154:D155"/>
    <mergeCell ref="F154:F155"/>
    <mergeCell ref="G154:G155"/>
    <mergeCell ref="H154:H155"/>
    <mergeCell ref="D148:D149"/>
    <mergeCell ref="F148:F149"/>
    <mergeCell ref="G148:G149"/>
    <mergeCell ref="H148:H149"/>
    <mergeCell ref="I148:I149"/>
    <mergeCell ref="J148:J149"/>
    <mergeCell ref="I144:I145"/>
    <mergeCell ref="J144:J145"/>
    <mergeCell ref="D146:D147"/>
    <mergeCell ref="F146:F147"/>
    <mergeCell ref="G146:G147"/>
    <mergeCell ref="H146:H147"/>
    <mergeCell ref="I146:I147"/>
    <mergeCell ref="J146:J147"/>
    <mergeCell ref="D158:D159"/>
    <mergeCell ref="F158:F159"/>
    <mergeCell ref="G158:G159"/>
    <mergeCell ref="H158:H159"/>
    <mergeCell ref="I158:I159"/>
    <mergeCell ref="J158:J159"/>
    <mergeCell ref="I154:I155"/>
    <mergeCell ref="J154:J155"/>
    <mergeCell ref="D156:D157"/>
    <mergeCell ref="F156:F157"/>
    <mergeCell ref="G156:G157"/>
    <mergeCell ref="H156:H157"/>
    <mergeCell ref="I156:I157"/>
    <mergeCell ref="J156:J157"/>
    <mergeCell ref="J150:J151"/>
    <mergeCell ref="D152:D153"/>
    <mergeCell ref="F152:F153"/>
    <mergeCell ref="G152:G153"/>
    <mergeCell ref="H152:H153"/>
    <mergeCell ref="I152:I153"/>
    <mergeCell ref="J152:J153"/>
    <mergeCell ref="J160:J161"/>
    <mergeCell ref="D162:D163"/>
    <mergeCell ref="F162:F163"/>
    <mergeCell ref="G162:G163"/>
    <mergeCell ref="H162:H163"/>
    <mergeCell ref="I162:I163"/>
    <mergeCell ref="J162:J163"/>
    <mergeCell ref="C160:C169"/>
    <mergeCell ref="D160:D161"/>
    <mergeCell ref="F160:F161"/>
    <mergeCell ref="G160:G161"/>
    <mergeCell ref="H160:H161"/>
    <mergeCell ref="I160:I161"/>
    <mergeCell ref="D164:D165"/>
    <mergeCell ref="F164:F165"/>
    <mergeCell ref="G164:G165"/>
    <mergeCell ref="H164:H165"/>
    <mergeCell ref="C170:C179"/>
    <mergeCell ref="D170:D171"/>
    <mergeCell ref="F170:F171"/>
    <mergeCell ref="G170:G171"/>
    <mergeCell ref="H170:H171"/>
    <mergeCell ref="I170:I171"/>
    <mergeCell ref="D174:D175"/>
    <mergeCell ref="F174:F175"/>
    <mergeCell ref="G174:G175"/>
    <mergeCell ref="H174:H175"/>
    <mergeCell ref="D168:D169"/>
    <mergeCell ref="F168:F169"/>
    <mergeCell ref="G168:G169"/>
    <mergeCell ref="H168:H169"/>
    <mergeCell ref="I168:I169"/>
    <mergeCell ref="J168:J169"/>
    <mergeCell ref="I164:I165"/>
    <mergeCell ref="J164:J165"/>
    <mergeCell ref="D166:D167"/>
    <mergeCell ref="F166:F167"/>
    <mergeCell ref="G166:G167"/>
    <mergeCell ref="H166:H167"/>
    <mergeCell ref="I166:I167"/>
    <mergeCell ref="J166:J167"/>
    <mergeCell ref="D178:D179"/>
    <mergeCell ref="F178:F179"/>
    <mergeCell ref="G178:G179"/>
    <mergeCell ref="H178:H179"/>
    <mergeCell ref="I178:I179"/>
    <mergeCell ref="J178:J179"/>
    <mergeCell ref="I174:I175"/>
    <mergeCell ref="J174:J175"/>
    <mergeCell ref="D176:D177"/>
    <mergeCell ref="F176:F177"/>
    <mergeCell ref="G176:G177"/>
    <mergeCell ref="H176:H177"/>
    <mergeCell ref="I176:I177"/>
    <mergeCell ref="J176:J177"/>
    <mergeCell ref="J170:J171"/>
    <mergeCell ref="D172:D173"/>
    <mergeCell ref="F172:F173"/>
    <mergeCell ref="G172:G173"/>
    <mergeCell ref="H172:H173"/>
    <mergeCell ref="I172:I173"/>
    <mergeCell ref="J172:J173"/>
    <mergeCell ref="J180:J181"/>
    <mergeCell ref="D182:D183"/>
    <mergeCell ref="F182:F183"/>
    <mergeCell ref="G182:G183"/>
    <mergeCell ref="H182:H183"/>
    <mergeCell ref="I182:I183"/>
    <mergeCell ref="J182:J183"/>
    <mergeCell ref="C180:C189"/>
    <mergeCell ref="D180:D181"/>
    <mergeCell ref="F180:F181"/>
    <mergeCell ref="G180:G181"/>
    <mergeCell ref="H180:H181"/>
    <mergeCell ref="I180:I181"/>
    <mergeCell ref="D184:D185"/>
    <mergeCell ref="F184:F185"/>
    <mergeCell ref="G184:G185"/>
    <mergeCell ref="H184:H185"/>
    <mergeCell ref="C190:C199"/>
    <mergeCell ref="D190:D191"/>
    <mergeCell ref="F190:F191"/>
    <mergeCell ref="G190:G191"/>
    <mergeCell ref="H190:H191"/>
    <mergeCell ref="I190:I191"/>
    <mergeCell ref="D194:D195"/>
    <mergeCell ref="F194:F195"/>
    <mergeCell ref="G194:G195"/>
    <mergeCell ref="H194:H195"/>
    <mergeCell ref="D188:D189"/>
    <mergeCell ref="F188:F189"/>
    <mergeCell ref="G188:G189"/>
    <mergeCell ref="H188:H189"/>
    <mergeCell ref="I188:I189"/>
    <mergeCell ref="J188:J189"/>
    <mergeCell ref="I184:I185"/>
    <mergeCell ref="J184:J185"/>
    <mergeCell ref="D186:D187"/>
    <mergeCell ref="F186:F187"/>
    <mergeCell ref="G186:G187"/>
    <mergeCell ref="H186:H187"/>
    <mergeCell ref="I186:I187"/>
    <mergeCell ref="J186:J187"/>
    <mergeCell ref="D198:D199"/>
    <mergeCell ref="F198:F199"/>
    <mergeCell ref="G198:G199"/>
    <mergeCell ref="H198:H199"/>
    <mergeCell ref="I198:I199"/>
    <mergeCell ref="J198:J199"/>
    <mergeCell ref="I194:I195"/>
    <mergeCell ref="J194:J195"/>
    <mergeCell ref="D196:D197"/>
    <mergeCell ref="F196:F197"/>
    <mergeCell ref="G196:G197"/>
    <mergeCell ref="H196:H197"/>
    <mergeCell ref="I196:I197"/>
    <mergeCell ref="J196:J197"/>
    <mergeCell ref="J190:J191"/>
    <mergeCell ref="D192:D193"/>
    <mergeCell ref="F192:F193"/>
    <mergeCell ref="G192:G193"/>
    <mergeCell ref="H192:H193"/>
    <mergeCell ref="I192:I193"/>
    <mergeCell ref="J192:J193"/>
    <mergeCell ref="J200:J201"/>
    <mergeCell ref="D202:D203"/>
    <mergeCell ref="F202:F203"/>
    <mergeCell ref="G202:G203"/>
    <mergeCell ref="H202:H203"/>
    <mergeCell ref="I202:I203"/>
    <mergeCell ref="J202:J203"/>
    <mergeCell ref="C200:C209"/>
    <mergeCell ref="D200:D201"/>
    <mergeCell ref="F200:F201"/>
    <mergeCell ref="G200:G201"/>
    <mergeCell ref="H200:H201"/>
    <mergeCell ref="I200:I201"/>
    <mergeCell ref="D204:D205"/>
    <mergeCell ref="F204:F205"/>
    <mergeCell ref="G204:G205"/>
    <mergeCell ref="H204:H205"/>
    <mergeCell ref="C210:C219"/>
    <mergeCell ref="D210:D211"/>
    <mergeCell ref="F210:F211"/>
    <mergeCell ref="G210:G211"/>
    <mergeCell ref="H210:H211"/>
    <mergeCell ref="I210:I211"/>
    <mergeCell ref="D214:D215"/>
    <mergeCell ref="F214:F215"/>
    <mergeCell ref="G214:G215"/>
    <mergeCell ref="H214:H215"/>
    <mergeCell ref="D208:D209"/>
    <mergeCell ref="F208:F209"/>
    <mergeCell ref="G208:G209"/>
    <mergeCell ref="H208:H209"/>
    <mergeCell ref="I208:I209"/>
    <mergeCell ref="J208:J209"/>
    <mergeCell ref="I204:I205"/>
    <mergeCell ref="J204:J205"/>
    <mergeCell ref="D206:D207"/>
    <mergeCell ref="F206:F207"/>
    <mergeCell ref="G206:G207"/>
    <mergeCell ref="H206:H207"/>
    <mergeCell ref="I206:I207"/>
    <mergeCell ref="J206:J207"/>
    <mergeCell ref="D218:D219"/>
    <mergeCell ref="F218:F219"/>
    <mergeCell ref="G218:G219"/>
    <mergeCell ref="H218:H219"/>
    <mergeCell ref="I218:I219"/>
    <mergeCell ref="J218:J219"/>
    <mergeCell ref="I214:I215"/>
    <mergeCell ref="J214:J215"/>
    <mergeCell ref="D216:D217"/>
    <mergeCell ref="F216:F217"/>
    <mergeCell ref="G216:G217"/>
    <mergeCell ref="H216:H217"/>
    <mergeCell ref="I216:I217"/>
    <mergeCell ref="J216:J217"/>
    <mergeCell ref="J210:J211"/>
    <mergeCell ref="D212:D213"/>
    <mergeCell ref="F212:F213"/>
    <mergeCell ref="G212:G213"/>
    <mergeCell ref="H212:H213"/>
    <mergeCell ref="I212:I213"/>
    <mergeCell ref="J212:J213"/>
    <mergeCell ref="J220:J221"/>
    <mergeCell ref="D222:D223"/>
    <mergeCell ref="F222:F223"/>
    <mergeCell ref="G222:G223"/>
    <mergeCell ref="H222:H223"/>
    <mergeCell ref="I222:I223"/>
    <mergeCell ref="J222:J223"/>
    <mergeCell ref="C220:C229"/>
    <mergeCell ref="D220:D221"/>
    <mergeCell ref="F220:F221"/>
    <mergeCell ref="G220:G221"/>
    <mergeCell ref="H220:H221"/>
    <mergeCell ref="I220:I221"/>
    <mergeCell ref="D224:D225"/>
    <mergeCell ref="F224:F225"/>
    <mergeCell ref="G224:G225"/>
    <mergeCell ref="H224:H225"/>
    <mergeCell ref="C230:C239"/>
    <mergeCell ref="D230:D231"/>
    <mergeCell ref="F230:F231"/>
    <mergeCell ref="G230:G231"/>
    <mergeCell ref="H230:H231"/>
    <mergeCell ref="I230:I231"/>
    <mergeCell ref="D234:D235"/>
    <mergeCell ref="F234:F235"/>
    <mergeCell ref="G234:G235"/>
    <mergeCell ref="H234:H235"/>
    <mergeCell ref="D228:D229"/>
    <mergeCell ref="F228:F229"/>
    <mergeCell ref="G228:G229"/>
    <mergeCell ref="H228:H229"/>
    <mergeCell ref="I228:I229"/>
    <mergeCell ref="J228:J229"/>
    <mergeCell ref="I224:I225"/>
    <mergeCell ref="J224:J225"/>
    <mergeCell ref="D226:D227"/>
    <mergeCell ref="F226:F227"/>
    <mergeCell ref="G226:G227"/>
    <mergeCell ref="H226:H227"/>
    <mergeCell ref="I226:I227"/>
    <mergeCell ref="J226:J227"/>
    <mergeCell ref="D238:D239"/>
    <mergeCell ref="F238:F239"/>
    <mergeCell ref="G238:G239"/>
    <mergeCell ref="H238:H239"/>
    <mergeCell ref="I238:I239"/>
    <mergeCell ref="J238:J239"/>
    <mergeCell ref="I234:I235"/>
    <mergeCell ref="J234:J235"/>
    <mergeCell ref="D236:D237"/>
    <mergeCell ref="F236:F237"/>
    <mergeCell ref="G236:G237"/>
    <mergeCell ref="H236:H237"/>
    <mergeCell ref="I236:I237"/>
    <mergeCell ref="J236:J237"/>
    <mergeCell ref="J230:J231"/>
    <mergeCell ref="D232:D233"/>
    <mergeCell ref="F232:F233"/>
    <mergeCell ref="G232:G233"/>
    <mergeCell ref="H232:H233"/>
    <mergeCell ref="I232:I233"/>
    <mergeCell ref="J232:J233"/>
    <mergeCell ref="J240:J241"/>
    <mergeCell ref="D242:D243"/>
    <mergeCell ref="F242:F243"/>
    <mergeCell ref="G242:G243"/>
    <mergeCell ref="H242:H243"/>
    <mergeCell ref="I242:I243"/>
    <mergeCell ref="J242:J243"/>
    <mergeCell ref="C240:C249"/>
    <mergeCell ref="D240:D241"/>
    <mergeCell ref="F240:F241"/>
    <mergeCell ref="G240:G241"/>
    <mergeCell ref="H240:H241"/>
    <mergeCell ref="I240:I241"/>
    <mergeCell ref="D244:D245"/>
    <mergeCell ref="F244:F245"/>
    <mergeCell ref="G244:G245"/>
    <mergeCell ref="H244:H245"/>
    <mergeCell ref="C250:C259"/>
    <mergeCell ref="D250:D251"/>
    <mergeCell ref="F250:F251"/>
    <mergeCell ref="G250:G251"/>
    <mergeCell ref="H250:H251"/>
    <mergeCell ref="I250:I251"/>
    <mergeCell ref="D254:D255"/>
    <mergeCell ref="F254:F255"/>
    <mergeCell ref="G254:G255"/>
    <mergeCell ref="H254:H255"/>
    <mergeCell ref="D248:D249"/>
    <mergeCell ref="F248:F249"/>
    <mergeCell ref="G248:G249"/>
    <mergeCell ref="H248:H249"/>
    <mergeCell ref="I248:I249"/>
    <mergeCell ref="J248:J249"/>
    <mergeCell ref="I244:I245"/>
    <mergeCell ref="J244:J245"/>
    <mergeCell ref="D246:D247"/>
    <mergeCell ref="F246:F247"/>
    <mergeCell ref="G246:G247"/>
    <mergeCell ref="H246:H247"/>
    <mergeCell ref="I246:I247"/>
    <mergeCell ref="J246:J247"/>
    <mergeCell ref="D258:D259"/>
    <mergeCell ref="F258:F259"/>
    <mergeCell ref="G258:G259"/>
    <mergeCell ref="H258:H259"/>
    <mergeCell ref="I258:I259"/>
    <mergeCell ref="J258:J259"/>
    <mergeCell ref="I254:I255"/>
    <mergeCell ref="J254:J255"/>
    <mergeCell ref="D256:D257"/>
    <mergeCell ref="F256:F257"/>
    <mergeCell ref="G256:G257"/>
    <mergeCell ref="H256:H257"/>
    <mergeCell ref="I256:I257"/>
    <mergeCell ref="J256:J257"/>
    <mergeCell ref="J250:J251"/>
    <mergeCell ref="D252:D253"/>
    <mergeCell ref="F252:F253"/>
    <mergeCell ref="G252:G253"/>
    <mergeCell ref="H252:H253"/>
    <mergeCell ref="I252:I253"/>
    <mergeCell ref="J252:J253"/>
    <mergeCell ref="J260:J261"/>
    <mergeCell ref="D262:D263"/>
    <mergeCell ref="F262:F263"/>
    <mergeCell ref="G262:G263"/>
    <mergeCell ref="H262:H263"/>
    <mergeCell ref="I262:I263"/>
    <mergeCell ref="J262:J263"/>
    <mergeCell ref="C260:C269"/>
    <mergeCell ref="D260:D261"/>
    <mergeCell ref="F260:F261"/>
    <mergeCell ref="G260:G261"/>
    <mergeCell ref="H260:H261"/>
    <mergeCell ref="I260:I261"/>
    <mergeCell ref="D264:D265"/>
    <mergeCell ref="F264:F265"/>
    <mergeCell ref="G264:G265"/>
    <mergeCell ref="H264:H265"/>
    <mergeCell ref="C270:C279"/>
    <mergeCell ref="D270:D271"/>
    <mergeCell ref="F270:F271"/>
    <mergeCell ref="G270:G271"/>
    <mergeCell ref="H270:H271"/>
    <mergeCell ref="I270:I271"/>
    <mergeCell ref="D274:D275"/>
    <mergeCell ref="F274:F275"/>
    <mergeCell ref="G274:G275"/>
    <mergeCell ref="H274:H275"/>
    <mergeCell ref="D268:D269"/>
    <mergeCell ref="F268:F269"/>
    <mergeCell ref="G268:G269"/>
    <mergeCell ref="H268:H269"/>
    <mergeCell ref="I268:I269"/>
    <mergeCell ref="J268:J269"/>
    <mergeCell ref="I264:I265"/>
    <mergeCell ref="J264:J265"/>
    <mergeCell ref="D266:D267"/>
    <mergeCell ref="F266:F267"/>
    <mergeCell ref="G266:G267"/>
    <mergeCell ref="H266:H267"/>
    <mergeCell ref="I266:I267"/>
    <mergeCell ref="J266:J267"/>
    <mergeCell ref="D278:D279"/>
    <mergeCell ref="F278:F279"/>
    <mergeCell ref="G278:G279"/>
    <mergeCell ref="H278:H279"/>
    <mergeCell ref="I278:I279"/>
    <mergeCell ref="J278:J279"/>
    <mergeCell ref="I274:I275"/>
    <mergeCell ref="J274:J275"/>
    <mergeCell ref="D276:D277"/>
    <mergeCell ref="F276:F277"/>
    <mergeCell ref="G276:G277"/>
    <mergeCell ref="H276:H277"/>
    <mergeCell ref="I276:I277"/>
    <mergeCell ref="J276:J277"/>
    <mergeCell ref="J270:J271"/>
    <mergeCell ref="D272:D273"/>
    <mergeCell ref="F272:F273"/>
    <mergeCell ref="G272:G273"/>
    <mergeCell ref="H272:H273"/>
    <mergeCell ref="I272:I273"/>
    <mergeCell ref="J272:J273"/>
    <mergeCell ref="J280:J281"/>
    <mergeCell ref="D282:D283"/>
    <mergeCell ref="F282:F283"/>
    <mergeCell ref="G282:G283"/>
    <mergeCell ref="H282:H283"/>
    <mergeCell ref="I282:I283"/>
    <mergeCell ref="J282:J283"/>
    <mergeCell ref="C280:C289"/>
    <mergeCell ref="D280:D281"/>
    <mergeCell ref="F280:F281"/>
    <mergeCell ref="G280:G281"/>
    <mergeCell ref="H280:H281"/>
    <mergeCell ref="I280:I281"/>
    <mergeCell ref="D284:D285"/>
    <mergeCell ref="F284:F285"/>
    <mergeCell ref="G284:G285"/>
    <mergeCell ref="H284:H285"/>
    <mergeCell ref="C290:C299"/>
    <mergeCell ref="D290:D291"/>
    <mergeCell ref="F290:F291"/>
    <mergeCell ref="G290:G291"/>
    <mergeCell ref="H290:H291"/>
    <mergeCell ref="I290:I291"/>
    <mergeCell ref="D294:D295"/>
    <mergeCell ref="F294:F295"/>
    <mergeCell ref="G294:G295"/>
    <mergeCell ref="H294:H295"/>
    <mergeCell ref="D288:D289"/>
    <mergeCell ref="F288:F289"/>
    <mergeCell ref="G288:G289"/>
    <mergeCell ref="H288:H289"/>
    <mergeCell ref="I288:I289"/>
    <mergeCell ref="J288:J289"/>
    <mergeCell ref="I284:I285"/>
    <mergeCell ref="J284:J285"/>
    <mergeCell ref="D286:D287"/>
    <mergeCell ref="F286:F287"/>
    <mergeCell ref="G286:G287"/>
    <mergeCell ref="H286:H287"/>
    <mergeCell ref="I286:I287"/>
    <mergeCell ref="J286:J287"/>
    <mergeCell ref="D298:D299"/>
    <mergeCell ref="F298:F299"/>
    <mergeCell ref="G298:G299"/>
    <mergeCell ref="H298:H299"/>
    <mergeCell ref="I298:I299"/>
    <mergeCell ref="J298:J299"/>
    <mergeCell ref="I294:I295"/>
    <mergeCell ref="J294:J295"/>
    <mergeCell ref="D296:D297"/>
    <mergeCell ref="F296:F297"/>
    <mergeCell ref="G296:G297"/>
    <mergeCell ref="H296:H297"/>
    <mergeCell ref="I296:I297"/>
    <mergeCell ref="J296:J297"/>
    <mergeCell ref="J290:J291"/>
    <mergeCell ref="D292:D293"/>
    <mergeCell ref="F292:F293"/>
    <mergeCell ref="G292:G293"/>
    <mergeCell ref="H292:H293"/>
    <mergeCell ref="I292:I293"/>
    <mergeCell ref="J292:J293"/>
    <mergeCell ref="J300:J301"/>
    <mergeCell ref="D302:D303"/>
    <mergeCell ref="F302:F303"/>
    <mergeCell ref="G302:G303"/>
    <mergeCell ref="H302:H303"/>
    <mergeCell ref="I302:I303"/>
    <mergeCell ref="J302:J303"/>
    <mergeCell ref="C300:C309"/>
    <mergeCell ref="D300:D301"/>
    <mergeCell ref="F300:F301"/>
    <mergeCell ref="G300:G301"/>
    <mergeCell ref="H300:H301"/>
    <mergeCell ref="I300:I301"/>
    <mergeCell ref="D304:D305"/>
    <mergeCell ref="F304:F305"/>
    <mergeCell ref="G304:G305"/>
    <mergeCell ref="H304:H305"/>
    <mergeCell ref="C310:C319"/>
    <mergeCell ref="D310:D311"/>
    <mergeCell ref="F310:F311"/>
    <mergeCell ref="G310:G311"/>
    <mergeCell ref="H310:H311"/>
    <mergeCell ref="I310:I311"/>
    <mergeCell ref="D314:D315"/>
    <mergeCell ref="F314:F315"/>
    <mergeCell ref="G314:G315"/>
    <mergeCell ref="H314:H315"/>
    <mergeCell ref="D308:D309"/>
    <mergeCell ref="F308:F309"/>
    <mergeCell ref="G308:G309"/>
    <mergeCell ref="H308:H309"/>
    <mergeCell ref="I308:I309"/>
    <mergeCell ref="J308:J309"/>
    <mergeCell ref="I304:I305"/>
    <mergeCell ref="J304:J305"/>
    <mergeCell ref="D306:D307"/>
    <mergeCell ref="F306:F307"/>
    <mergeCell ref="G306:G307"/>
    <mergeCell ref="H306:H307"/>
    <mergeCell ref="I306:I307"/>
    <mergeCell ref="J306:J307"/>
    <mergeCell ref="D318:D319"/>
    <mergeCell ref="F318:F319"/>
    <mergeCell ref="G318:G319"/>
    <mergeCell ref="H318:H319"/>
    <mergeCell ref="I318:I319"/>
    <mergeCell ref="J318:J319"/>
    <mergeCell ref="I314:I315"/>
    <mergeCell ref="J314:J315"/>
    <mergeCell ref="D316:D317"/>
    <mergeCell ref="F316:F317"/>
    <mergeCell ref="G316:G317"/>
    <mergeCell ref="H316:H317"/>
    <mergeCell ref="I316:I317"/>
    <mergeCell ref="J316:J317"/>
    <mergeCell ref="J310:J311"/>
    <mergeCell ref="D312:D313"/>
    <mergeCell ref="F312:F313"/>
    <mergeCell ref="G312:G313"/>
    <mergeCell ref="H312:H313"/>
    <mergeCell ref="I312:I313"/>
    <mergeCell ref="J312:J313"/>
    <mergeCell ref="J320:J321"/>
    <mergeCell ref="D322:D323"/>
    <mergeCell ref="F322:F323"/>
    <mergeCell ref="G322:G323"/>
    <mergeCell ref="H322:H323"/>
    <mergeCell ref="I322:I323"/>
    <mergeCell ref="J322:J323"/>
    <mergeCell ref="C320:C329"/>
    <mergeCell ref="D320:D321"/>
    <mergeCell ref="F320:F321"/>
    <mergeCell ref="G320:G321"/>
    <mergeCell ref="H320:H321"/>
    <mergeCell ref="I320:I321"/>
    <mergeCell ref="D324:D325"/>
    <mergeCell ref="F324:F325"/>
    <mergeCell ref="G324:G325"/>
    <mergeCell ref="H324:H325"/>
    <mergeCell ref="C330:C339"/>
    <mergeCell ref="D330:D331"/>
    <mergeCell ref="F330:F331"/>
    <mergeCell ref="G330:G331"/>
    <mergeCell ref="H330:H331"/>
    <mergeCell ref="I330:I331"/>
    <mergeCell ref="D334:D335"/>
    <mergeCell ref="F334:F335"/>
    <mergeCell ref="G334:G335"/>
    <mergeCell ref="H334:H335"/>
    <mergeCell ref="D328:D329"/>
    <mergeCell ref="F328:F329"/>
    <mergeCell ref="G328:G329"/>
    <mergeCell ref="H328:H329"/>
    <mergeCell ref="I328:I329"/>
    <mergeCell ref="J328:J329"/>
    <mergeCell ref="I324:I325"/>
    <mergeCell ref="J324:J325"/>
    <mergeCell ref="D326:D327"/>
    <mergeCell ref="F326:F327"/>
    <mergeCell ref="G326:G327"/>
    <mergeCell ref="H326:H327"/>
    <mergeCell ref="I326:I327"/>
    <mergeCell ref="J326:J327"/>
    <mergeCell ref="D338:D339"/>
    <mergeCell ref="F338:F339"/>
    <mergeCell ref="G338:G339"/>
    <mergeCell ref="H338:H339"/>
    <mergeCell ref="I338:I339"/>
    <mergeCell ref="J338:J339"/>
    <mergeCell ref="I334:I335"/>
    <mergeCell ref="J334:J335"/>
    <mergeCell ref="D336:D337"/>
    <mergeCell ref="F336:F337"/>
    <mergeCell ref="G336:G337"/>
    <mergeCell ref="H336:H337"/>
    <mergeCell ref="I336:I337"/>
    <mergeCell ref="J336:J337"/>
    <mergeCell ref="J330:J331"/>
    <mergeCell ref="D332:D333"/>
    <mergeCell ref="F332:F333"/>
    <mergeCell ref="G332:G333"/>
    <mergeCell ref="H332:H333"/>
    <mergeCell ref="I332:I333"/>
    <mergeCell ref="J332:J333"/>
    <mergeCell ref="J340:J341"/>
    <mergeCell ref="D342:D343"/>
    <mergeCell ref="F342:F343"/>
    <mergeCell ref="G342:G343"/>
    <mergeCell ref="H342:H343"/>
    <mergeCell ref="I342:I343"/>
    <mergeCell ref="J342:J343"/>
    <mergeCell ref="C340:C349"/>
    <mergeCell ref="D340:D341"/>
    <mergeCell ref="F340:F341"/>
    <mergeCell ref="G340:G341"/>
    <mergeCell ref="H340:H341"/>
    <mergeCell ref="I340:I341"/>
    <mergeCell ref="D344:D345"/>
    <mergeCell ref="F344:F345"/>
    <mergeCell ref="G344:G345"/>
    <mergeCell ref="H344:H345"/>
    <mergeCell ref="C350:C359"/>
    <mergeCell ref="D350:D351"/>
    <mergeCell ref="F350:F351"/>
    <mergeCell ref="G350:G351"/>
    <mergeCell ref="H350:H351"/>
    <mergeCell ref="I350:I351"/>
    <mergeCell ref="D354:D355"/>
    <mergeCell ref="F354:F355"/>
    <mergeCell ref="G354:G355"/>
    <mergeCell ref="H354:H355"/>
    <mergeCell ref="D348:D349"/>
    <mergeCell ref="F348:F349"/>
    <mergeCell ref="G348:G349"/>
    <mergeCell ref="H348:H349"/>
    <mergeCell ref="I348:I349"/>
    <mergeCell ref="J348:J349"/>
    <mergeCell ref="I344:I345"/>
    <mergeCell ref="J344:J345"/>
    <mergeCell ref="D346:D347"/>
    <mergeCell ref="F346:F347"/>
    <mergeCell ref="G346:G347"/>
    <mergeCell ref="H346:H347"/>
    <mergeCell ref="I346:I347"/>
    <mergeCell ref="J346:J347"/>
    <mergeCell ref="D358:D359"/>
    <mergeCell ref="F358:F359"/>
    <mergeCell ref="G358:G359"/>
    <mergeCell ref="H358:H359"/>
    <mergeCell ref="I358:I359"/>
    <mergeCell ref="J358:J359"/>
    <mergeCell ref="I354:I355"/>
    <mergeCell ref="J354:J355"/>
    <mergeCell ref="D356:D357"/>
    <mergeCell ref="F356:F357"/>
    <mergeCell ref="G356:G357"/>
    <mergeCell ref="H356:H357"/>
    <mergeCell ref="I356:I357"/>
    <mergeCell ref="J356:J357"/>
    <mergeCell ref="J350:J351"/>
    <mergeCell ref="D352:D353"/>
    <mergeCell ref="F352:F353"/>
    <mergeCell ref="G352:G353"/>
    <mergeCell ref="H352:H353"/>
    <mergeCell ref="I352:I353"/>
    <mergeCell ref="J352:J353"/>
    <mergeCell ref="J360:J361"/>
    <mergeCell ref="D362:D363"/>
    <mergeCell ref="F362:F363"/>
    <mergeCell ref="G362:G363"/>
    <mergeCell ref="H362:H363"/>
    <mergeCell ref="I362:I363"/>
    <mergeCell ref="J362:J363"/>
    <mergeCell ref="C360:C369"/>
    <mergeCell ref="D360:D361"/>
    <mergeCell ref="F360:F361"/>
    <mergeCell ref="G360:G361"/>
    <mergeCell ref="H360:H361"/>
    <mergeCell ref="I360:I361"/>
    <mergeCell ref="D364:D365"/>
    <mergeCell ref="F364:F365"/>
    <mergeCell ref="G364:G365"/>
    <mergeCell ref="H364:H365"/>
    <mergeCell ref="C370:C379"/>
    <mergeCell ref="D370:D371"/>
    <mergeCell ref="F370:F371"/>
    <mergeCell ref="G370:G371"/>
    <mergeCell ref="H370:H371"/>
    <mergeCell ref="I370:I371"/>
    <mergeCell ref="D374:D375"/>
    <mergeCell ref="F374:F375"/>
    <mergeCell ref="G374:G375"/>
    <mergeCell ref="H374:H375"/>
    <mergeCell ref="D368:D369"/>
    <mergeCell ref="F368:F369"/>
    <mergeCell ref="G368:G369"/>
    <mergeCell ref="H368:H369"/>
    <mergeCell ref="I368:I369"/>
    <mergeCell ref="J368:J369"/>
    <mergeCell ref="I364:I365"/>
    <mergeCell ref="J364:J365"/>
    <mergeCell ref="D366:D367"/>
    <mergeCell ref="F366:F367"/>
    <mergeCell ref="G366:G367"/>
    <mergeCell ref="H366:H367"/>
    <mergeCell ref="I366:I367"/>
    <mergeCell ref="J366:J367"/>
    <mergeCell ref="D378:D379"/>
    <mergeCell ref="F378:F379"/>
    <mergeCell ref="G378:G379"/>
    <mergeCell ref="H378:H379"/>
    <mergeCell ref="I378:I379"/>
    <mergeCell ref="J378:J379"/>
    <mergeCell ref="I374:I375"/>
    <mergeCell ref="J374:J375"/>
    <mergeCell ref="D376:D377"/>
    <mergeCell ref="F376:F377"/>
    <mergeCell ref="G376:G377"/>
    <mergeCell ref="H376:H377"/>
    <mergeCell ref="I376:I377"/>
    <mergeCell ref="J376:J377"/>
    <mergeCell ref="J370:J371"/>
    <mergeCell ref="D372:D373"/>
    <mergeCell ref="F372:F373"/>
    <mergeCell ref="G372:G373"/>
    <mergeCell ref="H372:H373"/>
    <mergeCell ref="I372:I373"/>
    <mergeCell ref="J372:J373"/>
    <mergeCell ref="J380:J381"/>
    <mergeCell ref="D382:D383"/>
    <mergeCell ref="F382:F383"/>
    <mergeCell ref="G382:G383"/>
    <mergeCell ref="H382:H383"/>
    <mergeCell ref="I382:I383"/>
    <mergeCell ref="J382:J383"/>
    <mergeCell ref="C380:C389"/>
    <mergeCell ref="D380:D381"/>
    <mergeCell ref="F380:F381"/>
    <mergeCell ref="G380:G381"/>
    <mergeCell ref="H380:H381"/>
    <mergeCell ref="I380:I381"/>
    <mergeCell ref="D384:D385"/>
    <mergeCell ref="F384:F385"/>
    <mergeCell ref="G384:G385"/>
    <mergeCell ref="H384:H385"/>
    <mergeCell ref="B390:B639"/>
    <mergeCell ref="C390:C399"/>
    <mergeCell ref="D390:D391"/>
    <mergeCell ref="F390:F391"/>
    <mergeCell ref="G390:G391"/>
    <mergeCell ref="H390:H391"/>
    <mergeCell ref="D394:D395"/>
    <mergeCell ref="F394:F395"/>
    <mergeCell ref="G394:G395"/>
    <mergeCell ref="H394:H395"/>
    <mergeCell ref="D388:D389"/>
    <mergeCell ref="F388:F389"/>
    <mergeCell ref="G388:G389"/>
    <mergeCell ref="H388:H389"/>
    <mergeCell ref="I388:I389"/>
    <mergeCell ref="J388:J389"/>
    <mergeCell ref="I384:I385"/>
    <mergeCell ref="J384:J385"/>
    <mergeCell ref="D386:D387"/>
    <mergeCell ref="F386:F387"/>
    <mergeCell ref="G386:G387"/>
    <mergeCell ref="H386:H387"/>
    <mergeCell ref="I386:I387"/>
    <mergeCell ref="J386:J387"/>
    <mergeCell ref="B110:B389"/>
    <mergeCell ref="C110:C119"/>
    <mergeCell ref="D398:D399"/>
    <mergeCell ref="F398:F399"/>
    <mergeCell ref="G398:G399"/>
    <mergeCell ref="H398:H399"/>
    <mergeCell ref="I398:I399"/>
    <mergeCell ref="J398:J399"/>
    <mergeCell ref="I394:I395"/>
    <mergeCell ref="J394:J395"/>
    <mergeCell ref="D396:D397"/>
    <mergeCell ref="F396:F397"/>
    <mergeCell ref="G396:G397"/>
    <mergeCell ref="H396:H397"/>
    <mergeCell ref="I396:I397"/>
    <mergeCell ref="J396:J397"/>
    <mergeCell ref="I390:I391"/>
    <mergeCell ref="J390:J391"/>
    <mergeCell ref="D392:D393"/>
    <mergeCell ref="F392:F393"/>
    <mergeCell ref="G392:G393"/>
    <mergeCell ref="H392:H393"/>
    <mergeCell ref="I392:I393"/>
    <mergeCell ref="J392:J393"/>
    <mergeCell ref="J400:J401"/>
    <mergeCell ref="D402:D403"/>
    <mergeCell ref="F402:F403"/>
    <mergeCell ref="G402:G403"/>
    <mergeCell ref="H402:H403"/>
    <mergeCell ref="I402:I403"/>
    <mergeCell ref="J402:J403"/>
    <mergeCell ref="C400:C409"/>
    <mergeCell ref="D400:D401"/>
    <mergeCell ref="F400:F401"/>
    <mergeCell ref="G400:G401"/>
    <mergeCell ref="H400:H401"/>
    <mergeCell ref="I400:I401"/>
    <mergeCell ref="D404:D405"/>
    <mergeCell ref="F404:F405"/>
    <mergeCell ref="G404:G405"/>
    <mergeCell ref="H404:H405"/>
    <mergeCell ref="C410:C419"/>
    <mergeCell ref="D410:D411"/>
    <mergeCell ref="F410:F411"/>
    <mergeCell ref="G410:G411"/>
    <mergeCell ref="H410:H411"/>
    <mergeCell ref="I410:I411"/>
    <mergeCell ref="D414:D415"/>
    <mergeCell ref="F414:F415"/>
    <mergeCell ref="G414:G415"/>
    <mergeCell ref="H414:H415"/>
    <mergeCell ref="D408:D409"/>
    <mergeCell ref="F408:F409"/>
    <mergeCell ref="G408:G409"/>
    <mergeCell ref="H408:H409"/>
    <mergeCell ref="I408:I409"/>
    <mergeCell ref="J408:J409"/>
    <mergeCell ref="I404:I405"/>
    <mergeCell ref="J404:J405"/>
    <mergeCell ref="D406:D407"/>
    <mergeCell ref="F406:F407"/>
    <mergeCell ref="G406:G407"/>
    <mergeCell ref="H406:H407"/>
    <mergeCell ref="I406:I407"/>
    <mergeCell ref="J406:J407"/>
    <mergeCell ref="D418:D419"/>
    <mergeCell ref="F418:F419"/>
    <mergeCell ref="G418:G419"/>
    <mergeCell ref="H418:H419"/>
    <mergeCell ref="I418:I419"/>
    <mergeCell ref="J418:J419"/>
    <mergeCell ref="I414:I415"/>
    <mergeCell ref="J414:J415"/>
    <mergeCell ref="D416:D417"/>
    <mergeCell ref="F416:F417"/>
    <mergeCell ref="G416:G417"/>
    <mergeCell ref="H416:H417"/>
    <mergeCell ref="I416:I417"/>
    <mergeCell ref="J416:J417"/>
    <mergeCell ref="J410:J411"/>
    <mergeCell ref="D412:D413"/>
    <mergeCell ref="F412:F413"/>
    <mergeCell ref="G412:G413"/>
    <mergeCell ref="H412:H413"/>
    <mergeCell ref="I412:I413"/>
    <mergeCell ref="J412:J413"/>
    <mergeCell ref="J420:J421"/>
    <mergeCell ref="D422:D423"/>
    <mergeCell ref="F422:F423"/>
    <mergeCell ref="G422:G423"/>
    <mergeCell ref="H422:H423"/>
    <mergeCell ref="I422:I423"/>
    <mergeCell ref="J422:J423"/>
    <mergeCell ref="C420:C429"/>
    <mergeCell ref="D420:D421"/>
    <mergeCell ref="F420:F421"/>
    <mergeCell ref="G420:G421"/>
    <mergeCell ref="H420:H421"/>
    <mergeCell ref="I420:I421"/>
    <mergeCell ref="D424:D425"/>
    <mergeCell ref="F424:F425"/>
    <mergeCell ref="G424:G425"/>
    <mergeCell ref="H424:H425"/>
    <mergeCell ref="C430:C439"/>
    <mergeCell ref="D430:D431"/>
    <mergeCell ref="F430:F431"/>
    <mergeCell ref="G430:G431"/>
    <mergeCell ref="H430:H431"/>
    <mergeCell ref="I430:I431"/>
    <mergeCell ref="D434:D435"/>
    <mergeCell ref="F434:F435"/>
    <mergeCell ref="G434:G435"/>
    <mergeCell ref="H434:H435"/>
    <mergeCell ref="D428:D429"/>
    <mergeCell ref="F428:F429"/>
    <mergeCell ref="G428:G429"/>
    <mergeCell ref="H428:H429"/>
    <mergeCell ref="I428:I429"/>
    <mergeCell ref="J428:J429"/>
    <mergeCell ref="I424:I425"/>
    <mergeCell ref="J424:J425"/>
    <mergeCell ref="D426:D427"/>
    <mergeCell ref="F426:F427"/>
    <mergeCell ref="G426:G427"/>
    <mergeCell ref="H426:H427"/>
    <mergeCell ref="I426:I427"/>
    <mergeCell ref="J426:J427"/>
    <mergeCell ref="D438:D439"/>
    <mergeCell ref="F438:F439"/>
    <mergeCell ref="G438:G439"/>
    <mergeCell ref="H438:H439"/>
    <mergeCell ref="I438:I439"/>
    <mergeCell ref="J438:J439"/>
    <mergeCell ref="I434:I435"/>
    <mergeCell ref="J434:J435"/>
    <mergeCell ref="D436:D437"/>
    <mergeCell ref="F436:F437"/>
    <mergeCell ref="G436:G437"/>
    <mergeCell ref="H436:H437"/>
    <mergeCell ref="I436:I437"/>
    <mergeCell ref="J436:J437"/>
    <mergeCell ref="J430:J431"/>
    <mergeCell ref="D432:D433"/>
    <mergeCell ref="F432:F433"/>
    <mergeCell ref="G432:G433"/>
    <mergeCell ref="H432:H433"/>
    <mergeCell ref="I432:I433"/>
    <mergeCell ref="J432:J433"/>
    <mergeCell ref="J440:J441"/>
    <mergeCell ref="D442:D443"/>
    <mergeCell ref="F442:F443"/>
    <mergeCell ref="G442:G443"/>
    <mergeCell ref="H442:H443"/>
    <mergeCell ref="I442:I443"/>
    <mergeCell ref="J442:J443"/>
    <mergeCell ref="C440:C449"/>
    <mergeCell ref="D440:D441"/>
    <mergeCell ref="F440:F441"/>
    <mergeCell ref="G440:G441"/>
    <mergeCell ref="H440:H441"/>
    <mergeCell ref="I440:I441"/>
    <mergeCell ref="D444:D445"/>
    <mergeCell ref="F444:F445"/>
    <mergeCell ref="G444:G445"/>
    <mergeCell ref="H444:H445"/>
    <mergeCell ref="C450:C459"/>
    <mergeCell ref="D450:D451"/>
    <mergeCell ref="F450:F451"/>
    <mergeCell ref="G450:G451"/>
    <mergeCell ref="H450:H451"/>
    <mergeCell ref="I450:I451"/>
    <mergeCell ref="D454:D455"/>
    <mergeCell ref="F454:F455"/>
    <mergeCell ref="G454:G455"/>
    <mergeCell ref="H454:H455"/>
    <mergeCell ref="D448:D449"/>
    <mergeCell ref="F448:F449"/>
    <mergeCell ref="G448:G449"/>
    <mergeCell ref="H448:H449"/>
    <mergeCell ref="I448:I449"/>
    <mergeCell ref="J448:J449"/>
    <mergeCell ref="I444:I445"/>
    <mergeCell ref="J444:J445"/>
    <mergeCell ref="D446:D447"/>
    <mergeCell ref="F446:F447"/>
    <mergeCell ref="G446:G447"/>
    <mergeCell ref="H446:H447"/>
    <mergeCell ref="I446:I447"/>
    <mergeCell ref="J446:J447"/>
    <mergeCell ref="D458:D459"/>
    <mergeCell ref="F458:F459"/>
    <mergeCell ref="G458:G459"/>
    <mergeCell ref="H458:H459"/>
    <mergeCell ref="I458:I459"/>
    <mergeCell ref="J458:J459"/>
    <mergeCell ref="I454:I455"/>
    <mergeCell ref="J454:J455"/>
    <mergeCell ref="D456:D457"/>
    <mergeCell ref="F456:F457"/>
    <mergeCell ref="G456:G457"/>
    <mergeCell ref="H456:H457"/>
    <mergeCell ref="I456:I457"/>
    <mergeCell ref="J456:J457"/>
    <mergeCell ref="J450:J451"/>
    <mergeCell ref="D452:D453"/>
    <mergeCell ref="F452:F453"/>
    <mergeCell ref="G452:G453"/>
    <mergeCell ref="H452:H453"/>
    <mergeCell ref="I452:I453"/>
    <mergeCell ref="J452:J453"/>
    <mergeCell ref="J460:J461"/>
    <mergeCell ref="D462:D463"/>
    <mergeCell ref="F462:F463"/>
    <mergeCell ref="G462:G463"/>
    <mergeCell ref="H462:H463"/>
    <mergeCell ref="I462:I463"/>
    <mergeCell ref="J462:J463"/>
    <mergeCell ref="C460:C469"/>
    <mergeCell ref="D460:D461"/>
    <mergeCell ref="F460:F461"/>
    <mergeCell ref="G460:G461"/>
    <mergeCell ref="H460:H461"/>
    <mergeCell ref="I460:I461"/>
    <mergeCell ref="D464:D465"/>
    <mergeCell ref="F464:F465"/>
    <mergeCell ref="G464:G465"/>
    <mergeCell ref="H464:H465"/>
    <mergeCell ref="C470:C479"/>
    <mergeCell ref="D470:D471"/>
    <mergeCell ref="F470:F471"/>
    <mergeCell ref="G470:G471"/>
    <mergeCell ref="H470:H471"/>
    <mergeCell ref="I470:I471"/>
    <mergeCell ref="D474:D475"/>
    <mergeCell ref="F474:F475"/>
    <mergeCell ref="G474:G475"/>
    <mergeCell ref="H474:H475"/>
    <mergeCell ref="D468:D469"/>
    <mergeCell ref="F468:F469"/>
    <mergeCell ref="G468:G469"/>
    <mergeCell ref="H468:H469"/>
    <mergeCell ref="I468:I469"/>
    <mergeCell ref="J468:J469"/>
    <mergeCell ref="I464:I465"/>
    <mergeCell ref="J464:J465"/>
    <mergeCell ref="D466:D467"/>
    <mergeCell ref="F466:F467"/>
    <mergeCell ref="G466:G467"/>
    <mergeCell ref="H466:H467"/>
    <mergeCell ref="I466:I467"/>
    <mergeCell ref="J466:J467"/>
    <mergeCell ref="D478:D479"/>
    <mergeCell ref="F478:F479"/>
    <mergeCell ref="G478:G479"/>
    <mergeCell ref="H478:H479"/>
    <mergeCell ref="I478:I479"/>
    <mergeCell ref="J478:J479"/>
    <mergeCell ref="I474:I475"/>
    <mergeCell ref="J474:J475"/>
    <mergeCell ref="D476:D477"/>
    <mergeCell ref="F476:F477"/>
    <mergeCell ref="G476:G477"/>
    <mergeCell ref="H476:H477"/>
    <mergeCell ref="I476:I477"/>
    <mergeCell ref="J476:J477"/>
    <mergeCell ref="J470:J471"/>
    <mergeCell ref="D472:D473"/>
    <mergeCell ref="F472:F473"/>
    <mergeCell ref="G472:G473"/>
    <mergeCell ref="H472:H473"/>
    <mergeCell ref="I472:I473"/>
    <mergeCell ref="J472:J473"/>
    <mergeCell ref="J480:J481"/>
    <mergeCell ref="D482:D483"/>
    <mergeCell ref="F482:F483"/>
    <mergeCell ref="G482:G483"/>
    <mergeCell ref="H482:H483"/>
    <mergeCell ref="I482:I483"/>
    <mergeCell ref="J482:J483"/>
    <mergeCell ref="C480:C489"/>
    <mergeCell ref="D480:D481"/>
    <mergeCell ref="F480:F481"/>
    <mergeCell ref="G480:G481"/>
    <mergeCell ref="H480:H481"/>
    <mergeCell ref="I480:I481"/>
    <mergeCell ref="D484:D485"/>
    <mergeCell ref="F484:F485"/>
    <mergeCell ref="G484:G485"/>
    <mergeCell ref="H484:H485"/>
    <mergeCell ref="C490:C499"/>
    <mergeCell ref="D490:D491"/>
    <mergeCell ref="F490:F491"/>
    <mergeCell ref="G490:G491"/>
    <mergeCell ref="H490:H491"/>
    <mergeCell ref="I490:I491"/>
    <mergeCell ref="D494:D495"/>
    <mergeCell ref="F494:F495"/>
    <mergeCell ref="G494:G495"/>
    <mergeCell ref="H494:H495"/>
    <mergeCell ref="D488:D489"/>
    <mergeCell ref="F488:F489"/>
    <mergeCell ref="G488:G489"/>
    <mergeCell ref="H488:H489"/>
    <mergeCell ref="I488:I489"/>
    <mergeCell ref="J488:J489"/>
    <mergeCell ref="I484:I485"/>
    <mergeCell ref="J484:J485"/>
    <mergeCell ref="D486:D487"/>
    <mergeCell ref="F486:F487"/>
    <mergeCell ref="G486:G487"/>
    <mergeCell ref="H486:H487"/>
    <mergeCell ref="I486:I487"/>
    <mergeCell ref="J486:J487"/>
    <mergeCell ref="D498:D499"/>
    <mergeCell ref="F498:F499"/>
    <mergeCell ref="G498:G499"/>
    <mergeCell ref="H498:H499"/>
    <mergeCell ref="I498:I499"/>
    <mergeCell ref="J498:J499"/>
    <mergeCell ref="I494:I495"/>
    <mergeCell ref="J494:J495"/>
    <mergeCell ref="D496:D497"/>
    <mergeCell ref="F496:F497"/>
    <mergeCell ref="G496:G497"/>
    <mergeCell ref="H496:H497"/>
    <mergeCell ref="I496:I497"/>
    <mergeCell ref="J496:J497"/>
    <mergeCell ref="J490:J491"/>
    <mergeCell ref="D492:D493"/>
    <mergeCell ref="F492:F493"/>
    <mergeCell ref="G492:G493"/>
    <mergeCell ref="H492:H493"/>
    <mergeCell ref="I492:I493"/>
    <mergeCell ref="J492:J493"/>
    <mergeCell ref="J500:J501"/>
    <mergeCell ref="D502:D503"/>
    <mergeCell ref="F502:F503"/>
    <mergeCell ref="G502:G503"/>
    <mergeCell ref="H502:H503"/>
    <mergeCell ref="I502:I503"/>
    <mergeCell ref="J502:J503"/>
    <mergeCell ref="C500:C509"/>
    <mergeCell ref="D500:D501"/>
    <mergeCell ref="F500:F501"/>
    <mergeCell ref="G500:G501"/>
    <mergeCell ref="H500:H501"/>
    <mergeCell ref="I500:I501"/>
    <mergeCell ref="D504:D505"/>
    <mergeCell ref="F504:F505"/>
    <mergeCell ref="G504:G505"/>
    <mergeCell ref="H504:H505"/>
    <mergeCell ref="C510:C519"/>
    <mergeCell ref="D510:D511"/>
    <mergeCell ref="F510:F511"/>
    <mergeCell ref="G510:G511"/>
    <mergeCell ref="H510:H511"/>
    <mergeCell ref="I510:I511"/>
    <mergeCell ref="D514:D515"/>
    <mergeCell ref="F514:F515"/>
    <mergeCell ref="G514:G515"/>
    <mergeCell ref="H514:H515"/>
    <mergeCell ref="D508:D509"/>
    <mergeCell ref="F508:F509"/>
    <mergeCell ref="G508:G509"/>
    <mergeCell ref="H508:H509"/>
    <mergeCell ref="I508:I509"/>
    <mergeCell ref="J508:J509"/>
    <mergeCell ref="I504:I505"/>
    <mergeCell ref="J504:J505"/>
    <mergeCell ref="D506:D507"/>
    <mergeCell ref="F506:F507"/>
    <mergeCell ref="G506:G507"/>
    <mergeCell ref="H506:H507"/>
    <mergeCell ref="I506:I507"/>
    <mergeCell ref="J506:J507"/>
    <mergeCell ref="D518:D519"/>
    <mergeCell ref="F518:F519"/>
    <mergeCell ref="G518:G519"/>
    <mergeCell ref="H518:H519"/>
    <mergeCell ref="I518:I519"/>
    <mergeCell ref="J518:J519"/>
    <mergeCell ref="I514:I515"/>
    <mergeCell ref="J514:J515"/>
    <mergeCell ref="D516:D517"/>
    <mergeCell ref="F516:F517"/>
    <mergeCell ref="G516:G517"/>
    <mergeCell ref="H516:H517"/>
    <mergeCell ref="I516:I517"/>
    <mergeCell ref="J516:J517"/>
    <mergeCell ref="J510:J511"/>
    <mergeCell ref="D512:D513"/>
    <mergeCell ref="F512:F513"/>
    <mergeCell ref="G512:G513"/>
    <mergeCell ref="H512:H513"/>
    <mergeCell ref="I512:I513"/>
    <mergeCell ref="J512:J513"/>
    <mergeCell ref="J520:J521"/>
    <mergeCell ref="D522:D523"/>
    <mergeCell ref="F522:F523"/>
    <mergeCell ref="G522:G523"/>
    <mergeCell ref="H522:H523"/>
    <mergeCell ref="I522:I523"/>
    <mergeCell ref="J522:J523"/>
    <mergeCell ref="C520:C529"/>
    <mergeCell ref="D520:D521"/>
    <mergeCell ref="F520:F521"/>
    <mergeCell ref="G520:G521"/>
    <mergeCell ref="H520:H521"/>
    <mergeCell ref="I520:I521"/>
    <mergeCell ref="D524:D525"/>
    <mergeCell ref="F524:F525"/>
    <mergeCell ref="G524:G525"/>
    <mergeCell ref="H524:H525"/>
    <mergeCell ref="C530:C539"/>
    <mergeCell ref="D530:D531"/>
    <mergeCell ref="F530:F531"/>
    <mergeCell ref="G530:G531"/>
    <mergeCell ref="H530:H531"/>
    <mergeCell ref="I530:I531"/>
    <mergeCell ref="D534:D535"/>
    <mergeCell ref="F534:F535"/>
    <mergeCell ref="G534:G535"/>
    <mergeCell ref="H534:H535"/>
    <mergeCell ref="D528:D529"/>
    <mergeCell ref="F528:F529"/>
    <mergeCell ref="G528:G529"/>
    <mergeCell ref="H528:H529"/>
    <mergeCell ref="I528:I529"/>
    <mergeCell ref="J528:J529"/>
    <mergeCell ref="I524:I525"/>
    <mergeCell ref="J524:J525"/>
    <mergeCell ref="D526:D527"/>
    <mergeCell ref="F526:F527"/>
    <mergeCell ref="G526:G527"/>
    <mergeCell ref="H526:H527"/>
    <mergeCell ref="I526:I527"/>
    <mergeCell ref="J526:J527"/>
    <mergeCell ref="D538:D539"/>
    <mergeCell ref="F538:F539"/>
    <mergeCell ref="G538:G539"/>
    <mergeCell ref="H538:H539"/>
    <mergeCell ref="I538:I539"/>
    <mergeCell ref="J538:J539"/>
    <mergeCell ref="I534:I535"/>
    <mergeCell ref="J534:J535"/>
    <mergeCell ref="D536:D537"/>
    <mergeCell ref="F536:F537"/>
    <mergeCell ref="G536:G537"/>
    <mergeCell ref="H536:H537"/>
    <mergeCell ref="I536:I537"/>
    <mergeCell ref="J536:J537"/>
    <mergeCell ref="J530:J531"/>
    <mergeCell ref="D532:D533"/>
    <mergeCell ref="F532:F533"/>
    <mergeCell ref="G532:G533"/>
    <mergeCell ref="H532:H533"/>
    <mergeCell ref="I532:I533"/>
    <mergeCell ref="J532:J533"/>
    <mergeCell ref="J540:J541"/>
    <mergeCell ref="D542:D543"/>
    <mergeCell ref="F542:F543"/>
    <mergeCell ref="G542:G543"/>
    <mergeCell ref="H542:H543"/>
    <mergeCell ref="I542:I543"/>
    <mergeCell ref="J542:J543"/>
    <mergeCell ref="C540:C549"/>
    <mergeCell ref="D540:D541"/>
    <mergeCell ref="F540:F541"/>
    <mergeCell ref="G540:G541"/>
    <mergeCell ref="H540:H541"/>
    <mergeCell ref="I540:I541"/>
    <mergeCell ref="D544:D545"/>
    <mergeCell ref="F544:F545"/>
    <mergeCell ref="G544:G545"/>
    <mergeCell ref="H544:H545"/>
    <mergeCell ref="C550:C559"/>
    <mergeCell ref="D550:D551"/>
    <mergeCell ref="F550:F551"/>
    <mergeCell ref="G550:G551"/>
    <mergeCell ref="H550:H551"/>
    <mergeCell ref="I550:I551"/>
    <mergeCell ref="D554:D555"/>
    <mergeCell ref="F554:F555"/>
    <mergeCell ref="G554:G555"/>
    <mergeCell ref="H554:H555"/>
    <mergeCell ref="D548:D549"/>
    <mergeCell ref="F548:F549"/>
    <mergeCell ref="G548:G549"/>
    <mergeCell ref="H548:H549"/>
    <mergeCell ref="I548:I549"/>
    <mergeCell ref="J548:J549"/>
    <mergeCell ref="I544:I545"/>
    <mergeCell ref="J544:J545"/>
    <mergeCell ref="D546:D547"/>
    <mergeCell ref="F546:F547"/>
    <mergeCell ref="G546:G547"/>
    <mergeCell ref="H546:H547"/>
    <mergeCell ref="I546:I547"/>
    <mergeCell ref="J546:J547"/>
    <mergeCell ref="D558:D559"/>
    <mergeCell ref="F558:F559"/>
    <mergeCell ref="G558:G559"/>
    <mergeCell ref="H558:H559"/>
    <mergeCell ref="I558:I559"/>
    <mergeCell ref="J558:J559"/>
    <mergeCell ref="I554:I555"/>
    <mergeCell ref="J554:J555"/>
    <mergeCell ref="D556:D557"/>
    <mergeCell ref="F556:F557"/>
    <mergeCell ref="G556:G557"/>
    <mergeCell ref="H556:H557"/>
    <mergeCell ref="I556:I557"/>
    <mergeCell ref="J556:J557"/>
    <mergeCell ref="J550:J551"/>
    <mergeCell ref="D552:D553"/>
    <mergeCell ref="F552:F553"/>
    <mergeCell ref="G552:G553"/>
    <mergeCell ref="H552:H553"/>
    <mergeCell ref="I552:I553"/>
    <mergeCell ref="J552:J553"/>
    <mergeCell ref="J560:J561"/>
    <mergeCell ref="D562:D563"/>
    <mergeCell ref="F562:F563"/>
    <mergeCell ref="G562:G563"/>
    <mergeCell ref="H562:H563"/>
    <mergeCell ref="I562:I563"/>
    <mergeCell ref="J562:J563"/>
    <mergeCell ref="C560:C569"/>
    <mergeCell ref="D560:D561"/>
    <mergeCell ref="F560:F561"/>
    <mergeCell ref="G560:G561"/>
    <mergeCell ref="H560:H561"/>
    <mergeCell ref="I560:I561"/>
    <mergeCell ref="D564:D565"/>
    <mergeCell ref="F564:F565"/>
    <mergeCell ref="G564:G565"/>
    <mergeCell ref="H564:H565"/>
    <mergeCell ref="C570:C579"/>
    <mergeCell ref="D570:D571"/>
    <mergeCell ref="F570:F571"/>
    <mergeCell ref="G570:G571"/>
    <mergeCell ref="H570:H571"/>
    <mergeCell ref="I570:I571"/>
    <mergeCell ref="D574:D575"/>
    <mergeCell ref="F574:F575"/>
    <mergeCell ref="G574:G575"/>
    <mergeCell ref="H574:H575"/>
    <mergeCell ref="D568:D569"/>
    <mergeCell ref="F568:F569"/>
    <mergeCell ref="G568:G569"/>
    <mergeCell ref="H568:H569"/>
    <mergeCell ref="I568:I569"/>
    <mergeCell ref="J568:J569"/>
    <mergeCell ref="I564:I565"/>
    <mergeCell ref="J564:J565"/>
    <mergeCell ref="D566:D567"/>
    <mergeCell ref="F566:F567"/>
    <mergeCell ref="G566:G567"/>
    <mergeCell ref="H566:H567"/>
    <mergeCell ref="I566:I567"/>
    <mergeCell ref="J566:J567"/>
    <mergeCell ref="D578:D579"/>
    <mergeCell ref="F578:F579"/>
    <mergeCell ref="G578:G579"/>
    <mergeCell ref="H578:H579"/>
    <mergeCell ref="I578:I579"/>
    <mergeCell ref="J578:J579"/>
    <mergeCell ref="I574:I575"/>
    <mergeCell ref="J574:J575"/>
    <mergeCell ref="D576:D577"/>
    <mergeCell ref="F576:F577"/>
    <mergeCell ref="G576:G577"/>
    <mergeCell ref="H576:H577"/>
    <mergeCell ref="I576:I577"/>
    <mergeCell ref="J576:J577"/>
    <mergeCell ref="J570:J571"/>
    <mergeCell ref="D572:D573"/>
    <mergeCell ref="F572:F573"/>
    <mergeCell ref="G572:G573"/>
    <mergeCell ref="H572:H573"/>
    <mergeCell ref="I572:I573"/>
    <mergeCell ref="J572:J573"/>
    <mergeCell ref="J580:J581"/>
    <mergeCell ref="D582:D583"/>
    <mergeCell ref="F582:F583"/>
    <mergeCell ref="G582:G583"/>
    <mergeCell ref="H582:H583"/>
    <mergeCell ref="I582:I583"/>
    <mergeCell ref="J582:J583"/>
    <mergeCell ref="C580:C589"/>
    <mergeCell ref="D580:D581"/>
    <mergeCell ref="F580:F581"/>
    <mergeCell ref="G580:G581"/>
    <mergeCell ref="H580:H581"/>
    <mergeCell ref="I580:I581"/>
    <mergeCell ref="D584:D585"/>
    <mergeCell ref="F584:F585"/>
    <mergeCell ref="G584:G585"/>
    <mergeCell ref="H584:H585"/>
    <mergeCell ref="C590:C599"/>
    <mergeCell ref="D590:D591"/>
    <mergeCell ref="F590:F591"/>
    <mergeCell ref="G590:G591"/>
    <mergeCell ref="H590:H591"/>
    <mergeCell ref="I590:I591"/>
    <mergeCell ref="D594:D595"/>
    <mergeCell ref="F594:F595"/>
    <mergeCell ref="G594:G595"/>
    <mergeCell ref="H594:H595"/>
    <mergeCell ref="D588:D589"/>
    <mergeCell ref="F588:F589"/>
    <mergeCell ref="G588:G589"/>
    <mergeCell ref="H588:H589"/>
    <mergeCell ref="I588:I589"/>
    <mergeCell ref="J588:J589"/>
    <mergeCell ref="I584:I585"/>
    <mergeCell ref="J584:J585"/>
    <mergeCell ref="D586:D587"/>
    <mergeCell ref="F586:F587"/>
    <mergeCell ref="G586:G587"/>
    <mergeCell ref="H586:H587"/>
    <mergeCell ref="I586:I587"/>
    <mergeCell ref="J586:J587"/>
    <mergeCell ref="D598:D599"/>
    <mergeCell ref="F598:F599"/>
    <mergeCell ref="G598:G599"/>
    <mergeCell ref="H598:H599"/>
    <mergeCell ref="I598:I599"/>
    <mergeCell ref="J598:J599"/>
    <mergeCell ref="I594:I595"/>
    <mergeCell ref="J594:J595"/>
    <mergeCell ref="D596:D597"/>
    <mergeCell ref="F596:F597"/>
    <mergeCell ref="G596:G597"/>
    <mergeCell ref="H596:H597"/>
    <mergeCell ref="I596:I597"/>
    <mergeCell ref="J596:J597"/>
    <mergeCell ref="J590:J591"/>
    <mergeCell ref="D592:D593"/>
    <mergeCell ref="F592:F593"/>
    <mergeCell ref="G592:G593"/>
    <mergeCell ref="H592:H593"/>
    <mergeCell ref="I592:I593"/>
    <mergeCell ref="J592:J593"/>
    <mergeCell ref="J600:J601"/>
    <mergeCell ref="D602:D603"/>
    <mergeCell ref="F602:F603"/>
    <mergeCell ref="G602:G603"/>
    <mergeCell ref="H602:H603"/>
    <mergeCell ref="I602:I603"/>
    <mergeCell ref="J602:J603"/>
    <mergeCell ref="C600:C609"/>
    <mergeCell ref="D600:D601"/>
    <mergeCell ref="F600:F601"/>
    <mergeCell ref="G600:G601"/>
    <mergeCell ref="H600:H601"/>
    <mergeCell ref="I600:I601"/>
    <mergeCell ref="D604:D605"/>
    <mergeCell ref="F604:F605"/>
    <mergeCell ref="G604:G605"/>
    <mergeCell ref="H604:H605"/>
    <mergeCell ref="C610:C619"/>
    <mergeCell ref="D610:D611"/>
    <mergeCell ref="F610:F611"/>
    <mergeCell ref="G610:G611"/>
    <mergeCell ref="H610:H611"/>
    <mergeCell ref="I610:I611"/>
    <mergeCell ref="D614:D615"/>
    <mergeCell ref="F614:F615"/>
    <mergeCell ref="G614:G615"/>
    <mergeCell ref="H614:H615"/>
    <mergeCell ref="D608:D609"/>
    <mergeCell ref="F608:F609"/>
    <mergeCell ref="G608:G609"/>
    <mergeCell ref="H608:H609"/>
    <mergeCell ref="I608:I609"/>
    <mergeCell ref="J608:J609"/>
    <mergeCell ref="I604:I605"/>
    <mergeCell ref="J604:J605"/>
    <mergeCell ref="D606:D607"/>
    <mergeCell ref="F606:F607"/>
    <mergeCell ref="G606:G607"/>
    <mergeCell ref="H606:H607"/>
    <mergeCell ref="I606:I607"/>
    <mergeCell ref="J606:J607"/>
    <mergeCell ref="D618:D619"/>
    <mergeCell ref="F618:F619"/>
    <mergeCell ref="G618:G619"/>
    <mergeCell ref="H618:H619"/>
    <mergeCell ref="I618:I619"/>
    <mergeCell ref="J618:J619"/>
    <mergeCell ref="I614:I615"/>
    <mergeCell ref="J614:J615"/>
    <mergeCell ref="D616:D617"/>
    <mergeCell ref="F616:F617"/>
    <mergeCell ref="G616:G617"/>
    <mergeCell ref="H616:H617"/>
    <mergeCell ref="I616:I617"/>
    <mergeCell ref="J616:J617"/>
    <mergeCell ref="J610:J611"/>
    <mergeCell ref="D612:D613"/>
    <mergeCell ref="F612:F613"/>
    <mergeCell ref="G612:G613"/>
    <mergeCell ref="H612:H613"/>
    <mergeCell ref="I612:I613"/>
    <mergeCell ref="J612:J613"/>
    <mergeCell ref="J620:J621"/>
    <mergeCell ref="D622:D623"/>
    <mergeCell ref="F622:F623"/>
    <mergeCell ref="G622:G623"/>
    <mergeCell ref="H622:H623"/>
    <mergeCell ref="I622:I623"/>
    <mergeCell ref="J622:J623"/>
    <mergeCell ref="C620:C629"/>
    <mergeCell ref="D620:D621"/>
    <mergeCell ref="F620:F621"/>
    <mergeCell ref="G620:G621"/>
    <mergeCell ref="H620:H621"/>
    <mergeCell ref="I620:I621"/>
    <mergeCell ref="D624:D625"/>
    <mergeCell ref="F624:F625"/>
    <mergeCell ref="G624:G625"/>
    <mergeCell ref="H624:H625"/>
    <mergeCell ref="C630:C639"/>
    <mergeCell ref="D630:D631"/>
    <mergeCell ref="F630:F631"/>
    <mergeCell ref="G630:G631"/>
    <mergeCell ref="H630:H631"/>
    <mergeCell ref="I630:I631"/>
    <mergeCell ref="D634:D635"/>
    <mergeCell ref="F634:F635"/>
    <mergeCell ref="G634:G635"/>
    <mergeCell ref="H634:H635"/>
    <mergeCell ref="D628:D629"/>
    <mergeCell ref="F628:F629"/>
    <mergeCell ref="G628:G629"/>
    <mergeCell ref="H628:H629"/>
    <mergeCell ref="I628:I629"/>
    <mergeCell ref="J628:J629"/>
    <mergeCell ref="I624:I625"/>
    <mergeCell ref="J624:J625"/>
    <mergeCell ref="D626:D627"/>
    <mergeCell ref="F626:F627"/>
    <mergeCell ref="G626:G627"/>
    <mergeCell ref="H626:H627"/>
    <mergeCell ref="I626:I627"/>
    <mergeCell ref="J626:J627"/>
    <mergeCell ref="D638:D639"/>
    <mergeCell ref="F638:F639"/>
    <mergeCell ref="G638:G639"/>
    <mergeCell ref="H638:H639"/>
    <mergeCell ref="I638:I639"/>
    <mergeCell ref="J638:J639"/>
    <mergeCell ref="I634:I635"/>
    <mergeCell ref="J634:J635"/>
    <mergeCell ref="D636:D637"/>
    <mergeCell ref="F636:F637"/>
    <mergeCell ref="G636:G637"/>
    <mergeCell ref="H636:H637"/>
    <mergeCell ref="I636:I637"/>
    <mergeCell ref="J636:J637"/>
    <mergeCell ref="J630:J631"/>
    <mergeCell ref="D632:D633"/>
    <mergeCell ref="F632:F633"/>
    <mergeCell ref="G632:G633"/>
    <mergeCell ref="H632:H633"/>
    <mergeCell ref="I632:I633"/>
    <mergeCell ref="J632:J633"/>
    <mergeCell ref="I640:I641"/>
    <mergeCell ref="J640:J641"/>
    <mergeCell ref="D642:D643"/>
    <mergeCell ref="F642:F643"/>
    <mergeCell ref="G642:G643"/>
    <mergeCell ref="H642:H643"/>
    <mergeCell ref="I642:I643"/>
    <mergeCell ref="J642:J643"/>
    <mergeCell ref="B640:B699"/>
    <mergeCell ref="C640:C649"/>
    <mergeCell ref="D640:D641"/>
    <mergeCell ref="F640:F641"/>
    <mergeCell ref="G640:G641"/>
    <mergeCell ref="H640:H641"/>
    <mergeCell ref="D644:D645"/>
    <mergeCell ref="F644:F645"/>
    <mergeCell ref="G644:G645"/>
    <mergeCell ref="H644:H645"/>
    <mergeCell ref="C650:C659"/>
    <mergeCell ref="D650:D651"/>
    <mergeCell ref="F650:F651"/>
    <mergeCell ref="G650:G651"/>
    <mergeCell ref="H650:H651"/>
    <mergeCell ref="I650:I651"/>
    <mergeCell ref="D654:D655"/>
    <mergeCell ref="F654:F655"/>
    <mergeCell ref="G654:G655"/>
    <mergeCell ref="H654:H655"/>
    <mergeCell ref="D648:D649"/>
    <mergeCell ref="F648:F649"/>
    <mergeCell ref="G648:G649"/>
    <mergeCell ref="H648:H649"/>
    <mergeCell ref="I648:I649"/>
    <mergeCell ref="J648:J649"/>
    <mergeCell ref="I644:I645"/>
    <mergeCell ref="J644:J645"/>
    <mergeCell ref="D646:D647"/>
    <mergeCell ref="F646:F647"/>
    <mergeCell ref="G646:G647"/>
    <mergeCell ref="H646:H647"/>
    <mergeCell ref="I646:I647"/>
    <mergeCell ref="J646:J647"/>
    <mergeCell ref="D658:D659"/>
    <mergeCell ref="F658:F659"/>
    <mergeCell ref="G658:G659"/>
    <mergeCell ref="H658:H659"/>
    <mergeCell ref="I658:I659"/>
    <mergeCell ref="J658:J659"/>
    <mergeCell ref="I654:I655"/>
    <mergeCell ref="J654:J655"/>
    <mergeCell ref="D656:D657"/>
    <mergeCell ref="F656:F657"/>
    <mergeCell ref="G656:G657"/>
    <mergeCell ref="H656:H657"/>
    <mergeCell ref="I656:I657"/>
    <mergeCell ref="J656:J657"/>
    <mergeCell ref="J650:J651"/>
    <mergeCell ref="D652:D653"/>
    <mergeCell ref="F652:F653"/>
    <mergeCell ref="G652:G653"/>
    <mergeCell ref="H652:H653"/>
    <mergeCell ref="I652:I653"/>
    <mergeCell ref="J652:J653"/>
    <mergeCell ref="J660:J661"/>
    <mergeCell ref="D662:D663"/>
    <mergeCell ref="F662:F663"/>
    <mergeCell ref="G662:G663"/>
    <mergeCell ref="H662:H663"/>
    <mergeCell ref="I662:I663"/>
    <mergeCell ref="J662:J663"/>
    <mergeCell ref="C660:C669"/>
    <mergeCell ref="D660:D661"/>
    <mergeCell ref="F660:F661"/>
    <mergeCell ref="G660:G661"/>
    <mergeCell ref="H660:H661"/>
    <mergeCell ref="I660:I661"/>
    <mergeCell ref="D664:D665"/>
    <mergeCell ref="F664:F665"/>
    <mergeCell ref="G664:G665"/>
    <mergeCell ref="H664:H665"/>
    <mergeCell ref="C670:C679"/>
    <mergeCell ref="D670:D671"/>
    <mergeCell ref="F670:F671"/>
    <mergeCell ref="G670:G671"/>
    <mergeCell ref="H670:H671"/>
    <mergeCell ref="I670:I671"/>
    <mergeCell ref="D674:D675"/>
    <mergeCell ref="F674:F675"/>
    <mergeCell ref="G674:G675"/>
    <mergeCell ref="H674:H675"/>
    <mergeCell ref="D668:D669"/>
    <mergeCell ref="F668:F669"/>
    <mergeCell ref="G668:G669"/>
    <mergeCell ref="H668:H669"/>
    <mergeCell ref="I668:I669"/>
    <mergeCell ref="J668:J669"/>
    <mergeCell ref="I664:I665"/>
    <mergeCell ref="J664:J665"/>
    <mergeCell ref="D666:D667"/>
    <mergeCell ref="F666:F667"/>
    <mergeCell ref="G666:G667"/>
    <mergeCell ref="H666:H667"/>
    <mergeCell ref="I666:I667"/>
    <mergeCell ref="J666:J667"/>
    <mergeCell ref="D678:D679"/>
    <mergeCell ref="F678:F679"/>
    <mergeCell ref="G678:G679"/>
    <mergeCell ref="H678:H679"/>
    <mergeCell ref="I678:I679"/>
    <mergeCell ref="J678:J679"/>
    <mergeCell ref="I674:I675"/>
    <mergeCell ref="J674:J675"/>
    <mergeCell ref="D676:D677"/>
    <mergeCell ref="F676:F677"/>
    <mergeCell ref="G676:G677"/>
    <mergeCell ref="H676:H677"/>
    <mergeCell ref="I676:I677"/>
    <mergeCell ref="J676:J677"/>
    <mergeCell ref="J670:J671"/>
    <mergeCell ref="D672:D673"/>
    <mergeCell ref="F672:F673"/>
    <mergeCell ref="G672:G673"/>
    <mergeCell ref="H672:H673"/>
    <mergeCell ref="I672:I673"/>
    <mergeCell ref="J672:J673"/>
    <mergeCell ref="J680:J681"/>
    <mergeCell ref="D682:D683"/>
    <mergeCell ref="F682:F683"/>
    <mergeCell ref="G682:G683"/>
    <mergeCell ref="H682:H683"/>
    <mergeCell ref="I682:I683"/>
    <mergeCell ref="J682:J683"/>
    <mergeCell ref="C680:C689"/>
    <mergeCell ref="D680:D681"/>
    <mergeCell ref="F680:F681"/>
    <mergeCell ref="G680:G681"/>
    <mergeCell ref="H680:H681"/>
    <mergeCell ref="I680:I681"/>
    <mergeCell ref="D684:D685"/>
    <mergeCell ref="F684:F685"/>
    <mergeCell ref="G684:G685"/>
    <mergeCell ref="H684:H685"/>
    <mergeCell ref="C690:C699"/>
    <mergeCell ref="D690:D691"/>
    <mergeCell ref="F690:F691"/>
    <mergeCell ref="G690:G691"/>
    <mergeCell ref="H690:H691"/>
    <mergeCell ref="I690:I691"/>
    <mergeCell ref="D694:D695"/>
    <mergeCell ref="F694:F695"/>
    <mergeCell ref="G694:G695"/>
    <mergeCell ref="H694:H695"/>
    <mergeCell ref="D688:D689"/>
    <mergeCell ref="F688:F689"/>
    <mergeCell ref="G688:G689"/>
    <mergeCell ref="H688:H689"/>
    <mergeCell ref="I688:I689"/>
    <mergeCell ref="J688:J689"/>
    <mergeCell ref="I684:I685"/>
    <mergeCell ref="J684:J685"/>
    <mergeCell ref="D686:D687"/>
    <mergeCell ref="F686:F687"/>
    <mergeCell ref="G686:G687"/>
    <mergeCell ref="H686:H687"/>
    <mergeCell ref="I686:I687"/>
    <mergeCell ref="J686:J687"/>
    <mergeCell ref="D698:D699"/>
    <mergeCell ref="F698:F699"/>
    <mergeCell ref="G698:G699"/>
    <mergeCell ref="H698:H699"/>
    <mergeCell ref="I698:I699"/>
    <mergeCell ref="J698:J699"/>
    <mergeCell ref="I694:I695"/>
    <mergeCell ref="J694:J695"/>
    <mergeCell ref="D696:D697"/>
    <mergeCell ref="F696:F697"/>
    <mergeCell ref="G696:G697"/>
    <mergeCell ref="H696:H697"/>
    <mergeCell ref="I696:I697"/>
    <mergeCell ref="J696:J697"/>
    <mergeCell ref="J690:J691"/>
    <mergeCell ref="D692:D693"/>
    <mergeCell ref="F692:F693"/>
    <mergeCell ref="G692:G693"/>
    <mergeCell ref="H692:H693"/>
    <mergeCell ref="I692:I693"/>
    <mergeCell ref="J692:J693"/>
    <mergeCell ref="I700:I701"/>
    <mergeCell ref="J700:J701"/>
    <mergeCell ref="D702:D703"/>
    <mergeCell ref="F702:F703"/>
    <mergeCell ref="G702:G703"/>
    <mergeCell ref="H702:H703"/>
    <mergeCell ref="I702:I703"/>
    <mergeCell ref="J702:J703"/>
    <mergeCell ref="B700:B829"/>
    <mergeCell ref="C700:C709"/>
    <mergeCell ref="D700:D701"/>
    <mergeCell ref="F700:F701"/>
    <mergeCell ref="G700:G701"/>
    <mergeCell ref="H700:H701"/>
    <mergeCell ref="D704:D705"/>
    <mergeCell ref="F704:F705"/>
    <mergeCell ref="G704:G705"/>
    <mergeCell ref="H704:H705"/>
    <mergeCell ref="C710:C719"/>
    <mergeCell ref="D710:D711"/>
    <mergeCell ref="F710:F711"/>
    <mergeCell ref="G710:G711"/>
    <mergeCell ref="H710:H711"/>
    <mergeCell ref="I710:I711"/>
    <mergeCell ref="D714:D715"/>
    <mergeCell ref="F714:F715"/>
    <mergeCell ref="G714:G715"/>
    <mergeCell ref="H714:H715"/>
    <mergeCell ref="D708:D709"/>
    <mergeCell ref="F708:F709"/>
    <mergeCell ref="G708:G709"/>
    <mergeCell ref="H708:H709"/>
    <mergeCell ref="I708:I709"/>
    <mergeCell ref="J708:J709"/>
    <mergeCell ref="I704:I705"/>
    <mergeCell ref="J704:J705"/>
    <mergeCell ref="D706:D707"/>
    <mergeCell ref="F706:F707"/>
    <mergeCell ref="G706:G707"/>
    <mergeCell ref="H706:H707"/>
    <mergeCell ref="I706:I707"/>
    <mergeCell ref="J706:J707"/>
    <mergeCell ref="D718:D719"/>
    <mergeCell ref="F718:F719"/>
    <mergeCell ref="G718:G719"/>
    <mergeCell ref="H718:H719"/>
    <mergeCell ref="I718:I719"/>
    <mergeCell ref="J718:J719"/>
    <mergeCell ref="I714:I715"/>
    <mergeCell ref="J714:J715"/>
    <mergeCell ref="D716:D717"/>
    <mergeCell ref="F716:F717"/>
    <mergeCell ref="G716:G717"/>
    <mergeCell ref="H716:H717"/>
    <mergeCell ref="I716:I717"/>
    <mergeCell ref="J716:J717"/>
    <mergeCell ref="J710:J711"/>
    <mergeCell ref="D712:D713"/>
    <mergeCell ref="F712:F713"/>
    <mergeCell ref="G712:G713"/>
    <mergeCell ref="H712:H713"/>
    <mergeCell ref="I712:I713"/>
    <mergeCell ref="J712:J713"/>
    <mergeCell ref="J720:J721"/>
    <mergeCell ref="D722:D723"/>
    <mergeCell ref="F722:F723"/>
    <mergeCell ref="G722:G723"/>
    <mergeCell ref="H722:H723"/>
    <mergeCell ref="I722:I723"/>
    <mergeCell ref="J722:J723"/>
    <mergeCell ref="C720:C729"/>
    <mergeCell ref="D720:D721"/>
    <mergeCell ref="F720:F721"/>
    <mergeCell ref="G720:G721"/>
    <mergeCell ref="H720:H721"/>
    <mergeCell ref="I720:I721"/>
    <mergeCell ref="D724:D725"/>
    <mergeCell ref="F724:F725"/>
    <mergeCell ref="G724:G725"/>
    <mergeCell ref="H724:H725"/>
    <mergeCell ref="C730:C739"/>
    <mergeCell ref="D730:D731"/>
    <mergeCell ref="F730:F731"/>
    <mergeCell ref="G730:G731"/>
    <mergeCell ref="H730:H731"/>
    <mergeCell ref="I730:I731"/>
    <mergeCell ref="D734:D735"/>
    <mergeCell ref="F734:F735"/>
    <mergeCell ref="G734:G735"/>
    <mergeCell ref="H734:H735"/>
    <mergeCell ref="D728:D729"/>
    <mergeCell ref="F728:F729"/>
    <mergeCell ref="G728:G729"/>
    <mergeCell ref="H728:H729"/>
    <mergeCell ref="I728:I729"/>
    <mergeCell ref="J728:J729"/>
    <mergeCell ref="I724:I725"/>
    <mergeCell ref="J724:J725"/>
    <mergeCell ref="D726:D727"/>
    <mergeCell ref="F726:F727"/>
    <mergeCell ref="G726:G727"/>
    <mergeCell ref="H726:H727"/>
    <mergeCell ref="I726:I727"/>
    <mergeCell ref="J726:J727"/>
    <mergeCell ref="D738:D739"/>
    <mergeCell ref="F738:F739"/>
    <mergeCell ref="G738:G739"/>
    <mergeCell ref="H738:H739"/>
    <mergeCell ref="I738:I739"/>
    <mergeCell ref="J738:J739"/>
    <mergeCell ref="I734:I735"/>
    <mergeCell ref="J734:J735"/>
    <mergeCell ref="D736:D737"/>
    <mergeCell ref="F736:F737"/>
    <mergeCell ref="G736:G737"/>
    <mergeCell ref="H736:H737"/>
    <mergeCell ref="I736:I737"/>
    <mergeCell ref="J736:J737"/>
    <mergeCell ref="J730:J731"/>
    <mergeCell ref="D732:D733"/>
    <mergeCell ref="F732:F733"/>
    <mergeCell ref="G732:G733"/>
    <mergeCell ref="H732:H733"/>
    <mergeCell ref="I732:I733"/>
    <mergeCell ref="J732:J733"/>
    <mergeCell ref="J740:J741"/>
    <mergeCell ref="D742:D743"/>
    <mergeCell ref="F742:F743"/>
    <mergeCell ref="G742:G743"/>
    <mergeCell ref="H742:H743"/>
    <mergeCell ref="I742:I743"/>
    <mergeCell ref="J742:J743"/>
    <mergeCell ref="C740:C749"/>
    <mergeCell ref="D740:D741"/>
    <mergeCell ref="F740:F741"/>
    <mergeCell ref="G740:G741"/>
    <mergeCell ref="H740:H741"/>
    <mergeCell ref="I740:I741"/>
    <mergeCell ref="D744:D745"/>
    <mergeCell ref="F744:F745"/>
    <mergeCell ref="G744:G745"/>
    <mergeCell ref="H744:H745"/>
    <mergeCell ref="C750:C759"/>
    <mergeCell ref="D750:D751"/>
    <mergeCell ref="F750:F751"/>
    <mergeCell ref="G750:G751"/>
    <mergeCell ref="H750:H751"/>
    <mergeCell ref="I750:I751"/>
    <mergeCell ref="D754:D755"/>
    <mergeCell ref="F754:F755"/>
    <mergeCell ref="G754:G755"/>
    <mergeCell ref="H754:H755"/>
    <mergeCell ref="D748:D749"/>
    <mergeCell ref="F748:F749"/>
    <mergeCell ref="G748:G749"/>
    <mergeCell ref="H748:H749"/>
    <mergeCell ref="I748:I749"/>
    <mergeCell ref="J748:J749"/>
    <mergeCell ref="I744:I745"/>
    <mergeCell ref="J744:J745"/>
    <mergeCell ref="D746:D747"/>
    <mergeCell ref="F746:F747"/>
    <mergeCell ref="G746:G747"/>
    <mergeCell ref="H746:H747"/>
    <mergeCell ref="I746:I747"/>
    <mergeCell ref="J746:J747"/>
    <mergeCell ref="D758:D759"/>
    <mergeCell ref="F758:F759"/>
    <mergeCell ref="G758:G759"/>
    <mergeCell ref="H758:H759"/>
    <mergeCell ref="I758:I759"/>
    <mergeCell ref="J758:J759"/>
    <mergeCell ref="I754:I755"/>
    <mergeCell ref="J754:J755"/>
    <mergeCell ref="D756:D757"/>
    <mergeCell ref="F756:F757"/>
    <mergeCell ref="G756:G757"/>
    <mergeCell ref="H756:H757"/>
    <mergeCell ref="I756:I757"/>
    <mergeCell ref="J756:J757"/>
    <mergeCell ref="J750:J751"/>
    <mergeCell ref="D752:D753"/>
    <mergeCell ref="F752:F753"/>
    <mergeCell ref="G752:G753"/>
    <mergeCell ref="H752:H753"/>
    <mergeCell ref="I752:I753"/>
    <mergeCell ref="J752:J753"/>
    <mergeCell ref="J760:J761"/>
    <mergeCell ref="D762:D763"/>
    <mergeCell ref="F762:F763"/>
    <mergeCell ref="G762:G763"/>
    <mergeCell ref="H762:H763"/>
    <mergeCell ref="I762:I763"/>
    <mergeCell ref="J762:J763"/>
    <mergeCell ref="C760:C769"/>
    <mergeCell ref="D760:D761"/>
    <mergeCell ref="F760:F761"/>
    <mergeCell ref="G760:G761"/>
    <mergeCell ref="H760:H761"/>
    <mergeCell ref="I760:I761"/>
    <mergeCell ref="D764:D765"/>
    <mergeCell ref="F764:F765"/>
    <mergeCell ref="G764:G765"/>
    <mergeCell ref="H764:H765"/>
    <mergeCell ref="C770:C779"/>
    <mergeCell ref="D770:D771"/>
    <mergeCell ref="F770:F771"/>
    <mergeCell ref="G770:G771"/>
    <mergeCell ref="H770:H771"/>
    <mergeCell ref="I770:I771"/>
    <mergeCell ref="D774:D775"/>
    <mergeCell ref="F774:F775"/>
    <mergeCell ref="G774:G775"/>
    <mergeCell ref="H774:H775"/>
    <mergeCell ref="D768:D769"/>
    <mergeCell ref="F768:F769"/>
    <mergeCell ref="G768:G769"/>
    <mergeCell ref="H768:H769"/>
    <mergeCell ref="I768:I769"/>
    <mergeCell ref="J768:J769"/>
    <mergeCell ref="I764:I765"/>
    <mergeCell ref="J764:J765"/>
    <mergeCell ref="D766:D767"/>
    <mergeCell ref="F766:F767"/>
    <mergeCell ref="G766:G767"/>
    <mergeCell ref="H766:H767"/>
    <mergeCell ref="I766:I767"/>
    <mergeCell ref="J766:J767"/>
    <mergeCell ref="D778:D779"/>
    <mergeCell ref="F778:F779"/>
    <mergeCell ref="G778:G779"/>
    <mergeCell ref="H778:H779"/>
    <mergeCell ref="I778:I779"/>
    <mergeCell ref="J778:J779"/>
    <mergeCell ref="I774:I775"/>
    <mergeCell ref="J774:J775"/>
    <mergeCell ref="D776:D777"/>
    <mergeCell ref="F776:F777"/>
    <mergeCell ref="G776:G777"/>
    <mergeCell ref="H776:H777"/>
    <mergeCell ref="I776:I777"/>
    <mergeCell ref="J776:J777"/>
    <mergeCell ref="J770:J771"/>
    <mergeCell ref="D772:D773"/>
    <mergeCell ref="F772:F773"/>
    <mergeCell ref="G772:G773"/>
    <mergeCell ref="H772:H773"/>
    <mergeCell ref="I772:I773"/>
    <mergeCell ref="J772:J773"/>
    <mergeCell ref="J780:J781"/>
    <mergeCell ref="D782:D783"/>
    <mergeCell ref="F782:F783"/>
    <mergeCell ref="G782:G783"/>
    <mergeCell ref="H782:H783"/>
    <mergeCell ref="I782:I783"/>
    <mergeCell ref="J782:J783"/>
    <mergeCell ref="C780:C789"/>
    <mergeCell ref="D780:D781"/>
    <mergeCell ref="F780:F781"/>
    <mergeCell ref="G780:G781"/>
    <mergeCell ref="H780:H781"/>
    <mergeCell ref="I780:I781"/>
    <mergeCell ref="D784:D785"/>
    <mergeCell ref="F784:F785"/>
    <mergeCell ref="G784:G785"/>
    <mergeCell ref="H784:H785"/>
    <mergeCell ref="C790:C799"/>
    <mergeCell ref="D790:D791"/>
    <mergeCell ref="F790:F791"/>
    <mergeCell ref="G790:G791"/>
    <mergeCell ref="H790:H791"/>
    <mergeCell ref="I790:I791"/>
    <mergeCell ref="D794:D795"/>
    <mergeCell ref="F794:F795"/>
    <mergeCell ref="G794:G795"/>
    <mergeCell ref="H794:H795"/>
    <mergeCell ref="D788:D789"/>
    <mergeCell ref="F788:F789"/>
    <mergeCell ref="G788:G789"/>
    <mergeCell ref="H788:H789"/>
    <mergeCell ref="I788:I789"/>
    <mergeCell ref="J788:J789"/>
    <mergeCell ref="I784:I785"/>
    <mergeCell ref="J784:J785"/>
    <mergeCell ref="D786:D787"/>
    <mergeCell ref="F786:F787"/>
    <mergeCell ref="G786:G787"/>
    <mergeCell ref="H786:H787"/>
    <mergeCell ref="I786:I787"/>
    <mergeCell ref="J786:J787"/>
    <mergeCell ref="D798:D799"/>
    <mergeCell ref="F798:F799"/>
    <mergeCell ref="G798:G799"/>
    <mergeCell ref="H798:H799"/>
    <mergeCell ref="I798:I799"/>
    <mergeCell ref="J798:J799"/>
    <mergeCell ref="I794:I795"/>
    <mergeCell ref="J794:J795"/>
    <mergeCell ref="D796:D797"/>
    <mergeCell ref="F796:F797"/>
    <mergeCell ref="G796:G797"/>
    <mergeCell ref="H796:H797"/>
    <mergeCell ref="I796:I797"/>
    <mergeCell ref="J796:J797"/>
    <mergeCell ref="J790:J791"/>
    <mergeCell ref="D792:D793"/>
    <mergeCell ref="F792:F793"/>
    <mergeCell ref="G792:G793"/>
    <mergeCell ref="H792:H793"/>
    <mergeCell ref="I792:I793"/>
    <mergeCell ref="J792:J793"/>
    <mergeCell ref="J800:J801"/>
    <mergeCell ref="D802:D803"/>
    <mergeCell ref="F802:F803"/>
    <mergeCell ref="G802:G803"/>
    <mergeCell ref="H802:H803"/>
    <mergeCell ref="I802:I803"/>
    <mergeCell ref="J802:J803"/>
    <mergeCell ref="C800:C809"/>
    <mergeCell ref="D800:D801"/>
    <mergeCell ref="F800:F801"/>
    <mergeCell ref="G800:G801"/>
    <mergeCell ref="H800:H801"/>
    <mergeCell ref="I800:I801"/>
    <mergeCell ref="D804:D805"/>
    <mergeCell ref="F804:F805"/>
    <mergeCell ref="G804:G805"/>
    <mergeCell ref="H804:H805"/>
    <mergeCell ref="C810:C819"/>
    <mergeCell ref="D810:D811"/>
    <mergeCell ref="F810:F811"/>
    <mergeCell ref="G810:G811"/>
    <mergeCell ref="H810:H811"/>
    <mergeCell ref="I810:I811"/>
    <mergeCell ref="D814:D815"/>
    <mergeCell ref="F814:F815"/>
    <mergeCell ref="G814:G815"/>
    <mergeCell ref="H814:H815"/>
    <mergeCell ref="D808:D809"/>
    <mergeCell ref="F808:F809"/>
    <mergeCell ref="G808:G809"/>
    <mergeCell ref="H808:H809"/>
    <mergeCell ref="I808:I809"/>
    <mergeCell ref="J808:J809"/>
    <mergeCell ref="I804:I805"/>
    <mergeCell ref="J804:J805"/>
    <mergeCell ref="D806:D807"/>
    <mergeCell ref="F806:F807"/>
    <mergeCell ref="G806:G807"/>
    <mergeCell ref="H806:H807"/>
    <mergeCell ref="I806:I807"/>
    <mergeCell ref="J806:J807"/>
    <mergeCell ref="D818:D819"/>
    <mergeCell ref="F818:F819"/>
    <mergeCell ref="G818:G819"/>
    <mergeCell ref="H818:H819"/>
    <mergeCell ref="I818:I819"/>
    <mergeCell ref="J818:J819"/>
    <mergeCell ref="I814:I815"/>
    <mergeCell ref="J814:J815"/>
    <mergeCell ref="D816:D817"/>
    <mergeCell ref="F816:F817"/>
    <mergeCell ref="G816:G817"/>
    <mergeCell ref="H816:H817"/>
    <mergeCell ref="I816:I817"/>
    <mergeCell ref="J816:J817"/>
    <mergeCell ref="J810:J811"/>
    <mergeCell ref="D812:D813"/>
    <mergeCell ref="F812:F813"/>
    <mergeCell ref="G812:G813"/>
    <mergeCell ref="H812:H813"/>
    <mergeCell ref="I812:I813"/>
    <mergeCell ref="J812:J813"/>
    <mergeCell ref="J820:J821"/>
    <mergeCell ref="D822:D823"/>
    <mergeCell ref="F822:F823"/>
    <mergeCell ref="G822:G823"/>
    <mergeCell ref="H822:H823"/>
    <mergeCell ref="I822:I823"/>
    <mergeCell ref="J822:J823"/>
    <mergeCell ref="C820:C829"/>
    <mergeCell ref="D820:D821"/>
    <mergeCell ref="F820:F821"/>
    <mergeCell ref="G820:G821"/>
    <mergeCell ref="H820:H821"/>
    <mergeCell ref="I820:I821"/>
    <mergeCell ref="D824:D825"/>
    <mergeCell ref="F824:F825"/>
    <mergeCell ref="G824:G825"/>
    <mergeCell ref="H824:H825"/>
    <mergeCell ref="B830:B1019"/>
    <mergeCell ref="C830:C839"/>
    <mergeCell ref="D830:D831"/>
    <mergeCell ref="F830:F831"/>
    <mergeCell ref="G830:G831"/>
    <mergeCell ref="H830:H831"/>
    <mergeCell ref="D834:D835"/>
    <mergeCell ref="F834:F835"/>
    <mergeCell ref="G834:G835"/>
    <mergeCell ref="H834:H835"/>
    <mergeCell ref="D828:D829"/>
    <mergeCell ref="F828:F829"/>
    <mergeCell ref="G828:G829"/>
    <mergeCell ref="H828:H829"/>
    <mergeCell ref="I828:I829"/>
    <mergeCell ref="J828:J829"/>
    <mergeCell ref="I824:I825"/>
    <mergeCell ref="J824:J825"/>
    <mergeCell ref="D826:D827"/>
    <mergeCell ref="F826:F827"/>
    <mergeCell ref="G826:G827"/>
    <mergeCell ref="H826:H827"/>
    <mergeCell ref="I826:I827"/>
    <mergeCell ref="J826:J827"/>
    <mergeCell ref="D838:D839"/>
    <mergeCell ref="F838:F839"/>
    <mergeCell ref="G838:G839"/>
    <mergeCell ref="H838:H839"/>
    <mergeCell ref="I838:I839"/>
    <mergeCell ref="J838:J839"/>
    <mergeCell ref="I834:I835"/>
    <mergeCell ref="J834:J835"/>
    <mergeCell ref="D836:D837"/>
    <mergeCell ref="F836:F837"/>
    <mergeCell ref="G836:G837"/>
    <mergeCell ref="H836:H837"/>
    <mergeCell ref="I836:I837"/>
    <mergeCell ref="J836:J837"/>
    <mergeCell ref="I830:I831"/>
    <mergeCell ref="J830:J831"/>
    <mergeCell ref="D832:D833"/>
    <mergeCell ref="F832:F833"/>
    <mergeCell ref="G832:G833"/>
    <mergeCell ref="H832:H833"/>
    <mergeCell ref="I832:I833"/>
    <mergeCell ref="J832:J833"/>
    <mergeCell ref="J840:J841"/>
    <mergeCell ref="D842:D843"/>
    <mergeCell ref="F842:F843"/>
    <mergeCell ref="G842:G843"/>
    <mergeCell ref="H842:H843"/>
    <mergeCell ref="I842:I843"/>
    <mergeCell ref="J842:J843"/>
    <mergeCell ref="C840:C849"/>
    <mergeCell ref="D840:D841"/>
    <mergeCell ref="F840:F841"/>
    <mergeCell ref="G840:G841"/>
    <mergeCell ref="H840:H841"/>
    <mergeCell ref="I840:I841"/>
    <mergeCell ref="D844:D845"/>
    <mergeCell ref="F844:F845"/>
    <mergeCell ref="G844:G845"/>
    <mergeCell ref="H844:H845"/>
    <mergeCell ref="C850:C859"/>
    <mergeCell ref="D850:D851"/>
    <mergeCell ref="F850:F851"/>
    <mergeCell ref="G850:G851"/>
    <mergeCell ref="H850:H851"/>
    <mergeCell ref="I850:I851"/>
    <mergeCell ref="D854:D855"/>
    <mergeCell ref="F854:F855"/>
    <mergeCell ref="G854:G855"/>
    <mergeCell ref="H854:H855"/>
    <mergeCell ref="D848:D849"/>
    <mergeCell ref="F848:F849"/>
    <mergeCell ref="G848:G849"/>
    <mergeCell ref="H848:H849"/>
    <mergeCell ref="I848:I849"/>
    <mergeCell ref="J848:J849"/>
    <mergeCell ref="I844:I845"/>
    <mergeCell ref="J844:J845"/>
    <mergeCell ref="D846:D847"/>
    <mergeCell ref="F846:F847"/>
    <mergeCell ref="G846:G847"/>
    <mergeCell ref="H846:H847"/>
    <mergeCell ref="I846:I847"/>
    <mergeCell ref="J846:J847"/>
    <mergeCell ref="D858:D859"/>
    <mergeCell ref="F858:F859"/>
    <mergeCell ref="G858:G859"/>
    <mergeCell ref="H858:H859"/>
    <mergeCell ref="I858:I859"/>
    <mergeCell ref="J858:J859"/>
    <mergeCell ref="I854:I855"/>
    <mergeCell ref="J854:J855"/>
    <mergeCell ref="D856:D857"/>
    <mergeCell ref="F856:F857"/>
    <mergeCell ref="G856:G857"/>
    <mergeCell ref="H856:H857"/>
    <mergeCell ref="I856:I857"/>
    <mergeCell ref="J856:J857"/>
    <mergeCell ref="J850:J851"/>
    <mergeCell ref="D852:D853"/>
    <mergeCell ref="F852:F853"/>
    <mergeCell ref="G852:G853"/>
    <mergeCell ref="H852:H853"/>
    <mergeCell ref="I852:I853"/>
    <mergeCell ref="J852:J853"/>
    <mergeCell ref="J860:J861"/>
    <mergeCell ref="D862:D863"/>
    <mergeCell ref="F862:F863"/>
    <mergeCell ref="G862:G863"/>
    <mergeCell ref="H862:H863"/>
    <mergeCell ref="I862:I863"/>
    <mergeCell ref="J862:J863"/>
    <mergeCell ref="C860:C869"/>
    <mergeCell ref="D860:D861"/>
    <mergeCell ref="F860:F861"/>
    <mergeCell ref="G860:G861"/>
    <mergeCell ref="H860:H861"/>
    <mergeCell ref="I860:I861"/>
    <mergeCell ref="D864:D865"/>
    <mergeCell ref="F864:F865"/>
    <mergeCell ref="G864:G865"/>
    <mergeCell ref="H864:H865"/>
    <mergeCell ref="C870:C879"/>
    <mergeCell ref="D870:D871"/>
    <mergeCell ref="F870:F871"/>
    <mergeCell ref="G870:G871"/>
    <mergeCell ref="H870:H871"/>
    <mergeCell ref="I870:I871"/>
    <mergeCell ref="D874:D875"/>
    <mergeCell ref="F874:F875"/>
    <mergeCell ref="G874:G875"/>
    <mergeCell ref="H874:H875"/>
    <mergeCell ref="D868:D869"/>
    <mergeCell ref="F868:F869"/>
    <mergeCell ref="G868:G869"/>
    <mergeCell ref="H868:H869"/>
    <mergeCell ref="I868:I869"/>
    <mergeCell ref="J868:J869"/>
    <mergeCell ref="I864:I865"/>
    <mergeCell ref="J864:J865"/>
    <mergeCell ref="D866:D867"/>
    <mergeCell ref="F866:F867"/>
    <mergeCell ref="G866:G867"/>
    <mergeCell ref="H866:H867"/>
    <mergeCell ref="I866:I867"/>
    <mergeCell ref="J866:J867"/>
    <mergeCell ref="D878:D879"/>
    <mergeCell ref="F878:F879"/>
    <mergeCell ref="G878:G879"/>
    <mergeCell ref="H878:H879"/>
    <mergeCell ref="I878:I879"/>
    <mergeCell ref="J878:J879"/>
    <mergeCell ref="I874:I875"/>
    <mergeCell ref="J874:J875"/>
    <mergeCell ref="D876:D877"/>
    <mergeCell ref="F876:F877"/>
    <mergeCell ref="G876:G877"/>
    <mergeCell ref="H876:H877"/>
    <mergeCell ref="I876:I877"/>
    <mergeCell ref="J876:J877"/>
    <mergeCell ref="J870:J871"/>
    <mergeCell ref="D872:D873"/>
    <mergeCell ref="F872:F873"/>
    <mergeCell ref="G872:G873"/>
    <mergeCell ref="H872:H873"/>
    <mergeCell ref="I872:I873"/>
    <mergeCell ref="J872:J873"/>
    <mergeCell ref="J880:J881"/>
    <mergeCell ref="D882:D883"/>
    <mergeCell ref="F882:F883"/>
    <mergeCell ref="G882:G883"/>
    <mergeCell ref="H882:H883"/>
    <mergeCell ref="I882:I883"/>
    <mergeCell ref="J882:J883"/>
    <mergeCell ref="C880:C889"/>
    <mergeCell ref="D880:D881"/>
    <mergeCell ref="F880:F881"/>
    <mergeCell ref="G880:G881"/>
    <mergeCell ref="H880:H881"/>
    <mergeCell ref="I880:I881"/>
    <mergeCell ref="D884:D885"/>
    <mergeCell ref="F884:F885"/>
    <mergeCell ref="G884:G885"/>
    <mergeCell ref="H884:H885"/>
    <mergeCell ref="C890:C899"/>
    <mergeCell ref="D890:D891"/>
    <mergeCell ref="F890:F891"/>
    <mergeCell ref="G890:G891"/>
    <mergeCell ref="H890:H891"/>
    <mergeCell ref="I890:I891"/>
    <mergeCell ref="D894:D895"/>
    <mergeCell ref="F894:F895"/>
    <mergeCell ref="G894:G895"/>
    <mergeCell ref="H894:H895"/>
    <mergeCell ref="D888:D889"/>
    <mergeCell ref="F888:F889"/>
    <mergeCell ref="G888:G889"/>
    <mergeCell ref="H888:H889"/>
    <mergeCell ref="I888:I889"/>
    <mergeCell ref="J888:J889"/>
    <mergeCell ref="I884:I885"/>
    <mergeCell ref="J884:J885"/>
    <mergeCell ref="D886:D887"/>
    <mergeCell ref="F886:F887"/>
    <mergeCell ref="G886:G887"/>
    <mergeCell ref="H886:H887"/>
    <mergeCell ref="I886:I887"/>
    <mergeCell ref="J886:J887"/>
    <mergeCell ref="D898:D899"/>
    <mergeCell ref="F898:F899"/>
    <mergeCell ref="G898:G899"/>
    <mergeCell ref="H898:H899"/>
    <mergeCell ref="I898:I899"/>
    <mergeCell ref="J898:J899"/>
    <mergeCell ref="I894:I895"/>
    <mergeCell ref="J894:J895"/>
    <mergeCell ref="D896:D897"/>
    <mergeCell ref="F896:F897"/>
    <mergeCell ref="G896:G897"/>
    <mergeCell ref="H896:H897"/>
    <mergeCell ref="I896:I897"/>
    <mergeCell ref="J896:J897"/>
    <mergeCell ref="J890:J891"/>
    <mergeCell ref="D892:D893"/>
    <mergeCell ref="F892:F893"/>
    <mergeCell ref="G892:G893"/>
    <mergeCell ref="H892:H893"/>
    <mergeCell ref="I892:I893"/>
    <mergeCell ref="J892:J893"/>
    <mergeCell ref="J900:J901"/>
    <mergeCell ref="D902:D903"/>
    <mergeCell ref="F902:F903"/>
    <mergeCell ref="G902:G903"/>
    <mergeCell ref="H902:H903"/>
    <mergeCell ref="I902:I903"/>
    <mergeCell ref="J902:J903"/>
    <mergeCell ref="C900:C909"/>
    <mergeCell ref="D900:D901"/>
    <mergeCell ref="F900:F901"/>
    <mergeCell ref="G900:G901"/>
    <mergeCell ref="H900:H901"/>
    <mergeCell ref="I900:I901"/>
    <mergeCell ref="D904:D905"/>
    <mergeCell ref="F904:F905"/>
    <mergeCell ref="G904:G905"/>
    <mergeCell ref="H904:H905"/>
    <mergeCell ref="C910:C919"/>
    <mergeCell ref="D910:D911"/>
    <mergeCell ref="F910:F911"/>
    <mergeCell ref="G910:G911"/>
    <mergeCell ref="H910:H911"/>
    <mergeCell ref="I910:I911"/>
    <mergeCell ref="D914:D915"/>
    <mergeCell ref="F914:F915"/>
    <mergeCell ref="G914:G915"/>
    <mergeCell ref="H914:H915"/>
    <mergeCell ref="D908:D909"/>
    <mergeCell ref="F908:F909"/>
    <mergeCell ref="G908:G909"/>
    <mergeCell ref="H908:H909"/>
    <mergeCell ref="I908:I909"/>
    <mergeCell ref="J908:J909"/>
    <mergeCell ref="I904:I905"/>
    <mergeCell ref="J904:J905"/>
    <mergeCell ref="D906:D907"/>
    <mergeCell ref="F906:F907"/>
    <mergeCell ref="G906:G907"/>
    <mergeCell ref="H906:H907"/>
    <mergeCell ref="I906:I907"/>
    <mergeCell ref="J906:J907"/>
    <mergeCell ref="D918:D919"/>
    <mergeCell ref="F918:F919"/>
    <mergeCell ref="G918:G919"/>
    <mergeCell ref="H918:H919"/>
    <mergeCell ref="I918:I919"/>
    <mergeCell ref="J918:J919"/>
    <mergeCell ref="I914:I915"/>
    <mergeCell ref="J914:J915"/>
    <mergeCell ref="D916:D917"/>
    <mergeCell ref="F916:F917"/>
    <mergeCell ref="G916:G917"/>
    <mergeCell ref="H916:H917"/>
    <mergeCell ref="I916:I917"/>
    <mergeCell ref="J916:J917"/>
    <mergeCell ref="J910:J911"/>
    <mergeCell ref="D912:D913"/>
    <mergeCell ref="F912:F913"/>
    <mergeCell ref="G912:G913"/>
    <mergeCell ref="H912:H913"/>
    <mergeCell ref="I912:I913"/>
    <mergeCell ref="J912:J913"/>
    <mergeCell ref="J920:J921"/>
    <mergeCell ref="D922:D923"/>
    <mergeCell ref="F922:F923"/>
    <mergeCell ref="G922:G923"/>
    <mergeCell ref="H922:H923"/>
    <mergeCell ref="I922:I923"/>
    <mergeCell ref="J922:J923"/>
    <mergeCell ref="C920:C929"/>
    <mergeCell ref="D920:D921"/>
    <mergeCell ref="F920:F921"/>
    <mergeCell ref="G920:G921"/>
    <mergeCell ref="H920:H921"/>
    <mergeCell ref="I920:I921"/>
    <mergeCell ref="D924:D925"/>
    <mergeCell ref="F924:F925"/>
    <mergeCell ref="G924:G925"/>
    <mergeCell ref="H924:H925"/>
    <mergeCell ref="C930:C939"/>
    <mergeCell ref="D930:D931"/>
    <mergeCell ref="F930:F931"/>
    <mergeCell ref="G930:G931"/>
    <mergeCell ref="H930:H931"/>
    <mergeCell ref="I930:I931"/>
    <mergeCell ref="D934:D935"/>
    <mergeCell ref="F934:F935"/>
    <mergeCell ref="G934:G935"/>
    <mergeCell ref="H934:H935"/>
    <mergeCell ref="D928:D929"/>
    <mergeCell ref="F928:F929"/>
    <mergeCell ref="G928:G929"/>
    <mergeCell ref="H928:H929"/>
    <mergeCell ref="I928:I929"/>
    <mergeCell ref="J928:J929"/>
    <mergeCell ref="I924:I925"/>
    <mergeCell ref="J924:J925"/>
    <mergeCell ref="D926:D927"/>
    <mergeCell ref="F926:F927"/>
    <mergeCell ref="G926:G927"/>
    <mergeCell ref="H926:H927"/>
    <mergeCell ref="I926:I927"/>
    <mergeCell ref="J926:J927"/>
    <mergeCell ref="D938:D939"/>
    <mergeCell ref="F938:F939"/>
    <mergeCell ref="G938:G939"/>
    <mergeCell ref="H938:H939"/>
    <mergeCell ref="I938:I939"/>
    <mergeCell ref="J938:J939"/>
    <mergeCell ref="I934:I935"/>
    <mergeCell ref="J934:J935"/>
    <mergeCell ref="D936:D937"/>
    <mergeCell ref="F936:F937"/>
    <mergeCell ref="G936:G937"/>
    <mergeCell ref="H936:H937"/>
    <mergeCell ref="I936:I937"/>
    <mergeCell ref="J936:J937"/>
    <mergeCell ref="J930:J931"/>
    <mergeCell ref="D932:D933"/>
    <mergeCell ref="F932:F933"/>
    <mergeCell ref="G932:G933"/>
    <mergeCell ref="H932:H933"/>
    <mergeCell ref="I932:I933"/>
    <mergeCell ref="J932:J933"/>
    <mergeCell ref="J940:J941"/>
    <mergeCell ref="D942:D943"/>
    <mergeCell ref="F942:F943"/>
    <mergeCell ref="G942:G943"/>
    <mergeCell ref="H942:H943"/>
    <mergeCell ref="I942:I943"/>
    <mergeCell ref="J942:J943"/>
    <mergeCell ref="C940:C949"/>
    <mergeCell ref="D940:D941"/>
    <mergeCell ref="F940:F941"/>
    <mergeCell ref="G940:G941"/>
    <mergeCell ref="H940:H941"/>
    <mergeCell ref="I940:I941"/>
    <mergeCell ref="D944:D945"/>
    <mergeCell ref="F944:F945"/>
    <mergeCell ref="G944:G945"/>
    <mergeCell ref="H944:H945"/>
    <mergeCell ref="C950:C959"/>
    <mergeCell ref="D950:D951"/>
    <mergeCell ref="F950:F951"/>
    <mergeCell ref="G950:G951"/>
    <mergeCell ref="H950:H951"/>
    <mergeCell ref="I950:I951"/>
    <mergeCell ref="D954:D955"/>
    <mergeCell ref="F954:F955"/>
    <mergeCell ref="G954:G955"/>
    <mergeCell ref="H954:H955"/>
    <mergeCell ref="D948:D949"/>
    <mergeCell ref="F948:F949"/>
    <mergeCell ref="G948:G949"/>
    <mergeCell ref="H948:H949"/>
    <mergeCell ref="I948:I949"/>
    <mergeCell ref="J948:J949"/>
    <mergeCell ref="I944:I945"/>
    <mergeCell ref="J944:J945"/>
    <mergeCell ref="D946:D947"/>
    <mergeCell ref="F946:F947"/>
    <mergeCell ref="G946:G947"/>
    <mergeCell ref="H946:H947"/>
    <mergeCell ref="I946:I947"/>
    <mergeCell ref="J946:J947"/>
    <mergeCell ref="D958:D959"/>
    <mergeCell ref="F958:F959"/>
    <mergeCell ref="G958:G959"/>
    <mergeCell ref="H958:H959"/>
    <mergeCell ref="I958:I959"/>
    <mergeCell ref="J958:J959"/>
    <mergeCell ref="I954:I955"/>
    <mergeCell ref="J954:J955"/>
    <mergeCell ref="D956:D957"/>
    <mergeCell ref="F956:F957"/>
    <mergeCell ref="G956:G957"/>
    <mergeCell ref="H956:H957"/>
    <mergeCell ref="I956:I957"/>
    <mergeCell ref="J956:J957"/>
    <mergeCell ref="J950:J951"/>
    <mergeCell ref="D952:D953"/>
    <mergeCell ref="F952:F953"/>
    <mergeCell ref="G952:G953"/>
    <mergeCell ref="H952:H953"/>
    <mergeCell ref="I952:I953"/>
    <mergeCell ref="J952:J953"/>
    <mergeCell ref="J960:J961"/>
    <mergeCell ref="D962:D963"/>
    <mergeCell ref="F962:F963"/>
    <mergeCell ref="G962:G963"/>
    <mergeCell ref="H962:H963"/>
    <mergeCell ref="I962:I963"/>
    <mergeCell ref="J962:J963"/>
    <mergeCell ref="C960:C969"/>
    <mergeCell ref="D960:D961"/>
    <mergeCell ref="F960:F961"/>
    <mergeCell ref="G960:G961"/>
    <mergeCell ref="H960:H961"/>
    <mergeCell ref="I960:I961"/>
    <mergeCell ref="D964:D965"/>
    <mergeCell ref="F964:F965"/>
    <mergeCell ref="G964:G965"/>
    <mergeCell ref="H964:H965"/>
    <mergeCell ref="C970:C979"/>
    <mergeCell ref="D970:D971"/>
    <mergeCell ref="F970:F971"/>
    <mergeCell ref="G970:G971"/>
    <mergeCell ref="H970:H971"/>
    <mergeCell ref="I970:I971"/>
    <mergeCell ref="D974:D975"/>
    <mergeCell ref="F974:F975"/>
    <mergeCell ref="G974:G975"/>
    <mergeCell ref="H974:H975"/>
    <mergeCell ref="D968:D969"/>
    <mergeCell ref="F968:F969"/>
    <mergeCell ref="G968:G969"/>
    <mergeCell ref="H968:H969"/>
    <mergeCell ref="I968:I969"/>
    <mergeCell ref="J968:J969"/>
    <mergeCell ref="I964:I965"/>
    <mergeCell ref="J964:J965"/>
    <mergeCell ref="D966:D967"/>
    <mergeCell ref="F966:F967"/>
    <mergeCell ref="G966:G967"/>
    <mergeCell ref="H966:H967"/>
    <mergeCell ref="I966:I967"/>
    <mergeCell ref="J966:J967"/>
    <mergeCell ref="D978:D979"/>
    <mergeCell ref="F978:F979"/>
    <mergeCell ref="G978:G979"/>
    <mergeCell ref="H978:H979"/>
    <mergeCell ref="I978:I979"/>
    <mergeCell ref="J978:J979"/>
    <mergeCell ref="I974:I975"/>
    <mergeCell ref="J974:J975"/>
    <mergeCell ref="D976:D977"/>
    <mergeCell ref="F976:F977"/>
    <mergeCell ref="G976:G977"/>
    <mergeCell ref="H976:H977"/>
    <mergeCell ref="I976:I977"/>
    <mergeCell ref="J976:J977"/>
    <mergeCell ref="J970:J971"/>
    <mergeCell ref="D972:D973"/>
    <mergeCell ref="F972:F973"/>
    <mergeCell ref="G972:G973"/>
    <mergeCell ref="H972:H973"/>
    <mergeCell ref="I972:I973"/>
    <mergeCell ref="J972:J973"/>
    <mergeCell ref="J980:J981"/>
    <mergeCell ref="D982:D983"/>
    <mergeCell ref="F982:F983"/>
    <mergeCell ref="G982:G983"/>
    <mergeCell ref="H982:H983"/>
    <mergeCell ref="I982:I983"/>
    <mergeCell ref="J982:J983"/>
    <mergeCell ref="C980:C989"/>
    <mergeCell ref="D980:D981"/>
    <mergeCell ref="F980:F981"/>
    <mergeCell ref="G980:G981"/>
    <mergeCell ref="H980:H981"/>
    <mergeCell ref="I980:I981"/>
    <mergeCell ref="D984:D985"/>
    <mergeCell ref="F984:F985"/>
    <mergeCell ref="G984:G985"/>
    <mergeCell ref="H984:H985"/>
    <mergeCell ref="C990:C999"/>
    <mergeCell ref="D990:D991"/>
    <mergeCell ref="F990:F991"/>
    <mergeCell ref="G990:G991"/>
    <mergeCell ref="H990:H991"/>
    <mergeCell ref="I990:I991"/>
    <mergeCell ref="D994:D995"/>
    <mergeCell ref="F994:F995"/>
    <mergeCell ref="G994:G995"/>
    <mergeCell ref="H994:H995"/>
    <mergeCell ref="D988:D989"/>
    <mergeCell ref="F988:F989"/>
    <mergeCell ref="G988:G989"/>
    <mergeCell ref="H988:H989"/>
    <mergeCell ref="I988:I989"/>
    <mergeCell ref="J988:J989"/>
    <mergeCell ref="I984:I985"/>
    <mergeCell ref="J984:J985"/>
    <mergeCell ref="D986:D987"/>
    <mergeCell ref="F986:F987"/>
    <mergeCell ref="G986:G987"/>
    <mergeCell ref="H986:H987"/>
    <mergeCell ref="I986:I987"/>
    <mergeCell ref="J986:J987"/>
    <mergeCell ref="D998:D999"/>
    <mergeCell ref="F998:F999"/>
    <mergeCell ref="G998:G999"/>
    <mergeCell ref="H998:H999"/>
    <mergeCell ref="I998:I999"/>
    <mergeCell ref="J998:J999"/>
    <mergeCell ref="I994:I995"/>
    <mergeCell ref="J994:J995"/>
    <mergeCell ref="D996:D997"/>
    <mergeCell ref="F996:F997"/>
    <mergeCell ref="G996:G997"/>
    <mergeCell ref="H996:H997"/>
    <mergeCell ref="I996:I997"/>
    <mergeCell ref="J996:J997"/>
    <mergeCell ref="J990:J991"/>
    <mergeCell ref="D992:D993"/>
    <mergeCell ref="F992:F993"/>
    <mergeCell ref="G992:G993"/>
    <mergeCell ref="H992:H993"/>
    <mergeCell ref="I992:I993"/>
    <mergeCell ref="J992:J993"/>
    <mergeCell ref="J1000:J1001"/>
    <mergeCell ref="D1002:D1003"/>
    <mergeCell ref="F1002:F1003"/>
    <mergeCell ref="G1002:G1003"/>
    <mergeCell ref="H1002:H1003"/>
    <mergeCell ref="I1002:I1003"/>
    <mergeCell ref="J1002:J1003"/>
    <mergeCell ref="C1000:C1009"/>
    <mergeCell ref="D1000:D1001"/>
    <mergeCell ref="F1000:F1001"/>
    <mergeCell ref="G1000:G1001"/>
    <mergeCell ref="H1000:H1001"/>
    <mergeCell ref="I1000:I1001"/>
    <mergeCell ref="D1004:D1005"/>
    <mergeCell ref="F1004:F1005"/>
    <mergeCell ref="G1004:G1005"/>
    <mergeCell ref="H1004:H1005"/>
    <mergeCell ref="C1010:C1019"/>
    <mergeCell ref="D1010:D1011"/>
    <mergeCell ref="F1010:F1011"/>
    <mergeCell ref="G1010:G1011"/>
    <mergeCell ref="H1010:H1011"/>
    <mergeCell ref="I1010:I1011"/>
    <mergeCell ref="D1014:D1015"/>
    <mergeCell ref="F1014:F1015"/>
    <mergeCell ref="G1014:G1015"/>
    <mergeCell ref="H1014:H1015"/>
    <mergeCell ref="D1008:D1009"/>
    <mergeCell ref="F1008:F1009"/>
    <mergeCell ref="G1008:G1009"/>
    <mergeCell ref="H1008:H1009"/>
    <mergeCell ref="I1008:I1009"/>
    <mergeCell ref="J1008:J1009"/>
    <mergeCell ref="I1004:I1005"/>
    <mergeCell ref="J1004:J1005"/>
    <mergeCell ref="D1006:D1007"/>
    <mergeCell ref="F1006:F1007"/>
    <mergeCell ref="G1006:G1007"/>
    <mergeCell ref="H1006:H1007"/>
    <mergeCell ref="I1006:I1007"/>
    <mergeCell ref="J1006:J1007"/>
    <mergeCell ref="D1018:D1019"/>
    <mergeCell ref="F1018:F1019"/>
    <mergeCell ref="G1018:G1019"/>
    <mergeCell ref="H1018:H1019"/>
    <mergeCell ref="I1018:I1019"/>
    <mergeCell ref="J1018:J1019"/>
    <mergeCell ref="I1014:I1015"/>
    <mergeCell ref="J1014:J1015"/>
    <mergeCell ref="D1016:D1017"/>
    <mergeCell ref="F1016:F1017"/>
    <mergeCell ref="G1016:G1017"/>
    <mergeCell ref="H1016:H1017"/>
    <mergeCell ref="I1016:I1017"/>
    <mergeCell ref="J1016:J1017"/>
    <mergeCell ref="J1010:J1011"/>
    <mergeCell ref="D1012:D1013"/>
    <mergeCell ref="F1012:F1013"/>
    <mergeCell ref="G1012:G1013"/>
    <mergeCell ref="H1012:H1013"/>
    <mergeCell ref="I1012:I1013"/>
    <mergeCell ref="J1012:J101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B5678-F308-499E-8F1B-2434D930EA30}">
  <dimension ref="A1:L1283"/>
  <sheetViews>
    <sheetView topLeftCell="E359" zoomScale="80" zoomScaleNormal="80" workbookViewId="0">
      <selection activeCell="F360" sqref="F360:F361"/>
    </sheetView>
  </sheetViews>
  <sheetFormatPr baseColWidth="10" defaultRowHeight="14.5"/>
  <cols>
    <col min="1" max="1" width="34.453125" style="28" customWidth="1"/>
    <col min="2" max="2" width="53.26953125" customWidth="1"/>
    <col min="3" max="3" width="69.26953125" customWidth="1"/>
    <col min="4" max="4" width="94.7265625" customWidth="1"/>
    <col min="5" max="5" width="77.36328125" style="29" customWidth="1"/>
    <col min="6" max="6" width="13.7265625" customWidth="1"/>
    <col min="7" max="7" width="36.1796875" style="14" customWidth="1"/>
    <col min="8" max="8" width="49.90625" customWidth="1"/>
    <col min="9" max="9" width="14.54296875" customWidth="1"/>
    <col min="10" max="10" width="54.26953125" customWidth="1"/>
    <col min="11" max="11" width="76.81640625" style="14" customWidth="1"/>
  </cols>
  <sheetData>
    <row r="1" spans="1:12" s="6" customFormat="1" ht="15.5">
      <c r="A1" s="5" t="s">
        <v>0</v>
      </c>
      <c r="B1" s="6" t="s">
        <v>1</v>
      </c>
      <c r="C1" s="6" t="s">
        <v>8527</v>
      </c>
      <c r="D1" s="6" t="s">
        <v>8528</v>
      </c>
      <c r="E1" s="7" t="s">
        <v>4</v>
      </c>
      <c r="F1" s="8" t="s">
        <v>5</v>
      </c>
      <c r="G1" s="9" t="s">
        <v>6</v>
      </c>
      <c r="H1" s="10" t="s">
        <v>7</v>
      </c>
      <c r="I1" s="11" t="s">
        <v>8</v>
      </c>
      <c r="J1" s="8" t="s">
        <v>9</v>
      </c>
      <c r="K1" s="9" t="s">
        <v>10</v>
      </c>
      <c r="L1" s="5"/>
    </row>
    <row r="2" spans="1:12" s="14" customFormat="1" ht="14.5" customHeight="1">
      <c r="A2" s="12"/>
      <c r="B2" s="59" t="s">
        <v>8529</v>
      </c>
      <c r="C2" s="59" t="s">
        <v>8530</v>
      </c>
      <c r="D2" s="57" t="s">
        <v>8531</v>
      </c>
      <c r="E2" s="66" t="s">
        <v>8532</v>
      </c>
      <c r="F2" s="78" t="s">
        <v>38</v>
      </c>
      <c r="G2" s="13" t="s">
        <v>8533</v>
      </c>
      <c r="H2" s="80" t="s">
        <v>8534</v>
      </c>
      <c r="I2" s="76" t="s">
        <v>41</v>
      </c>
      <c r="J2" s="78" t="s">
        <v>8535</v>
      </c>
      <c r="K2" s="14" t="s">
        <v>8536</v>
      </c>
      <c r="L2" s="15"/>
    </row>
    <row r="3" spans="1:12" s="14" customFormat="1">
      <c r="A3" s="12"/>
      <c r="B3" s="69"/>
      <c r="C3" s="69"/>
      <c r="D3" s="58"/>
      <c r="E3" s="67"/>
      <c r="F3" s="79"/>
      <c r="G3" s="13" t="s">
        <v>8537</v>
      </c>
      <c r="H3" s="81"/>
      <c r="I3" s="77"/>
      <c r="J3" s="79"/>
      <c r="K3" s="14" t="s">
        <v>8538</v>
      </c>
      <c r="L3" s="15"/>
    </row>
    <row r="4" spans="1:12" s="14" customFormat="1">
      <c r="A4" s="12"/>
      <c r="B4" s="69"/>
      <c r="C4" s="69"/>
      <c r="D4" s="57" t="s">
        <v>8539</v>
      </c>
      <c r="E4" s="66" t="s">
        <v>8540</v>
      </c>
      <c r="F4" s="45" t="s">
        <v>16</v>
      </c>
      <c r="G4" s="13" t="s">
        <v>8541</v>
      </c>
      <c r="H4" s="47" t="s">
        <v>8542</v>
      </c>
      <c r="I4" s="49" t="s">
        <v>41</v>
      </c>
      <c r="J4" s="45" t="s">
        <v>8543</v>
      </c>
      <c r="K4" s="14" t="s">
        <v>8544</v>
      </c>
      <c r="L4" s="15"/>
    </row>
    <row r="5" spans="1:12" s="14" customFormat="1">
      <c r="A5" s="12"/>
      <c r="B5" s="69"/>
      <c r="C5" s="69"/>
      <c r="D5" s="58"/>
      <c r="E5" s="67"/>
      <c r="F5" s="46"/>
      <c r="G5" s="13" t="s">
        <v>8545</v>
      </c>
      <c r="H5" s="48"/>
      <c r="I5" s="50"/>
      <c r="J5" s="46"/>
      <c r="K5" s="14" t="s">
        <v>8546</v>
      </c>
      <c r="L5" s="15"/>
    </row>
    <row r="6" spans="1:12" s="14" customFormat="1">
      <c r="A6" s="12"/>
      <c r="B6" s="69"/>
      <c r="C6" s="69"/>
      <c r="D6" s="57" t="s">
        <v>8547</v>
      </c>
      <c r="E6" s="66" t="s">
        <v>8548</v>
      </c>
      <c r="F6" s="45" t="s">
        <v>16</v>
      </c>
      <c r="G6" s="13" t="s">
        <v>8549</v>
      </c>
      <c r="H6" s="47" t="s">
        <v>8550</v>
      </c>
      <c r="I6" s="49" t="s">
        <v>19</v>
      </c>
      <c r="J6" s="45" t="s">
        <v>8551</v>
      </c>
      <c r="K6" s="14" t="s">
        <v>8552</v>
      </c>
      <c r="L6" s="15"/>
    </row>
    <row r="7" spans="1:12" s="14" customFormat="1">
      <c r="A7" s="12"/>
      <c r="B7" s="69"/>
      <c r="C7" s="69"/>
      <c r="D7" s="58"/>
      <c r="E7" s="67"/>
      <c r="F7" s="46"/>
      <c r="G7" s="13" t="s">
        <v>8553</v>
      </c>
      <c r="H7" s="48"/>
      <c r="I7" s="50"/>
      <c r="J7" s="46"/>
      <c r="K7" s="14" t="s">
        <v>8554</v>
      </c>
      <c r="L7" s="15"/>
    </row>
    <row r="8" spans="1:12" s="14" customFormat="1">
      <c r="A8" s="12"/>
      <c r="B8" s="69"/>
      <c r="C8" s="69"/>
      <c r="D8" s="57" t="s">
        <v>8555</v>
      </c>
      <c r="E8" s="66" t="s">
        <v>8556</v>
      </c>
      <c r="F8" s="45" t="s">
        <v>16</v>
      </c>
      <c r="G8" s="13" t="s">
        <v>8557</v>
      </c>
      <c r="H8" s="47" t="s">
        <v>8558</v>
      </c>
      <c r="I8" s="49" t="s">
        <v>19</v>
      </c>
      <c r="J8" s="45" t="s">
        <v>8559</v>
      </c>
      <c r="K8" s="14" t="s">
        <v>8560</v>
      </c>
      <c r="L8" s="15"/>
    </row>
    <row r="9" spans="1:12" s="14" customFormat="1">
      <c r="A9" s="12"/>
      <c r="B9" s="69"/>
      <c r="C9" s="69"/>
      <c r="D9" s="58"/>
      <c r="E9" s="67"/>
      <c r="F9" s="46"/>
      <c r="G9" s="13" t="s">
        <v>8561</v>
      </c>
      <c r="H9" s="48"/>
      <c r="I9" s="50"/>
      <c r="J9" s="46"/>
      <c r="K9" s="14" t="s">
        <v>8562</v>
      </c>
      <c r="L9" s="15"/>
    </row>
    <row r="10" spans="1:12" s="14" customFormat="1">
      <c r="A10" s="12"/>
      <c r="B10" s="69"/>
      <c r="C10" s="69"/>
      <c r="D10" s="66" t="s">
        <v>8563</v>
      </c>
      <c r="E10" s="66" t="s">
        <v>8564</v>
      </c>
      <c r="F10" s="45" t="s">
        <v>38</v>
      </c>
      <c r="G10" s="13" t="s">
        <v>8565</v>
      </c>
      <c r="H10" s="47" t="s">
        <v>8566</v>
      </c>
      <c r="I10" s="49" t="s">
        <v>33</v>
      </c>
      <c r="J10" s="45" t="s">
        <v>8567</v>
      </c>
      <c r="K10" s="14" t="s">
        <v>8568</v>
      </c>
      <c r="L10" s="15"/>
    </row>
    <row r="11" spans="1:12" s="14" customFormat="1">
      <c r="A11" s="12"/>
      <c r="B11" s="69"/>
      <c r="C11" s="60"/>
      <c r="D11" s="67"/>
      <c r="E11" s="67"/>
      <c r="F11" s="46"/>
      <c r="G11" s="13" t="s">
        <v>8569</v>
      </c>
      <c r="H11" s="48"/>
      <c r="I11" s="50"/>
      <c r="J11" s="46"/>
      <c r="K11" s="14" t="s">
        <v>8570</v>
      </c>
      <c r="L11" s="15"/>
    </row>
    <row r="12" spans="1:12" s="14" customFormat="1" ht="14.5" customHeight="1">
      <c r="A12" s="12"/>
      <c r="B12" s="69"/>
      <c r="C12" s="61" t="s">
        <v>8571</v>
      </c>
      <c r="D12" s="57" t="s">
        <v>8572</v>
      </c>
      <c r="E12" s="66" t="s">
        <v>8573</v>
      </c>
      <c r="F12" s="45" t="s">
        <v>38</v>
      </c>
      <c r="G12" s="13" t="s">
        <v>8574</v>
      </c>
      <c r="H12" s="47" t="s">
        <v>8575</v>
      </c>
      <c r="I12" s="49" t="s">
        <v>33</v>
      </c>
      <c r="J12" s="45" t="s">
        <v>8576</v>
      </c>
      <c r="K12" s="14" t="s">
        <v>8577</v>
      </c>
      <c r="L12" s="15"/>
    </row>
    <row r="13" spans="1:12" s="14" customFormat="1">
      <c r="A13" s="12"/>
      <c r="B13" s="69"/>
      <c r="C13" s="62"/>
      <c r="D13" s="58"/>
      <c r="E13" s="67"/>
      <c r="F13" s="46"/>
      <c r="G13" s="13" t="s">
        <v>8578</v>
      </c>
      <c r="H13" s="48"/>
      <c r="I13" s="50"/>
      <c r="J13" s="46"/>
      <c r="K13" s="14" t="s">
        <v>8579</v>
      </c>
      <c r="L13" s="15"/>
    </row>
    <row r="14" spans="1:12" s="14" customFormat="1">
      <c r="A14" s="12"/>
      <c r="B14" s="69"/>
      <c r="C14" s="62"/>
      <c r="D14" s="57" t="s">
        <v>8580</v>
      </c>
      <c r="E14" s="66" t="s">
        <v>8581</v>
      </c>
      <c r="F14" s="51" t="s">
        <v>38</v>
      </c>
      <c r="G14" s="13" t="s">
        <v>8582</v>
      </c>
      <c r="H14" s="53" t="s">
        <v>8583</v>
      </c>
      <c r="I14" s="55" t="s">
        <v>41</v>
      </c>
      <c r="J14" s="51" t="s">
        <v>8584</v>
      </c>
      <c r="K14" s="14" t="s">
        <v>8585</v>
      </c>
      <c r="L14" s="15"/>
    </row>
    <row r="15" spans="1:12" s="14" customFormat="1">
      <c r="A15" s="12"/>
      <c r="B15" s="69"/>
      <c r="C15" s="62"/>
      <c r="D15" s="58"/>
      <c r="E15" s="67"/>
      <c r="F15" s="52"/>
      <c r="G15" s="13" t="s">
        <v>8586</v>
      </c>
      <c r="H15" s="75"/>
      <c r="I15" s="73"/>
      <c r="J15" s="74"/>
      <c r="K15" s="14" t="s">
        <v>8587</v>
      </c>
      <c r="L15" s="15"/>
    </row>
    <row r="16" spans="1:12" s="14" customFormat="1">
      <c r="A16" s="12"/>
      <c r="B16" s="69"/>
      <c r="C16" s="62"/>
      <c r="D16" s="57" t="s">
        <v>8588</v>
      </c>
      <c r="E16" s="66" t="s">
        <v>8589</v>
      </c>
      <c r="F16" s="74" t="s">
        <v>16</v>
      </c>
      <c r="G16" s="13" t="s">
        <v>8590</v>
      </c>
      <c r="H16" s="75" t="s">
        <v>3904</v>
      </c>
      <c r="I16" s="73" t="s">
        <v>19</v>
      </c>
      <c r="J16" s="74" t="s">
        <v>8591</v>
      </c>
      <c r="K16" s="14" t="s">
        <v>8592</v>
      </c>
      <c r="L16" s="15"/>
    </row>
    <row r="17" spans="1:12" s="14" customFormat="1">
      <c r="A17" s="12"/>
      <c r="B17" s="69"/>
      <c r="C17" s="62"/>
      <c r="D17" s="58"/>
      <c r="E17" s="67"/>
      <c r="F17" s="52"/>
      <c r="G17" s="13" t="s">
        <v>8593</v>
      </c>
      <c r="H17" s="54"/>
      <c r="I17" s="56"/>
      <c r="J17" s="52"/>
      <c r="K17" s="14" t="s">
        <v>8594</v>
      </c>
      <c r="L17" s="15"/>
    </row>
    <row r="18" spans="1:12" s="14" customFormat="1">
      <c r="A18" s="12"/>
      <c r="B18" s="69"/>
      <c r="C18" s="62"/>
      <c r="D18" s="57" t="s">
        <v>8595</v>
      </c>
      <c r="E18" s="66" t="s">
        <v>8596</v>
      </c>
      <c r="F18" s="51" t="s">
        <v>16</v>
      </c>
      <c r="G18" s="13" t="s">
        <v>8597</v>
      </c>
      <c r="H18" s="53" t="s">
        <v>8598</v>
      </c>
      <c r="I18" s="55" t="s">
        <v>19</v>
      </c>
      <c r="J18" s="51" t="s">
        <v>8599</v>
      </c>
      <c r="K18" s="14" t="s">
        <v>8600</v>
      </c>
      <c r="L18" s="15"/>
    </row>
    <row r="19" spans="1:12" s="14" customFormat="1">
      <c r="A19" s="12"/>
      <c r="B19" s="69"/>
      <c r="C19" s="62"/>
      <c r="D19" s="58"/>
      <c r="E19" s="67"/>
      <c r="F19" s="52"/>
      <c r="G19" s="13" t="s">
        <v>8601</v>
      </c>
      <c r="H19" s="54"/>
      <c r="I19" s="56"/>
      <c r="J19" s="52"/>
      <c r="K19" s="14" t="s">
        <v>8602</v>
      </c>
      <c r="L19" s="15"/>
    </row>
    <row r="20" spans="1:12" s="14" customFormat="1">
      <c r="A20" s="12"/>
      <c r="B20" s="69"/>
      <c r="C20" s="62"/>
      <c r="D20" s="57" t="s">
        <v>8603</v>
      </c>
      <c r="E20" s="66" t="s">
        <v>8604</v>
      </c>
      <c r="F20" s="51" t="s">
        <v>16</v>
      </c>
      <c r="G20" s="13" t="s">
        <v>8605</v>
      </c>
      <c r="H20" s="53" t="s">
        <v>8606</v>
      </c>
      <c r="I20" s="55" t="s">
        <v>41</v>
      </c>
      <c r="J20" s="51" t="s">
        <v>8607</v>
      </c>
      <c r="K20" s="14" t="s">
        <v>8608</v>
      </c>
      <c r="L20" s="15"/>
    </row>
    <row r="21" spans="1:12" s="14" customFormat="1">
      <c r="A21" s="12"/>
      <c r="B21" s="69"/>
      <c r="C21" s="63"/>
      <c r="D21" s="58"/>
      <c r="E21" s="67"/>
      <c r="F21" s="52"/>
      <c r="G21" s="13" t="s">
        <v>8609</v>
      </c>
      <c r="H21" s="54"/>
      <c r="I21" s="56"/>
      <c r="J21" s="52"/>
      <c r="K21" s="14" t="s">
        <v>8610</v>
      </c>
      <c r="L21" s="15"/>
    </row>
    <row r="22" spans="1:12" s="14" customFormat="1" ht="14.5" customHeight="1">
      <c r="A22" s="12"/>
      <c r="B22" s="69"/>
      <c r="C22" s="61" t="s">
        <v>8611</v>
      </c>
      <c r="D22" s="57" t="s">
        <v>8612</v>
      </c>
      <c r="E22" s="66" t="s">
        <v>8613</v>
      </c>
      <c r="F22" s="51" t="s">
        <v>16</v>
      </c>
      <c r="G22" s="13" t="s">
        <v>8614</v>
      </c>
      <c r="H22" s="53" t="s">
        <v>8615</v>
      </c>
      <c r="I22" s="55" t="s">
        <v>41</v>
      </c>
      <c r="J22" s="51" t="s">
        <v>8616</v>
      </c>
      <c r="K22" s="14" t="s">
        <v>8617</v>
      </c>
      <c r="L22" s="15"/>
    </row>
    <row r="23" spans="1:12" s="14" customFormat="1">
      <c r="A23" s="12"/>
      <c r="B23" s="69"/>
      <c r="C23" s="62"/>
      <c r="D23" s="58"/>
      <c r="E23" s="67"/>
      <c r="F23" s="52"/>
      <c r="G23" s="13" t="s">
        <v>8618</v>
      </c>
      <c r="H23" s="54"/>
      <c r="I23" s="56"/>
      <c r="J23" s="52"/>
      <c r="K23" s="14" t="s">
        <v>8619</v>
      </c>
      <c r="L23" s="15"/>
    </row>
    <row r="24" spans="1:12" s="14" customFormat="1">
      <c r="A24" s="12"/>
      <c r="B24" s="69"/>
      <c r="C24" s="62"/>
      <c r="D24" s="57" t="s">
        <v>8620</v>
      </c>
      <c r="E24" s="66" t="s">
        <v>8621</v>
      </c>
      <c r="F24" s="45" t="s">
        <v>16</v>
      </c>
      <c r="G24" s="13" t="s">
        <v>8622</v>
      </c>
      <c r="H24" s="47" t="s">
        <v>8623</v>
      </c>
      <c r="I24" s="49" t="s">
        <v>19</v>
      </c>
      <c r="J24" s="45" t="s">
        <v>8624</v>
      </c>
      <c r="K24" s="14" t="s">
        <v>8625</v>
      </c>
      <c r="L24" s="15"/>
    </row>
    <row r="25" spans="1:12" s="14" customFormat="1">
      <c r="A25" s="12"/>
      <c r="B25" s="69"/>
      <c r="C25" s="62"/>
      <c r="D25" s="58"/>
      <c r="E25" s="67"/>
      <c r="F25" s="46"/>
      <c r="G25" s="13" t="s">
        <v>8626</v>
      </c>
      <c r="H25" s="48"/>
      <c r="I25" s="50"/>
      <c r="J25" s="46"/>
      <c r="K25" s="14" t="s">
        <v>8627</v>
      </c>
      <c r="L25" s="15"/>
    </row>
    <row r="26" spans="1:12" s="14" customFormat="1">
      <c r="A26" s="12"/>
      <c r="B26" s="69"/>
      <c r="C26" s="62"/>
      <c r="D26" s="57" t="s">
        <v>8628</v>
      </c>
      <c r="E26" s="66" t="s">
        <v>8629</v>
      </c>
      <c r="F26" s="45" t="s">
        <v>38</v>
      </c>
      <c r="G26" s="13" t="s">
        <v>8630</v>
      </c>
      <c r="H26" s="47" t="s">
        <v>8631</v>
      </c>
      <c r="I26" s="49" t="s">
        <v>19</v>
      </c>
      <c r="J26" s="45" t="s">
        <v>8632</v>
      </c>
      <c r="K26" s="14" t="s">
        <v>8633</v>
      </c>
      <c r="L26" s="15"/>
    </row>
    <row r="27" spans="1:12" s="14" customFormat="1">
      <c r="A27" s="12"/>
      <c r="B27" s="69"/>
      <c r="C27" s="62"/>
      <c r="D27" s="58"/>
      <c r="E27" s="67"/>
      <c r="F27" s="46"/>
      <c r="G27" s="13" t="s">
        <v>8634</v>
      </c>
      <c r="H27" s="48"/>
      <c r="I27" s="50"/>
      <c r="J27" s="46"/>
      <c r="K27" s="14" t="s">
        <v>8635</v>
      </c>
      <c r="L27" s="15"/>
    </row>
    <row r="28" spans="1:12" s="14" customFormat="1">
      <c r="A28" s="12"/>
      <c r="B28" s="69"/>
      <c r="C28" s="62"/>
      <c r="D28" s="57" t="s">
        <v>8636</v>
      </c>
      <c r="E28" s="66" t="s">
        <v>8637</v>
      </c>
      <c r="F28" s="45" t="s">
        <v>16</v>
      </c>
      <c r="G28" s="13" t="s">
        <v>8638</v>
      </c>
      <c r="H28" s="47" t="s">
        <v>8639</v>
      </c>
      <c r="I28" s="49" t="s">
        <v>19</v>
      </c>
      <c r="J28" s="45" t="s">
        <v>8640</v>
      </c>
      <c r="K28" s="14" t="s">
        <v>8641</v>
      </c>
      <c r="L28" s="15"/>
    </row>
    <row r="29" spans="1:12" s="14" customFormat="1">
      <c r="A29" s="12"/>
      <c r="B29" s="69"/>
      <c r="C29" s="62"/>
      <c r="D29" s="58"/>
      <c r="E29" s="67"/>
      <c r="F29" s="46"/>
      <c r="G29" s="13" t="s">
        <v>8642</v>
      </c>
      <c r="H29" s="48"/>
      <c r="I29" s="50"/>
      <c r="J29" s="46"/>
      <c r="K29" s="14" t="s">
        <v>8643</v>
      </c>
      <c r="L29" s="15"/>
    </row>
    <row r="30" spans="1:12" s="14" customFormat="1">
      <c r="A30" s="12"/>
      <c r="B30" s="69"/>
      <c r="C30" s="62"/>
      <c r="D30" s="57" t="s">
        <v>8644</v>
      </c>
      <c r="E30" s="66" t="s">
        <v>8645</v>
      </c>
      <c r="F30" s="45" t="s">
        <v>38</v>
      </c>
      <c r="G30" s="13" t="s">
        <v>8646</v>
      </c>
      <c r="H30" s="47" t="s">
        <v>8647</v>
      </c>
      <c r="I30" s="49" t="s">
        <v>19</v>
      </c>
      <c r="J30" s="45" t="s">
        <v>8648</v>
      </c>
      <c r="K30" s="14" t="s">
        <v>8649</v>
      </c>
      <c r="L30" s="15"/>
    </row>
    <row r="31" spans="1:12" s="14" customFormat="1">
      <c r="A31" s="12"/>
      <c r="B31" s="69"/>
      <c r="C31" s="63"/>
      <c r="D31" s="58"/>
      <c r="E31" s="67"/>
      <c r="F31" s="46"/>
      <c r="G31" s="13" t="s">
        <v>8650</v>
      </c>
      <c r="H31" s="48"/>
      <c r="I31" s="50"/>
      <c r="J31" s="46"/>
      <c r="K31" s="14" t="s">
        <v>8651</v>
      </c>
      <c r="L31" s="15"/>
    </row>
    <row r="32" spans="1:12" s="14" customFormat="1" ht="14.5" customHeight="1">
      <c r="A32" s="12"/>
      <c r="B32" s="69"/>
      <c r="C32" s="59" t="s">
        <v>8652</v>
      </c>
      <c r="D32" s="57" t="s">
        <v>8653</v>
      </c>
      <c r="E32" s="66" t="s">
        <v>8654</v>
      </c>
      <c r="F32" s="45" t="s">
        <v>16</v>
      </c>
      <c r="G32" s="13" t="s">
        <v>8541</v>
      </c>
      <c r="H32" s="47" t="s">
        <v>8655</v>
      </c>
      <c r="I32" s="49" t="s">
        <v>19</v>
      </c>
      <c r="J32" s="45" t="s">
        <v>8656</v>
      </c>
      <c r="K32" s="14" t="s">
        <v>8657</v>
      </c>
      <c r="L32" s="15"/>
    </row>
    <row r="33" spans="1:12" s="14" customFormat="1">
      <c r="A33" s="12"/>
      <c r="B33" s="69"/>
      <c r="C33" s="69"/>
      <c r="D33" s="58"/>
      <c r="E33" s="67"/>
      <c r="F33" s="46"/>
      <c r="G33" s="13" t="s">
        <v>8658</v>
      </c>
      <c r="H33" s="48"/>
      <c r="I33" s="50"/>
      <c r="J33" s="46"/>
      <c r="K33" s="14" t="s">
        <v>8659</v>
      </c>
      <c r="L33" s="15"/>
    </row>
    <row r="34" spans="1:12" s="14" customFormat="1">
      <c r="A34" s="12"/>
      <c r="B34" s="69"/>
      <c r="C34" s="69"/>
      <c r="D34" s="57" t="s">
        <v>8660</v>
      </c>
      <c r="E34" s="66" t="s">
        <v>8661</v>
      </c>
      <c r="F34" s="45" t="s">
        <v>38</v>
      </c>
      <c r="G34" s="13" t="s">
        <v>8662</v>
      </c>
      <c r="H34" s="47" t="s">
        <v>8663</v>
      </c>
      <c r="I34" s="49" t="s">
        <v>41</v>
      </c>
      <c r="J34" s="45" t="s">
        <v>8664</v>
      </c>
      <c r="K34" s="14" t="s">
        <v>8665</v>
      </c>
      <c r="L34" s="15"/>
    </row>
    <row r="35" spans="1:12" s="14" customFormat="1">
      <c r="A35" s="12"/>
      <c r="B35" s="69"/>
      <c r="C35" s="69"/>
      <c r="D35" s="58"/>
      <c r="E35" s="67"/>
      <c r="F35" s="46"/>
      <c r="G35" s="13" t="s">
        <v>8666</v>
      </c>
      <c r="H35" s="48"/>
      <c r="I35" s="50"/>
      <c r="J35" s="46"/>
      <c r="K35" s="14" t="s">
        <v>8667</v>
      </c>
      <c r="L35" s="15"/>
    </row>
    <row r="36" spans="1:12" s="14" customFormat="1">
      <c r="A36" s="12"/>
      <c r="B36" s="69"/>
      <c r="C36" s="69"/>
      <c r="D36" s="57" t="s">
        <v>8668</v>
      </c>
      <c r="E36" s="66" t="s">
        <v>8669</v>
      </c>
      <c r="F36" s="45" t="s">
        <v>16</v>
      </c>
      <c r="G36" s="13" t="s">
        <v>8670</v>
      </c>
      <c r="H36" s="47" t="s">
        <v>8671</v>
      </c>
      <c r="I36" s="49" t="s">
        <v>41</v>
      </c>
      <c r="J36" s="45" t="s">
        <v>8672</v>
      </c>
      <c r="K36" s="14" t="s">
        <v>8673</v>
      </c>
      <c r="L36" s="15"/>
    </row>
    <row r="37" spans="1:12" s="14" customFormat="1">
      <c r="A37" s="12"/>
      <c r="B37" s="69"/>
      <c r="C37" s="69"/>
      <c r="D37" s="58"/>
      <c r="E37" s="67"/>
      <c r="F37" s="46"/>
      <c r="G37" s="13" t="s">
        <v>8674</v>
      </c>
      <c r="H37" s="48"/>
      <c r="I37" s="50"/>
      <c r="J37" s="46"/>
      <c r="K37" s="14" t="s">
        <v>8675</v>
      </c>
      <c r="L37" s="15"/>
    </row>
    <row r="38" spans="1:12" s="14" customFormat="1">
      <c r="A38" s="12"/>
      <c r="B38" s="69"/>
      <c r="C38" s="69"/>
      <c r="D38" s="57" t="s">
        <v>8676</v>
      </c>
      <c r="E38" s="66" t="s">
        <v>8677</v>
      </c>
      <c r="F38" s="45" t="s">
        <v>16</v>
      </c>
      <c r="G38" s="13" t="s">
        <v>8678</v>
      </c>
      <c r="H38" s="47" t="s">
        <v>8679</v>
      </c>
      <c r="I38" s="49" t="s">
        <v>41</v>
      </c>
      <c r="J38" s="45" t="s">
        <v>8680</v>
      </c>
      <c r="K38" s="14" t="s">
        <v>8681</v>
      </c>
      <c r="L38" s="15"/>
    </row>
    <row r="39" spans="1:12" s="14" customFormat="1">
      <c r="A39" s="12"/>
      <c r="B39" s="69"/>
      <c r="C39" s="69"/>
      <c r="D39" s="58"/>
      <c r="E39" s="67"/>
      <c r="F39" s="46"/>
      <c r="G39" s="13" t="s">
        <v>8682</v>
      </c>
      <c r="H39" s="48"/>
      <c r="I39" s="50"/>
      <c r="J39" s="46"/>
      <c r="K39" s="14" t="s">
        <v>8683</v>
      </c>
      <c r="L39" s="15"/>
    </row>
    <row r="40" spans="1:12" s="14" customFormat="1">
      <c r="A40" s="12"/>
      <c r="B40" s="69"/>
      <c r="C40" s="69"/>
      <c r="D40" s="57" t="s">
        <v>8684</v>
      </c>
      <c r="E40" s="66" t="s">
        <v>8685</v>
      </c>
      <c r="F40" s="45" t="s">
        <v>16</v>
      </c>
      <c r="G40" s="13" t="s">
        <v>8686</v>
      </c>
      <c r="H40" s="47" t="s">
        <v>8687</v>
      </c>
      <c r="I40" s="49" t="s">
        <v>41</v>
      </c>
      <c r="J40" s="45" t="s">
        <v>8688</v>
      </c>
      <c r="K40" s="14" t="s">
        <v>8689</v>
      </c>
      <c r="L40" s="15"/>
    </row>
    <row r="41" spans="1:12" s="14" customFormat="1">
      <c r="A41" s="12"/>
      <c r="B41" s="69"/>
      <c r="C41" s="60"/>
      <c r="D41" s="58"/>
      <c r="E41" s="67"/>
      <c r="F41" s="46"/>
      <c r="G41" s="13" t="s">
        <v>8690</v>
      </c>
      <c r="H41" s="48"/>
      <c r="I41" s="50"/>
      <c r="J41" s="46"/>
      <c r="K41" s="14" t="s">
        <v>8691</v>
      </c>
      <c r="L41" s="15"/>
    </row>
    <row r="42" spans="1:12" s="14" customFormat="1">
      <c r="A42" s="12"/>
      <c r="B42" s="69"/>
      <c r="C42" s="66" t="s">
        <v>8692</v>
      </c>
      <c r="D42" s="57" t="s">
        <v>8693</v>
      </c>
      <c r="E42" s="66" t="s">
        <v>8694</v>
      </c>
      <c r="F42" s="45" t="s">
        <v>16</v>
      </c>
      <c r="G42" s="13" t="s">
        <v>8695</v>
      </c>
      <c r="H42" s="47" t="s">
        <v>8696</v>
      </c>
      <c r="I42" s="49" t="s">
        <v>19</v>
      </c>
      <c r="J42" s="45" t="s">
        <v>8697</v>
      </c>
      <c r="K42" s="14" t="s">
        <v>8698</v>
      </c>
      <c r="L42" s="15"/>
    </row>
    <row r="43" spans="1:12" s="14" customFormat="1">
      <c r="A43" s="12"/>
      <c r="B43" s="69"/>
      <c r="C43" s="68"/>
      <c r="D43" s="58"/>
      <c r="E43" s="67"/>
      <c r="F43" s="46"/>
      <c r="G43" s="13" t="s">
        <v>8699</v>
      </c>
      <c r="H43" s="48"/>
      <c r="I43" s="50"/>
      <c r="J43" s="46"/>
      <c r="K43" s="14" t="s">
        <v>8700</v>
      </c>
      <c r="L43" s="15"/>
    </row>
    <row r="44" spans="1:12" s="14" customFormat="1">
      <c r="A44" s="12"/>
      <c r="B44" s="69"/>
      <c r="C44" s="68"/>
      <c r="D44" s="57" t="s">
        <v>8701</v>
      </c>
      <c r="E44" s="66" t="s">
        <v>8702</v>
      </c>
      <c r="F44" s="45" t="s">
        <v>38</v>
      </c>
      <c r="G44" s="13" t="s">
        <v>8703</v>
      </c>
      <c r="H44" s="47" t="s">
        <v>8704</v>
      </c>
      <c r="I44" s="49" t="s">
        <v>19</v>
      </c>
      <c r="J44" s="45" t="s">
        <v>8705</v>
      </c>
      <c r="K44" s="14" t="s">
        <v>8706</v>
      </c>
      <c r="L44" s="15"/>
    </row>
    <row r="45" spans="1:12" s="14" customFormat="1">
      <c r="A45" s="12"/>
      <c r="B45" s="69"/>
      <c r="C45" s="68"/>
      <c r="D45" s="58"/>
      <c r="E45" s="67"/>
      <c r="F45" s="46"/>
      <c r="G45" s="13" t="s">
        <v>8707</v>
      </c>
      <c r="H45" s="48"/>
      <c r="I45" s="50"/>
      <c r="J45" s="46"/>
      <c r="K45" s="14" t="s">
        <v>8708</v>
      </c>
      <c r="L45" s="15"/>
    </row>
    <row r="46" spans="1:12" s="14" customFormat="1">
      <c r="A46" s="12"/>
      <c r="B46" s="69"/>
      <c r="C46" s="68"/>
      <c r="D46" s="57" t="s">
        <v>8709</v>
      </c>
      <c r="E46" s="66" t="s">
        <v>8710</v>
      </c>
      <c r="F46" s="51" t="s">
        <v>38</v>
      </c>
      <c r="G46" s="13" t="s">
        <v>8711</v>
      </c>
      <c r="H46" s="53" t="s">
        <v>8712</v>
      </c>
      <c r="I46" s="55" t="s">
        <v>19</v>
      </c>
      <c r="J46" s="51" t="s">
        <v>8713</v>
      </c>
      <c r="K46" s="14" t="s">
        <v>8714</v>
      </c>
      <c r="L46" s="15"/>
    </row>
    <row r="47" spans="1:12" s="14" customFormat="1">
      <c r="A47" s="12"/>
      <c r="B47" s="69"/>
      <c r="C47" s="68"/>
      <c r="D47" s="58"/>
      <c r="E47" s="67"/>
      <c r="F47" s="52"/>
      <c r="G47" s="13" t="s">
        <v>8715</v>
      </c>
      <c r="H47" s="54"/>
      <c r="I47" s="56"/>
      <c r="J47" s="52"/>
      <c r="K47" s="14" t="s">
        <v>8716</v>
      </c>
      <c r="L47" s="15"/>
    </row>
    <row r="48" spans="1:12" s="14" customFormat="1">
      <c r="A48" s="12"/>
      <c r="B48" s="69"/>
      <c r="C48" s="68"/>
      <c r="D48" s="57" t="s">
        <v>8717</v>
      </c>
      <c r="E48" s="66" t="s">
        <v>8718</v>
      </c>
      <c r="F48" s="51" t="s">
        <v>38</v>
      </c>
      <c r="G48" s="13" t="s">
        <v>8719</v>
      </c>
      <c r="H48" s="53" t="s">
        <v>8720</v>
      </c>
      <c r="I48" s="55" t="s">
        <v>19</v>
      </c>
      <c r="J48" s="51" t="s">
        <v>8721</v>
      </c>
      <c r="K48" s="14" t="s">
        <v>8722</v>
      </c>
      <c r="L48" s="15"/>
    </row>
    <row r="49" spans="1:12" s="14" customFormat="1">
      <c r="A49" s="12"/>
      <c r="B49" s="69"/>
      <c r="C49" s="68"/>
      <c r="D49" s="58"/>
      <c r="E49" s="67"/>
      <c r="F49" s="52"/>
      <c r="G49" s="13" t="s">
        <v>8723</v>
      </c>
      <c r="H49" s="54"/>
      <c r="I49" s="56"/>
      <c r="J49" s="52"/>
      <c r="K49" s="14" t="s">
        <v>8724</v>
      </c>
      <c r="L49" s="15"/>
    </row>
    <row r="50" spans="1:12" s="14" customFormat="1">
      <c r="A50" s="12"/>
      <c r="B50" s="69"/>
      <c r="C50" s="68"/>
      <c r="D50" s="57" t="s">
        <v>8725</v>
      </c>
      <c r="E50" s="66" t="s">
        <v>8726</v>
      </c>
      <c r="F50" s="45" t="s">
        <v>200</v>
      </c>
      <c r="G50" s="13" t="s">
        <v>8727</v>
      </c>
      <c r="H50" s="47" t="s">
        <v>8728</v>
      </c>
      <c r="I50" s="49" t="s">
        <v>33</v>
      </c>
      <c r="J50" s="45" t="s">
        <v>8729</v>
      </c>
      <c r="K50" s="14" t="s">
        <v>8730</v>
      </c>
      <c r="L50" s="15"/>
    </row>
    <row r="51" spans="1:12" s="14" customFormat="1">
      <c r="A51" s="12"/>
      <c r="B51" s="60"/>
      <c r="C51" s="67"/>
      <c r="D51" s="58"/>
      <c r="E51" s="67"/>
      <c r="F51" s="46"/>
      <c r="G51" s="13" t="s">
        <v>8731</v>
      </c>
      <c r="H51" s="48"/>
      <c r="I51" s="50"/>
      <c r="J51" s="46"/>
      <c r="K51" s="14" t="s">
        <v>8732</v>
      </c>
      <c r="L51" s="15"/>
    </row>
    <row r="52" spans="1:12" s="14" customFormat="1">
      <c r="A52" s="12"/>
      <c r="B52" s="66" t="s">
        <v>8733</v>
      </c>
      <c r="C52" s="59" t="s">
        <v>8734</v>
      </c>
      <c r="D52" s="57" t="s">
        <v>8735</v>
      </c>
      <c r="E52" s="66" t="s">
        <v>8736</v>
      </c>
      <c r="F52" s="78" t="s">
        <v>16</v>
      </c>
      <c r="G52" s="13" t="s">
        <v>8737</v>
      </c>
      <c r="H52" s="80" t="s">
        <v>8738</v>
      </c>
      <c r="I52" s="76" t="s">
        <v>19</v>
      </c>
      <c r="J52" s="78" t="s">
        <v>8739</v>
      </c>
      <c r="K52" s="14" t="s">
        <v>8740</v>
      </c>
      <c r="L52" s="15"/>
    </row>
    <row r="53" spans="1:12" s="14" customFormat="1">
      <c r="A53" s="12"/>
      <c r="B53" s="68"/>
      <c r="C53" s="69"/>
      <c r="D53" s="58"/>
      <c r="E53" s="67"/>
      <c r="F53" s="79"/>
      <c r="G53" s="13" t="s">
        <v>8741</v>
      </c>
      <c r="H53" s="81"/>
      <c r="I53" s="77"/>
      <c r="J53" s="79"/>
      <c r="K53" s="14" t="s">
        <v>8742</v>
      </c>
      <c r="L53" s="15"/>
    </row>
    <row r="54" spans="1:12" s="14" customFormat="1">
      <c r="A54" s="12"/>
      <c r="B54" s="68"/>
      <c r="C54" s="69"/>
      <c r="D54" s="57" t="s">
        <v>8743</v>
      </c>
      <c r="E54" s="66" t="s">
        <v>8744</v>
      </c>
      <c r="F54" s="45" t="s">
        <v>38</v>
      </c>
      <c r="G54" s="13" t="s">
        <v>8745</v>
      </c>
      <c r="H54" s="47" t="s">
        <v>8746</v>
      </c>
      <c r="I54" s="49" t="s">
        <v>19</v>
      </c>
      <c r="J54" s="45" t="s">
        <v>8747</v>
      </c>
      <c r="K54" s="14" t="s">
        <v>8748</v>
      </c>
      <c r="L54" s="15"/>
    </row>
    <row r="55" spans="1:12" s="14" customFormat="1">
      <c r="A55" s="12"/>
      <c r="B55" s="68"/>
      <c r="C55" s="69"/>
      <c r="D55" s="58"/>
      <c r="E55" s="67"/>
      <c r="F55" s="46"/>
      <c r="G55" s="13" t="s">
        <v>8749</v>
      </c>
      <c r="H55" s="48"/>
      <c r="I55" s="50"/>
      <c r="J55" s="46"/>
      <c r="K55" s="14" t="s">
        <v>8750</v>
      </c>
      <c r="L55" s="15"/>
    </row>
    <row r="56" spans="1:12" s="14" customFormat="1">
      <c r="A56" s="12"/>
      <c r="B56" s="68"/>
      <c r="C56" s="69"/>
      <c r="D56" s="57" t="s">
        <v>8751</v>
      </c>
      <c r="E56" s="66" t="s">
        <v>8752</v>
      </c>
      <c r="F56" s="45" t="s">
        <v>16</v>
      </c>
      <c r="G56" s="13" t="s">
        <v>8753</v>
      </c>
      <c r="H56" s="47" t="s">
        <v>8754</v>
      </c>
      <c r="I56" s="49" t="s">
        <v>19</v>
      </c>
      <c r="J56" s="45" t="s">
        <v>8755</v>
      </c>
      <c r="K56" s="14" t="s">
        <v>8756</v>
      </c>
      <c r="L56" s="15"/>
    </row>
    <row r="57" spans="1:12" s="14" customFormat="1">
      <c r="A57" s="12"/>
      <c r="B57" s="68"/>
      <c r="C57" s="69"/>
      <c r="D57" s="58"/>
      <c r="E57" s="67"/>
      <c r="F57" s="46"/>
      <c r="G57" s="13" t="s">
        <v>8757</v>
      </c>
      <c r="H57" s="48"/>
      <c r="I57" s="50"/>
      <c r="J57" s="46"/>
      <c r="K57" s="14" t="s">
        <v>8758</v>
      </c>
      <c r="L57" s="15"/>
    </row>
    <row r="58" spans="1:12" s="14" customFormat="1">
      <c r="A58" s="12"/>
      <c r="B58" s="68"/>
      <c r="C58" s="69"/>
      <c r="D58" s="57" t="s">
        <v>8759</v>
      </c>
      <c r="E58" s="66" t="s">
        <v>8760</v>
      </c>
      <c r="F58" s="45" t="s">
        <v>38</v>
      </c>
      <c r="G58" s="13" t="s">
        <v>8761</v>
      </c>
      <c r="H58" s="47" t="s">
        <v>8762</v>
      </c>
      <c r="I58" s="49" t="s">
        <v>41</v>
      </c>
      <c r="J58" s="45" t="s">
        <v>8763</v>
      </c>
      <c r="K58" s="14" t="s">
        <v>8764</v>
      </c>
      <c r="L58" s="15"/>
    </row>
    <row r="59" spans="1:12" s="14" customFormat="1">
      <c r="A59" s="12"/>
      <c r="B59" s="68"/>
      <c r="C59" s="69"/>
      <c r="D59" s="58"/>
      <c r="E59" s="67"/>
      <c r="F59" s="46"/>
      <c r="G59" s="13" t="s">
        <v>8765</v>
      </c>
      <c r="H59" s="48"/>
      <c r="I59" s="50"/>
      <c r="J59" s="46"/>
      <c r="K59" s="14" t="s">
        <v>8766</v>
      </c>
      <c r="L59" s="15"/>
    </row>
    <row r="60" spans="1:12" s="14" customFormat="1">
      <c r="A60" s="12"/>
      <c r="B60" s="68"/>
      <c r="C60" s="69"/>
      <c r="D60" s="57" t="s">
        <v>8767</v>
      </c>
      <c r="E60" s="66" t="s">
        <v>8768</v>
      </c>
      <c r="F60" s="45" t="s">
        <v>200</v>
      </c>
      <c r="G60" s="13" t="s">
        <v>8769</v>
      </c>
      <c r="H60" s="47" t="s">
        <v>8770</v>
      </c>
      <c r="I60" s="49" t="s">
        <v>41</v>
      </c>
      <c r="J60" s="45" t="s">
        <v>8771</v>
      </c>
      <c r="K60" s="14" t="s">
        <v>8772</v>
      </c>
      <c r="L60" s="15"/>
    </row>
    <row r="61" spans="1:12" s="14" customFormat="1">
      <c r="A61" s="12"/>
      <c r="B61" s="68"/>
      <c r="C61" s="60"/>
      <c r="D61" s="58"/>
      <c r="E61" s="67"/>
      <c r="F61" s="46"/>
      <c r="G61" s="13" t="s">
        <v>8773</v>
      </c>
      <c r="H61" s="48"/>
      <c r="I61" s="50"/>
      <c r="J61" s="46"/>
      <c r="K61" s="14" t="s">
        <v>8774</v>
      </c>
      <c r="L61" s="15"/>
    </row>
    <row r="62" spans="1:12" s="14" customFormat="1" ht="14.5" customHeight="1">
      <c r="A62" s="12"/>
      <c r="B62" s="68"/>
      <c r="C62" s="59" t="s">
        <v>8775</v>
      </c>
      <c r="D62" s="57" t="s">
        <v>8776</v>
      </c>
      <c r="E62" s="66" t="s">
        <v>8777</v>
      </c>
      <c r="F62" s="45" t="s">
        <v>200</v>
      </c>
      <c r="G62" s="13" t="s">
        <v>8778</v>
      </c>
      <c r="H62" s="47" t="s">
        <v>8779</v>
      </c>
      <c r="I62" s="49" t="s">
        <v>41</v>
      </c>
      <c r="J62" s="45" t="s">
        <v>8780</v>
      </c>
      <c r="K62" s="14" t="s">
        <v>8781</v>
      </c>
      <c r="L62" s="15"/>
    </row>
    <row r="63" spans="1:12" s="14" customFormat="1">
      <c r="A63" s="12"/>
      <c r="B63" s="68"/>
      <c r="C63" s="69"/>
      <c r="D63" s="58"/>
      <c r="E63" s="67"/>
      <c r="F63" s="46"/>
      <c r="G63" s="13" t="s">
        <v>8715</v>
      </c>
      <c r="H63" s="48"/>
      <c r="I63" s="50"/>
      <c r="J63" s="46"/>
      <c r="K63" s="14" t="s">
        <v>8782</v>
      </c>
      <c r="L63" s="15"/>
    </row>
    <row r="64" spans="1:12" s="14" customFormat="1">
      <c r="A64" s="12"/>
      <c r="B64" s="68"/>
      <c r="C64" s="69"/>
      <c r="D64" s="57" t="s">
        <v>8783</v>
      </c>
      <c r="E64" s="66" t="s">
        <v>8784</v>
      </c>
      <c r="F64" s="51" t="s">
        <v>16</v>
      </c>
      <c r="G64" s="13" t="s">
        <v>8785</v>
      </c>
      <c r="H64" s="53" t="s">
        <v>8786</v>
      </c>
      <c r="I64" s="55" t="s">
        <v>33</v>
      </c>
      <c r="J64" s="51" t="s">
        <v>8787</v>
      </c>
      <c r="K64" s="14" t="s">
        <v>8788</v>
      </c>
      <c r="L64" s="15"/>
    </row>
    <row r="65" spans="1:12" s="14" customFormat="1">
      <c r="A65" s="12"/>
      <c r="B65" s="68"/>
      <c r="C65" s="69"/>
      <c r="D65" s="58"/>
      <c r="E65" s="67"/>
      <c r="F65" s="74"/>
      <c r="G65" s="13" t="s">
        <v>8789</v>
      </c>
      <c r="H65" s="75"/>
      <c r="I65" s="73"/>
      <c r="J65" s="74"/>
      <c r="K65" s="14" t="s">
        <v>8790</v>
      </c>
      <c r="L65" s="15"/>
    </row>
    <row r="66" spans="1:12" s="14" customFormat="1">
      <c r="A66" s="12"/>
      <c r="B66" s="68"/>
      <c r="C66" s="69"/>
      <c r="D66" s="57" t="s">
        <v>8791</v>
      </c>
      <c r="E66" s="66" t="s">
        <v>8792</v>
      </c>
      <c r="F66" s="74" t="s">
        <v>16</v>
      </c>
      <c r="G66" s="13" t="s">
        <v>8793</v>
      </c>
      <c r="H66" s="75" t="s">
        <v>8794</v>
      </c>
      <c r="I66" s="73" t="s">
        <v>19</v>
      </c>
      <c r="J66" s="74" t="s">
        <v>8795</v>
      </c>
      <c r="K66" s="14" t="s">
        <v>8796</v>
      </c>
      <c r="L66" s="15"/>
    </row>
    <row r="67" spans="1:12" s="14" customFormat="1">
      <c r="A67" s="12"/>
      <c r="B67" s="68"/>
      <c r="C67" s="69"/>
      <c r="D67" s="58"/>
      <c r="E67" s="67"/>
      <c r="F67" s="52"/>
      <c r="G67" s="13" t="s">
        <v>8789</v>
      </c>
      <c r="H67" s="54"/>
      <c r="I67" s="56"/>
      <c r="J67" s="52"/>
      <c r="K67" s="14" t="s">
        <v>8797</v>
      </c>
      <c r="L67" s="15"/>
    </row>
    <row r="68" spans="1:12" s="14" customFormat="1">
      <c r="A68" s="12"/>
      <c r="B68" s="68"/>
      <c r="C68" s="69"/>
      <c r="D68" s="57" t="s">
        <v>8798</v>
      </c>
      <c r="E68" s="66" t="s">
        <v>8799</v>
      </c>
      <c r="F68" s="51" t="s">
        <v>38</v>
      </c>
      <c r="G68" s="13" t="s">
        <v>8800</v>
      </c>
      <c r="H68" s="53" t="s">
        <v>8801</v>
      </c>
      <c r="I68" s="55" t="s">
        <v>19</v>
      </c>
      <c r="J68" s="51" t="s">
        <v>8802</v>
      </c>
      <c r="K68" s="14" t="s">
        <v>8803</v>
      </c>
      <c r="L68" s="15"/>
    </row>
    <row r="69" spans="1:12" s="14" customFormat="1">
      <c r="A69" s="12"/>
      <c r="B69" s="68"/>
      <c r="C69" s="69"/>
      <c r="D69" s="58"/>
      <c r="E69" s="67"/>
      <c r="F69" s="52"/>
      <c r="G69" s="13" t="s">
        <v>8804</v>
      </c>
      <c r="H69" s="54"/>
      <c r="I69" s="56"/>
      <c r="J69" s="52"/>
      <c r="K69" s="14" t="s">
        <v>8805</v>
      </c>
      <c r="L69" s="15"/>
    </row>
    <row r="70" spans="1:12" s="14" customFormat="1">
      <c r="A70" s="12"/>
      <c r="B70" s="68"/>
      <c r="C70" s="69"/>
      <c r="D70" s="57" t="s">
        <v>8806</v>
      </c>
      <c r="E70" s="66" t="s">
        <v>8807</v>
      </c>
      <c r="F70" s="51" t="s">
        <v>38</v>
      </c>
      <c r="G70" s="13" t="s">
        <v>6945</v>
      </c>
      <c r="H70" s="53" t="s">
        <v>8808</v>
      </c>
      <c r="I70" s="55" t="s">
        <v>19</v>
      </c>
      <c r="J70" s="51" t="s">
        <v>8809</v>
      </c>
      <c r="K70" s="14" t="s">
        <v>8810</v>
      </c>
      <c r="L70" s="15"/>
    </row>
    <row r="71" spans="1:12" s="14" customFormat="1">
      <c r="A71" s="12"/>
      <c r="B71" s="68"/>
      <c r="C71" s="60"/>
      <c r="D71" s="58"/>
      <c r="E71" s="67"/>
      <c r="F71" s="52"/>
      <c r="G71" s="13" t="s">
        <v>8811</v>
      </c>
      <c r="H71" s="54"/>
      <c r="I71" s="56"/>
      <c r="J71" s="52"/>
      <c r="K71" s="14" t="s">
        <v>8812</v>
      </c>
      <c r="L71" s="15"/>
    </row>
    <row r="72" spans="1:12" s="14" customFormat="1" ht="14.5" customHeight="1">
      <c r="A72" s="12"/>
      <c r="B72" s="68"/>
      <c r="C72" s="59" t="s">
        <v>8813</v>
      </c>
      <c r="D72" s="57" t="s">
        <v>8814</v>
      </c>
      <c r="E72" s="66" t="s">
        <v>8815</v>
      </c>
      <c r="F72" s="45" t="s">
        <v>16</v>
      </c>
      <c r="G72" s="13" t="s">
        <v>8816</v>
      </c>
      <c r="H72" s="47" t="s">
        <v>8817</v>
      </c>
      <c r="I72" s="49" t="s">
        <v>41</v>
      </c>
      <c r="J72" s="45" t="s">
        <v>8818</v>
      </c>
      <c r="K72" s="14" t="s">
        <v>8819</v>
      </c>
      <c r="L72" s="15"/>
    </row>
    <row r="73" spans="1:12" s="14" customFormat="1">
      <c r="A73" s="12"/>
      <c r="B73" s="68"/>
      <c r="C73" s="69"/>
      <c r="D73" s="58"/>
      <c r="E73" s="67"/>
      <c r="F73" s="46"/>
      <c r="G73" s="13" t="s">
        <v>8820</v>
      </c>
      <c r="H73" s="48"/>
      <c r="I73" s="50"/>
      <c r="J73" s="46"/>
      <c r="K73" s="14" t="s">
        <v>8821</v>
      </c>
      <c r="L73" s="15"/>
    </row>
    <row r="74" spans="1:12" s="14" customFormat="1">
      <c r="A74" s="12"/>
      <c r="B74" s="68"/>
      <c r="C74" s="69"/>
      <c r="D74" s="57" t="s">
        <v>8822</v>
      </c>
      <c r="E74" s="66" t="s">
        <v>8823</v>
      </c>
      <c r="F74" s="45" t="s">
        <v>16</v>
      </c>
      <c r="G74" s="13" t="s">
        <v>8597</v>
      </c>
      <c r="H74" s="47" t="s">
        <v>8824</v>
      </c>
      <c r="I74" s="49" t="s">
        <v>41</v>
      </c>
      <c r="J74" s="45" t="s">
        <v>3150</v>
      </c>
      <c r="K74" s="14" t="s">
        <v>8825</v>
      </c>
      <c r="L74" s="15"/>
    </row>
    <row r="75" spans="1:12" s="14" customFormat="1">
      <c r="A75" s="12"/>
      <c r="B75" s="68"/>
      <c r="C75" s="69"/>
      <c r="D75" s="58"/>
      <c r="E75" s="67"/>
      <c r="F75" s="46"/>
      <c r="G75" s="13" t="s">
        <v>8826</v>
      </c>
      <c r="H75" s="48"/>
      <c r="I75" s="50"/>
      <c r="J75" s="46"/>
      <c r="K75" s="14" t="s">
        <v>8827</v>
      </c>
      <c r="L75" s="15"/>
    </row>
    <row r="76" spans="1:12" s="14" customFormat="1">
      <c r="A76" s="12"/>
      <c r="B76" s="68"/>
      <c r="C76" s="69"/>
      <c r="D76" s="57" t="s">
        <v>8828</v>
      </c>
      <c r="E76" s="66" t="s">
        <v>8829</v>
      </c>
      <c r="F76" s="45" t="s">
        <v>38</v>
      </c>
      <c r="G76" s="13" t="s">
        <v>8830</v>
      </c>
      <c r="H76" s="47" t="s">
        <v>8831</v>
      </c>
      <c r="I76" s="49" t="s">
        <v>41</v>
      </c>
      <c r="J76" s="45" t="s">
        <v>8832</v>
      </c>
      <c r="K76" s="14" t="s">
        <v>8833</v>
      </c>
      <c r="L76" s="15"/>
    </row>
    <row r="77" spans="1:12" s="14" customFormat="1">
      <c r="A77" s="12"/>
      <c r="B77" s="68"/>
      <c r="C77" s="69"/>
      <c r="D77" s="58"/>
      <c r="E77" s="67"/>
      <c r="F77" s="46"/>
      <c r="G77" s="13" t="s">
        <v>8834</v>
      </c>
      <c r="H77" s="48"/>
      <c r="I77" s="50"/>
      <c r="J77" s="46"/>
      <c r="K77" s="14" t="s">
        <v>8835</v>
      </c>
      <c r="L77" s="15"/>
    </row>
    <row r="78" spans="1:12" s="14" customFormat="1">
      <c r="A78" s="12"/>
      <c r="B78" s="68"/>
      <c r="C78" s="69"/>
      <c r="D78" s="57" t="s">
        <v>8836</v>
      </c>
      <c r="E78" s="66" t="s">
        <v>8837</v>
      </c>
      <c r="F78" s="45" t="s">
        <v>38</v>
      </c>
      <c r="G78" s="13" t="s">
        <v>8838</v>
      </c>
      <c r="H78" s="47" t="s">
        <v>8839</v>
      </c>
      <c r="I78" s="49" t="s">
        <v>19</v>
      </c>
      <c r="J78" s="45" t="s">
        <v>8840</v>
      </c>
      <c r="K78" s="14" t="s">
        <v>8841</v>
      </c>
      <c r="L78" s="15"/>
    </row>
    <row r="79" spans="1:12" s="14" customFormat="1">
      <c r="A79" s="12"/>
      <c r="B79" s="68"/>
      <c r="C79" s="69"/>
      <c r="D79" s="58"/>
      <c r="E79" s="67"/>
      <c r="F79" s="46"/>
      <c r="G79" s="13" t="s">
        <v>8842</v>
      </c>
      <c r="H79" s="48"/>
      <c r="I79" s="50"/>
      <c r="J79" s="46"/>
      <c r="K79" s="14" t="s">
        <v>8843</v>
      </c>
      <c r="L79" s="15"/>
    </row>
    <row r="80" spans="1:12" s="14" customFormat="1">
      <c r="A80" s="12"/>
      <c r="B80" s="68"/>
      <c r="C80" s="69"/>
      <c r="D80" s="57" t="s">
        <v>8844</v>
      </c>
      <c r="E80" s="66" t="s">
        <v>8845</v>
      </c>
      <c r="F80" s="45" t="s">
        <v>16</v>
      </c>
      <c r="G80" s="13" t="s">
        <v>8846</v>
      </c>
      <c r="H80" s="47" t="s">
        <v>8847</v>
      </c>
      <c r="I80" s="49" t="s">
        <v>19</v>
      </c>
      <c r="J80" s="45" t="s">
        <v>8848</v>
      </c>
      <c r="K80" s="14" t="s">
        <v>8849</v>
      </c>
      <c r="L80" s="15"/>
    </row>
    <row r="81" spans="1:12" s="14" customFormat="1">
      <c r="A81" s="12"/>
      <c r="B81" s="68"/>
      <c r="C81" s="60"/>
      <c r="D81" s="58"/>
      <c r="E81" s="67"/>
      <c r="F81" s="46"/>
      <c r="G81" s="13" t="s">
        <v>8850</v>
      </c>
      <c r="H81" s="48"/>
      <c r="I81" s="50"/>
      <c r="J81" s="46"/>
      <c r="K81" s="14" t="s">
        <v>8851</v>
      </c>
      <c r="L81" s="15"/>
    </row>
    <row r="82" spans="1:12" s="14" customFormat="1" ht="14.5" customHeight="1">
      <c r="A82" s="12"/>
      <c r="B82" s="68"/>
      <c r="C82" s="59" t="s">
        <v>8852</v>
      </c>
      <c r="D82" s="57" t="s">
        <v>8853</v>
      </c>
      <c r="E82" s="16" t="s">
        <v>8854</v>
      </c>
      <c r="F82" s="45" t="s">
        <v>16</v>
      </c>
      <c r="G82" s="13" t="s">
        <v>8855</v>
      </c>
      <c r="H82" s="47" t="s">
        <v>8856</v>
      </c>
      <c r="I82" s="49" t="s">
        <v>19</v>
      </c>
      <c r="J82" s="45" t="s">
        <v>8857</v>
      </c>
      <c r="K82" s="14" t="s">
        <v>8858</v>
      </c>
      <c r="L82" s="15"/>
    </row>
    <row r="83" spans="1:12" s="14" customFormat="1">
      <c r="A83" s="12"/>
      <c r="B83" s="68"/>
      <c r="C83" s="69"/>
      <c r="D83" s="58"/>
      <c r="E83" s="17"/>
      <c r="F83" s="46"/>
      <c r="G83" s="13" t="s">
        <v>8715</v>
      </c>
      <c r="H83" s="48"/>
      <c r="I83" s="50"/>
      <c r="J83" s="46"/>
      <c r="K83" s="14" t="s">
        <v>8859</v>
      </c>
      <c r="L83" s="15"/>
    </row>
    <row r="84" spans="1:12" s="14" customFormat="1">
      <c r="A84" s="12"/>
      <c r="B84" s="68"/>
      <c r="C84" s="69"/>
      <c r="D84" s="57" t="s">
        <v>8860</v>
      </c>
      <c r="E84" s="66" t="s">
        <v>8861</v>
      </c>
      <c r="F84" s="45" t="s">
        <v>38</v>
      </c>
      <c r="G84" s="13" t="s">
        <v>8862</v>
      </c>
      <c r="H84" s="47" t="s">
        <v>8863</v>
      </c>
      <c r="I84" s="49" t="s">
        <v>19</v>
      </c>
      <c r="J84" s="45" t="s">
        <v>8864</v>
      </c>
      <c r="K84" s="14" t="s">
        <v>8865</v>
      </c>
      <c r="L84" s="15"/>
    </row>
    <row r="85" spans="1:12" s="14" customFormat="1">
      <c r="A85" s="12"/>
      <c r="B85" s="68"/>
      <c r="C85" s="69"/>
      <c r="D85" s="58"/>
      <c r="E85" s="67"/>
      <c r="F85" s="46"/>
      <c r="G85" s="13" t="s">
        <v>8866</v>
      </c>
      <c r="H85" s="48"/>
      <c r="I85" s="50"/>
      <c r="J85" s="46"/>
      <c r="K85" s="14" t="s">
        <v>8867</v>
      </c>
      <c r="L85" s="15"/>
    </row>
    <row r="86" spans="1:12" s="14" customFormat="1">
      <c r="A86" s="12"/>
      <c r="B86" s="68"/>
      <c r="C86" s="69"/>
      <c r="D86" s="57" t="s">
        <v>8868</v>
      </c>
      <c r="E86" s="66" t="s">
        <v>8869</v>
      </c>
      <c r="F86" s="45" t="s">
        <v>16</v>
      </c>
      <c r="G86" s="13" t="s">
        <v>8870</v>
      </c>
      <c r="H86" s="47" t="s">
        <v>8871</v>
      </c>
      <c r="I86" s="49" t="s">
        <v>19</v>
      </c>
      <c r="J86" s="45" t="s">
        <v>8872</v>
      </c>
      <c r="K86" s="14" t="s">
        <v>8873</v>
      </c>
      <c r="L86" s="15"/>
    </row>
    <row r="87" spans="1:12" s="14" customFormat="1">
      <c r="A87" s="12"/>
      <c r="B87" s="68"/>
      <c r="C87" s="69"/>
      <c r="D87" s="58"/>
      <c r="E87" s="67"/>
      <c r="F87" s="46"/>
      <c r="G87" s="13" t="s">
        <v>8874</v>
      </c>
      <c r="H87" s="48"/>
      <c r="I87" s="50"/>
      <c r="J87" s="46"/>
      <c r="K87" s="14" t="s">
        <v>8875</v>
      </c>
      <c r="L87" s="15"/>
    </row>
    <row r="88" spans="1:12" s="14" customFormat="1">
      <c r="A88" s="12"/>
      <c r="B88" s="68"/>
      <c r="C88" s="69"/>
      <c r="D88" s="57" t="s">
        <v>8876</v>
      </c>
      <c r="E88" s="66" t="s">
        <v>8877</v>
      </c>
      <c r="F88" s="45" t="s">
        <v>38</v>
      </c>
      <c r="G88" s="13" t="s">
        <v>8878</v>
      </c>
      <c r="H88" s="47" t="s">
        <v>8879</v>
      </c>
      <c r="I88" s="49" t="s">
        <v>41</v>
      </c>
      <c r="J88" s="45" t="s">
        <v>8880</v>
      </c>
      <c r="K88" s="14" t="s">
        <v>8881</v>
      </c>
      <c r="L88" s="15"/>
    </row>
    <row r="89" spans="1:12" s="14" customFormat="1">
      <c r="A89" s="12"/>
      <c r="B89" s="68"/>
      <c r="C89" s="69"/>
      <c r="D89" s="58"/>
      <c r="E89" s="67"/>
      <c r="F89" s="46"/>
      <c r="G89" s="13" t="s">
        <v>8882</v>
      </c>
      <c r="H89" s="48"/>
      <c r="I89" s="50"/>
      <c r="J89" s="46"/>
      <c r="K89" s="14" t="s">
        <v>8883</v>
      </c>
      <c r="L89" s="15"/>
    </row>
    <row r="90" spans="1:12" s="14" customFormat="1">
      <c r="A90" s="12"/>
      <c r="B90" s="68"/>
      <c r="C90" s="69"/>
      <c r="D90" s="57" t="s">
        <v>8884</v>
      </c>
      <c r="E90" s="66" t="s">
        <v>8885</v>
      </c>
      <c r="F90" s="45" t="s">
        <v>16</v>
      </c>
      <c r="G90" s="13" t="s">
        <v>8886</v>
      </c>
      <c r="H90" s="47" t="s">
        <v>8887</v>
      </c>
      <c r="I90" s="49" t="s">
        <v>41</v>
      </c>
      <c r="J90" s="45" t="s">
        <v>8888</v>
      </c>
      <c r="K90" s="14" t="s">
        <v>8889</v>
      </c>
      <c r="L90" s="15"/>
    </row>
    <row r="91" spans="1:12" s="14" customFormat="1">
      <c r="A91" s="12"/>
      <c r="B91" s="68"/>
      <c r="C91" s="60"/>
      <c r="D91" s="58"/>
      <c r="E91" s="67"/>
      <c r="F91" s="46"/>
      <c r="G91" s="13" t="s">
        <v>8890</v>
      </c>
      <c r="H91" s="48"/>
      <c r="I91" s="50"/>
      <c r="J91" s="46"/>
      <c r="K91" s="14" t="s">
        <v>8891</v>
      </c>
      <c r="L91" s="15"/>
    </row>
    <row r="92" spans="1:12" s="14" customFormat="1">
      <c r="A92" s="12"/>
      <c r="B92" s="68"/>
      <c r="C92" s="59" t="s">
        <v>8892</v>
      </c>
      <c r="D92" s="57" t="s">
        <v>8893</v>
      </c>
      <c r="E92" s="66" t="s">
        <v>8894</v>
      </c>
      <c r="F92" s="45" t="s">
        <v>38</v>
      </c>
      <c r="G92" s="13" t="s">
        <v>8895</v>
      </c>
      <c r="H92" s="47" t="s">
        <v>8896</v>
      </c>
      <c r="I92" s="49" t="s">
        <v>41</v>
      </c>
      <c r="J92" s="45" t="s">
        <v>8897</v>
      </c>
      <c r="K92" s="14" t="s">
        <v>8898</v>
      </c>
      <c r="L92" s="15"/>
    </row>
    <row r="93" spans="1:12" s="14" customFormat="1">
      <c r="A93" s="12"/>
      <c r="B93" s="68"/>
      <c r="C93" s="69"/>
      <c r="D93" s="58"/>
      <c r="E93" s="67"/>
      <c r="F93" s="46"/>
      <c r="G93" s="13" t="s">
        <v>8899</v>
      </c>
      <c r="H93" s="48"/>
      <c r="I93" s="50"/>
      <c r="J93" s="46"/>
      <c r="K93" s="14" t="s">
        <v>8900</v>
      </c>
      <c r="L93" s="15"/>
    </row>
    <row r="94" spans="1:12" s="14" customFormat="1">
      <c r="A94" s="12"/>
      <c r="B94" s="68"/>
      <c r="C94" s="69"/>
      <c r="D94" s="57" t="s">
        <v>8901</v>
      </c>
      <c r="E94" s="66" t="s">
        <v>8902</v>
      </c>
      <c r="F94" s="45" t="s">
        <v>16</v>
      </c>
      <c r="G94" s="13" t="s">
        <v>8903</v>
      </c>
      <c r="H94" s="47" t="s">
        <v>8904</v>
      </c>
      <c r="I94" s="49" t="s">
        <v>19</v>
      </c>
      <c r="J94" s="45" t="s">
        <v>8905</v>
      </c>
      <c r="K94" s="14" t="s">
        <v>8906</v>
      </c>
      <c r="L94" s="15"/>
    </row>
    <row r="95" spans="1:12" s="14" customFormat="1">
      <c r="A95" s="12"/>
      <c r="B95" s="68"/>
      <c r="C95" s="69"/>
      <c r="D95" s="58"/>
      <c r="E95" s="67"/>
      <c r="F95" s="46"/>
      <c r="G95" s="13" t="s">
        <v>8907</v>
      </c>
      <c r="H95" s="48"/>
      <c r="I95" s="50"/>
      <c r="J95" s="46"/>
      <c r="K95" s="14" t="s">
        <v>8908</v>
      </c>
      <c r="L95" s="15"/>
    </row>
    <row r="96" spans="1:12" s="14" customFormat="1">
      <c r="A96" s="12"/>
      <c r="B96" s="68"/>
      <c r="C96" s="69"/>
      <c r="D96" s="57" t="s">
        <v>8909</v>
      </c>
      <c r="E96" s="66" t="s">
        <v>8910</v>
      </c>
      <c r="F96" s="45" t="s">
        <v>16</v>
      </c>
      <c r="G96" s="13" t="s">
        <v>8911</v>
      </c>
      <c r="H96" s="47" t="s">
        <v>8912</v>
      </c>
      <c r="I96" s="49" t="s">
        <v>19</v>
      </c>
      <c r="J96" s="45" t="s">
        <v>8913</v>
      </c>
      <c r="K96" s="14" t="s">
        <v>8914</v>
      </c>
      <c r="L96" s="15"/>
    </row>
    <row r="97" spans="1:12" s="14" customFormat="1">
      <c r="A97" s="12"/>
      <c r="B97" s="68"/>
      <c r="C97" s="69"/>
      <c r="D97" s="58"/>
      <c r="E97" s="67"/>
      <c r="F97" s="46"/>
      <c r="G97" s="13" t="s">
        <v>8915</v>
      </c>
      <c r="H97" s="48"/>
      <c r="I97" s="50"/>
      <c r="J97" s="46"/>
      <c r="K97" s="14" t="s">
        <v>8916</v>
      </c>
      <c r="L97" s="15"/>
    </row>
    <row r="98" spans="1:12" s="14" customFormat="1">
      <c r="A98" s="12"/>
      <c r="B98" s="68"/>
      <c r="C98" s="69"/>
      <c r="D98" s="57" t="s">
        <v>8917</v>
      </c>
      <c r="E98" s="59" t="s">
        <v>8918</v>
      </c>
      <c r="F98" s="70" t="s">
        <v>16</v>
      </c>
      <c r="G98" s="13" t="s">
        <v>8919</v>
      </c>
      <c r="H98" s="71" t="s">
        <v>8920</v>
      </c>
      <c r="I98" s="72" t="s">
        <v>19</v>
      </c>
      <c r="J98" s="70" t="s">
        <v>8921</v>
      </c>
      <c r="K98" s="14" t="s">
        <v>8922</v>
      </c>
      <c r="L98" s="15"/>
    </row>
    <row r="99" spans="1:12" s="14" customFormat="1">
      <c r="A99" s="12"/>
      <c r="B99" s="68"/>
      <c r="C99" s="69"/>
      <c r="D99" s="58"/>
      <c r="E99" s="60"/>
      <c r="F99" s="70"/>
      <c r="G99" s="13" t="s">
        <v>8923</v>
      </c>
      <c r="H99" s="71"/>
      <c r="I99" s="72"/>
      <c r="J99" s="70"/>
      <c r="K99" s="14" t="s">
        <v>8924</v>
      </c>
      <c r="L99" s="15"/>
    </row>
    <row r="100" spans="1:12" s="14" customFormat="1">
      <c r="A100" s="12"/>
      <c r="B100" s="68"/>
      <c r="C100" s="69"/>
      <c r="D100" s="57" t="s">
        <v>8925</v>
      </c>
      <c r="E100" s="66" t="s">
        <v>8926</v>
      </c>
      <c r="F100" s="70" t="s">
        <v>38</v>
      </c>
      <c r="G100" s="13" t="s">
        <v>8927</v>
      </c>
      <c r="H100" s="71" t="s">
        <v>8928</v>
      </c>
      <c r="I100" s="72" t="s">
        <v>19</v>
      </c>
      <c r="J100" s="70" t="s">
        <v>8929</v>
      </c>
      <c r="K100" s="14" t="s">
        <v>8930</v>
      </c>
      <c r="L100" s="15"/>
    </row>
    <row r="101" spans="1:12" s="14" customFormat="1">
      <c r="A101" s="12"/>
      <c r="B101" s="68"/>
      <c r="C101" s="60"/>
      <c r="D101" s="58"/>
      <c r="E101" s="67"/>
      <c r="F101" s="70"/>
      <c r="G101" s="13" t="s">
        <v>8931</v>
      </c>
      <c r="H101" s="71"/>
      <c r="I101" s="72"/>
      <c r="J101" s="70"/>
      <c r="K101" s="14" t="s">
        <v>8932</v>
      </c>
      <c r="L101" s="15"/>
    </row>
    <row r="102" spans="1:12" s="14" customFormat="1" ht="14.5" customHeight="1">
      <c r="A102" s="12"/>
      <c r="B102" s="68"/>
      <c r="C102" s="59" t="s">
        <v>8933</v>
      </c>
      <c r="D102" s="57" t="s">
        <v>8934</v>
      </c>
      <c r="E102" s="66" t="s">
        <v>8935</v>
      </c>
      <c r="F102" s="45" t="s">
        <v>16</v>
      </c>
      <c r="G102" s="13" t="s">
        <v>8936</v>
      </c>
      <c r="H102" s="47" t="s">
        <v>8937</v>
      </c>
      <c r="I102" s="49" t="s">
        <v>19</v>
      </c>
      <c r="J102" s="45" t="s">
        <v>8938</v>
      </c>
      <c r="K102" s="14" t="s">
        <v>8939</v>
      </c>
      <c r="L102" s="15"/>
    </row>
    <row r="103" spans="1:12" s="14" customFormat="1">
      <c r="A103" s="12"/>
      <c r="B103" s="68"/>
      <c r="C103" s="69"/>
      <c r="D103" s="58"/>
      <c r="E103" s="67"/>
      <c r="F103" s="46"/>
      <c r="G103" s="13" t="s">
        <v>8940</v>
      </c>
      <c r="H103" s="48"/>
      <c r="I103" s="50"/>
      <c r="J103" s="46"/>
      <c r="K103" s="14" t="s">
        <v>8941</v>
      </c>
      <c r="L103" s="15"/>
    </row>
    <row r="104" spans="1:12" s="14" customFormat="1">
      <c r="A104" s="12"/>
      <c r="B104" s="68"/>
      <c r="C104" s="69"/>
      <c r="D104" s="57" t="s">
        <v>8942</v>
      </c>
      <c r="E104" s="66" t="s">
        <v>8943</v>
      </c>
      <c r="F104" s="45" t="s">
        <v>38</v>
      </c>
      <c r="G104" s="14" t="s">
        <v>8944</v>
      </c>
      <c r="H104" s="47" t="s">
        <v>8945</v>
      </c>
      <c r="I104" s="49" t="s">
        <v>19</v>
      </c>
      <c r="J104" s="45" t="s">
        <v>8946</v>
      </c>
      <c r="K104" s="14" t="s">
        <v>8947</v>
      </c>
      <c r="L104" s="15"/>
    </row>
    <row r="105" spans="1:12" s="14" customFormat="1">
      <c r="A105" s="12"/>
      <c r="B105" s="68"/>
      <c r="C105" s="69"/>
      <c r="D105" s="58"/>
      <c r="E105" s="67"/>
      <c r="F105" s="46"/>
      <c r="G105" s="14" t="s">
        <v>8948</v>
      </c>
      <c r="H105" s="48"/>
      <c r="I105" s="50"/>
      <c r="J105" s="46"/>
      <c r="K105" s="14" t="s">
        <v>8949</v>
      </c>
      <c r="L105" s="15"/>
    </row>
    <row r="106" spans="1:12" s="14" customFormat="1">
      <c r="A106" s="12"/>
      <c r="B106" s="68"/>
      <c r="C106" s="69"/>
      <c r="D106" s="57" t="s">
        <v>8950</v>
      </c>
      <c r="E106" s="66" t="s">
        <v>8951</v>
      </c>
      <c r="F106" s="45" t="s">
        <v>16</v>
      </c>
      <c r="G106" s="13" t="s">
        <v>8952</v>
      </c>
      <c r="H106" s="47" t="s">
        <v>8953</v>
      </c>
      <c r="I106" s="49" t="s">
        <v>19</v>
      </c>
      <c r="J106" s="45" t="s">
        <v>8954</v>
      </c>
      <c r="K106" s="14" t="s">
        <v>8955</v>
      </c>
      <c r="L106" s="15"/>
    </row>
    <row r="107" spans="1:12" s="14" customFormat="1">
      <c r="A107" s="12"/>
      <c r="B107" s="68"/>
      <c r="C107" s="69"/>
      <c r="D107" s="58"/>
      <c r="E107" s="67"/>
      <c r="F107" s="46"/>
      <c r="G107" s="13" t="s">
        <v>8956</v>
      </c>
      <c r="H107" s="48"/>
      <c r="I107" s="50"/>
      <c r="J107" s="46"/>
      <c r="K107" s="14" t="s">
        <v>8957</v>
      </c>
      <c r="L107" s="15"/>
    </row>
    <row r="108" spans="1:12" s="14" customFormat="1">
      <c r="A108" s="12"/>
      <c r="B108" s="68"/>
      <c r="C108" s="69"/>
      <c r="D108" s="57" t="s">
        <v>8958</v>
      </c>
      <c r="E108" s="59" t="s">
        <v>8959</v>
      </c>
      <c r="F108" s="45" t="s">
        <v>16</v>
      </c>
      <c r="G108" s="13" t="s">
        <v>8960</v>
      </c>
      <c r="H108" s="47" t="s">
        <v>8961</v>
      </c>
      <c r="I108" s="49" t="s">
        <v>19</v>
      </c>
      <c r="J108" s="45" t="s">
        <v>8962</v>
      </c>
      <c r="K108" s="14" t="s">
        <v>8963</v>
      </c>
      <c r="L108" s="15"/>
    </row>
    <row r="109" spans="1:12" s="14" customFormat="1">
      <c r="A109" s="12"/>
      <c r="B109" s="68"/>
      <c r="C109" s="69"/>
      <c r="D109" s="58"/>
      <c r="E109" s="60"/>
      <c r="F109" s="46"/>
      <c r="G109" s="13" t="s">
        <v>8964</v>
      </c>
      <c r="H109" s="48"/>
      <c r="I109" s="50"/>
      <c r="J109" s="46"/>
      <c r="K109" s="14" t="s">
        <v>8965</v>
      </c>
      <c r="L109" s="15"/>
    </row>
    <row r="110" spans="1:12" s="14" customFormat="1">
      <c r="A110" s="12"/>
      <c r="B110" s="68"/>
      <c r="C110" s="69"/>
      <c r="D110" s="57" t="s">
        <v>8966</v>
      </c>
      <c r="E110" s="66" t="s">
        <v>8967</v>
      </c>
      <c r="F110" s="45" t="s">
        <v>16</v>
      </c>
      <c r="G110" s="13" t="s">
        <v>8968</v>
      </c>
      <c r="H110" s="47" t="s">
        <v>8969</v>
      </c>
      <c r="I110" s="49" t="s">
        <v>41</v>
      </c>
      <c r="J110" s="45" t="s">
        <v>8970</v>
      </c>
      <c r="K110" s="14" t="s">
        <v>8971</v>
      </c>
      <c r="L110" s="15"/>
    </row>
    <row r="111" spans="1:12" s="14" customFormat="1">
      <c r="A111" s="12"/>
      <c r="B111" s="67"/>
      <c r="C111" s="60"/>
      <c r="D111" s="58"/>
      <c r="E111" s="67"/>
      <c r="F111" s="46"/>
      <c r="G111" s="13" t="s">
        <v>8972</v>
      </c>
      <c r="H111" s="48"/>
      <c r="I111" s="50"/>
      <c r="J111" s="46"/>
      <c r="K111" s="14" t="s">
        <v>8973</v>
      </c>
      <c r="L111" s="15"/>
    </row>
    <row r="112" spans="1:12" s="14" customFormat="1">
      <c r="A112" s="12"/>
      <c r="B112" s="66" t="s">
        <v>8974</v>
      </c>
      <c r="C112" s="59" t="s">
        <v>8975</v>
      </c>
      <c r="D112" s="57" t="s">
        <v>8976</v>
      </c>
      <c r="E112" s="66" t="s">
        <v>8977</v>
      </c>
      <c r="F112" s="45" t="s">
        <v>38</v>
      </c>
      <c r="G112" s="13" t="s">
        <v>8978</v>
      </c>
      <c r="H112" s="47" t="s">
        <v>8979</v>
      </c>
      <c r="I112" s="49" t="s">
        <v>19</v>
      </c>
      <c r="J112" s="45" t="s">
        <v>8980</v>
      </c>
      <c r="K112" s="14" t="s">
        <v>8981</v>
      </c>
      <c r="L112" s="15"/>
    </row>
    <row r="113" spans="1:12" s="14" customFormat="1" ht="29">
      <c r="A113" s="12"/>
      <c r="B113" s="68"/>
      <c r="C113" s="69"/>
      <c r="D113" s="58"/>
      <c r="E113" s="67"/>
      <c r="F113" s="46"/>
      <c r="G113" s="13" t="s">
        <v>8982</v>
      </c>
      <c r="H113" s="48"/>
      <c r="I113" s="50"/>
      <c r="J113" s="46"/>
      <c r="K113" s="14" t="s">
        <v>8983</v>
      </c>
      <c r="L113" s="15"/>
    </row>
    <row r="114" spans="1:12" s="14" customFormat="1">
      <c r="A114" s="12"/>
      <c r="B114" s="68"/>
      <c r="C114" s="69"/>
      <c r="D114" s="57" t="s">
        <v>8984</v>
      </c>
      <c r="E114" s="66" t="s">
        <v>8985</v>
      </c>
      <c r="F114" s="45" t="s">
        <v>38</v>
      </c>
      <c r="G114" s="13" t="s">
        <v>8986</v>
      </c>
      <c r="H114" s="47" t="s">
        <v>8987</v>
      </c>
      <c r="I114" s="49" t="s">
        <v>41</v>
      </c>
      <c r="J114" s="45" t="s">
        <v>8988</v>
      </c>
      <c r="K114" s="14" t="s">
        <v>8989</v>
      </c>
      <c r="L114" s="15"/>
    </row>
    <row r="115" spans="1:12" s="14" customFormat="1">
      <c r="A115" s="12"/>
      <c r="B115" s="68"/>
      <c r="C115" s="69"/>
      <c r="D115" s="58"/>
      <c r="E115" s="67"/>
      <c r="F115" s="46"/>
      <c r="G115" s="13" t="s">
        <v>8990</v>
      </c>
      <c r="H115" s="48"/>
      <c r="I115" s="50"/>
      <c r="J115" s="46"/>
      <c r="K115" s="14" t="s">
        <v>8991</v>
      </c>
      <c r="L115" s="15"/>
    </row>
    <row r="116" spans="1:12" s="14" customFormat="1">
      <c r="A116" s="12"/>
      <c r="B116" s="68"/>
      <c r="C116" s="69"/>
      <c r="D116" s="57" t="s">
        <v>8992</v>
      </c>
      <c r="E116" s="59" t="s">
        <v>8993</v>
      </c>
      <c r="F116" s="45" t="s">
        <v>16</v>
      </c>
      <c r="G116" s="13" t="s">
        <v>8994</v>
      </c>
      <c r="H116" s="47" t="s">
        <v>8995</v>
      </c>
      <c r="I116" s="49" t="s">
        <v>19</v>
      </c>
      <c r="J116" s="45" t="s">
        <v>8996</v>
      </c>
      <c r="K116" s="14" t="s">
        <v>8997</v>
      </c>
      <c r="L116" s="15"/>
    </row>
    <row r="117" spans="1:12" s="14" customFormat="1" ht="14.5" customHeight="1">
      <c r="A117" s="12"/>
      <c r="B117" s="68"/>
      <c r="C117" s="69"/>
      <c r="D117" s="58"/>
      <c r="E117" s="60"/>
      <c r="F117" s="46"/>
      <c r="G117" s="18" t="s">
        <v>8998</v>
      </c>
      <c r="H117" s="48"/>
      <c r="I117" s="50"/>
      <c r="J117" s="46"/>
      <c r="K117" s="14" t="s">
        <v>8999</v>
      </c>
      <c r="L117" s="15"/>
    </row>
    <row r="118" spans="1:12" s="14" customFormat="1" ht="14.5" customHeight="1">
      <c r="A118" s="12"/>
      <c r="B118" s="68"/>
      <c r="C118" s="69"/>
      <c r="D118" s="61" t="s">
        <v>9000</v>
      </c>
      <c r="E118" s="61" t="s">
        <v>9001</v>
      </c>
      <c r="F118" s="45" t="s">
        <v>200</v>
      </c>
      <c r="G118" s="13" t="s">
        <v>9002</v>
      </c>
      <c r="H118" s="47" t="s">
        <v>9003</v>
      </c>
      <c r="I118" s="49" t="s">
        <v>41</v>
      </c>
      <c r="J118" s="45" t="s">
        <v>9004</v>
      </c>
      <c r="K118" s="14" t="s">
        <v>9005</v>
      </c>
      <c r="L118" s="15"/>
    </row>
    <row r="119" spans="1:12" s="14" customFormat="1">
      <c r="A119" s="12"/>
      <c r="B119" s="68"/>
      <c r="C119" s="69"/>
      <c r="D119" s="63"/>
      <c r="E119" s="63"/>
      <c r="F119" s="46"/>
      <c r="G119" s="13" t="s">
        <v>9006</v>
      </c>
      <c r="H119" s="48"/>
      <c r="I119" s="50"/>
      <c r="J119" s="46"/>
      <c r="K119" s="14" t="s">
        <v>9007</v>
      </c>
      <c r="L119" s="15"/>
    </row>
    <row r="120" spans="1:12" s="14" customFormat="1">
      <c r="A120" s="12"/>
      <c r="B120" s="68"/>
      <c r="C120" s="69"/>
      <c r="D120" s="57" t="s">
        <v>9008</v>
      </c>
      <c r="E120" s="66" t="s">
        <v>9009</v>
      </c>
      <c r="F120" s="45" t="s">
        <v>16</v>
      </c>
      <c r="G120" s="13" t="s">
        <v>9010</v>
      </c>
      <c r="H120" s="47" t="s">
        <v>9011</v>
      </c>
      <c r="I120" s="49" t="s">
        <v>19</v>
      </c>
      <c r="J120" s="45" t="s">
        <v>9012</v>
      </c>
      <c r="K120" s="14" t="s">
        <v>9013</v>
      </c>
      <c r="L120" s="15"/>
    </row>
    <row r="121" spans="1:12" s="14" customFormat="1" ht="29">
      <c r="A121" s="12"/>
      <c r="B121" s="68"/>
      <c r="C121" s="60"/>
      <c r="D121" s="58"/>
      <c r="E121" s="67"/>
      <c r="F121" s="46"/>
      <c r="G121" s="13" t="s">
        <v>9014</v>
      </c>
      <c r="H121" s="48"/>
      <c r="I121" s="50"/>
      <c r="J121" s="46"/>
      <c r="K121" s="14" t="s">
        <v>9015</v>
      </c>
      <c r="L121" s="15"/>
    </row>
    <row r="122" spans="1:12" s="14" customFormat="1" ht="14.5" customHeight="1">
      <c r="A122" s="12"/>
      <c r="B122" s="68"/>
      <c r="C122" s="59" t="s">
        <v>9016</v>
      </c>
      <c r="D122" s="57" t="s">
        <v>9017</v>
      </c>
      <c r="E122" s="59" t="s">
        <v>9018</v>
      </c>
      <c r="F122" s="45" t="s">
        <v>38</v>
      </c>
      <c r="G122" s="13" t="s">
        <v>9019</v>
      </c>
      <c r="H122" s="47" t="s">
        <v>9020</v>
      </c>
      <c r="I122" s="49" t="s">
        <v>41</v>
      </c>
      <c r="J122" s="45" t="s">
        <v>9021</v>
      </c>
      <c r="K122" s="14" t="s">
        <v>9022</v>
      </c>
      <c r="L122" s="15"/>
    </row>
    <row r="123" spans="1:12" s="14" customFormat="1">
      <c r="A123" s="12"/>
      <c r="B123" s="68"/>
      <c r="C123" s="69"/>
      <c r="D123" s="58"/>
      <c r="E123" s="60"/>
      <c r="F123" s="46"/>
      <c r="G123" s="13" t="s">
        <v>9023</v>
      </c>
      <c r="H123" s="48"/>
      <c r="I123" s="50"/>
      <c r="J123" s="46"/>
      <c r="K123" s="14" t="s">
        <v>9024</v>
      </c>
      <c r="L123" s="15"/>
    </row>
    <row r="124" spans="1:12" s="14" customFormat="1" ht="14.5" customHeight="1">
      <c r="A124" s="12"/>
      <c r="B124" s="68"/>
      <c r="C124" s="69"/>
      <c r="D124" s="64" t="s">
        <v>9025</v>
      </c>
      <c r="E124" s="66" t="s">
        <v>9026</v>
      </c>
      <c r="F124" s="45" t="s">
        <v>16</v>
      </c>
      <c r="G124" s="13" t="s">
        <v>9027</v>
      </c>
      <c r="H124" s="47" t="s">
        <v>9028</v>
      </c>
      <c r="I124" s="49" t="s">
        <v>41</v>
      </c>
      <c r="J124" s="45" t="s">
        <v>9029</v>
      </c>
      <c r="K124" s="14" t="s">
        <v>9030</v>
      </c>
      <c r="L124" s="15"/>
    </row>
    <row r="125" spans="1:12" s="14" customFormat="1">
      <c r="A125" s="12"/>
      <c r="B125" s="68"/>
      <c r="C125" s="69"/>
      <c r="D125" s="65"/>
      <c r="E125" s="67"/>
      <c r="F125" s="46"/>
      <c r="G125" s="13" t="s">
        <v>9031</v>
      </c>
      <c r="H125" s="48"/>
      <c r="I125" s="50"/>
      <c r="J125" s="46"/>
      <c r="K125" s="14" t="s">
        <v>9032</v>
      </c>
      <c r="L125" s="15"/>
    </row>
    <row r="126" spans="1:12" s="14" customFormat="1">
      <c r="A126" s="12"/>
      <c r="B126" s="68"/>
      <c r="C126" s="69"/>
      <c r="D126" s="57" t="s">
        <v>9033</v>
      </c>
      <c r="E126" s="59" t="s">
        <v>9034</v>
      </c>
      <c r="F126" s="45" t="s">
        <v>16</v>
      </c>
      <c r="G126" s="13" t="s">
        <v>9035</v>
      </c>
      <c r="H126" s="47" t="s">
        <v>9036</v>
      </c>
      <c r="I126" s="49" t="s">
        <v>41</v>
      </c>
      <c r="J126" s="45" t="s">
        <v>9037</v>
      </c>
      <c r="K126" s="14" t="s">
        <v>9038</v>
      </c>
      <c r="L126" s="15"/>
    </row>
    <row r="127" spans="1:12" s="14" customFormat="1">
      <c r="A127" s="12"/>
      <c r="B127" s="68"/>
      <c r="C127" s="69"/>
      <c r="D127" s="58"/>
      <c r="E127" s="60"/>
      <c r="F127" s="46"/>
      <c r="G127" s="13" t="s">
        <v>9039</v>
      </c>
      <c r="H127" s="48"/>
      <c r="I127" s="50"/>
      <c r="J127" s="46"/>
      <c r="K127" s="14" t="s">
        <v>9040</v>
      </c>
      <c r="L127" s="15"/>
    </row>
    <row r="128" spans="1:12" s="14" customFormat="1">
      <c r="A128" s="12"/>
      <c r="B128" s="68"/>
      <c r="C128" s="69"/>
      <c r="D128" s="57" t="s">
        <v>9041</v>
      </c>
      <c r="E128" s="59" t="s">
        <v>9042</v>
      </c>
      <c r="F128" s="45" t="s">
        <v>38</v>
      </c>
      <c r="G128" s="13" t="s">
        <v>9043</v>
      </c>
      <c r="H128" s="47" t="s">
        <v>9044</v>
      </c>
      <c r="I128" s="49" t="s">
        <v>41</v>
      </c>
      <c r="J128" s="45" t="s">
        <v>9045</v>
      </c>
      <c r="K128" s="14" t="s">
        <v>9046</v>
      </c>
      <c r="L128" s="15"/>
    </row>
    <row r="129" spans="1:12" s="14" customFormat="1">
      <c r="A129" s="12"/>
      <c r="B129" s="68"/>
      <c r="C129" s="69"/>
      <c r="D129" s="58"/>
      <c r="E129" s="60"/>
      <c r="F129" s="46"/>
      <c r="G129" s="13" t="s">
        <v>9047</v>
      </c>
      <c r="H129" s="48"/>
      <c r="I129" s="50"/>
      <c r="J129" s="46"/>
      <c r="K129" s="14" t="s">
        <v>9048</v>
      </c>
      <c r="L129" s="15"/>
    </row>
    <row r="130" spans="1:12" s="14" customFormat="1">
      <c r="A130" s="12"/>
      <c r="B130" s="68"/>
      <c r="C130" s="69"/>
      <c r="D130" s="57" t="s">
        <v>9049</v>
      </c>
      <c r="E130" s="59" t="s">
        <v>9050</v>
      </c>
      <c r="F130" s="45" t="s">
        <v>38</v>
      </c>
      <c r="G130" s="13" t="s">
        <v>9051</v>
      </c>
      <c r="H130" s="47" t="s">
        <v>9052</v>
      </c>
      <c r="I130" s="49" t="s">
        <v>41</v>
      </c>
      <c r="J130" s="45" t="s">
        <v>9053</v>
      </c>
      <c r="K130" s="14" t="s">
        <v>9054</v>
      </c>
      <c r="L130" s="15"/>
    </row>
    <row r="131" spans="1:12" s="14" customFormat="1">
      <c r="A131" s="12"/>
      <c r="B131" s="68"/>
      <c r="C131" s="60"/>
      <c r="D131" s="58"/>
      <c r="E131" s="60"/>
      <c r="F131" s="46"/>
      <c r="G131" s="13" t="s">
        <v>9055</v>
      </c>
      <c r="H131" s="48"/>
      <c r="I131" s="50"/>
      <c r="J131" s="46"/>
      <c r="K131" s="14" t="s">
        <v>9056</v>
      </c>
      <c r="L131" s="15"/>
    </row>
    <row r="132" spans="1:12" s="14" customFormat="1" ht="14.5" customHeight="1">
      <c r="A132" s="12"/>
      <c r="B132" s="68"/>
      <c r="C132" s="59" t="s">
        <v>9057</v>
      </c>
      <c r="D132" s="57" t="s">
        <v>9058</v>
      </c>
      <c r="E132" s="66" t="s">
        <v>9059</v>
      </c>
      <c r="F132" s="45" t="s">
        <v>16</v>
      </c>
      <c r="G132" s="13" t="s">
        <v>9060</v>
      </c>
      <c r="H132" s="47" t="s">
        <v>9061</v>
      </c>
      <c r="I132" s="49" t="s">
        <v>41</v>
      </c>
      <c r="J132" s="45" t="s">
        <v>9062</v>
      </c>
      <c r="K132" s="14" t="s">
        <v>9063</v>
      </c>
      <c r="L132" s="15"/>
    </row>
    <row r="133" spans="1:12" s="14" customFormat="1">
      <c r="A133" s="12"/>
      <c r="B133" s="68"/>
      <c r="C133" s="69"/>
      <c r="D133" s="58"/>
      <c r="E133" s="67"/>
      <c r="F133" s="46"/>
      <c r="G133" s="13" t="s">
        <v>9064</v>
      </c>
      <c r="H133" s="48"/>
      <c r="I133" s="50"/>
      <c r="J133" s="46"/>
      <c r="K133" s="14" t="s">
        <v>9065</v>
      </c>
      <c r="L133" s="15"/>
    </row>
    <row r="134" spans="1:12" s="14" customFormat="1">
      <c r="A134" s="12"/>
      <c r="B134" s="68"/>
      <c r="C134" s="69"/>
      <c r="D134" s="57" t="s">
        <v>9066</v>
      </c>
      <c r="E134" s="66" t="s">
        <v>9067</v>
      </c>
      <c r="F134" s="45" t="s">
        <v>16</v>
      </c>
      <c r="G134" s="13" t="s">
        <v>9068</v>
      </c>
      <c r="H134" s="47" t="s">
        <v>9069</v>
      </c>
      <c r="I134" s="49" t="s">
        <v>19</v>
      </c>
      <c r="J134" s="45" t="s">
        <v>9070</v>
      </c>
      <c r="K134" s="14" t="s">
        <v>9071</v>
      </c>
      <c r="L134" s="15"/>
    </row>
    <row r="135" spans="1:12" s="14" customFormat="1">
      <c r="A135" s="12"/>
      <c r="B135" s="68"/>
      <c r="C135" s="69"/>
      <c r="D135" s="58"/>
      <c r="E135" s="67"/>
      <c r="F135" s="46"/>
      <c r="G135" s="13" t="s">
        <v>9072</v>
      </c>
      <c r="H135" s="48"/>
      <c r="I135" s="50"/>
      <c r="J135" s="46"/>
      <c r="K135" s="14" t="s">
        <v>9073</v>
      </c>
      <c r="L135" s="15"/>
    </row>
    <row r="136" spans="1:12" s="14" customFormat="1">
      <c r="A136" s="12"/>
      <c r="B136" s="68"/>
      <c r="C136" s="69"/>
      <c r="D136" s="57" t="s">
        <v>9074</v>
      </c>
      <c r="E136" s="66" t="s">
        <v>9075</v>
      </c>
      <c r="F136" s="45" t="s">
        <v>38</v>
      </c>
      <c r="G136" s="13" t="s">
        <v>9076</v>
      </c>
      <c r="H136" s="47" t="s">
        <v>9077</v>
      </c>
      <c r="I136" s="49" t="s">
        <v>19</v>
      </c>
      <c r="J136" s="45" t="s">
        <v>9078</v>
      </c>
      <c r="K136" s="14" t="s">
        <v>9079</v>
      </c>
      <c r="L136" s="15"/>
    </row>
    <row r="137" spans="1:12" s="14" customFormat="1">
      <c r="A137" s="12"/>
      <c r="B137" s="68"/>
      <c r="C137" s="69"/>
      <c r="D137" s="58"/>
      <c r="E137" s="67"/>
      <c r="F137" s="46"/>
      <c r="G137" s="13" t="s">
        <v>9080</v>
      </c>
      <c r="H137" s="48"/>
      <c r="I137" s="50"/>
      <c r="J137" s="46"/>
      <c r="K137" s="14" t="s">
        <v>9081</v>
      </c>
      <c r="L137" s="15"/>
    </row>
    <row r="138" spans="1:12" s="14" customFormat="1">
      <c r="A138" s="12"/>
      <c r="B138" s="68"/>
      <c r="C138" s="69"/>
      <c r="D138" s="57" t="s">
        <v>9082</v>
      </c>
      <c r="E138" s="66" t="s">
        <v>9083</v>
      </c>
      <c r="F138" s="45" t="s">
        <v>16</v>
      </c>
      <c r="G138" s="13" t="s">
        <v>9084</v>
      </c>
      <c r="H138" s="47" t="s">
        <v>9085</v>
      </c>
      <c r="I138" s="49" t="s">
        <v>19</v>
      </c>
      <c r="J138" s="45" t="s">
        <v>9086</v>
      </c>
      <c r="K138" s="14" t="s">
        <v>9087</v>
      </c>
      <c r="L138" s="15"/>
    </row>
    <row r="139" spans="1:12" s="14" customFormat="1">
      <c r="A139" s="12"/>
      <c r="B139" s="68"/>
      <c r="C139" s="69"/>
      <c r="D139" s="58"/>
      <c r="E139" s="67"/>
      <c r="F139" s="46"/>
      <c r="G139" s="13" t="s">
        <v>9088</v>
      </c>
      <c r="H139" s="48"/>
      <c r="I139" s="50"/>
      <c r="J139" s="46"/>
      <c r="K139" s="14" t="s">
        <v>9089</v>
      </c>
      <c r="L139" s="15"/>
    </row>
    <row r="140" spans="1:12" s="14" customFormat="1">
      <c r="A140" s="12"/>
      <c r="B140" s="68"/>
      <c r="C140" s="69"/>
      <c r="D140" s="57" t="s">
        <v>9090</v>
      </c>
      <c r="E140" s="59" t="s">
        <v>9091</v>
      </c>
      <c r="F140" s="45" t="s">
        <v>38</v>
      </c>
      <c r="G140" s="13" t="s">
        <v>9092</v>
      </c>
      <c r="H140" s="47" t="s">
        <v>9093</v>
      </c>
      <c r="I140" s="49" t="s">
        <v>19</v>
      </c>
      <c r="J140" s="45" t="s">
        <v>9094</v>
      </c>
      <c r="K140" s="14" t="s">
        <v>9095</v>
      </c>
      <c r="L140" s="15"/>
    </row>
    <row r="141" spans="1:12" s="14" customFormat="1">
      <c r="A141" s="12"/>
      <c r="B141" s="68"/>
      <c r="C141" s="60"/>
      <c r="D141" s="58"/>
      <c r="E141" s="60"/>
      <c r="F141" s="46"/>
      <c r="G141" s="13" t="s">
        <v>9096</v>
      </c>
      <c r="H141" s="48"/>
      <c r="I141" s="50"/>
      <c r="J141" s="46"/>
      <c r="K141" s="14" t="s">
        <v>9097</v>
      </c>
      <c r="L141" s="15"/>
    </row>
    <row r="142" spans="1:12" s="14" customFormat="1" ht="14.5" customHeight="1">
      <c r="A142" s="12"/>
      <c r="B142" s="68"/>
      <c r="C142" s="59" t="s">
        <v>9098</v>
      </c>
      <c r="D142" s="57" t="s">
        <v>9099</v>
      </c>
      <c r="E142" s="59" t="s">
        <v>9100</v>
      </c>
      <c r="F142" s="45" t="s">
        <v>16</v>
      </c>
      <c r="G142" s="13" t="s">
        <v>9101</v>
      </c>
      <c r="H142" s="47" t="s">
        <v>9102</v>
      </c>
      <c r="I142" s="49" t="s">
        <v>19</v>
      </c>
      <c r="J142" s="45" t="s">
        <v>9103</v>
      </c>
      <c r="K142" s="14" t="s">
        <v>9104</v>
      </c>
      <c r="L142" s="15"/>
    </row>
    <row r="143" spans="1:12" s="14" customFormat="1">
      <c r="A143" s="12"/>
      <c r="B143" s="68"/>
      <c r="C143" s="69"/>
      <c r="D143" s="58"/>
      <c r="E143" s="60"/>
      <c r="F143" s="46"/>
      <c r="G143" s="13" t="s">
        <v>9105</v>
      </c>
      <c r="H143" s="48"/>
      <c r="I143" s="50"/>
      <c r="J143" s="46"/>
      <c r="K143" s="14" t="s">
        <v>9106</v>
      </c>
      <c r="L143" s="15"/>
    </row>
    <row r="144" spans="1:12" s="14" customFormat="1">
      <c r="A144" s="12"/>
      <c r="B144" s="68"/>
      <c r="C144" s="69"/>
      <c r="D144" s="57" t="s">
        <v>9107</v>
      </c>
      <c r="E144" s="66" t="s">
        <v>9108</v>
      </c>
      <c r="F144" s="45" t="s">
        <v>38</v>
      </c>
      <c r="G144" s="13" t="s">
        <v>9109</v>
      </c>
      <c r="H144" s="47" t="s">
        <v>9110</v>
      </c>
      <c r="I144" s="49" t="s">
        <v>19</v>
      </c>
      <c r="J144" s="45" t="s">
        <v>9111</v>
      </c>
      <c r="K144" s="14" t="s">
        <v>9112</v>
      </c>
      <c r="L144" s="15"/>
    </row>
    <row r="145" spans="1:12" s="14" customFormat="1">
      <c r="A145" s="12"/>
      <c r="B145" s="68"/>
      <c r="C145" s="69"/>
      <c r="D145" s="58"/>
      <c r="E145" s="67"/>
      <c r="F145" s="46"/>
      <c r="G145" s="13" t="s">
        <v>9113</v>
      </c>
      <c r="H145" s="48"/>
      <c r="I145" s="50"/>
      <c r="J145" s="46"/>
      <c r="K145" s="14" t="s">
        <v>9114</v>
      </c>
      <c r="L145" s="15"/>
    </row>
    <row r="146" spans="1:12" s="14" customFormat="1">
      <c r="A146" s="12"/>
      <c r="B146" s="68"/>
      <c r="C146" s="69"/>
      <c r="D146" s="57" t="s">
        <v>9115</v>
      </c>
      <c r="E146" s="66" t="s">
        <v>9116</v>
      </c>
      <c r="F146" s="45" t="s">
        <v>16</v>
      </c>
      <c r="G146" s="13" t="s">
        <v>9117</v>
      </c>
      <c r="H146" s="47" t="s">
        <v>9118</v>
      </c>
      <c r="I146" s="49" t="s">
        <v>19</v>
      </c>
      <c r="J146" s="45" t="s">
        <v>9119</v>
      </c>
      <c r="K146" s="14" t="s">
        <v>9120</v>
      </c>
      <c r="L146" s="15"/>
    </row>
    <row r="147" spans="1:12" s="14" customFormat="1">
      <c r="A147" s="12"/>
      <c r="B147" s="68"/>
      <c r="C147" s="69"/>
      <c r="D147" s="58"/>
      <c r="E147" s="67"/>
      <c r="F147" s="46"/>
      <c r="G147" s="13" t="s">
        <v>9121</v>
      </c>
      <c r="H147" s="48"/>
      <c r="I147" s="50"/>
      <c r="J147" s="46"/>
      <c r="K147" s="14" t="s">
        <v>9122</v>
      </c>
      <c r="L147" s="15"/>
    </row>
    <row r="148" spans="1:12" s="14" customFormat="1">
      <c r="A148" s="12"/>
      <c r="B148" s="68"/>
      <c r="C148" s="69"/>
      <c r="D148" s="57" t="s">
        <v>9123</v>
      </c>
      <c r="E148" s="66" t="s">
        <v>9124</v>
      </c>
      <c r="F148" s="45" t="s">
        <v>16</v>
      </c>
      <c r="G148" s="13" t="s">
        <v>9125</v>
      </c>
      <c r="H148" s="47" t="s">
        <v>9126</v>
      </c>
      <c r="I148" s="49" t="s">
        <v>33</v>
      </c>
      <c r="J148" s="45" t="s">
        <v>9127</v>
      </c>
      <c r="K148" s="14" t="s">
        <v>9128</v>
      </c>
      <c r="L148" s="15"/>
    </row>
    <row r="149" spans="1:12" s="14" customFormat="1">
      <c r="A149" s="12"/>
      <c r="B149" s="68"/>
      <c r="C149" s="69"/>
      <c r="D149" s="58"/>
      <c r="E149" s="67"/>
      <c r="F149" s="46"/>
      <c r="G149" s="13" t="s">
        <v>9129</v>
      </c>
      <c r="H149" s="48"/>
      <c r="I149" s="50"/>
      <c r="J149" s="46"/>
      <c r="K149" s="14" t="s">
        <v>9130</v>
      </c>
      <c r="L149" s="15"/>
    </row>
    <row r="150" spans="1:12" s="14" customFormat="1">
      <c r="A150" s="12"/>
      <c r="B150" s="68"/>
      <c r="C150" s="69"/>
      <c r="D150" s="57" t="s">
        <v>9131</v>
      </c>
      <c r="E150" s="59" t="s">
        <v>9132</v>
      </c>
      <c r="F150" s="45" t="s">
        <v>38</v>
      </c>
      <c r="G150" s="13" t="s">
        <v>9133</v>
      </c>
      <c r="H150" s="47" t="s">
        <v>9134</v>
      </c>
      <c r="I150" s="49" t="s">
        <v>41</v>
      </c>
      <c r="J150" s="45" t="s">
        <v>9135</v>
      </c>
      <c r="K150" s="14" t="s">
        <v>9136</v>
      </c>
      <c r="L150" s="15"/>
    </row>
    <row r="151" spans="1:12" s="14" customFormat="1" ht="29">
      <c r="A151" s="12"/>
      <c r="B151" s="68"/>
      <c r="C151" s="60"/>
      <c r="D151" s="58"/>
      <c r="E151" s="60"/>
      <c r="F151" s="46"/>
      <c r="G151" s="13" t="s">
        <v>9137</v>
      </c>
      <c r="H151" s="48"/>
      <c r="I151" s="50"/>
      <c r="J151" s="46"/>
      <c r="K151" s="14" t="s">
        <v>9138</v>
      </c>
      <c r="L151" s="15"/>
    </row>
    <row r="152" spans="1:12" s="14" customFormat="1" ht="14.5" customHeight="1">
      <c r="A152" s="12"/>
      <c r="B152" s="68"/>
      <c r="C152" s="59" t="s">
        <v>9139</v>
      </c>
      <c r="D152" s="57" t="s">
        <v>9140</v>
      </c>
      <c r="E152" s="66" t="s">
        <v>9141</v>
      </c>
      <c r="F152" s="45" t="s">
        <v>200</v>
      </c>
      <c r="G152" s="13" t="s">
        <v>9142</v>
      </c>
      <c r="H152" s="47" t="s">
        <v>9143</v>
      </c>
      <c r="I152" s="49" t="s">
        <v>41</v>
      </c>
      <c r="J152" s="45" t="s">
        <v>9144</v>
      </c>
      <c r="K152" s="14" t="s">
        <v>9145</v>
      </c>
      <c r="L152" s="15"/>
    </row>
    <row r="153" spans="1:12" s="14" customFormat="1">
      <c r="A153" s="12"/>
      <c r="B153" s="68"/>
      <c r="C153" s="69"/>
      <c r="D153" s="58"/>
      <c r="E153" s="67"/>
      <c r="F153" s="46"/>
      <c r="G153" s="13" t="s">
        <v>9146</v>
      </c>
      <c r="H153" s="48"/>
      <c r="I153" s="50"/>
      <c r="J153" s="46"/>
      <c r="K153" s="14" t="s">
        <v>9147</v>
      </c>
      <c r="L153" s="15"/>
    </row>
    <row r="154" spans="1:12" s="14" customFormat="1">
      <c r="A154" s="12"/>
      <c r="B154" s="68"/>
      <c r="C154" s="69"/>
      <c r="D154" s="57" t="s">
        <v>9148</v>
      </c>
      <c r="E154" s="66" t="s">
        <v>9149</v>
      </c>
      <c r="F154" s="45" t="s">
        <v>16</v>
      </c>
      <c r="G154" s="13" t="s">
        <v>9150</v>
      </c>
      <c r="H154" s="47" t="s">
        <v>9151</v>
      </c>
      <c r="I154" s="49" t="s">
        <v>41</v>
      </c>
      <c r="J154" s="45" t="s">
        <v>9152</v>
      </c>
      <c r="K154" s="14" t="s">
        <v>9153</v>
      </c>
      <c r="L154" s="15"/>
    </row>
    <row r="155" spans="1:12" s="14" customFormat="1">
      <c r="A155" s="12"/>
      <c r="B155" s="68"/>
      <c r="C155" s="69"/>
      <c r="D155" s="58"/>
      <c r="E155" s="67"/>
      <c r="F155" s="46"/>
      <c r="G155" s="13" t="s">
        <v>9154</v>
      </c>
      <c r="H155" s="48"/>
      <c r="I155" s="50"/>
      <c r="J155" s="46"/>
      <c r="K155" s="14" t="s">
        <v>9155</v>
      </c>
      <c r="L155" s="15"/>
    </row>
    <row r="156" spans="1:12" s="14" customFormat="1">
      <c r="A156" s="12"/>
      <c r="B156" s="68"/>
      <c r="C156" s="69"/>
      <c r="D156" s="57" t="s">
        <v>9156</v>
      </c>
      <c r="E156" s="66" t="s">
        <v>9157</v>
      </c>
      <c r="F156" s="45" t="s">
        <v>16</v>
      </c>
      <c r="G156" s="13" t="s">
        <v>9158</v>
      </c>
      <c r="H156" s="47" t="s">
        <v>9159</v>
      </c>
      <c r="I156" s="49" t="s">
        <v>41</v>
      </c>
      <c r="J156" s="45" t="s">
        <v>9160</v>
      </c>
      <c r="K156" s="14" t="s">
        <v>9161</v>
      </c>
      <c r="L156" s="15"/>
    </row>
    <row r="157" spans="1:12" s="14" customFormat="1">
      <c r="A157" s="12"/>
      <c r="B157" s="68"/>
      <c r="C157" s="69"/>
      <c r="D157" s="58"/>
      <c r="E157" s="67"/>
      <c r="F157" s="46"/>
      <c r="G157" s="13" t="s">
        <v>9162</v>
      </c>
      <c r="H157" s="48"/>
      <c r="I157" s="50"/>
      <c r="J157" s="46"/>
      <c r="K157" s="14" t="s">
        <v>9163</v>
      </c>
      <c r="L157" s="15"/>
    </row>
    <row r="158" spans="1:12" s="14" customFormat="1">
      <c r="A158" s="12"/>
      <c r="B158" s="68"/>
      <c r="C158" s="69"/>
      <c r="D158" s="57" t="s">
        <v>9164</v>
      </c>
      <c r="E158" s="66" t="s">
        <v>9165</v>
      </c>
      <c r="F158" s="45" t="s">
        <v>38</v>
      </c>
      <c r="G158" s="13" t="s">
        <v>9166</v>
      </c>
      <c r="H158" s="47" t="s">
        <v>9167</v>
      </c>
      <c r="I158" s="49" t="s">
        <v>19</v>
      </c>
      <c r="J158" s="45" t="s">
        <v>9168</v>
      </c>
      <c r="K158" s="14" t="s">
        <v>9169</v>
      </c>
      <c r="L158" s="15"/>
    </row>
    <row r="159" spans="1:12" s="14" customFormat="1">
      <c r="A159" s="12"/>
      <c r="B159" s="68"/>
      <c r="C159" s="69"/>
      <c r="D159" s="58"/>
      <c r="E159" s="67"/>
      <c r="F159" s="46"/>
      <c r="G159" s="13" t="s">
        <v>9170</v>
      </c>
      <c r="H159" s="48"/>
      <c r="I159" s="50"/>
      <c r="J159" s="46"/>
      <c r="K159" s="14" t="s">
        <v>9171</v>
      </c>
      <c r="L159" s="15"/>
    </row>
    <row r="160" spans="1:12" s="14" customFormat="1">
      <c r="A160" s="12"/>
      <c r="B160" s="68"/>
      <c r="C160" s="69"/>
      <c r="D160" s="57" t="s">
        <v>9172</v>
      </c>
      <c r="E160" s="59" t="s">
        <v>9173</v>
      </c>
      <c r="F160" s="45" t="s">
        <v>16</v>
      </c>
      <c r="G160" s="13" t="s">
        <v>9174</v>
      </c>
      <c r="H160" s="47" t="s">
        <v>9175</v>
      </c>
      <c r="I160" s="49" t="s">
        <v>19</v>
      </c>
      <c r="J160" s="45" t="s">
        <v>9176</v>
      </c>
      <c r="K160" s="14" t="s">
        <v>9177</v>
      </c>
      <c r="L160" s="15"/>
    </row>
    <row r="161" spans="1:12" s="14" customFormat="1">
      <c r="A161" s="12"/>
      <c r="B161" s="67"/>
      <c r="C161" s="60"/>
      <c r="D161" s="58"/>
      <c r="E161" s="60"/>
      <c r="F161" s="46"/>
      <c r="G161" s="13" t="s">
        <v>9178</v>
      </c>
      <c r="H161" s="48"/>
      <c r="I161" s="50"/>
      <c r="J161" s="46"/>
      <c r="K161" s="14" t="s">
        <v>9179</v>
      </c>
      <c r="L161" s="15"/>
    </row>
    <row r="162" spans="1:12" s="14" customFormat="1" ht="14.5" customHeight="1">
      <c r="A162" s="12"/>
      <c r="B162" s="66" t="s">
        <v>9180</v>
      </c>
      <c r="C162" s="61" t="s">
        <v>9181</v>
      </c>
      <c r="D162" s="57" t="s">
        <v>9182</v>
      </c>
      <c r="E162" s="66" t="s">
        <v>9183</v>
      </c>
      <c r="F162" s="45" t="s">
        <v>38</v>
      </c>
      <c r="G162" s="13" t="s">
        <v>9184</v>
      </c>
      <c r="H162" s="47" t="s">
        <v>9185</v>
      </c>
      <c r="I162" s="49" t="s">
        <v>19</v>
      </c>
      <c r="J162" s="45" t="s">
        <v>9186</v>
      </c>
      <c r="K162" s="14" t="s">
        <v>9187</v>
      </c>
      <c r="L162" s="15"/>
    </row>
    <row r="163" spans="1:12" s="14" customFormat="1">
      <c r="A163" s="12"/>
      <c r="B163" s="68"/>
      <c r="C163" s="62"/>
      <c r="D163" s="58"/>
      <c r="E163" s="67"/>
      <c r="F163" s="46"/>
      <c r="G163" s="14" t="s">
        <v>9188</v>
      </c>
      <c r="H163" s="48"/>
      <c r="I163" s="50"/>
      <c r="J163" s="46"/>
      <c r="K163" s="14" t="s">
        <v>9189</v>
      </c>
      <c r="L163" s="15"/>
    </row>
    <row r="164" spans="1:12" s="14" customFormat="1">
      <c r="A164" s="12"/>
      <c r="B164" s="68"/>
      <c r="C164" s="62"/>
      <c r="D164" s="57" t="s">
        <v>9190</v>
      </c>
      <c r="E164" s="66" t="s">
        <v>9191</v>
      </c>
      <c r="F164" s="45" t="s">
        <v>16</v>
      </c>
      <c r="G164" s="13" t="s">
        <v>9192</v>
      </c>
      <c r="H164" s="47" t="s">
        <v>9193</v>
      </c>
      <c r="I164" s="49" t="s">
        <v>19</v>
      </c>
      <c r="J164" s="45" t="s">
        <v>9194</v>
      </c>
      <c r="K164" s="14" t="s">
        <v>9195</v>
      </c>
      <c r="L164" s="15"/>
    </row>
    <row r="165" spans="1:12" s="14" customFormat="1">
      <c r="A165" s="12"/>
      <c r="B165" s="68"/>
      <c r="C165" s="62"/>
      <c r="D165" s="58"/>
      <c r="E165" s="67"/>
      <c r="F165" s="46"/>
      <c r="G165" s="13" t="s">
        <v>9196</v>
      </c>
      <c r="H165" s="48"/>
      <c r="I165" s="50"/>
      <c r="J165" s="46"/>
      <c r="K165" s="14" t="s">
        <v>9197</v>
      </c>
      <c r="L165" s="15"/>
    </row>
    <row r="166" spans="1:12" s="14" customFormat="1">
      <c r="A166" s="12"/>
      <c r="B166" s="68"/>
      <c r="C166" s="62"/>
      <c r="D166" s="57" t="s">
        <v>9198</v>
      </c>
      <c r="E166" s="66" t="s">
        <v>9199</v>
      </c>
      <c r="F166" s="45" t="s">
        <v>38</v>
      </c>
      <c r="G166" s="13" t="s">
        <v>9200</v>
      </c>
      <c r="H166" s="47" t="s">
        <v>9201</v>
      </c>
      <c r="I166" s="49" t="s">
        <v>33</v>
      </c>
      <c r="J166" s="45" t="s">
        <v>9202</v>
      </c>
      <c r="K166" s="14" t="s">
        <v>9203</v>
      </c>
      <c r="L166" s="15"/>
    </row>
    <row r="167" spans="1:12" s="14" customFormat="1">
      <c r="A167" s="12"/>
      <c r="B167" s="68"/>
      <c r="C167" s="62"/>
      <c r="D167" s="58"/>
      <c r="E167" s="67"/>
      <c r="F167" s="46"/>
      <c r="G167" s="13" t="s">
        <v>9204</v>
      </c>
      <c r="H167" s="48"/>
      <c r="I167" s="50"/>
      <c r="J167" s="46"/>
      <c r="K167" s="14" t="s">
        <v>9205</v>
      </c>
      <c r="L167" s="15"/>
    </row>
    <row r="168" spans="1:12" s="14" customFormat="1">
      <c r="A168" s="12"/>
      <c r="B168" s="68"/>
      <c r="C168" s="62"/>
      <c r="D168" s="57" t="s">
        <v>9206</v>
      </c>
      <c r="E168" s="66" t="s">
        <v>9207</v>
      </c>
      <c r="F168" s="45" t="s">
        <v>16</v>
      </c>
      <c r="G168" s="13" t="s">
        <v>9208</v>
      </c>
      <c r="H168" s="47" t="s">
        <v>9209</v>
      </c>
      <c r="I168" s="49" t="s">
        <v>33</v>
      </c>
      <c r="J168" s="45" t="s">
        <v>9210</v>
      </c>
      <c r="K168" s="14" t="s">
        <v>9211</v>
      </c>
      <c r="L168" s="15"/>
    </row>
    <row r="169" spans="1:12" s="14" customFormat="1">
      <c r="A169" s="12"/>
      <c r="B169" s="68"/>
      <c r="C169" s="62"/>
      <c r="D169" s="58"/>
      <c r="E169" s="67"/>
      <c r="F169" s="46"/>
      <c r="G169" s="13" t="s">
        <v>9212</v>
      </c>
      <c r="H169" s="48"/>
      <c r="I169" s="50"/>
      <c r="J169" s="46"/>
      <c r="K169" s="14" t="s">
        <v>9213</v>
      </c>
      <c r="L169" s="15"/>
    </row>
    <row r="170" spans="1:12" s="14" customFormat="1">
      <c r="A170" s="12"/>
      <c r="B170" s="68"/>
      <c r="C170" s="62"/>
      <c r="D170" s="57" t="s">
        <v>9214</v>
      </c>
      <c r="E170" s="66" t="s">
        <v>9215</v>
      </c>
      <c r="F170" s="45" t="s">
        <v>38</v>
      </c>
      <c r="G170" s="13" t="s">
        <v>9216</v>
      </c>
      <c r="H170" s="47" t="s">
        <v>9217</v>
      </c>
      <c r="I170" s="49" t="s">
        <v>19</v>
      </c>
      <c r="J170" s="45" t="s">
        <v>9218</v>
      </c>
      <c r="K170" s="14" t="s">
        <v>9219</v>
      </c>
      <c r="L170" s="15"/>
    </row>
    <row r="171" spans="1:12" s="14" customFormat="1">
      <c r="A171" s="12"/>
      <c r="B171" s="68"/>
      <c r="C171" s="63"/>
      <c r="D171" s="58"/>
      <c r="E171" s="67"/>
      <c r="F171" s="46"/>
      <c r="G171" s="13" t="s">
        <v>9220</v>
      </c>
      <c r="H171" s="48"/>
      <c r="I171" s="50"/>
      <c r="J171" s="46"/>
      <c r="K171" s="14" t="s">
        <v>9221</v>
      </c>
      <c r="L171" s="15"/>
    </row>
    <row r="172" spans="1:12" s="14" customFormat="1" ht="14.5" customHeight="1">
      <c r="A172" s="12"/>
      <c r="B172" s="68"/>
      <c r="C172" s="61" t="s">
        <v>9222</v>
      </c>
      <c r="D172" s="57" t="s">
        <v>9223</v>
      </c>
      <c r="E172" s="66" t="s">
        <v>9224</v>
      </c>
      <c r="F172" s="45" t="s">
        <v>16</v>
      </c>
      <c r="G172" s="13" t="s">
        <v>9225</v>
      </c>
      <c r="H172" s="47" t="s">
        <v>9226</v>
      </c>
      <c r="I172" s="49" t="s">
        <v>19</v>
      </c>
      <c r="J172" s="45" t="s">
        <v>9227</v>
      </c>
      <c r="K172" s="14" t="s">
        <v>9228</v>
      </c>
      <c r="L172" s="15"/>
    </row>
    <row r="173" spans="1:12" s="14" customFormat="1">
      <c r="A173" s="12"/>
      <c r="B173" s="68"/>
      <c r="C173" s="62"/>
      <c r="D173" s="58"/>
      <c r="E173" s="67"/>
      <c r="F173" s="46"/>
      <c r="G173" s="13" t="s">
        <v>9229</v>
      </c>
      <c r="H173" s="48"/>
      <c r="I173" s="50"/>
      <c r="J173" s="46"/>
      <c r="K173" s="14" t="s">
        <v>9230</v>
      </c>
      <c r="L173" s="15"/>
    </row>
    <row r="174" spans="1:12" s="14" customFormat="1">
      <c r="A174" s="12"/>
      <c r="B174" s="68"/>
      <c r="C174" s="62"/>
      <c r="D174" s="57" t="s">
        <v>9231</v>
      </c>
      <c r="E174" s="66" t="s">
        <v>9232</v>
      </c>
      <c r="F174" s="45" t="s">
        <v>16</v>
      </c>
      <c r="G174" s="13" t="s">
        <v>9233</v>
      </c>
      <c r="H174" s="47" t="s">
        <v>9234</v>
      </c>
      <c r="I174" s="49" t="s">
        <v>41</v>
      </c>
      <c r="J174" s="45" t="s">
        <v>9235</v>
      </c>
      <c r="K174" s="14" t="s">
        <v>9236</v>
      </c>
      <c r="L174" s="15"/>
    </row>
    <row r="175" spans="1:12" s="14" customFormat="1">
      <c r="A175" s="12"/>
      <c r="B175" s="68"/>
      <c r="C175" s="62"/>
      <c r="D175" s="58"/>
      <c r="E175" s="67"/>
      <c r="F175" s="46"/>
      <c r="G175" s="13" t="s">
        <v>9237</v>
      </c>
      <c r="H175" s="48"/>
      <c r="I175" s="50"/>
      <c r="J175" s="46"/>
      <c r="K175" s="14" t="s">
        <v>9238</v>
      </c>
      <c r="L175" s="15"/>
    </row>
    <row r="176" spans="1:12" s="14" customFormat="1">
      <c r="A176" s="12"/>
      <c r="B176" s="68"/>
      <c r="C176" s="62"/>
      <c r="D176" s="57" t="s">
        <v>9239</v>
      </c>
      <c r="E176" s="66" t="s">
        <v>9240</v>
      </c>
      <c r="F176" s="45" t="s">
        <v>16</v>
      </c>
      <c r="G176" s="13" t="s">
        <v>9241</v>
      </c>
      <c r="H176" s="47" t="s">
        <v>9242</v>
      </c>
      <c r="I176" s="49" t="s">
        <v>41</v>
      </c>
      <c r="J176" s="45" t="s">
        <v>9243</v>
      </c>
      <c r="K176" s="14" t="s">
        <v>9244</v>
      </c>
      <c r="L176" s="15"/>
    </row>
    <row r="177" spans="1:12" s="14" customFormat="1">
      <c r="A177" s="12"/>
      <c r="B177" s="68"/>
      <c r="C177" s="62"/>
      <c r="D177" s="58"/>
      <c r="E177" s="67"/>
      <c r="F177" s="46"/>
      <c r="G177" s="13" t="s">
        <v>9245</v>
      </c>
      <c r="H177" s="48"/>
      <c r="I177" s="50"/>
      <c r="J177" s="46"/>
      <c r="K177" s="14" t="s">
        <v>9246</v>
      </c>
      <c r="L177" s="15"/>
    </row>
    <row r="178" spans="1:12" s="14" customFormat="1">
      <c r="A178" s="12"/>
      <c r="B178" s="68"/>
      <c r="C178" s="62"/>
      <c r="D178" s="57" t="s">
        <v>9247</v>
      </c>
      <c r="E178" s="66" t="s">
        <v>9248</v>
      </c>
      <c r="F178" s="45" t="s">
        <v>38</v>
      </c>
      <c r="G178" s="13" t="s">
        <v>9249</v>
      </c>
      <c r="H178" s="47" t="s">
        <v>9250</v>
      </c>
      <c r="I178" s="49" t="s">
        <v>41</v>
      </c>
      <c r="J178" s="45" t="s">
        <v>9251</v>
      </c>
      <c r="K178" s="14" t="s">
        <v>9252</v>
      </c>
      <c r="L178" s="15"/>
    </row>
    <row r="179" spans="1:12" s="14" customFormat="1">
      <c r="A179" s="12"/>
      <c r="B179" s="68"/>
      <c r="C179" s="62"/>
      <c r="D179" s="58"/>
      <c r="E179" s="67"/>
      <c r="F179" s="46"/>
      <c r="G179" s="13" t="s">
        <v>9253</v>
      </c>
      <c r="H179" s="48"/>
      <c r="I179" s="50"/>
      <c r="J179" s="46"/>
      <c r="K179" s="14" t="s">
        <v>9254</v>
      </c>
      <c r="L179" s="15"/>
    </row>
    <row r="180" spans="1:12" s="14" customFormat="1">
      <c r="A180" s="12"/>
      <c r="B180" s="68"/>
      <c r="C180" s="62"/>
      <c r="D180" s="57" t="s">
        <v>9255</v>
      </c>
      <c r="E180" s="66" t="s">
        <v>9256</v>
      </c>
      <c r="F180" s="45" t="s">
        <v>38</v>
      </c>
      <c r="G180" s="13" t="s">
        <v>9257</v>
      </c>
      <c r="H180" s="47" t="s">
        <v>9258</v>
      </c>
      <c r="I180" s="49" t="s">
        <v>41</v>
      </c>
      <c r="J180" s="45" t="s">
        <v>9259</v>
      </c>
      <c r="K180" s="14" t="s">
        <v>9260</v>
      </c>
      <c r="L180" s="15"/>
    </row>
    <row r="181" spans="1:12" s="14" customFormat="1">
      <c r="A181" s="12"/>
      <c r="B181" s="68"/>
      <c r="C181" s="63"/>
      <c r="D181" s="58"/>
      <c r="E181" s="67"/>
      <c r="F181" s="46"/>
      <c r="G181" s="13" t="s">
        <v>9261</v>
      </c>
      <c r="H181" s="48"/>
      <c r="I181" s="50"/>
      <c r="J181" s="46"/>
      <c r="K181" s="14" t="s">
        <v>9262</v>
      </c>
      <c r="L181" s="15"/>
    </row>
    <row r="182" spans="1:12" s="14" customFormat="1" ht="14.5" customHeight="1">
      <c r="A182" s="12"/>
      <c r="B182" s="68"/>
      <c r="C182" s="59" t="s">
        <v>9263</v>
      </c>
      <c r="D182" s="57" t="s">
        <v>9264</v>
      </c>
      <c r="E182" s="66" t="s">
        <v>9265</v>
      </c>
      <c r="F182" s="45" t="s">
        <v>16</v>
      </c>
      <c r="G182" s="13" t="s">
        <v>9266</v>
      </c>
      <c r="H182" s="47" t="s">
        <v>9267</v>
      </c>
      <c r="I182" s="49" t="s">
        <v>41</v>
      </c>
      <c r="J182" s="45" t="s">
        <v>9268</v>
      </c>
      <c r="K182" s="14" t="s">
        <v>9269</v>
      </c>
      <c r="L182" s="15"/>
    </row>
    <row r="183" spans="1:12" s="14" customFormat="1">
      <c r="A183" s="12"/>
      <c r="B183" s="68"/>
      <c r="C183" s="69"/>
      <c r="D183" s="58"/>
      <c r="E183" s="67"/>
      <c r="F183" s="46"/>
      <c r="G183" s="13" t="s">
        <v>9270</v>
      </c>
      <c r="H183" s="48"/>
      <c r="I183" s="50"/>
      <c r="J183" s="46"/>
      <c r="K183" s="14" t="s">
        <v>9271</v>
      </c>
      <c r="L183" s="15"/>
    </row>
    <row r="184" spans="1:12" s="14" customFormat="1">
      <c r="A184" s="12"/>
      <c r="B184" s="68"/>
      <c r="C184" s="69"/>
      <c r="D184" s="57" t="s">
        <v>9272</v>
      </c>
      <c r="E184" s="66" t="s">
        <v>9273</v>
      </c>
      <c r="F184" s="45" t="s">
        <v>16</v>
      </c>
      <c r="G184" s="13" t="s">
        <v>8646</v>
      </c>
      <c r="H184" s="47" t="s">
        <v>9274</v>
      </c>
      <c r="I184" s="49" t="s">
        <v>19</v>
      </c>
      <c r="J184" s="45" t="s">
        <v>9275</v>
      </c>
      <c r="K184" s="14" t="s">
        <v>9276</v>
      </c>
      <c r="L184" s="15"/>
    </row>
    <row r="185" spans="1:12" s="14" customFormat="1">
      <c r="A185" s="12"/>
      <c r="B185" s="68"/>
      <c r="C185" s="69"/>
      <c r="D185" s="58"/>
      <c r="E185" s="67"/>
      <c r="F185" s="46"/>
      <c r="G185" s="13" t="s">
        <v>9277</v>
      </c>
      <c r="H185" s="48"/>
      <c r="I185" s="50"/>
      <c r="J185" s="46"/>
      <c r="K185" s="14" t="s">
        <v>9278</v>
      </c>
      <c r="L185" s="15"/>
    </row>
    <row r="186" spans="1:12" s="14" customFormat="1">
      <c r="A186" s="12"/>
      <c r="B186" s="68"/>
      <c r="C186" s="69"/>
      <c r="D186" s="57" t="s">
        <v>9279</v>
      </c>
      <c r="E186" s="66" t="s">
        <v>9280</v>
      </c>
      <c r="F186" s="45" t="s">
        <v>38</v>
      </c>
      <c r="G186" s="13" t="s">
        <v>9281</v>
      </c>
      <c r="H186" s="47" t="s">
        <v>9282</v>
      </c>
      <c r="I186" s="49" t="s">
        <v>19</v>
      </c>
      <c r="J186" s="45" t="s">
        <v>9283</v>
      </c>
      <c r="K186" s="14" t="s">
        <v>9284</v>
      </c>
      <c r="L186" s="15"/>
    </row>
    <row r="187" spans="1:12" s="14" customFormat="1">
      <c r="A187" s="12"/>
      <c r="B187" s="68"/>
      <c r="C187" s="69"/>
      <c r="D187" s="58"/>
      <c r="E187" s="67"/>
      <c r="F187" s="46"/>
      <c r="G187" s="13" t="s">
        <v>9285</v>
      </c>
      <c r="H187" s="48"/>
      <c r="I187" s="50"/>
      <c r="J187" s="46"/>
      <c r="K187" s="14" t="s">
        <v>9286</v>
      </c>
      <c r="L187" s="15"/>
    </row>
    <row r="188" spans="1:12" s="14" customFormat="1">
      <c r="A188" s="12"/>
      <c r="B188" s="68"/>
      <c r="C188" s="69"/>
      <c r="D188" s="57" t="s">
        <v>9287</v>
      </c>
      <c r="E188" s="66" t="s">
        <v>9288</v>
      </c>
      <c r="F188" s="45" t="s">
        <v>16</v>
      </c>
      <c r="G188" s="13" t="s">
        <v>9289</v>
      </c>
      <c r="H188" s="47" t="s">
        <v>9290</v>
      </c>
      <c r="I188" s="49" t="s">
        <v>19</v>
      </c>
      <c r="J188" s="45" t="s">
        <v>9291</v>
      </c>
      <c r="K188" s="14" t="s">
        <v>9292</v>
      </c>
      <c r="L188" s="15"/>
    </row>
    <row r="189" spans="1:12" s="14" customFormat="1">
      <c r="A189" s="12"/>
      <c r="B189" s="68"/>
      <c r="C189" s="69"/>
      <c r="D189" s="58"/>
      <c r="E189" s="67"/>
      <c r="F189" s="46"/>
      <c r="G189" s="13" t="s">
        <v>9293</v>
      </c>
      <c r="H189" s="48"/>
      <c r="I189" s="50"/>
      <c r="J189" s="46"/>
      <c r="K189" s="14" t="s">
        <v>9294</v>
      </c>
      <c r="L189" s="15"/>
    </row>
    <row r="190" spans="1:12" s="14" customFormat="1">
      <c r="A190" s="12"/>
      <c r="B190" s="68"/>
      <c r="C190" s="69"/>
      <c r="D190" s="57" t="s">
        <v>9295</v>
      </c>
      <c r="E190" s="66" t="s">
        <v>9296</v>
      </c>
      <c r="F190" s="45" t="s">
        <v>38</v>
      </c>
      <c r="G190" s="13" t="s">
        <v>9297</v>
      </c>
      <c r="H190" s="47" t="s">
        <v>9298</v>
      </c>
      <c r="I190" s="49" t="s">
        <v>19</v>
      </c>
      <c r="J190" s="45" t="s">
        <v>9299</v>
      </c>
      <c r="K190" s="14" t="s">
        <v>9300</v>
      </c>
      <c r="L190" s="15"/>
    </row>
    <row r="191" spans="1:12" s="14" customFormat="1">
      <c r="A191" s="12"/>
      <c r="B191" s="68"/>
      <c r="C191" s="60"/>
      <c r="D191" s="58"/>
      <c r="E191" s="67"/>
      <c r="F191" s="46"/>
      <c r="G191" s="13" t="s">
        <v>9301</v>
      </c>
      <c r="H191" s="48"/>
      <c r="I191" s="50"/>
      <c r="J191" s="46"/>
      <c r="K191" s="14" t="s">
        <v>9302</v>
      </c>
      <c r="L191" s="15"/>
    </row>
    <row r="192" spans="1:12" s="14" customFormat="1" ht="14.5" customHeight="1">
      <c r="A192" s="12"/>
      <c r="B192" s="68"/>
      <c r="C192" s="61" t="s">
        <v>9303</v>
      </c>
      <c r="D192" s="57" t="s">
        <v>9304</v>
      </c>
      <c r="E192" s="66" t="s">
        <v>9305</v>
      </c>
      <c r="F192" s="45" t="s">
        <v>16</v>
      </c>
      <c r="G192" s="13" t="s">
        <v>8646</v>
      </c>
      <c r="H192" s="47" t="s">
        <v>9306</v>
      </c>
      <c r="I192" s="49" t="s">
        <v>19</v>
      </c>
      <c r="J192" s="45" t="s">
        <v>9307</v>
      </c>
      <c r="K192" s="14" t="s">
        <v>9308</v>
      </c>
      <c r="L192" s="15"/>
    </row>
    <row r="193" spans="1:12" s="14" customFormat="1">
      <c r="A193" s="12"/>
      <c r="B193" s="68"/>
      <c r="C193" s="62"/>
      <c r="D193" s="58"/>
      <c r="E193" s="67"/>
      <c r="F193" s="46"/>
      <c r="G193" s="13" t="s">
        <v>9309</v>
      </c>
      <c r="H193" s="48"/>
      <c r="I193" s="50"/>
      <c r="J193" s="46"/>
      <c r="K193" s="14" t="s">
        <v>9310</v>
      </c>
      <c r="L193" s="15"/>
    </row>
    <row r="194" spans="1:12" s="14" customFormat="1">
      <c r="A194" s="12"/>
      <c r="B194" s="68"/>
      <c r="C194" s="62"/>
      <c r="D194" s="57" t="s">
        <v>9311</v>
      </c>
      <c r="E194" s="66" t="s">
        <v>9312</v>
      </c>
      <c r="F194" s="45" t="s">
        <v>38</v>
      </c>
      <c r="G194" s="13" t="s">
        <v>9313</v>
      </c>
      <c r="H194" s="47" t="s">
        <v>9314</v>
      </c>
      <c r="I194" s="49" t="s">
        <v>19</v>
      </c>
      <c r="J194" s="45" t="s">
        <v>9315</v>
      </c>
      <c r="K194" s="14" t="s">
        <v>9316</v>
      </c>
      <c r="L194" s="15"/>
    </row>
    <row r="195" spans="1:12" s="14" customFormat="1">
      <c r="A195" s="12"/>
      <c r="B195" s="68"/>
      <c r="C195" s="62"/>
      <c r="D195" s="58"/>
      <c r="E195" s="67"/>
      <c r="F195" s="46"/>
      <c r="G195" s="14" t="s">
        <v>9317</v>
      </c>
      <c r="H195" s="48"/>
      <c r="I195" s="50"/>
      <c r="J195" s="46"/>
      <c r="K195" s="14" t="s">
        <v>9318</v>
      </c>
      <c r="L195" s="15"/>
    </row>
    <row r="196" spans="1:12" s="14" customFormat="1">
      <c r="A196" s="12"/>
      <c r="B196" s="68"/>
      <c r="C196" s="62"/>
      <c r="D196" s="57" t="s">
        <v>9319</v>
      </c>
      <c r="E196" s="66" t="s">
        <v>9320</v>
      </c>
      <c r="F196" s="45" t="s">
        <v>16</v>
      </c>
      <c r="G196" s="13" t="s">
        <v>9321</v>
      </c>
      <c r="H196" s="47" t="s">
        <v>9322</v>
      </c>
      <c r="I196" s="49" t="s">
        <v>19</v>
      </c>
      <c r="J196" s="45" t="s">
        <v>9323</v>
      </c>
      <c r="K196" s="14" t="s">
        <v>9324</v>
      </c>
      <c r="L196" s="15"/>
    </row>
    <row r="197" spans="1:12" s="14" customFormat="1">
      <c r="A197" s="12"/>
      <c r="B197" s="68"/>
      <c r="C197" s="62"/>
      <c r="D197" s="58"/>
      <c r="E197" s="67"/>
      <c r="F197" s="46"/>
      <c r="G197" s="13" t="s">
        <v>9208</v>
      </c>
      <c r="H197" s="48"/>
      <c r="I197" s="50"/>
      <c r="J197" s="46"/>
      <c r="K197" s="14" t="s">
        <v>9325</v>
      </c>
      <c r="L197" s="15"/>
    </row>
    <row r="198" spans="1:12" s="14" customFormat="1">
      <c r="A198" s="12"/>
      <c r="B198" s="68"/>
      <c r="C198" s="62"/>
      <c r="D198" s="57" t="s">
        <v>9326</v>
      </c>
      <c r="E198" s="66" t="s">
        <v>9327</v>
      </c>
      <c r="F198" s="45" t="s">
        <v>38</v>
      </c>
      <c r="G198" s="13" t="s">
        <v>9328</v>
      </c>
      <c r="H198" s="47" t="s">
        <v>9329</v>
      </c>
      <c r="I198" s="49" t="s">
        <v>19</v>
      </c>
      <c r="J198" s="45" t="s">
        <v>9330</v>
      </c>
      <c r="K198" s="14" t="s">
        <v>9331</v>
      </c>
      <c r="L198" s="15"/>
    </row>
    <row r="199" spans="1:12" s="14" customFormat="1">
      <c r="A199" s="12"/>
      <c r="B199" s="68"/>
      <c r="C199" s="62"/>
      <c r="D199" s="58"/>
      <c r="E199" s="67"/>
      <c r="F199" s="46"/>
      <c r="G199" s="13" t="s">
        <v>9332</v>
      </c>
      <c r="H199" s="48"/>
      <c r="I199" s="50"/>
      <c r="J199" s="46"/>
      <c r="K199" s="14" t="s">
        <v>9333</v>
      </c>
      <c r="L199" s="15"/>
    </row>
    <row r="200" spans="1:12" s="14" customFormat="1">
      <c r="A200" s="12"/>
      <c r="B200" s="68"/>
      <c r="C200" s="62"/>
      <c r="D200" s="57" t="s">
        <v>9334</v>
      </c>
      <c r="E200" s="66" t="s">
        <v>9335</v>
      </c>
      <c r="F200" s="45" t="s">
        <v>16</v>
      </c>
      <c r="G200" s="13" t="s">
        <v>9336</v>
      </c>
      <c r="H200" s="47" t="s">
        <v>9337</v>
      </c>
      <c r="I200" s="49" t="s">
        <v>19</v>
      </c>
      <c r="J200" s="45" t="s">
        <v>9299</v>
      </c>
      <c r="K200" s="14" t="s">
        <v>9338</v>
      </c>
      <c r="L200" s="15"/>
    </row>
    <row r="201" spans="1:12" s="14" customFormat="1">
      <c r="A201" s="12"/>
      <c r="B201" s="68"/>
      <c r="C201" s="63"/>
      <c r="D201" s="58"/>
      <c r="E201" s="67"/>
      <c r="F201" s="46"/>
      <c r="G201" s="13" t="s">
        <v>9339</v>
      </c>
      <c r="H201" s="48"/>
      <c r="I201" s="50"/>
      <c r="J201" s="46"/>
      <c r="K201" s="14" t="s">
        <v>9340</v>
      </c>
      <c r="L201" s="15"/>
    </row>
    <row r="202" spans="1:12" s="14" customFormat="1" ht="14.5" customHeight="1">
      <c r="A202" s="12"/>
      <c r="B202" s="68"/>
      <c r="C202" s="61" t="s">
        <v>9341</v>
      </c>
      <c r="D202" s="57" t="s">
        <v>9342</v>
      </c>
      <c r="E202" s="66" t="s">
        <v>9343</v>
      </c>
      <c r="F202" s="45" t="s">
        <v>200</v>
      </c>
      <c r="G202" s="13" t="s">
        <v>9344</v>
      </c>
      <c r="H202" s="47" t="s">
        <v>9345</v>
      </c>
      <c r="I202" s="49" t="s">
        <v>19</v>
      </c>
      <c r="J202" s="45" t="s">
        <v>9346</v>
      </c>
      <c r="K202" s="14" t="s">
        <v>9347</v>
      </c>
      <c r="L202" s="15"/>
    </row>
    <row r="203" spans="1:12" s="14" customFormat="1">
      <c r="A203" s="12"/>
      <c r="B203" s="68"/>
      <c r="C203" s="62"/>
      <c r="D203" s="58"/>
      <c r="E203" s="67"/>
      <c r="F203" s="46"/>
      <c r="G203" s="13" t="s">
        <v>9348</v>
      </c>
      <c r="H203" s="48"/>
      <c r="I203" s="50"/>
      <c r="J203" s="46"/>
      <c r="K203" s="14" t="s">
        <v>9349</v>
      </c>
      <c r="L203" s="15"/>
    </row>
    <row r="204" spans="1:12" s="14" customFormat="1">
      <c r="A204" s="12"/>
      <c r="B204" s="68"/>
      <c r="C204" s="62"/>
      <c r="D204" s="57" t="s">
        <v>9350</v>
      </c>
      <c r="E204" s="66" t="s">
        <v>9351</v>
      </c>
      <c r="F204" s="45" t="s">
        <v>16</v>
      </c>
      <c r="G204" s="13" t="s">
        <v>9352</v>
      </c>
      <c r="H204" s="47" t="s">
        <v>9353</v>
      </c>
      <c r="I204" s="49" t="s">
        <v>19</v>
      </c>
      <c r="J204" s="45" t="s">
        <v>9354</v>
      </c>
      <c r="K204" s="14" t="s">
        <v>9355</v>
      </c>
      <c r="L204" s="15"/>
    </row>
    <row r="205" spans="1:12" s="14" customFormat="1">
      <c r="A205" s="12"/>
      <c r="B205" s="68"/>
      <c r="C205" s="62"/>
      <c r="D205" s="58"/>
      <c r="E205" s="67"/>
      <c r="F205" s="46"/>
      <c r="G205" s="13" t="s">
        <v>9356</v>
      </c>
      <c r="H205" s="48"/>
      <c r="I205" s="50"/>
      <c r="J205" s="46"/>
      <c r="K205" s="14" t="s">
        <v>9357</v>
      </c>
      <c r="L205" s="15"/>
    </row>
    <row r="206" spans="1:12" s="14" customFormat="1">
      <c r="A206" s="12"/>
      <c r="B206" s="68"/>
      <c r="C206" s="62"/>
      <c r="D206" s="57" t="s">
        <v>9358</v>
      </c>
      <c r="E206" s="66" t="s">
        <v>9359</v>
      </c>
      <c r="F206" s="45" t="s">
        <v>16</v>
      </c>
      <c r="G206" s="13" t="s">
        <v>9360</v>
      </c>
      <c r="H206" s="47" t="s">
        <v>9361</v>
      </c>
      <c r="I206" s="49" t="s">
        <v>19</v>
      </c>
      <c r="J206" s="45" t="s">
        <v>9362</v>
      </c>
      <c r="K206" s="14" t="s">
        <v>9363</v>
      </c>
      <c r="L206" s="15"/>
    </row>
    <row r="207" spans="1:12" s="14" customFormat="1">
      <c r="A207" s="12"/>
      <c r="B207" s="68"/>
      <c r="C207" s="62"/>
      <c r="D207" s="58"/>
      <c r="E207" s="67"/>
      <c r="F207" s="46"/>
      <c r="G207" s="13" t="s">
        <v>9364</v>
      </c>
      <c r="H207" s="48"/>
      <c r="I207" s="50"/>
      <c r="J207" s="46"/>
      <c r="K207" s="14" t="s">
        <v>9365</v>
      </c>
      <c r="L207" s="15"/>
    </row>
    <row r="208" spans="1:12" s="14" customFormat="1">
      <c r="A208" s="12"/>
      <c r="B208" s="68"/>
      <c r="C208" s="62"/>
      <c r="D208" s="57" t="s">
        <v>9366</v>
      </c>
      <c r="E208" s="66" t="s">
        <v>9367</v>
      </c>
      <c r="F208" s="45" t="s">
        <v>38</v>
      </c>
      <c r="G208" s="13" t="s">
        <v>9368</v>
      </c>
      <c r="H208" s="47" t="s">
        <v>9369</v>
      </c>
      <c r="I208" s="49" t="s">
        <v>41</v>
      </c>
      <c r="J208" s="45" t="s">
        <v>9370</v>
      </c>
      <c r="K208" s="14" t="s">
        <v>9371</v>
      </c>
      <c r="L208" s="15"/>
    </row>
    <row r="209" spans="1:12" s="14" customFormat="1">
      <c r="A209" s="12"/>
      <c r="B209" s="68"/>
      <c r="C209" s="62"/>
      <c r="D209" s="58"/>
      <c r="E209" s="67"/>
      <c r="F209" s="46"/>
      <c r="G209" s="13" t="s">
        <v>9372</v>
      </c>
      <c r="H209" s="48"/>
      <c r="I209" s="50"/>
      <c r="J209" s="46"/>
      <c r="K209" s="14" t="s">
        <v>9373</v>
      </c>
      <c r="L209" s="15"/>
    </row>
    <row r="210" spans="1:12" s="14" customFormat="1">
      <c r="A210" s="12"/>
      <c r="B210" s="68"/>
      <c r="C210" s="62"/>
      <c r="D210" s="57" t="s">
        <v>9374</v>
      </c>
      <c r="E210" s="66" t="s">
        <v>9375</v>
      </c>
      <c r="F210" s="45" t="s">
        <v>38</v>
      </c>
      <c r="G210" s="13" t="s">
        <v>9376</v>
      </c>
      <c r="H210" s="47" t="s">
        <v>9377</v>
      </c>
      <c r="I210" s="49" t="s">
        <v>41</v>
      </c>
      <c r="J210" s="45" t="s">
        <v>9378</v>
      </c>
      <c r="K210" s="14" t="s">
        <v>9379</v>
      </c>
      <c r="L210" s="15"/>
    </row>
    <row r="211" spans="1:12" s="14" customFormat="1">
      <c r="A211" s="12"/>
      <c r="B211" s="68"/>
      <c r="C211" s="63"/>
      <c r="D211" s="58"/>
      <c r="E211" s="67"/>
      <c r="F211" s="46"/>
      <c r="G211" s="13" t="s">
        <v>9380</v>
      </c>
      <c r="H211" s="48"/>
      <c r="I211" s="50"/>
      <c r="J211" s="46"/>
      <c r="K211" s="14" t="s">
        <v>9381</v>
      </c>
      <c r="L211" s="15"/>
    </row>
    <row r="212" spans="1:12" s="14" customFormat="1" ht="14.5" customHeight="1">
      <c r="A212" s="19"/>
      <c r="B212" s="68"/>
      <c r="C212" s="61" t="s">
        <v>9382</v>
      </c>
      <c r="D212" s="57" t="s">
        <v>9383</v>
      </c>
      <c r="E212" s="66" t="s">
        <v>9384</v>
      </c>
      <c r="F212" s="45" t="s">
        <v>16</v>
      </c>
      <c r="G212" s="13" t="s">
        <v>9385</v>
      </c>
      <c r="H212" s="47" t="s">
        <v>9386</v>
      </c>
      <c r="I212" s="49" t="s">
        <v>19</v>
      </c>
      <c r="J212" s="45" t="s">
        <v>9387</v>
      </c>
      <c r="K212" s="14" t="s">
        <v>9388</v>
      </c>
      <c r="L212" s="15"/>
    </row>
    <row r="213" spans="1:12" s="14" customFormat="1">
      <c r="A213" s="19"/>
      <c r="B213" s="68"/>
      <c r="C213" s="62"/>
      <c r="D213" s="58"/>
      <c r="E213" s="67"/>
      <c r="F213" s="46"/>
      <c r="G213" s="13" t="s">
        <v>9389</v>
      </c>
      <c r="H213" s="48"/>
      <c r="I213" s="50"/>
      <c r="J213" s="46"/>
      <c r="K213" s="14" t="s">
        <v>9390</v>
      </c>
      <c r="L213" s="15"/>
    </row>
    <row r="214" spans="1:12" s="14" customFormat="1">
      <c r="A214" s="19"/>
      <c r="B214" s="68"/>
      <c r="C214" s="62"/>
      <c r="D214" s="57" t="s">
        <v>9391</v>
      </c>
      <c r="E214" s="66" t="s">
        <v>9392</v>
      </c>
      <c r="F214" s="45" t="s">
        <v>16</v>
      </c>
      <c r="G214" s="13" t="s">
        <v>9393</v>
      </c>
      <c r="H214" s="47" t="s">
        <v>9394</v>
      </c>
      <c r="I214" s="49" t="s">
        <v>41</v>
      </c>
      <c r="J214" s="45" t="s">
        <v>9395</v>
      </c>
      <c r="K214" s="14" t="s">
        <v>9396</v>
      </c>
      <c r="L214" s="15"/>
    </row>
    <row r="215" spans="1:12" s="14" customFormat="1">
      <c r="A215" s="19"/>
      <c r="B215" s="68"/>
      <c r="C215" s="62"/>
      <c r="D215" s="58"/>
      <c r="E215" s="67"/>
      <c r="F215" s="46"/>
      <c r="G215" s="13" t="s">
        <v>9397</v>
      </c>
      <c r="H215" s="48"/>
      <c r="I215" s="50"/>
      <c r="J215" s="46"/>
      <c r="K215" s="14" t="s">
        <v>9398</v>
      </c>
      <c r="L215" s="15"/>
    </row>
    <row r="216" spans="1:12" s="14" customFormat="1">
      <c r="A216" s="19"/>
      <c r="B216" s="68"/>
      <c r="C216" s="62"/>
      <c r="D216" s="57" t="s">
        <v>9399</v>
      </c>
      <c r="E216" s="66" t="s">
        <v>9400</v>
      </c>
      <c r="F216" s="45" t="s">
        <v>16</v>
      </c>
      <c r="G216" s="13" t="s">
        <v>9401</v>
      </c>
      <c r="H216" s="47" t="s">
        <v>9402</v>
      </c>
      <c r="I216" s="49" t="s">
        <v>41</v>
      </c>
      <c r="J216" s="45" t="s">
        <v>9403</v>
      </c>
      <c r="K216" s="14" t="s">
        <v>9404</v>
      </c>
      <c r="L216" s="15"/>
    </row>
    <row r="217" spans="1:12" s="14" customFormat="1">
      <c r="A217" s="19"/>
      <c r="B217" s="68"/>
      <c r="C217" s="62"/>
      <c r="D217" s="58"/>
      <c r="E217" s="67"/>
      <c r="F217" s="46"/>
      <c r="G217" s="13" t="s">
        <v>9405</v>
      </c>
      <c r="H217" s="48"/>
      <c r="I217" s="50"/>
      <c r="J217" s="46"/>
      <c r="K217" s="14" t="s">
        <v>9406</v>
      </c>
      <c r="L217" s="15"/>
    </row>
    <row r="218" spans="1:12" s="14" customFormat="1">
      <c r="A218" s="19"/>
      <c r="B218" s="68"/>
      <c r="C218" s="62"/>
      <c r="D218" s="57" t="s">
        <v>9407</v>
      </c>
      <c r="E218" s="66" t="s">
        <v>9408</v>
      </c>
      <c r="F218" s="45" t="s">
        <v>16</v>
      </c>
      <c r="G218" s="13" t="s">
        <v>9409</v>
      </c>
      <c r="H218" s="47" t="s">
        <v>9410</v>
      </c>
      <c r="I218" s="49" t="s">
        <v>41</v>
      </c>
      <c r="J218" s="45" t="s">
        <v>9411</v>
      </c>
      <c r="K218" s="14" t="s">
        <v>9412</v>
      </c>
      <c r="L218" s="15"/>
    </row>
    <row r="219" spans="1:12" s="14" customFormat="1">
      <c r="A219" s="19"/>
      <c r="B219" s="68"/>
      <c r="C219" s="62"/>
      <c r="D219" s="58"/>
      <c r="E219" s="67"/>
      <c r="F219" s="46"/>
      <c r="G219" s="13" t="s">
        <v>9413</v>
      </c>
      <c r="H219" s="48"/>
      <c r="I219" s="50"/>
      <c r="J219" s="46"/>
      <c r="K219" s="14" t="s">
        <v>9414</v>
      </c>
      <c r="L219" s="15"/>
    </row>
    <row r="220" spans="1:12" s="14" customFormat="1">
      <c r="A220" s="19"/>
      <c r="B220" s="68"/>
      <c r="C220" s="62"/>
      <c r="D220" s="57" t="s">
        <v>9415</v>
      </c>
      <c r="E220" s="66" t="s">
        <v>9416</v>
      </c>
      <c r="F220" s="45" t="s">
        <v>16</v>
      </c>
      <c r="G220" s="13" t="s">
        <v>9417</v>
      </c>
      <c r="H220" s="47" t="s">
        <v>9418</v>
      </c>
      <c r="I220" s="49" t="s">
        <v>41</v>
      </c>
      <c r="J220" s="45" t="s">
        <v>9419</v>
      </c>
      <c r="K220" s="14" t="s">
        <v>9420</v>
      </c>
      <c r="L220" s="15"/>
    </row>
    <row r="221" spans="1:12" s="14" customFormat="1">
      <c r="A221" s="19"/>
      <c r="B221" s="67"/>
      <c r="C221" s="63"/>
      <c r="D221" s="58"/>
      <c r="E221" s="67"/>
      <c r="F221" s="46"/>
      <c r="G221" s="13" t="s">
        <v>9421</v>
      </c>
      <c r="H221" s="48"/>
      <c r="I221" s="50"/>
      <c r="J221" s="46"/>
      <c r="K221" s="14" t="s">
        <v>9422</v>
      </c>
      <c r="L221" s="15"/>
    </row>
    <row r="222" spans="1:12" s="14" customFormat="1">
      <c r="A222" s="12"/>
      <c r="B222" s="66" t="s">
        <v>9423</v>
      </c>
      <c r="C222" s="61" t="s">
        <v>9424</v>
      </c>
      <c r="D222" s="57" t="s">
        <v>9425</v>
      </c>
      <c r="E222" s="66" t="s">
        <v>9426</v>
      </c>
      <c r="F222" s="45" t="s">
        <v>16</v>
      </c>
      <c r="G222" s="13" t="s">
        <v>8582</v>
      </c>
      <c r="H222" s="47" t="s">
        <v>9427</v>
      </c>
      <c r="I222" s="49" t="s">
        <v>19</v>
      </c>
      <c r="J222" s="45" t="s">
        <v>9428</v>
      </c>
      <c r="K222" s="14" t="s">
        <v>9429</v>
      </c>
      <c r="L222" s="15"/>
    </row>
    <row r="223" spans="1:12" s="14" customFormat="1">
      <c r="A223" s="12"/>
      <c r="B223" s="68"/>
      <c r="C223" s="62"/>
      <c r="D223" s="58"/>
      <c r="E223" s="67"/>
      <c r="F223" s="46"/>
      <c r="G223" s="13" t="s">
        <v>9430</v>
      </c>
      <c r="H223" s="48"/>
      <c r="I223" s="50"/>
      <c r="J223" s="46"/>
      <c r="K223" s="14" t="s">
        <v>9431</v>
      </c>
      <c r="L223" s="15"/>
    </row>
    <row r="224" spans="1:12" s="14" customFormat="1">
      <c r="A224" s="12"/>
      <c r="B224" s="68"/>
      <c r="C224" s="62"/>
      <c r="D224" s="57" t="s">
        <v>9432</v>
      </c>
      <c r="E224" s="66" t="s">
        <v>9433</v>
      </c>
      <c r="F224" s="45" t="s">
        <v>38</v>
      </c>
      <c r="G224" s="13" t="s">
        <v>9434</v>
      </c>
      <c r="H224" s="47" t="s">
        <v>9435</v>
      </c>
      <c r="I224" s="49" t="s">
        <v>19</v>
      </c>
      <c r="J224" s="45" t="s">
        <v>9436</v>
      </c>
      <c r="K224" s="14" t="s">
        <v>9437</v>
      </c>
      <c r="L224" s="15"/>
    </row>
    <row r="225" spans="1:12" s="14" customFormat="1">
      <c r="A225" s="12"/>
      <c r="B225" s="68"/>
      <c r="C225" s="62"/>
      <c r="D225" s="58"/>
      <c r="E225" s="67"/>
      <c r="F225" s="46"/>
      <c r="G225" s="13" t="s">
        <v>8586</v>
      </c>
      <c r="H225" s="48"/>
      <c r="I225" s="50"/>
      <c r="J225" s="46"/>
      <c r="K225" s="14" t="s">
        <v>9438</v>
      </c>
      <c r="L225" s="15"/>
    </row>
    <row r="226" spans="1:12" s="14" customFormat="1">
      <c r="A226" s="12"/>
      <c r="B226" s="68"/>
      <c r="C226" s="62"/>
      <c r="D226" s="57" t="s">
        <v>9439</v>
      </c>
      <c r="E226" s="66" t="s">
        <v>9440</v>
      </c>
      <c r="F226" s="45" t="s">
        <v>16</v>
      </c>
      <c r="G226" s="13" t="s">
        <v>9441</v>
      </c>
      <c r="H226" s="47" t="s">
        <v>9442</v>
      </c>
      <c r="I226" s="49" t="s">
        <v>41</v>
      </c>
      <c r="J226" s="45" t="s">
        <v>9443</v>
      </c>
      <c r="K226" s="14" t="s">
        <v>9444</v>
      </c>
      <c r="L226" s="15"/>
    </row>
    <row r="227" spans="1:12" s="14" customFormat="1">
      <c r="A227" s="12"/>
      <c r="B227" s="68"/>
      <c r="C227" s="62"/>
      <c r="D227" s="58"/>
      <c r="E227" s="67"/>
      <c r="F227" s="46"/>
      <c r="G227" s="13" t="s">
        <v>9445</v>
      </c>
      <c r="H227" s="48"/>
      <c r="I227" s="50"/>
      <c r="J227" s="46"/>
      <c r="K227" s="14" t="s">
        <v>9446</v>
      </c>
      <c r="L227" s="15"/>
    </row>
    <row r="228" spans="1:12" s="14" customFormat="1">
      <c r="A228" s="12"/>
      <c r="B228" s="68"/>
      <c r="C228" s="62"/>
      <c r="D228" s="57" t="s">
        <v>9447</v>
      </c>
      <c r="E228" s="66" t="s">
        <v>9448</v>
      </c>
      <c r="F228" s="45" t="s">
        <v>38</v>
      </c>
      <c r="G228" s="13" t="s">
        <v>9449</v>
      </c>
      <c r="H228" s="47" t="s">
        <v>9450</v>
      </c>
      <c r="I228" s="49" t="s">
        <v>19</v>
      </c>
      <c r="J228" s="45" t="s">
        <v>9451</v>
      </c>
      <c r="K228" s="14" t="s">
        <v>9452</v>
      </c>
      <c r="L228" s="15"/>
    </row>
    <row r="229" spans="1:12" s="14" customFormat="1">
      <c r="A229" s="12"/>
      <c r="B229" s="68"/>
      <c r="C229" s="62"/>
      <c r="D229" s="58"/>
      <c r="E229" s="67"/>
      <c r="F229" s="46"/>
      <c r="G229" s="13" t="s">
        <v>9453</v>
      </c>
      <c r="H229" s="48"/>
      <c r="I229" s="50"/>
      <c r="J229" s="46"/>
      <c r="K229" s="14" t="s">
        <v>9454</v>
      </c>
      <c r="L229" s="15"/>
    </row>
    <row r="230" spans="1:12" s="14" customFormat="1">
      <c r="A230" s="12"/>
      <c r="B230" s="68"/>
      <c r="C230" s="62"/>
      <c r="D230" s="57" t="s">
        <v>9455</v>
      </c>
      <c r="E230" s="66" t="s">
        <v>9456</v>
      </c>
      <c r="F230" s="45" t="s">
        <v>38</v>
      </c>
      <c r="G230" s="13" t="s">
        <v>9457</v>
      </c>
      <c r="H230" s="47" t="s">
        <v>9458</v>
      </c>
      <c r="I230" s="49" t="s">
        <v>41</v>
      </c>
      <c r="J230" s="45" t="s">
        <v>9459</v>
      </c>
      <c r="K230" s="14" t="s">
        <v>9460</v>
      </c>
      <c r="L230" s="15"/>
    </row>
    <row r="231" spans="1:12" s="14" customFormat="1">
      <c r="A231" s="12"/>
      <c r="B231" s="68"/>
      <c r="C231" s="63"/>
      <c r="D231" s="58"/>
      <c r="E231" s="67"/>
      <c r="F231" s="46"/>
      <c r="G231" s="13" t="s">
        <v>9461</v>
      </c>
      <c r="H231" s="48"/>
      <c r="I231" s="50"/>
      <c r="J231" s="46"/>
      <c r="K231" s="14" t="s">
        <v>9462</v>
      </c>
      <c r="L231" s="15"/>
    </row>
    <row r="232" spans="1:12" s="14" customFormat="1" ht="14.5" customHeight="1">
      <c r="A232" s="12"/>
      <c r="B232" s="68"/>
      <c r="C232" s="61" t="s">
        <v>9463</v>
      </c>
      <c r="D232" s="57" t="s">
        <v>9464</v>
      </c>
      <c r="E232" s="66" t="s">
        <v>9465</v>
      </c>
      <c r="F232" s="45" t="s">
        <v>16</v>
      </c>
      <c r="G232" s="13" t="s">
        <v>9466</v>
      </c>
      <c r="H232" s="47" t="s">
        <v>9467</v>
      </c>
      <c r="I232" s="49" t="s">
        <v>19</v>
      </c>
      <c r="J232" s="45" t="s">
        <v>9468</v>
      </c>
      <c r="K232" s="14" t="s">
        <v>9469</v>
      </c>
      <c r="L232" s="15"/>
    </row>
    <row r="233" spans="1:12" s="14" customFormat="1">
      <c r="A233" s="12"/>
      <c r="B233" s="68"/>
      <c r="C233" s="62"/>
      <c r="D233" s="58"/>
      <c r="E233" s="67"/>
      <c r="F233" s="46"/>
      <c r="G233" s="13" t="s">
        <v>9470</v>
      </c>
      <c r="H233" s="48"/>
      <c r="I233" s="50"/>
      <c r="J233" s="46"/>
      <c r="K233" s="14" t="s">
        <v>9471</v>
      </c>
      <c r="L233" s="15"/>
    </row>
    <row r="234" spans="1:12" s="14" customFormat="1">
      <c r="A234" s="12"/>
      <c r="B234" s="68"/>
      <c r="C234" s="62"/>
      <c r="D234" s="57" t="s">
        <v>9472</v>
      </c>
      <c r="E234" s="66" t="s">
        <v>9473</v>
      </c>
      <c r="F234" s="45" t="s">
        <v>38</v>
      </c>
      <c r="G234" s="13" t="s">
        <v>9474</v>
      </c>
      <c r="H234" s="47" t="s">
        <v>9475</v>
      </c>
      <c r="I234" s="49" t="s">
        <v>41</v>
      </c>
      <c r="J234" s="45" t="s">
        <v>9476</v>
      </c>
      <c r="K234" s="14" t="s">
        <v>9477</v>
      </c>
      <c r="L234" s="15"/>
    </row>
    <row r="235" spans="1:12" s="14" customFormat="1">
      <c r="A235" s="12"/>
      <c r="B235" s="68"/>
      <c r="C235" s="62"/>
      <c r="D235" s="58"/>
      <c r="E235" s="67"/>
      <c r="F235" s="46"/>
      <c r="G235" s="13" t="s">
        <v>8586</v>
      </c>
      <c r="H235" s="48"/>
      <c r="I235" s="50"/>
      <c r="J235" s="46"/>
      <c r="K235" s="14" t="s">
        <v>9478</v>
      </c>
      <c r="L235" s="15"/>
    </row>
    <row r="236" spans="1:12" s="14" customFormat="1">
      <c r="A236" s="12"/>
      <c r="B236" s="68"/>
      <c r="C236" s="62"/>
      <c r="D236" s="57" t="s">
        <v>9479</v>
      </c>
      <c r="E236" s="66" t="s">
        <v>9480</v>
      </c>
      <c r="F236" s="45" t="s">
        <v>16</v>
      </c>
      <c r="G236" s="13" t="s">
        <v>9481</v>
      </c>
      <c r="H236" s="47" t="s">
        <v>9482</v>
      </c>
      <c r="I236" s="49" t="s">
        <v>41</v>
      </c>
      <c r="J236" s="45" t="s">
        <v>9483</v>
      </c>
      <c r="K236" s="14" t="s">
        <v>9484</v>
      </c>
      <c r="L236" s="15"/>
    </row>
    <row r="237" spans="1:12" s="14" customFormat="1">
      <c r="A237" s="12"/>
      <c r="B237" s="68"/>
      <c r="C237" s="62"/>
      <c r="D237" s="58"/>
      <c r="E237" s="67"/>
      <c r="F237" s="46"/>
      <c r="G237" s="13" t="s">
        <v>9485</v>
      </c>
      <c r="H237" s="48"/>
      <c r="I237" s="50"/>
      <c r="J237" s="46"/>
      <c r="K237" s="14" t="s">
        <v>9486</v>
      </c>
      <c r="L237" s="15"/>
    </row>
    <row r="238" spans="1:12" s="14" customFormat="1">
      <c r="A238" s="12"/>
      <c r="B238" s="68"/>
      <c r="C238" s="62"/>
      <c r="D238" s="57" t="s">
        <v>9487</v>
      </c>
      <c r="E238" s="59" t="s">
        <v>9488</v>
      </c>
      <c r="F238" s="45" t="s">
        <v>16</v>
      </c>
      <c r="G238" s="13" t="s">
        <v>9489</v>
      </c>
      <c r="H238" s="47" t="s">
        <v>9490</v>
      </c>
      <c r="I238" s="49" t="s">
        <v>41</v>
      </c>
      <c r="J238" s="45" t="s">
        <v>9491</v>
      </c>
      <c r="K238" s="14" t="s">
        <v>9492</v>
      </c>
      <c r="L238" s="15"/>
    </row>
    <row r="239" spans="1:12" s="14" customFormat="1">
      <c r="A239" s="12"/>
      <c r="B239" s="68"/>
      <c r="C239" s="62"/>
      <c r="D239" s="58"/>
      <c r="E239" s="60"/>
      <c r="F239" s="46"/>
      <c r="G239" s="13" t="s">
        <v>9453</v>
      </c>
      <c r="H239" s="48"/>
      <c r="I239" s="50"/>
      <c r="J239" s="46"/>
      <c r="K239" s="14" t="s">
        <v>9493</v>
      </c>
      <c r="L239" s="15"/>
    </row>
    <row r="240" spans="1:12" s="14" customFormat="1">
      <c r="A240" s="12"/>
      <c r="B240" s="68"/>
      <c r="C240" s="62"/>
      <c r="D240" s="57" t="s">
        <v>9494</v>
      </c>
      <c r="E240" s="59" t="s">
        <v>9495</v>
      </c>
      <c r="F240" s="45" t="s">
        <v>16</v>
      </c>
      <c r="G240" s="13" t="s">
        <v>9496</v>
      </c>
      <c r="H240" s="47" t="s">
        <v>9497</v>
      </c>
      <c r="I240" s="49" t="s">
        <v>41</v>
      </c>
      <c r="J240" s="45" t="s">
        <v>9498</v>
      </c>
      <c r="K240" s="14" t="s">
        <v>9499</v>
      </c>
      <c r="L240" s="15"/>
    </row>
    <row r="241" spans="1:12" s="14" customFormat="1">
      <c r="A241" s="12"/>
      <c r="B241" s="68"/>
      <c r="C241" s="63"/>
      <c r="D241" s="58"/>
      <c r="E241" s="60"/>
      <c r="F241" s="46"/>
      <c r="G241" s="13" t="s">
        <v>9500</v>
      </c>
      <c r="H241" s="48"/>
      <c r="I241" s="50"/>
      <c r="J241" s="46"/>
      <c r="K241" s="14" t="s">
        <v>9501</v>
      </c>
      <c r="L241" s="15"/>
    </row>
    <row r="242" spans="1:12" s="14" customFormat="1" ht="14.5" customHeight="1">
      <c r="A242" s="12"/>
      <c r="B242" s="68"/>
      <c r="C242" s="61" t="s">
        <v>9502</v>
      </c>
      <c r="D242" s="57" t="s">
        <v>9503</v>
      </c>
      <c r="E242" s="66" t="s">
        <v>9504</v>
      </c>
      <c r="F242" s="45" t="s">
        <v>38</v>
      </c>
      <c r="G242" s="13" t="s">
        <v>9505</v>
      </c>
      <c r="H242" s="47" t="s">
        <v>9506</v>
      </c>
      <c r="I242" s="49" t="s">
        <v>19</v>
      </c>
      <c r="J242" s="45" t="s">
        <v>9507</v>
      </c>
      <c r="K242" s="14" t="s">
        <v>9508</v>
      </c>
      <c r="L242" s="15"/>
    </row>
    <row r="243" spans="1:12" s="14" customFormat="1">
      <c r="A243" s="12"/>
      <c r="B243" s="68"/>
      <c r="C243" s="62"/>
      <c r="D243" s="58"/>
      <c r="E243" s="67"/>
      <c r="F243" s="46"/>
      <c r="G243" s="13" t="s">
        <v>8586</v>
      </c>
      <c r="H243" s="48"/>
      <c r="I243" s="50"/>
      <c r="J243" s="46"/>
      <c r="K243" s="14" t="s">
        <v>9509</v>
      </c>
      <c r="L243" s="15"/>
    </row>
    <row r="244" spans="1:12" s="14" customFormat="1">
      <c r="A244" s="12"/>
      <c r="B244" s="68"/>
      <c r="C244" s="62"/>
      <c r="D244" s="57" t="s">
        <v>9510</v>
      </c>
      <c r="E244" s="66" t="s">
        <v>9511</v>
      </c>
      <c r="F244" s="45" t="s">
        <v>38</v>
      </c>
      <c r="G244" s="13" t="s">
        <v>9512</v>
      </c>
      <c r="H244" s="47" t="s">
        <v>9513</v>
      </c>
      <c r="I244" s="49" t="s">
        <v>19</v>
      </c>
      <c r="J244" s="45" t="s">
        <v>9514</v>
      </c>
      <c r="K244" s="14" t="s">
        <v>9515</v>
      </c>
      <c r="L244" s="15"/>
    </row>
    <row r="245" spans="1:12" s="14" customFormat="1">
      <c r="A245" s="12"/>
      <c r="B245" s="68"/>
      <c r="C245" s="62"/>
      <c r="D245" s="58"/>
      <c r="E245" s="67"/>
      <c r="F245" s="46"/>
      <c r="G245" s="14" t="s">
        <v>8586</v>
      </c>
      <c r="H245" s="48"/>
      <c r="I245" s="50"/>
      <c r="J245" s="46"/>
      <c r="K245" s="14" t="s">
        <v>9516</v>
      </c>
      <c r="L245" s="15"/>
    </row>
    <row r="246" spans="1:12" s="14" customFormat="1">
      <c r="A246" s="12"/>
      <c r="B246" s="68"/>
      <c r="C246" s="62"/>
      <c r="D246" s="57" t="s">
        <v>9517</v>
      </c>
      <c r="E246" s="66" t="s">
        <v>9518</v>
      </c>
      <c r="F246" s="45" t="s">
        <v>38</v>
      </c>
      <c r="G246" s="13" t="s">
        <v>8737</v>
      </c>
      <c r="H246" s="47" t="s">
        <v>9519</v>
      </c>
      <c r="I246" s="49" t="s">
        <v>19</v>
      </c>
      <c r="J246" s="45" t="s">
        <v>9520</v>
      </c>
      <c r="K246" s="14" t="s">
        <v>9521</v>
      </c>
      <c r="L246" s="15"/>
    </row>
    <row r="247" spans="1:12" s="14" customFormat="1">
      <c r="A247" s="12"/>
      <c r="B247" s="68"/>
      <c r="C247" s="62"/>
      <c r="D247" s="58"/>
      <c r="E247" s="67"/>
      <c r="F247" s="46"/>
      <c r="G247" s="13" t="s">
        <v>9522</v>
      </c>
      <c r="H247" s="48"/>
      <c r="I247" s="50"/>
      <c r="J247" s="46"/>
      <c r="K247" s="14" t="s">
        <v>9523</v>
      </c>
      <c r="L247" s="15"/>
    </row>
    <row r="248" spans="1:12" s="14" customFormat="1">
      <c r="A248" s="12"/>
      <c r="B248" s="68"/>
      <c r="C248" s="62"/>
      <c r="D248" s="57" t="s">
        <v>9524</v>
      </c>
      <c r="E248" s="66" t="s">
        <v>9525</v>
      </c>
      <c r="F248" s="45" t="s">
        <v>16</v>
      </c>
      <c r="G248" s="13" t="s">
        <v>9526</v>
      </c>
      <c r="H248" s="47" t="s">
        <v>9527</v>
      </c>
      <c r="I248" s="49" t="s">
        <v>19</v>
      </c>
      <c r="J248" s="45" t="s">
        <v>9528</v>
      </c>
      <c r="K248" s="14" t="s">
        <v>9529</v>
      </c>
      <c r="L248" s="15"/>
    </row>
    <row r="249" spans="1:12" s="14" customFormat="1">
      <c r="A249" s="12"/>
      <c r="B249" s="68"/>
      <c r="C249" s="62"/>
      <c r="D249" s="58"/>
      <c r="E249" s="67"/>
      <c r="F249" s="46"/>
      <c r="G249" s="13" t="s">
        <v>9530</v>
      </c>
      <c r="H249" s="48"/>
      <c r="I249" s="50"/>
      <c r="J249" s="46"/>
      <c r="K249" s="14" t="s">
        <v>9531</v>
      </c>
      <c r="L249" s="15"/>
    </row>
    <row r="250" spans="1:12" s="14" customFormat="1">
      <c r="A250" s="12"/>
      <c r="B250" s="68"/>
      <c r="C250" s="62"/>
      <c r="D250" s="57" t="s">
        <v>9532</v>
      </c>
      <c r="E250" s="66" t="s">
        <v>9533</v>
      </c>
      <c r="F250" s="45" t="s">
        <v>16</v>
      </c>
      <c r="G250" s="13" t="s">
        <v>9534</v>
      </c>
      <c r="H250" s="47" t="s">
        <v>9535</v>
      </c>
      <c r="I250" s="49" t="s">
        <v>19</v>
      </c>
      <c r="J250" s="45" t="s">
        <v>9536</v>
      </c>
      <c r="K250" s="14" t="s">
        <v>9537</v>
      </c>
      <c r="L250" s="15"/>
    </row>
    <row r="251" spans="1:12" s="14" customFormat="1">
      <c r="A251" s="12"/>
      <c r="B251" s="68"/>
      <c r="C251" s="63"/>
      <c r="D251" s="58"/>
      <c r="E251" s="67"/>
      <c r="F251" s="46"/>
      <c r="G251" s="13" t="s">
        <v>9538</v>
      </c>
      <c r="H251" s="48"/>
      <c r="I251" s="50"/>
      <c r="J251" s="46"/>
      <c r="K251" s="14" t="s">
        <v>9539</v>
      </c>
      <c r="L251" s="15"/>
    </row>
    <row r="252" spans="1:12" s="14" customFormat="1">
      <c r="A252" s="12"/>
      <c r="B252" s="68"/>
      <c r="C252" s="61" t="s">
        <v>9540</v>
      </c>
      <c r="D252" s="57" t="s">
        <v>9541</v>
      </c>
      <c r="E252" s="66" t="s">
        <v>9542</v>
      </c>
      <c r="F252" s="45" t="s">
        <v>38</v>
      </c>
      <c r="G252" s="13" t="s">
        <v>9543</v>
      </c>
      <c r="H252" s="47" t="s">
        <v>9544</v>
      </c>
      <c r="I252" s="49" t="s">
        <v>41</v>
      </c>
      <c r="J252" s="45" t="s">
        <v>9545</v>
      </c>
      <c r="K252" s="14" t="s">
        <v>9546</v>
      </c>
      <c r="L252" s="15"/>
    </row>
    <row r="253" spans="1:12" s="14" customFormat="1">
      <c r="A253" s="12"/>
      <c r="B253" s="68"/>
      <c r="C253" s="62"/>
      <c r="D253" s="58"/>
      <c r="E253" s="67"/>
      <c r="F253" s="46"/>
      <c r="G253" s="13" t="s">
        <v>9380</v>
      </c>
      <c r="H253" s="48"/>
      <c r="I253" s="50"/>
      <c r="J253" s="46"/>
      <c r="K253" s="14" t="s">
        <v>9547</v>
      </c>
      <c r="L253" s="15"/>
    </row>
    <row r="254" spans="1:12" s="14" customFormat="1">
      <c r="A254" s="12"/>
      <c r="B254" s="68"/>
      <c r="C254" s="62"/>
      <c r="D254" s="57" t="s">
        <v>9548</v>
      </c>
      <c r="E254" s="66" t="s">
        <v>9549</v>
      </c>
      <c r="F254" s="45" t="s">
        <v>16</v>
      </c>
      <c r="G254" s="13" t="s">
        <v>9550</v>
      </c>
      <c r="H254" s="47" t="s">
        <v>9551</v>
      </c>
      <c r="I254" s="49" t="s">
        <v>19</v>
      </c>
      <c r="J254" s="45" t="s">
        <v>9552</v>
      </c>
      <c r="K254" s="14" t="s">
        <v>9553</v>
      </c>
      <c r="L254" s="15"/>
    </row>
    <row r="255" spans="1:12" s="14" customFormat="1">
      <c r="A255" s="12"/>
      <c r="B255" s="68"/>
      <c r="C255" s="62"/>
      <c r="D255" s="58"/>
      <c r="E255" s="67"/>
      <c r="F255" s="46"/>
      <c r="G255" s="13" t="s">
        <v>8789</v>
      </c>
      <c r="H255" s="48"/>
      <c r="I255" s="50"/>
      <c r="J255" s="46"/>
      <c r="K255" s="14" t="s">
        <v>9554</v>
      </c>
      <c r="L255" s="15"/>
    </row>
    <row r="256" spans="1:12" s="14" customFormat="1">
      <c r="A256" s="12"/>
      <c r="B256" s="68"/>
      <c r="C256" s="62"/>
      <c r="D256" s="57" t="s">
        <v>9555</v>
      </c>
      <c r="E256" s="66" t="s">
        <v>9556</v>
      </c>
      <c r="F256" s="45" t="s">
        <v>38</v>
      </c>
      <c r="G256" s="13" t="s">
        <v>9557</v>
      </c>
      <c r="H256" s="47" t="s">
        <v>9558</v>
      </c>
      <c r="I256" s="49" t="s">
        <v>19</v>
      </c>
      <c r="J256" s="45" t="s">
        <v>9559</v>
      </c>
      <c r="K256" s="14" t="s">
        <v>9560</v>
      </c>
      <c r="L256" s="15"/>
    </row>
    <row r="257" spans="1:12" s="14" customFormat="1">
      <c r="A257" s="12"/>
      <c r="B257" s="68"/>
      <c r="C257" s="62"/>
      <c r="D257" s="58"/>
      <c r="E257" s="67"/>
      <c r="F257" s="46"/>
      <c r="G257" s="13" t="s">
        <v>9561</v>
      </c>
      <c r="H257" s="48"/>
      <c r="I257" s="50"/>
      <c r="J257" s="46"/>
      <c r="K257" s="14" t="s">
        <v>9562</v>
      </c>
      <c r="L257" s="15"/>
    </row>
    <row r="258" spans="1:12" s="14" customFormat="1">
      <c r="A258" s="12"/>
      <c r="B258" s="68"/>
      <c r="C258" s="62"/>
      <c r="D258" s="57" t="s">
        <v>9563</v>
      </c>
      <c r="E258" s="66" t="s">
        <v>9564</v>
      </c>
      <c r="F258" s="45" t="s">
        <v>16</v>
      </c>
      <c r="G258" s="13" t="s">
        <v>9565</v>
      </c>
      <c r="H258" s="47" t="s">
        <v>9566</v>
      </c>
      <c r="I258" s="49" t="s">
        <v>41</v>
      </c>
      <c r="J258" s="45" t="s">
        <v>9567</v>
      </c>
      <c r="K258" s="14" t="s">
        <v>9568</v>
      </c>
      <c r="L258" s="15"/>
    </row>
    <row r="259" spans="1:12" s="14" customFormat="1">
      <c r="A259" s="12"/>
      <c r="B259" s="68"/>
      <c r="C259" s="62"/>
      <c r="D259" s="58"/>
      <c r="E259" s="67"/>
      <c r="F259" s="46"/>
      <c r="G259" s="13" t="s">
        <v>9569</v>
      </c>
      <c r="H259" s="48"/>
      <c r="I259" s="50"/>
      <c r="J259" s="46"/>
      <c r="K259" s="14" t="s">
        <v>9570</v>
      </c>
      <c r="L259" s="15"/>
    </row>
    <row r="260" spans="1:12" s="14" customFormat="1">
      <c r="A260" s="12"/>
      <c r="B260" s="68"/>
      <c r="C260" s="62"/>
      <c r="D260" s="57" t="s">
        <v>9571</v>
      </c>
      <c r="E260" s="66" t="s">
        <v>9572</v>
      </c>
      <c r="F260" s="45" t="s">
        <v>38</v>
      </c>
      <c r="G260" s="13" t="s">
        <v>9573</v>
      </c>
      <c r="H260" s="47" t="s">
        <v>9574</v>
      </c>
      <c r="I260" s="49" t="s">
        <v>19</v>
      </c>
      <c r="J260" s="45" t="s">
        <v>9575</v>
      </c>
      <c r="K260" s="14" t="s">
        <v>9576</v>
      </c>
      <c r="L260" s="15"/>
    </row>
    <row r="261" spans="1:12" s="14" customFormat="1">
      <c r="A261" s="12"/>
      <c r="B261" s="68"/>
      <c r="C261" s="63"/>
      <c r="D261" s="58"/>
      <c r="E261" s="67"/>
      <c r="F261" s="46"/>
      <c r="G261" s="13" t="s">
        <v>9577</v>
      </c>
      <c r="H261" s="48"/>
      <c r="I261" s="50"/>
      <c r="J261" s="46"/>
      <c r="K261" s="14" t="s">
        <v>9578</v>
      </c>
      <c r="L261" s="15"/>
    </row>
    <row r="262" spans="1:12" s="14" customFormat="1" ht="14.5" customHeight="1">
      <c r="A262" s="12"/>
      <c r="B262" s="68"/>
      <c r="C262" s="61" t="s">
        <v>9579</v>
      </c>
      <c r="D262" s="57" t="s">
        <v>9580</v>
      </c>
      <c r="E262" s="66" t="s">
        <v>9581</v>
      </c>
      <c r="F262" s="45" t="s">
        <v>16</v>
      </c>
      <c r="G262" s="13" t="s">
        <v>9466</v>
      </c>
      <c r="H262" s="47" t="s">
        <v>9582</v>
      </c>
      <c r="I262" s="49" t="s">
        <v>19</v>
      </c>
      <c r="J262" s="45" t="s">
        <v>634</v>
      </c>
      <c r="K262" s="14" t="s">
        <v>9583</v>
      </c>
      <c r="L262" s="15"/>
    </row>
    <row r="263" spans="1:12" s="14" customFormat="1">
      <c r="A263" s="12"/>
      <c r="B263" s="68"/>
      <c r="C263" s="62"/>
      <c r="D263" s="58"/>
      <c r="E263" s="67"/>
      <c r="F263" s="46"/>
      <c r="G263" s="13" t="s">
        <v>9584</v>
      </c>
      <c r="H263" s="48"/>
      <c r="I263" s="50"/>
      <c r="J263" s="46"/>
      <c r="K263" s="14" t="s">
        <v>9585</v>
      </c>
      <c r="L263" s="15"/>
    </row>
    <row r="264" spans="1:12" s="14" customFormat="1">
      <c r="A264" s="12"/>
      <c r="B264" s="68"/>
      <c r="C264" s="62"/>
      <c r="D264" s="57" t="s">
        <v>9586</v>
      </c>
      <c r="E264" s="66" t="s">
        <v>9587</v>
      </c>
      <c r="F264" s="45" t="s">
        <v>16</v>
      </c>
      <c r="G264" s="13" t="s">
        <v>9588</v>
      </c>
      <c r="H264" s="47" t="s">
        <v>9589</v>
      </c>
      <c r="I264" s="49" t="s">
        <v>33</v>
      </c>
      <c r="J264" s="45" t="s">
        <v>9590</v>
      </c>
      <c r="K264" s="14" t="s">
        <v>9591</v>
      </c>
      <c r="L264" s="15"/>
    </row>
    <row r="265" spans="1:12" s="14" customFormat="1">
      <c r="A265" s="12"/>
      <c r="B265" s="68"/>
      <c r="C265" s="62"/>
      <c r="D265" s="58"/>
      <c r="E265" s="67"/>
      <c r="F265" s="46"/>
      <c r="G265" s="13" t="s">
        <v>9592</v>
      </c>
      <c r="H265" s="48"/>
      <c r="I265" s="50"/>
      <c r="J265" s="46"/>
      <c r="K265" s="14" t="s">
        <v>9593</v>
      </c>
      <c r="L265" s="15"/>
    </row>
    <row r="266" spans="1:12" s="14" customFormat="1">
      <c r="A266" s="12"/>
      <c r="B266" s="68"/>
      <c r="C266" s="62"/>
      <c r="D266" s="57" t="s">
        <v>9594</v>
      </c>
      <c r="E266" s="66" t="s">
        <v>9595</v>
      </c>
      <c r="F266" s="45" t="s">
        <v>16</v>
      </c>
      <c r="G266" s="13" t="s">
        <v>9596</v>
      </c>
      <c r="H266" s="47" t="s">
        <v>9597</v>
      </c>
      <c r="I266" s="49" t="s">
        <v>41</v>
      </c>
      <c r="J266" s="45" t="s">
        <v>9598</v>
      </c>
      <c r="K266" s="14" t="s">
        <v>9599</v>
      </c>
      <c r="L266" s="15"/>
    </row>
    <row r="267" spans="1:12" s="14" customFormat="1">
      <c r="A267" s="12"/>
      <c r="B267" s="68"/>
      <c r="C267" s="62"/>
      <c r="D267" s="58"/>
      <c r="E267" s="67"/>
      <c r="F267" s="46"/>
      <c r="G267" s="13" t="s">
        <v>9600</v>
      </c>
      <c r="H267" s="48"/>
      <c r="I267" s="50"/>
      <c r="J267" s="46"/>
      <c r="K267" s="14" t="s">
        <v>9601</v>
      </c>
      <c r="L267" s="15"/>
    </row>
    <row r="268" spans="1:12" s="14" customFormat="1">
      <c r="A268" s="12"/>
      <c r="B268" s="68"/>
      <c r="C268" s="62"/>
      <c r="D268" s="57" t="s">
        <v>9602</v>
      </c>
      <c r="E268" s="66" t="s">
        <v>9603</v>
      </c>
      <c r="F268" s="45" t="s">
        <v>16</v>
      </c>
      <c r="G268" s="13" t="s">
        <v>9604</v>
      </c>
      <c r="H268" s="47" t="s">
        <v>9605</v>
      </c>
      <c r="I268" s="49" t="s">
        <v>41</v>
      </c>
      <c r="J268" s="45" t="s">
        <v>9606</v>
      </c>
      <c r="K268" s="14" t="s">
        <v>9607</v>
      </c>
      <c r="L268" s="15"/>
    </row>
    <row r="269" spans="1:12" s="14" customFormat="1">
      <c r="A269" s="12"/>
      <c r="B269" s="68"/>
      <c r="C269" s="62"/>
      <c r="D269" s="58"/>
      <c r="E269" s="67"/>
      <c r="F269" s="46"/>
      <c r="G269" s="13" t="s">
        <v>9608</v>
      </c>
      <c r="H269" s="48"/>
      <c r="I269" s="50"/>
      <c r="J269" s="46"/>
      <c r="K269" s="14" t="s">
        <v>9609</v>
      </c>
      <c r="L269" s="15"/>
    </row>
    <row r="270" spans="1:12" s="14" customFormat="1">
      <c r="A270" s="12"/>
      <c r="B270" s="68"/>
      <c r="C270" s="62"/>
      <c r="D270" s="57" t="s">
        <v>9610</v>
      </c>
      <c r="E270" s="59" t="s">
        <v>9611</v>
      </c>
      <c r="F270" s="45" t="s">
        <v>16</v>
      </c>
      <c r="G270" s="13" t="s">
        <v>9612</v>
      </c>
      <c r="H270" s="47" t="s">
        <v>9613</v>
      </c>
      <c r="I270" s="49" t="s">
        <v>41</v>
      </c>
      <c r="J270" s="45" t="s">
        <v>9614</v>
      </c>
      <c r="K270" s="14" t="s">
        <v>9615</v>
      </c>
      <c r="L270" s="15"/>
    </row>
    <row r="271" spans="1:12" s="14" customFormat="1">
      <c r="A271" s="12"/>
      <c r="B271" s="68"/>
      <c r="C271" s="63"/>
      <c r="D271" s="58"/>
      <c r="E271" s="60"/>
      <c r="F271" s="46"/>
      <c r="G271" s="13" t="s">
        <v>9616</v>
      </c>
      <c r="H271" s="48"/>
      <c r="I271" s="50"/>
      <c r="J271" s="46"/>
      <c r="K271" s="14" t="s">
        <v>9617</v>
      </c>
      <c r="L271" s="15"/>
    </row>
    <row r="272" spans="1:12" s="14" customFormat="1" ht="14.5" customHeight="1">
      <c r="A272" s="12"/>
      <c r="B272" s="68"/>
      <c r="C272" s="61" t="s">
        <v>9618</v>
      </c>
      <c r="D272" s="57" t="s">
        <v>9619</v>
      </c>
      <c r="E272" s="66" t="s">
        <v>9620</v>
      </c>
      <c r="F272" s="45" t="s">
        <v>16</v>
      </c>
      <c r="G272" s="13" t="s">
        <v>9621</v>
      </c>
      <c r="H272" s="47" t="s">
        <v>9622</v>
      </c>
      <c r="I272" s="49" t="s">
        <v>19</v>
      </c>
      <c r="J272" s="45" t="s">
        <v>9623</v>
      </c>
      <c r="K272" s="14" t="s">
        <v>9624</v>
      </c>
      <c r="L272" s="15"/>
    </row>
    <row r="273" spans="1:12" s="14" customFormat="1">
      <c r="A273" s="12"/>
      <c r="B273" s="68"/>
      <c r="C273" s="62"/>
      <c r="D273" s="58"/>
      <c r="E273" s="67"/>
      <c r="F273" s="46"/>
      <c r="G273" s="13" t="s">
        <v>9625</v>
      </c>
      <c r="H273" s="48"/>
      <c r="I273" s="50"/>
      <c r="J273" s="46"/>
      <c r="K273" s="14" t="s">
        <v>9626</v>
      </c>
      <c r="L273" s="15"/>
    </row>
    <row r="274" spans="1:12" s="14" customFormat="1">
      <c r="A274" s="12"/>
      <c r="B274" s="68"/>
      <c r="C274" s="62"/>
      <c r="D274" s="57" t="s">
        <v>9627</v>
      </c>
      <c r="E274" s="66" t="s">
        <v>9628</v>
      </c>
      <c r="F274" s="45" t="s">
        <v>38</v>
      </c>
      <c r="G274" s="13" t="s">
        <v>9629</v>
      </c>
      <c r="H274" s="47" t="s">
        <v>9630</v>
      </c>
      <c r="I274" s="49" t="s">
        <v>19</v>
      </c>
      <c r="J274" s="45" t="s">
        <v>9631</v>
      </c>
      <c r="K274" s="14" t="s">
        <v>9632</v>
      </c>
      <c r="L274" s="15"/>
    </row>
    <row r="275" spans="1:12" s="14" customFormat="1">
      <c r="A275" s="12"/>
      <c r="B275" s="68"/>
      <c r="C275" s="62"/>
      <c r="D275" s="58"/>
      <c r="E275" s="67"/>
      <c r="F275" s="46"/>
      <c r="G275" s="13" t="s">
        <v>9633</v>
      </c>
      <c r="H275" s="48"/>
      <c r="I275" s="50"/>
      <c r="J275" s="46"/>
      <c r="K275" s="14" t="s">
        <v>9634</v>
      </c>
      <c r="L275" s="15"/>
    </row>
    <row r="276" spans="1:12" s="14" customFormat="1">
      <c r="A276" s="12"/>
      <c r="B276" s="68"/>
      <c r="C276" s="62"/>
      <c r="D276" s="57" t="s">
        <v>9635</v>
      </c>
      <c r="E276" s="66" t="s">
        <v>9636</v>
      </c>
      <c r="F276" s="45" t="s">
        <v>16</v>
      </c>
      <c r="G276" s="13" t="s">
        <v>9637</v>
      </c>
      <c r="H276" s="47" t="s">
        <v>9638</v>
      </c>
      <c r="I276" s="49" t="s">
        <v>19</v>
      </c>
      <c r="J276" s="45" t="s">
        <v>9639</v>
      </c>
      <c r="K276" s="14" t="s">
        <v>9640</v>
      </c>
      <c r="L276" s="15"/>
    </row>
    <row r="277" spans="1:12" s="14" customFormat="1">
      <c r="A277" s="12"/>
      <c r="B277" s="68"/>
      <c r="C277" s="62"/>
      <c r="D277" s="58"/>
      <c r="E277" s="67"/>
      <c r="F277" s="46"/>
      <c r="G277" s="13" t="s">
        <v>9641</v>
      </c>
      <c r="H277" s="48"/>
      <c r="I277" s="50"/>
      <c r="J277" s="46"/>
      <c r="K277" s="14" t="s">
        <v>9642</v>
      </c>
      <c r="L277" s="15"/>
    </row>
    <row r="278" spans="1:12" s="14" customFormat="1">
      <c r="A278" s="12"/>
      <c r="B278" s="68"/>
      <c r="C278" s="62"/>
      <c r="D278" s="57" t="s">
        <v>9643</v>
      </c>
      <c r="E278" s="66" t="s">
        <v>9644</v>
      </c>
      <c r="F278" s="45" t="s">
        <v>38</v>
      </c>
      <c r="G278" s="13" t="s">
        <v>2954</v>
      </c>
      <c r="H278" s="47" t="s">
        <v>9645</v>
      </c>
      <c r="I278" s="49" t="s">
        <v>19</v>
      </c>
      <c r="J278" s="45" t="s">
        <v>9646</v>
      </c>
      <c r="K278" s="14" t="s">
        <v>9647</v>
      </c>
      <c r="L278" s="15"/>
    </row>
    <row r="279" spans="1:12" s="14" customFormat="1">
      <c r="A279" s="12"/>
      <c r="B279" s="68"/>
      <c r="C279" s="62"/>
      <c r="D279" s="58"/>
      <c r="E279" s="67"/>
      <c r="F279" s="46"/>
      <c r="G279" s="13" t="s">
        <v>9648</v>
      </c>
      <c r="H279" s="48"/>
      <c r="I279" s="50"/>
      <c r="J279" s="46"/>
      <c r="K279" s="14" t="s">
        <v>9649</v>
      </c>
      <c r="L279" s="15"/>
    </row>
    <row r="280" spans="1:12" s="14" customFormat="1">
      <c r="A280" s="12"/>
      <c r="B280" s="68"/>
      <c r="C280" s="62"/>
      <c r="D280" s="57" t="s">
        <v>9650</v>
      </c>
      <c r="E280" s="66" t="s">
        <v>9651</v>
      </c>
      <c r="F280" s="45" t="s">
        <v>16</v>
      </c>
      <c r="G280" s="13" t="s">
        <v>9652</v>
      </c>
      <c r="H280" s="47" t="s">
        <v>9653</v>
      </c>
      <c r="I280" s="49" t="s">
        <v>41</v>
      </c>
      <c r="J280" s="45" t="s">
        <v>9654</v>
      </c>
      <c r="K280" s="14" t="s">
        <v>9655</v>
      </c>
      <c r="L280" s="15"/>
    </row>
    <row r="281" spans="1:12" s="14" customFormat="1">
      <c r="A281" s="12"/>
      <c r="B281" s="68"/>
      <c r="C281" s="63"/>
      <c r="D281" s="58"/>
      <c r="E281" s="67"/>
      <c r="F281" s="46"/>
      <c r="G281" s="13" t="s">
        <v>9656</v>
      </c>
      <c r="H281" s="48"/>
      <c r="I281" s="50"/>
      <c r="J281" s="46"/>
      <c r="K281" s="14" t="s">
        <v>9657</v>
      </c>
      <c r="L281" s="15"/>
    </row>
    <row r="282" spans="1:12" s="14" customFormat="1" ht="14.5" customHeight="1">
      <c r="A282" s="12"/>
      <c r="B282" s="68"/>
      <c r="C282" s="61" t="s">
        <v>9658</v>
      </c>
      <c r="D282" s="57" t="s">
        <v>9659</v>
      </c>
      <c r="E282" s="66" t="s">
        <v>9660</v>
      </c>
      <c r="F282" s="45" t="s">
        <v>16</v>
      </c>
      <c r="G282" s="13" t="s">
        <v>9661</v>
      </c>
      <c r="H282" s="47" t="s">
        <v>9662</v>
      </c>
      <c r="I282" s="49" t="s">
        <v>19</v>
      </c>
      <c r="J282" s="45" t="s">
        <v>9663</v>
      </c>
      <c r="K282" s="14" t="s">
        <v>9664</v>
      </c>
      <c r="L282" s="15"/>
    </row>
    <row r="283" spans="1:12" s="14" customFormat="1">
      <c r="A283" s="12"/>
      <c r="B283" s="68"/>
      <c r="C283" s="62"/>
      <c r="D283" s="58"/>
      <c r="E283" s="67"/>
      <c r="F283" s="46"/>
      <c r="G283" s="13" t="s">
        <v>9665</v>
      </c>
      <c r="H283" s="48"/>
      <c r="I283" s="50"/>
      <c r="J283" s="46"/>
      <c r="K283" s="14" t="s">
        <v>9666</v>
      </c>
      <c r="L283" s="15"/>
    </row>
    <row r="284" spans="1:12" s="14" customFormat="1" ht="29">
      <c r="A284" s="12"/>
      <c r="B284" s="68"/>
      <c r="C284" s="62"/>
      <c r="D284" s="57" t="s">
        <v>9667</v>
      </c>
      <c r="E284" s="66" t="s">
        <v>9668</v>
      </c>
      <c r="F284" s="45" t="s">
        <v>16</v>
      </c>
      <c r="G284" s="13" t="s">
        <v>9669</v>
      </c>
      <c r="H284" s="47" t="s">
        <v>9670</v>
      </c>
      <c r="I284" s="49" t="s">
        <v>19</v>
      </c>
      <c r="J284" s="45" t="s">
        <v>9671</v>
      </c>
      <c r="K284" s="14" t="s">
        <v>9672</v>
      </c>
      <c r="L284" s="15"/>
    </row>
    <row r="285" spans="1:12" s="14" customFormat="1">
      <c r="A285" s="12"/>
      <c r="B285" s="68"/>
      <c r="C285" s="62"/>
      <c r="D285" s="58"/>
      <c r="E285" s="67"/>
      <c r="F285" s="46"/>
      <c r="G285" s="14" t="s">
        <v>9673</v>
      </c>
      <c r="H285" s="48"/>
      <c r="I285" s="50"/>
      <c r="J285" s="46"/>
      <c r="K285" s="14" t="s">
        <v>9674</v>
      </c>
      <c r="L285" s="15"/>
    </row>
    <row r="286" spans="1:12" s="14" customFormat="1">
      <c r="A286" s="12"/>
      <c r="B286" s="68"/>
      <c r="C286" s="62"/>
      <c r="D286" s="57" t="s">
        <v>9675</v>
      </c>
      <c r="E286" s="66" t="s">
        <v>9676</v>
      </c>
      <c r="F286" s="45" t="s">
        <v>16</v>
      </c>
      <c r="G286" s="13" t="s">
        <v>9677</v>
      </c>
      <c r="H286" s="47" t="s">
        <v>9678</v>
      </c>
      <c r="I286" s="49" t="s">
        <v>19</v>
      </c>
      <c r="J286" s="45" t="s">
        <v>9679</v>
      </c>
      <c r="K286" s="14" t="s">
        <v>9680</v>
      </c>
      <c r="L286" s="15"/>
    </row>
    <row r="287" spans="1:12" s="14" customFormat="1">
      <c r="A287" s="12"/>
      <c r="B287" s="68"/>
      <c r="C287" s="62"/>
      <c r="D287" s="58"/>
      <c r="E287" s="67"/>
      <c r="F287" s="46"/>
      <c r="G287" s="13" t="s">
        <v>9681</v>
      </c>
      <c r="H287" s="48"/>
      <c r="I287" s="50"/>
      <c r="J287" s="46"/>
      <c r="K287" s="14" t="s">
        <v>9682</v>
      </c>
      <c r="L287" s="15"/>
    </row>
    <row r="288" spans="1:12" s="14" customFormat="1">
      <c r="A288" s="12"/>
      <c r="B288" s="68"/>
      <c r="C288" s="62"/>
      <c r="D288" s="57" t="s">
        <v>9683</v>
      </c>
      <c r="E288" s="66" t="s">
        <v>9684</v>
      </c>
      <c r="F288" s="45" t="s">
        <v>38</v>
      </c>
      <c r="G288" s="13" t="s">
        <v>9685</v>
      </c>
      <c r="H288" s="47" t="s">
        <v>9686</v>
      </c>
      <c r="I288" s="49" t="s">
        <v>33</v>
      </c>
      <c r="J288" s="45" t="s">
        <v>9687</v>
      </c>
      <c r="K288" s="14" t="s">
        <v>9688</v>
      </c>
      <c r="L288" s="15"/>
    </row>
    <row r="289" spans="1:12" s="14" customFormat="1">
      <c r="A289" s="12"/>
      <c r="B289" s="68"/>
      <c r="C289" s="62"/>
      <c r="D289" s="58"/>
      <c r="E289" s="67"/>
      <c r="F289" s="46"/>
      <c r="G289" s="13" t="s">
        <v>9689</v>
      </c>
      <c r="H289" s="48"/>
      <c r="I289" s="50"/>
      <c r="J289" s="46"/>
      <c r="K289" s="14" t="s">
        <v>9690</v>
      </c>
      <c r="L289" s="15"/>
    </row>
    <row r="290" spans="1:12" s="14" customFormat="1">
      <c r="A290" s="12"/>
      <c r="B290" s="68"/>
      <c r="C290" s="62"/>
      <c r="D290" s="57" t="s">
        <v>9691</v>
      </c>
      <c r="E290" s="66" t="s">
        <v>9692</v>
      </c>
      <c r="F290" s="45" t="s">
        <v>38</v>
      </c>
      <c r="G290" s="13" t="s">
        <v>9693</v>
      </c>
      <c r="H290" s="47" t="s">
        <v>9694</v>
      </c>
      <c r="I290" s="49" t="s">
        <v>19</v>
      </c>
      <c r="J290" s="45" t="s">
        <v>9695</v>
      </c>
      <c r="K290" s="14" t="s">
        <v>9696</v>
      </c>
      <c r="L290" s="15"/>
    </row>
    <row r="291" spans="1:12" s="14" customFormat="1">
      <c r="A291" s="12"/>
      <c r="B291" s="68"/>
      <c r="C291" s="63"/>
      <c r="D291" s="58"/>
      <c r="E291" s="67"/>
      <c r="F291" s="46"/>
      <c r="G291" s="13" t="s">
        <v>9697</v>
      </c>
      <c r="H291" s="48"/>
      <c r="I291" s="50"/>
      <c r="J291" s="46"/>
      <c r="K291" s="14" t="s">
        <v>9698</v>
      </c>
      <c r="L291" s="15"/>
    </row>
    <row r="292" spans="1:12" s="14" customFormat="1" ht="14.5" customHeight="1">
      <c r="A292" s="12"/>
      <c r="B292" s="68"/>
      <c r="C292" s="61" t="s">
        <v>9699</v>
      </c>
      <c r="D292" s="57" t="s">
        <v>9700</v>
      </c>
      <c r="E292" s="66" t="s">
        <v>9701</v>
      </c>
      <c r="F292" s="45" t="s">
        <v>16</v>
      </c>
      <c r="G292" s="13" t="s">
        <v>9702</v>
      </c>
      <c r="H292" s="47" t="s">
        <v>9703</v>
      </c>
      <c r="I292" s="49" t="s">
        <v>19</v>
      </c>
      <c r="J292" s="45" t="s">
        <v>9704</v>
      </c>
      <c r="K292" s="14" t="s">
        <v>9705</v>
      </c>
      <c r="L292" s="15"/>
    </row>
    <row r="293" spans="1:12" s="14" customFormat="1">
      <c r="A293" s="12"/>
      <c r="B293" s="68"/>
      <c r="C293" s="62"/>
      <c r="D293" s="58"/>
      <c r="E293" s="67"/>
      <c r="F293" s="46"/>
      <c r="G293" s="13" t="s">
        <v>9706</v>
      </c>
      <c r="H293" s="48"/>
      <c r="I293" s="50"/>
      <c r="J293" s="46"/>
      <c r="K293" s="14" t="s">
        <v>9707</v>
      </c>
      <c r="L293" s="15"/>
    </row>
    <row r="294" spans="1:12" s="14" customFormat="1">
      <c r="A294" s="12"/>
      <c r="B294" s="68"/>
      <c r="C294" s="62"/>
      <c r="D294" s="57" t="s">
        <v>9708</v>
      </c>
      <c r="E294" s="66" t="s">
        <v>9709</v>
      </c>
      <c r="F294" s="45" t="s">
        <v>16</v>
      </c>
      <c r="G294" s="13" t="s">
        <v>9710</v>
      </c>
      <c r="H294" s="47" t="s">
        <v>9711</v>
      </c>
      <c r="I294" s="49" t="s">
        <v>19</v>
      </c>
      <c r="J294" s="45" t="s">
        <v>9712</v>
      </c>
      <c r="K294" s="14" t="s">
        <v>9713</v>
      </c>
      <c r="L294" s="15"/>
    </row>
    <row r="295" spans="1:12" s="14" customFormat="1">
      <c r="A295" s="12"/>
      <c r="B295" s="68"/>
      <c r="C295" s="62"/>
      <c r="D295" s="58"/>
      <c r="E295" s="67"/>
      <c r="F295" s="46"/>
      <c r="G295" s="13" t="s">
        <v>9714</v>
      </c>
      <c r="H295" s="48"/>
      <c r="I295" s="50"/>
      <c r="J295" s="46"/>
      <c r="K295" s="14" t="s">
        <v>9715</v>
      </c>
      <c r="L295" s="15"/>
    </row>
    <row r="296" spans="1:12" s="14" customFormat="1">
      <c r="A296" s="12"/>
      <c r="B296" s="68"/>
      <c r="C296" s="62"/>
      <c r="D296" s="57" t="s">
        <v>9716</v>
      </c>
      <c r="E296" s="66" t="s">
        <v>9717</v>
      </c>
      <c r="F296" s="45" t="s">
        <v>16</v>
      </c>
      <c r="G296" s="13" t="s">
        <v>9718</v>
      </c>
      <c r="H296" s="47" t="s">
        <v>9719</v>
      </c>
      <c r="I296" s="49" t="s">
        <v>41</v>
      </c>
      <c r="J296" s="45" t="s">
        <v>9720</v>
      </c>
      <c r="K296" s="14" t="s">
        <v>9721</v>
      </c>
      <c r="L296" s="15"/>
    </row>
    <row r="297" spans="1:12" s="14" customFormat="1">
      <c r="A297" s="12"/>
      <c r="B297" s="68"/>
      <c r="C297" s="62"/>
      <c r="D297" s="58"/>
      <c r="E297" s="67"/>
      <c r="F297" s="46"/>
      <c r="G297" s="13" t="s">
        <v>9722</v>
      </c>
      <c r="H297" s="48"/>
      <c r="I297" s="50"/>
      <c r="J297" s="46"/>
      <c r="K297" s="14" t="s">
        <v>9723</v>
      </c>
      <c r="L297" s="15"/>
    </row>
    <row r="298" spans="1:12" s="14" customFormat="1">
      <c r="A298" s="12"/>
      <c r="B298" s="68"/>
      <c r="C298" s="62"/>
      <c r="D298" s="57" t="s">
        <v>9724</v>
      </c>
      <c r="E298" s="66" t="s">
        <v>9725</v>
      </c>
      <c r="F298" s="45" t="s">
        <v>16</v>
      </c>
      <c r="G298" s="13" t="s">
        <v>9726</v>
      </c>
      <c r="H298" s="47" t="s">
        <v>9727</v>
      </c>
      <c r="I298" s="49" t="s">
        <v>41</v>
      </c>
      <c r="J298" s="45" t="s">
        <v>9728</v>
      </c>
      <c r="K298" s="14" t="s">
        <v>9729</v>
      </c>
      <c r="L298" s="15"/>
    </row>
    <row r="299" spans="1:12" s="14" customFormat="1">
      <c r="A299" s="12"/>
      <c r="B299" s="68"/>
      <c r="C299" s="62"/>
      <c r="D299" s="58"/>
      <c r="E299" s="67"/>
      <c r="F299" s="46"/>
      <c r="G299" s="13" t="s">
        <v>9730</v>
      </c>
      <c r="H299" s="48"/>
      <c r="I299" s="50"/>
      <c r="J299" s="46"/>
      <c r="K299" s="14" t="s">
        <v>9731</v>
      </c>
      <c r="L299" s="15"/>
    </row>
    <row r="300" spans="1:12" s="14" customFormat="1">
      <c r="A300" s="12"/>
      <c r="B300" s="68"/>
      <c r="C300" s="62"/>
      <c r="D300" s="57" t="s">
        <v>9732</v>
      </c>
      <c r="E300" s="66" t="s">
        <v>9733</v>
      </c>
      <c r="F300" s="45" t="s">
        <v>16</v>
      </c>
      <c r="G300" s="13" t="s">
        <v>9734</v>
      </c>
      <c r="H300" s="47" t="s">
        <v>9735</v>
      </c>
      <c r="I300" s="49" t="s">
        <v>41</v>
      </c>
      <c r="J300" s="45" t="s">
        <v>9736</v>
      </c>
      <c r="K300" s="14" t="s">
        <v>9737</v>
      </c>
      <c r="L300" s="15"/>
    </row>
    <row r="301" spans="1:12" s="14" customFormat="1">
      <c r="A301" s="12"/>
      <c r="B301" s="68"/>
      <c r="C301" s="63"/>
      <c r="D301" s="58"/>
      <c r="E301" s="67"/>
      <c r="F301" s="46"/>
      <c r="G301" s="13" t="s">
        <v>9738</v>
      </c>
      <c r="H301" s="48"/>
      <c r="I301" s="50"/>
      <c r="J301" s="46"/>
      <c r="K301" s="14" t="s">
        <v>9739</v>
      </c>
      <c r="L301" s="15"/>
    </row>
    <row r="302" spans="1:12" s="14" customFormat="1" ht="14.5" customHeight="1">
      <c r="A302" s="12"/>
      <c r="B302" s="68"/>
      <c r="C302" s="61" t="s">
        <v>9740</v>
      </c>
      <c r="D302" s="57" t="s">
        <v>9741</v>
      </c>
      <c r="E302" s="66" t="s">
        <v>9742</v>
      </c>
      <c r="F302" s="45" t="s">
        <v>38</v>
      </c>
      <c r="G302" s="13" t="s">
        <v>9743</v>
      </c>
      <c r="H302" s="47" t="s">
        <v>9744</v>
      </c>
      <c r="I302" s="49" t="s">
        <v>41</v>
      </c>
      <c r="J302" s="45" t="s">
        <v>9745</v>
      </c>
      <c r="K302" s="14" t="s">
        <v>9746</v>
      </c>
      <c r="L302" s="15"/>
    </row>
    <row r="303" spans="1:12" s="14" customFormat="1">
      <c r="A303" s="12"/>
      <c r="B303" s="68"/>
      <c r="C303" s="62"/>
      <c r="D303" s="58"/>
      <c r="E303" s="67"/>
      <c r="F303" s="46"/>
      <c r="G303" s="13" t="s">
        <v>9747</v>
      </c>
      <c r="H303" s="48"/>
      <c r="I303" s="50"/>
      <c r="J303" s="46"/>
      <c r="K303" s="14" t="s">
        <v>9748</v>
      </c>
      <c r="L303" s="15"/>
    </row>
    <row r="304" spans="1:12" s="14" customFormat="1">
      <c r="A304" s="12"/>
      <c r="B304" s="68"/>
      <c r="C304" s="62"/>
      <c r="D304" s="57" t="s">
        <v>9749</v>
      </c>
      <c r="E304" s="66" t="s">
        <v>9750</v>
      </c>
      <c r="F304" s="45" t="s">
        <v>16</v>
      </c>
      <c r="G304" s="13" t="s">
        <v>9751</v>
      </c>
      <c r="H304" s="47" t="s">
        <v>9752</v>
      </c>
      <c r="I304" s="49" t="s">
        <v>19</v>
      </c>
      <c r="J304" s="45" t="s">
        <v>9753</v>
      </c>
      <c r="K304" s="14" t="s">
        <v>9754</v>
      </c>
      <c r="L304" s="15"/>
    </row>
    <row r="305" spans="1:12" s="14" customFormat="1">
      <c r="A305" s="12"/>
      <c r="B305" s="68"/>
      <c r="C305" s="62"/>
      <c r="D305" s="58"/>
      <c r="E305" s="67"/>
      <c r="F305" s="46"/>
      <c r="G305" s="13" t="s">
        <v>9755</v>
      </c>
      <c r="H305" s="48"/>
      <c r="I305" s="50"/>
      <c r="J305" s="46"/>
      <c r="K305" s="14" t="s">
        <v>9756</v>
      </c>
      <c r="L305" s="15"/>
    </row>
    <row r="306" spans="1:12" s="14" customFormat="1">
      <c r="A306" s="12"/>
      <c r="B306" s="68"/>
      <c r="C306" s="62"/>
      <c r="D306" s="57" t="s">
        <v>9757</v>
      </c>
      <c r="E306" s="66" t="s">
        <v>9758</v>
      </c>
      <c r="F306" s="45" t="s">
        <v>38</v>
      </c>
      <c r="G306" s="13" t="s">
        <v>9759</v>
      </c>
      <c r="H306" s="47" t="s">
        <v>9760</v>
      </c>
      <c r="I306" s="49" t="s">
        <v>19</v>
      </c>
      <c r="J306" s="45" t="s">
        <v>9761</v>
      </c>
      <c r="K306" s="14" t="s">
        <v>9762</v>
      </c>
      <c r="L306" s="15"/>
    </row>
    <row r="307" spans="1:12" s="14" customFormat="1">
      <c r="A307" s="12"/>
      <c r="B307" s="68"/>
      <c r="C307" s="62"/>
      <c r="D307" s="58"/>
      <c r="E307" s="67"/>
      <c r="F307" s="46"/>
      <c r="G307" s="13" t="s">
        <v>9763</v>
      </c>
      <c r="H307" s="48"/>
      <c r="I307" s="50"/>
      <c r="J307" s="46"/>
      <c r="K307" s="14" t="s">
        <v>9764</v>
      </c>
      <c r="L307" s="15"/>
    </row>
    <row r="308" spans="1:12" s="14" customFormat="1">
      <c r="A308" s="12"/>
      <c r="B308" s="68"/>
      <c r="C308" s="62"/>
      <c r="D308" s="57" t="s">
        <v>9765</v>
      </c>
      <c r="E308" s="66" t="s">
        <v>9766</v>
      </c>
      <c r="F308" s="51" t="s">
        <v>38</v>
      </c>
      <c r="G308" s="13" t="s">
        <v>9767</v>
      </c>
      <c r="H308" s="53" t="s">
        <v>9768</v>
      </c>
      <c r="I308" s="55" t="s">
        <v>19</v>
      </c>
      <c r="J308" s="51" t="s">
        <v>9769</v>
      </c>
      <c r="K308" s="14" t="s">
        <v>9770</v>
      </c>
      <c r="L308" s="15"/>
    </row>
    <row r="309" spans="1:12" s="14" customFormat="1">
      <c r="A309" s="12"/>
      <c r="B309" s="68"/>
      <c r="C309" s="62"/>
      <c r="D309" s="58"/>
      <c r="E309" s="67"/>
      <c r="F309" s="52"/>
      <c r="G309" s="13" t="s">
        <v>9771</v>
      </c>
      <c r="H309" s="54"/>
      <c r="I309" s="56"/>
      <c r="J309" s="52"/>
      <c r="K309" s="14" t="s">
        <v>9772</v>
      </c>
      <c r="L309" s="15"/>
    </row>
    <row r="310" spans="1:12" s="14" customFormat="1">
      <c r="A310" s="12"/>
      <c r="B310" s="68"/>
      <c r="C310" s="62"/>
      <c r="D310" s="57" t="s">
        <v>9773</v>
      </c>
      <c r="E310" s="59" t="s">
        <v>9774</v>
      </c>
      <c r="F310" s="45" t="s">
        <v>38</v>
      </c>
      <c r="G310" s="13" t="s">
        <v>9376</v>
      </c>
      <c r="H310" s="47" t="s">
        <v>9775</v>
      </c>
      <c r="I310" s="49" t="s">
        <v>19</v>
      </c>
      <c r="J310" s="45" t="s">
        <v>9776</v>
      </c>
      <c r="K310" s="14" t="s">
        <v>9777</v>
      </c>
      <c r="L310" s="15"/>
    </row>
    <row r="311" spans="1:12" s="14" customFormat="1">
      <c r="A311" s="12"/>
      <c r="B311" s="67"/>
      <c r="C311" s="63"/>
      <c r="D311" s="58"/>
      <c r="E311" s="60"/>
      <c r="F311" s="46"/>
      <c r="G311" s="14" t="s">
        <v>9778</v>
      </c>
      <c r="H311" s="48"/>
      <c r="I311" s="50"/>
      <c r="J311" s="46"/>
      <c r="K311" s="14" t="s">
        <v>9779</v>
      </c>
      <c r="L311" s="15"/>
    </row>
    <row r="312" spans="1:12" s="14" customFormat="1" ht="15.5" customHeight="1">
      <c r="A312" s="12"/>
      <c r="B312" s="66" t="s">
        <v>9780</v>
      </c>
      <c r="C312" s="61" t="s">
        <v>9781</v>
      </c>
      <c r="D312" s="64" t="s">
        <v>9782</v>
      </c>
      <c r="E312" s="59" t="s">
        <v>9783</v>
      </c>
      <c r="F312" s="45" t="s">
        <v>38</v>
      </c>
      <c r="G312" s="13" t="s">
        <v>9784</v>
      </c>
      <c r="H312" s="47" t="s">
        <v>3904</v>
      </c>
      <c r="I312" s="49" t="s">
        <v>41</v>
      </c>
      <c r="J312" s="45" t="s">
        <v>9785</v>
      </c>
      <c r="K312" s="14" t="s">
        <v>9786</v>
      </c>
      <c r="L312" s="15"/>
    </row>
    <row r="313" spans="1:12" s="14" customFormat="1">
      <c r="A313" s="12"/>
      <c r="B313" s="68"/>
      <c r="C313" s="62"/>
      <c r="D313" s="65"/>
      <c r="E313" s="60"/>
      <c r="F313" s="46"/>
      <c r="G313" s="14" t="s">
        <v>9787</v>
      </c>
      <c r="H313" s="48"/>
      <c r="I313" s="50"/>
      <c r="J313" s="46"/>
      <c r="K313" s="14" t="s">
        <v>9788</v>
      </c>
      <c r="L313" s="15"/>
    </row>
    <row r="314" spans="1:12" s="14" customFormat="1">
      <c r="A314" s="12"/>
      <c r="B314" s="68"/>
      <c r="C314" s="62"/>
      <c r="D314" s="57" t="s">
        <v>9789</v>
      </c>
      <c r="E314" s="59" t="s">
        <v>9790</v>
      </c>
      <c r="F314" s="45" t="s">
        <v>16</v>
      </c>
      <c r="G314" s="13" t="s">
        <v>9791</v>
      </c>
      <c r="H314" s="47" t="s">
        <v>9792</v>
      </c>
      <c r="I314" s="49" t="s">
        <v>41</v>
      </c>
      <c r="J314" s="45" t="s">
        <v>9793</v>
      </c>
      <c r="K314" s="14" t="s">
        <v>9794</v>
      </c>
      <c r="L314" s="15"/>
    </row>
    <row r="315" spans="1:12" s="14" customFormat="1">
      <c r="A315" s="12"/>
      <c r="B315" s="68"/>
      <c r="C315" s="62"/>
      <c r="D315" s="58"/>
      <c r="E315" s="60"/>
      <c r="F315" s="46"/>
      <c r="G315" s="14" t="s">
        <v>9795</v>
      </c>
      <c r="H315" s="48"/>
      <c r="I315" s="50"/>
      <c r="J315" s="46"/>
      <c r="K315" s="14" t="s">
        <v>9796</v>
      </c>
      <c r="L315" s="15"/>
    </row>
    <row r="316" spans="1:12" s="14" customFormat="1">
      <c r="A316" s="12"/>
      <c r="B316" s="68"/>
      <c r="C316" s="62"/>
      <c r="D316" s="57" t="s">
        <v>9797</v>
      </c>
      <c r="E316" s="59" t="s">
        <v>9798</v>
      </c>
      <c r="F316" s="45" t="s">
        <v>38</v>
      </c>
      <c r="G316" s="13" t="s">
        <v>9799</v>
      </c>
      <c r="H316" s="47" t="s">
        <v>9800</v>
      </c>
      <c r="I316" s="49" t="s">
        <v>41</v>
      </c>
      <c r="J316" s="45" t="s">
        <v>9801</v>
      </c>
      <c r="K316" s="14" t="s">
        <v>9802</v>
      </c>
      <c r="L316" s="15"/>
    </row>
    <row r="317" spans="1:12" s="14" customFormat="1">
      <c r="A317" s="12"/>
      <c r="B317" s="68"/>
      <c r="C317" s="62"/>
      <c r="D317" s="58"/>
      <c r="E317" s="60"/>
      <c r="F317" s="46"/>
      <c r="G317" s="14" t="s">
        <v>9803</v>
      </c>
      <c r="H317" s="48"/>
      <c r="I317" s="50"/>
      <c r="J317" s="46"/>
      <c r="K317" s="14" t="s">
        <v>9804</v>
      </c>
      <c r="L317" s="15"/>
    </row>
    <row r="318" spans="1:12" s="14" customFormat="1">
      <c r="A318" s="12"/>
      <c r="B318" s="68"/>
      <c r="C318" s="62"/>
      <c r="D318" s="57" t="s">
        <v>9805</v>
      </c>
      <c r="E318" s="66" t="s">
        <v>9806</v>
      </c>
      <c r="F318" s="45" t="s">
        <v>38</v>
      </c>
      <c r="G318" s="13" t="s">
        <v>9807</v>
      </c>
      <c r="H318" s="47" t="s">
        <v>9808</v>
      </c>
      <c r="I318" s="49" t="s">
        <v>19</v>
      </c>
      <c r="J318" s="45" t="s">
        <v>9809</v>
      </c>
      <c r="K318" s="14" t="s">
        <v>9810</v>
      </c>
      <c r="L318" s="15"/>
    </row>
    <row r="319" spans="1:12" s="14" customFormat="1">
      <c r="A319" s="12"/>
      <c r="B319" s="68"/>
      <c r="C319" s="62"/>
      <c r="D319" s="58"/>
      <c r="E319" s="67"/>
      <c r="F319" s="46"/>
      <c r="G319" s="14" t="s">
        <v>9811</v>
      </c>
      <c r="H319" s="48"/>
      <c r="I319" s="50"/>
      <c r="J319" s="46"/>
      <c r="K319" s="14" t="s">
        <v>9812</v>
      </c>
      <c r="L319" s="15"/>
    </row>
    <row r="320" spans="1:12" s="14" customFormat="1">
      <c r="A320" s="12"/>
      <c r="B320" s="68"/>
      <c r="C320" s="62"/>
      <c r="D320" s="57" t="s">
        <v>9813</v>
      </c>
      <c r="E320" s="66" t="s">
        <v>9814</v>
      </c>
      <c r="F320" s="45" t="s">
        <v>38</v>
      </c>
      <c r="G320" s="13" t="s">
        <v>6180</v>
      </c>
      <c r="H320" s="47" t="s">
        <v>9815</v>
      </c>
      <c r="I320" s="49" t="s">
        <v>19</v>
      </c>
      <c r="J320" s="45" t="s">
        <v>9816</v>
      </c>
      <c r="K320" s="14" t="s">
        <v>9817</v>
      </c>
      <c r="L320" s="15"/>
    </row>
    <row r="321" spans="1:12" s="14" customFormat="1">
      <c r="A321" s="12"/>
      <c r="B321" s="68"/>
      <c r="C321" s="63"/>
      <c r="D321" s="58"/>
      <c r="E321" s="67"/>
      <c r="F321" s="46"/>
      <c r="G321" s="14" t="s">
        <v>9818</v>
      </c>
      <c r="H321" s="48"/>
      <c r="I321" s="50"/>
      <c r="J321" s="46"/>
      <c r="K321" s="14" t="s">
        <v>9819</v>
      </c>
      <c r="L321" s="15"/>
    </row>
    <row r="322" spans="1:12" s="14" customFormat="1" ht="14.5" customHeight="1">
      <c r="A322" s="12"/>
      <c r="B322" s="68"/>
      <c r="C322" s="61" t="s">
        <v>9820</v>
      </c>
      <c r="D322" s="57" t="s">
        <v>9821</v>
      </c>
      <c r="E322" s="66" t="s">
        <v>9822</v>
      </c>
      <c r="F322" s="45" t="s">
        <v>16</v>
      </c>
      <c r="G322" s="13" t="s">
        <v>9823</v>
      </c>
      <c r="H322" s="47" t="s">
        <v>9824</v>
      </c>
      <c r="I322" s="49" t="s">
        <v>19</v>
      </c>
      <c r="J322" s="45" t="s">
        <v>9825</v>
      </c>
      <c r="K322" s="14" t="s">
        <v>9826</v>
      </c>
      <c r="L322" s="15"/>
    </row>
    <row r="323" spans="1:12" s="14" customFormat="1">
      <c r="A323" s="12"/>
      <c r="B323" s="68"/>
      <c r="C323" s="62"/>
      <c r="D323" s="58"/>
      <c r="E323" s="67"/>
      <c r="F323" s="46"/>
      <c r="G323" s="14" t="s">
        <v>9827</v>
      </c>
      <c r="H323" s="48"/>
      <c r="I323" s="50"/>
      <c r="J323" s="46"/>
      <c r="K323" s="14" t="s">
        <v>9828</v>
      </c>
      <c r="L323" s="15"/>
    </row>
    <row r="324" spans="1:12" s="14" customFormat="1">
      <c r="A324" s="12"/>
      <c r="B324" s="68"/>
      <c r="C324" s="62"/>
      <c r="D324" s="57" t="s">
        <v>9829</v>
      </c>
      <c r="E324" s="66" t="s">
        <v>9830</v>
      </c>
      <c r="F324" s="45" t="s">
        <v>16</v>
      </c>
      <c r="G324" s="13" t="s">
        <v>9831</v>
      </c>
      <c r="H324" s="47" t="s">
        <v>9832</v>
      </c>
      <c r="I324" s="49" t="s">
        <v>19</v>
      </c>
      <c r="J324" s="45" t="s">
        <v>9833</v>
      </c>
      <c r="K324" s="14" t="s">
        <v>9834</v>
      </c>
      <c r="L324" s="15"/>
    </row>
    <row r="325" spans="1:12" s="14" customFormat="1">
      <c r="A325" s="12"/>
      <c r="B325" s="68"/>
      <c r="C325" s="62"/>
      <c r="D325" s="58"/>
      <c r="E325" s="67"/>
      <c r="F325" s="46"/>
      <c r="G325" s="14" t="s">
        <v>9835</v>
      </c>
      <c r="H325" s="48"/>
      <c r="I325" s="50"/>
      <c r="J325" s="46"/>
      <c r="K325" s="14" t="s">
        <v>9836</v>
      </c>
      <c r="L325" s="15"/>
    </row>
    <row r="326" spans="1:12" s="14" customFormat="1">
      <c r="A326" s="12"/>
      <c r="B326" s="68"/>
      <c r="C326" s="62"/>
      <c r="D326" s="57" t="s">
        <v>9837</v>
      </c>
      <c r="E326" s="59" t="s">
        <v>9838</v>
      </c>
      <c r="F326" s="45" t="s">
        <v>16</v>
      </c>
      <c r="G326" s="14" t="s">
        <v>9839</v>
      </c>
      <c r="H326" s="47" t="s">
        <v>9840</v>
      </c>
      <c r="I326" s="49" t="s">
        <v>33</v>
      </c>
      <c r="J326" s="45" t="s">
        <v>9841</v>
      </c>
      <c r="K326" s="14" t="s">
        <v>9842</v>
      </c>
      <c r="L326" s="15"/>
    </row>
    <row r="327" spans="1:12" s="14" customFormat="1">
      <c r="A327" s="12"/>
      <c r="B327" s="68"/>
      <c r="C327" s="62"/>
      <c r="D327" s="58"/>
      <c r="E327" s="60"/>
      <c r="F327" s="46"/>
      <c r="G327" s="14" t="s">
        <v>9843</v>
      </c>
      <c r="H327" s="48"/>
      <c r="I327" s="50"/>
      <c r="J327" s="46"/>
      <c r="K327" s="14" t="s">
        <v>9844</v>
      </c>
      <c r="L327" s="15"/>
    </row>
    <row r="328" spans="1:12" s="14" customFormat="1">
      <c r="A328" s="12"/>
      <c r="B328" s="68"/>
      <c r="C328" s="62"/>
      <c r="D328" s="57" t="s">
        <v>9845</v>
      </c>
      <c r="E328" s="59" t="s">
        <v>9846</v>
      </c>
      <c r="F328" s="45" t="s">
        <v>16</v>
      </c>
      <c r="G328" s="13" t="s">
        <v>8727</v>
      </c>
      <c r="H328" s="47" t="s">
        <v>9847</v>
      </c>
      <c r="I328" s="49" t="s">
        <v>19</v>
      </c>
      <c r="J328" s="45" t="s">
        <v>9848</v>
      </c>
      <c r="K328" s="14" t="s">
        <v>9849</v>
      </c>
      <c r="L328" s="15"/>
    </row>
    <row r="329" spans="1:12" s="14" customFormat="1">
      <c r="A329" s="12"/>
      <c r="B329" s="68"/>
      <c r="C329" s="62"/>
      <c r="D329" s="58"/>
      <c r="E329" s="60"/>
      <c r="F329" s="46"/>
      <c r="G329" s="14" t="s">
        <v>9850</v>
      </c>
      <c r="H329" s="48"/>
      <c r="I329" s="50"/>
      <c r="J329" s="46"/>
      <c r="K329" s="14" t="s">
        <v>9851</v>
      </c>
      <c r="L329" s="15"/>
    </row>
    <row r="330" spans="1:12" s="14" customFormat="1">
      <c r="A330" s="12"/>
      <c r="B330" s="68"/>
      <c r="C330" s="62"/>
      <c r="D330" s="57" t="s">
        <v>9852</v>
      </c>
      <c r="E330" s="59" t="s">
        <v>9853</v>
      </c>
      <c r="F330" s="45" t="s">
        <v>38</v>
      </c>
      <c r="G330" s="13" t="s">
        <v>9854</v>
      </c>
      <c r="H330" s="47" t="s">
        <v>9855</v>
      </c>
      <c r="I330" s="49" t="s">
        <v>19</v>
      </c>
      <c r="J330" s="45" t="s">
        <v>9856</v>
      </c>
      <c r="K330" s="14" t="s">
        <v>9857</v>
      </c>
      <c r="L330" s="15"/>
    </row>
    <row r="331" spans="1:12" s="14" customFormat="1">
      <c r="A331" s="12"/>
      <c r="B331" s="68"/>
      <c r="C331" s="63"/>
      <c r="D331" s="58"/>
      <c r="E331" s="60"/>
      <c r="F331" s="46"/>
      <c r="G331" s="14" t="s">
        <v>9858</v>
      </c>
      <c r="H331" s="48"/>
      <c r="I331" s="50"/>
      <c r="J331" s="46"/>
      <c r="K331" s="14" t="s">
        <v>9859</v>
      </c>
      <c r="L331" s="15"/>
    </row>
    <row r="332" spans="1:12" s="14" customFormat="1" ht="14.5" customHeight="1">
      <c r="A332" s="12"/>
      <c r="B332" s="68"/>
      <c r="C332" s="61" t="s">
        <v>9860</v>
      </c>
      <c r="D332" s="57" t="s">
        <v>9861</v>
      </c>
      <c r="E332" s="59" t="s">
        <v>9862</v>
      </c>
      <c r="F332" s="45" t="s">
        <v>38</v>
      </c>
      <c r="G332" s="13" t="s">
        <v>9863</v>
      </c>
      <c r="H332" s="47" t="s">
        <v>9864</v>
      </c>
      <c r="I332" s="49" t="s">
        <v>19</v>
      </c>
      <c r="J332" s="45" t="s">
        <v>9865</v>
      </c>
      <c r="K332" s="14" t="s">
        <v>9866</v>
      </c>
      <c r="L332" s="15"/>
    </row>
    <row r="333" spans="1:12" s="14" customFormat="1">
      <c r="A333" s="12"/>
      <c r="B333" s="68"/>
      <c r="C333" s="62"/>
      <c r="D333" s="58"/>
      <c r="E333" s="60"/>
      <c r="F333" s="46"/>
      <c r="G333" s="14" t="s">
        <v>9787</v>
      </c>
      <c r="H333" s="48"/>
      <c r="I333" s="50"/>
      <c r="J333" s="46"/>
      <c r="K333" s="14" t="s">
        <v>9867</v>
      </c>
      <c r="L333" s="15"/>
    </row>
    <row r="334" spans="1:12" s="14" customFormat="1">
      <c r="A334" s="12"/>
      <c r="B334" s="68"/>
      <c r="C334" s="62"/>
      <c r="D334" s="57" t="s">
        <v>9868</v>
      </c>
      <c r="E334" s="59" t="s">
        <v>9869</v>
      </c>
      <c r="F334" s="45" t="s">
        <v>16</v>
      </c>
      <c r="G334" s="13" t="s">
        <v>9870</v>
      </c>
      <c r="H334" s="47" t="s">
        <v>9871</v>
      </c>
      <c r="I334" s="49" t="s">
        <v>41</v>
      </c>
      <c r="J334" s="45" t="s">
        <v>9872</v>
      </c>
      <c r="K334" s="14" t="s">
        <v>9873</v>
      </c>
      <c r="L334" s="15"/>
    </row>
    <row r="335" spans="1:12" s="14" customFormat="1">
      <c r="A335" s="12"/>
      <c r="B335" s="68"/>
      <c r="C335" s="62"/>
      <c r="D335" s="58"/>
      <c r="E335" s="60"/>
      <c r="F335" s="46"/>
      <c r="G335" s="14" t="s">
        <v>9874</v>
      </c>
      <c r="H335" s="48"/>
      <c r="I335" s="50"/>
      <c r="J335" s="46"/>
      <c r="K335" s="14" t="s">
        <v>9875</v>
      </c>
      <c r="L335" s="15"/>
    </row>
    <row r="336" spans="1:12" s="14" customFormat="1">
      <c r="A336" s="12"/>
      <c r="B336" s="68"/>
      <c r="C336" s="62"/>
      <c r="D336" s="57" t="s">
        <v>9876</v>
      </c>
      <c r="E336" s="59" t="s">
        <v>9877</v>
      </c>
      <c r="F336" s="45" t="s">
        <v>38</v>
      </c>
      <c r="G336" s="13" t="s">
        <v>9878</v>
      </c>
      <c r="H336" s="47" t="s">
        <v>9879</v>
      </c>
      <c r="I336" s="49" t="s">
        <v>41</v>
      </c>
      <c r="J336" s="45" t="s">
        <v>9880</v>
      </c>
      <c r="K336" s="14" t="s">
        <v>9881</v>
      </c>
      <c r="L336" s="15"/>
    </row>
    <row r="337" spans="1:12" s="14" customFormat="1">
      <c r="A337" s="12"/>
      <c r="B337" s="68"/>
      <c r="C337" s="62"/>
      <c r="D337" s="58"/>
      <c r="E337" s="60"/>
      <c r="F337" s="46"/>
      <c r="G337" s="14" t="s">
        <v>9882</v>
      </c>
      <c r="H337" s="48"/>
      <c r="I337" s="50"/>
      <c r="J337" s="46"/>
      <c r="K337" s="14" t="s">
        <v>9883</v>
      </c>
      <c r="L337" s="15"/>
    </row>
    <row r="338" spans="1:12" s="14" customFormat="1">
      <c r="A338" s="12"/>
      <c r="B338" s="68"/>
      <c r="C338" s="62"/>
      <c r="D338" s="57" t="s">
        <v>9884</v>
      </c>
      <c r="E338" s="66" t="s">
        <v>9885</v>
      </c>
      <c r="F338" s="45" t="s">
        <v>16</v>
      </c>
      <c r="G338" s="13" t="s">
        <v>9886</v>
      </c>
      <c r="H338" s="47" t="s">
        <v>9887</v>
      </c>
      <c r="I338" s="49" t="s">
        <v>41</v>
      </c>
      <c r="J338" s="45" t="s">
        <v>9888</v>
      </c>
      <c r="K338" s="14" t="s">
        <v>9889</v>
      </c>
      <c r="L338" s="15"/>
    </row>
    <row r="339" spans="1:12" s="14" customFormat="1">
      <c r="A339" s="12"/>
      <c r="B339" s="68"/>
      <c r="C339" s="62"/>
      <c r="D339" s="58"/>
      <c r="E339" s="67"/>
      <c r="F339" s="46"/>
      <c r="G339" s="14" t="s">
        <v>9890</v>
      </c>
      <c r="H339" s="48"/>
      <c r="I339" s="50"/>
      <c r="J339" s="46"/>
      <c r="K339" s="14" t="s">
        <v>9891</v>
      </c>
      <c r="L339" s="15"/>
    </row>
    <row r="340" spans="1:12" s="14" customFormat="1">
      <c r="A340" s="12"/>
      <c r="B340" s="68"/>
      <c r="C340" s="62"/>
      <c r="D340" s="57" t="s">
        <v>9892</v>
      </c>
      <c r="E340" s="59" t="s">
        <v>9893</v>
      </c>
      <c r="F340" s="45" t="s">
        <v>38</v>
      </c>
      <c r="G340" s="13" t="s">
        <v>9894</v>
      </c>
      <c r="H340" s="47" t="s">
        <v>9895</v>
      </c>
      <c r="I340" s="49" t="s">
        <v>41</v>
      </c>
      <c r="J340" s="45" t="s">
        <v>9896</v>
      </c>
      <c r="K340" s="14" t="s">
        <v>9897</v>
      </c>
      <c r="L340" s="15"/>
    </row>
    <row r="341" spans="1:12" s="14" customFormat="1">
      <c r="A341" s="12"/>
      <c r="B341" s="68"/>
      <c r="C341" s="63"/>
      <c r="D341" s="58"/>
      <c r="E341" s="60"/>
      <c r="F341" s="46"/>
      <c r="G341" s="14" t="s">
        <v>9898</v>
      </c>
      <c r="H341" s="48"/>
      <c r="I341" s="50"/>
      <c r="J341" s="46"/>
      <c r="K341" s="14" t="s">
        <v>9899</v>
      </c>
      <c r="L341" s="15"/>
    </row>
    <row r="342" spans="1:12" s="14" customFormat="1" ht="14.5" customHeight="1">
      <c r="A342" s="12"/>
      <c r="B342" s="68"/>
      <c r="C342" s="61" t="s">
        <v>9900</v>
      </c>
      <c r="D342" s="64" t="s">
        <v>9901</v>
      </c>
      <c r="E342" s="66" t="s">
        <v>9902</v>
      </c>
      <c r="F342" s="45" t="s">
        <v>16</v>
      </c>
      <c r="G342" s="13" t="s">
        <v>9903</v>
      </c>
      <c r="H342" s="47" t="s">
        <v>9904</v>
      </c>
      <c r="I342" s="49" t="s">
        <v>41</v>
      </c>
      <c r="J342" s="45" t="s">
        <v>9905</v>
      </c>
      <c r="K342" s="14" t="s">
        <v>9906</v>
      </c>
      <c r="L342" s="15"/>
    </row>
    <row r="343" spans="1:12" s="14" customFormat="1">
      <c r="A343" s="12"/>
      <c r="B343" s="68"/>
      <c r="C343" s="62"/>
      <c r="D343" s="65"/>
      <c r="E343" s="67"/>
      <c r="F343" s="46"/>
      <c r="G343" s="14" t="s">
        <v>9907</v>
      </c>
      <c r="H343" s="48"/>
      <c r="I343" s="50"/>
      <c r="J343" s="46"/>
      <c r="K343" s="14" t="s">
        <v>9908</v>
      </c>
      <c r="L343" s="15"/>
    </row>
    <row r="344" spans="1:12" s="14" customFormat="1">
      <c r="A344" s="12"/>
      <c r="B344" s="68"/>
      <c r="C344" s="62"/>
      <c r="D344" s="57" t="s">
        <v>9909</v>
      </c>
      <c r="E344" s="59" t="s">
        <v>9910</v>
      </c>
      <c r="F344" s="45" t="s">
        <v>38</v>
      </c>
      <c r="G344" s="13" t="s">
        <v>9911</v>
      </c>
      <c r="H344" s="47" t="s">
        <v>9912</v>
      </c>
      <c r="I344" s="49" t="s">
        <v>41</v>
      </c>
      <c r="J344" s="45" t="s">
        <v>9913</v>
      </c>
      <c r="K344" s="14" t="s">
        <v>9914</v>
      </c>
      <c r="L344" t="s">
        <v>9915</v>
      </c>
    </row>
    <row r="345" spans="1:12" s="14" customFormat="1">
      <c r="A345" s="12"/>
      <c r="B345" s="68"/>
      <c r="C345" s="62"/>
      <c r="D345" s="58"/>
      <c r="E345" s="60"/>
      <c r="F345" s="46"/>
      <c r="G345" s="14" t="s">
        <v>9916</v>
      </c>
      <c r="H345" s="48"/>
      <c r="I345" s="50"/>
      <c r="J345" s="46"/>
      <c r="K345" s="14" t="s">
        <v>9917</v>
      </c>
      <c r="L345" s="15"/>
    </row>
    <row r="346" spans="1:12" s="14" customFormat="1">
      <c r="A346" s="12"/>
      <c r="B346" s="68"/>
      <c r="C346" s="62"/>
      <c r="D346" s="57" t="s">
        <v>9918</v>
      </c>
      <c r="E346" s="66" t="s">
        <v>9919</v>
      </c>
      <c r="F346" s="45" t="s">
        <v>16</v>
      </c>
      <c r="G346" s="13" t="s">
        <v>9920</v>
      </c>
      <c r="H346" s="47" t="s">
        <v>9921</v>
      </c>
      <c r="I346" s="49" t="s">
        <v>41</v>
      </c>
      <c r="J346" s="45" t="s">
        <v>9922</v>
      </c>
      <c r="K346" s="14" t="s">
        <v>9923</v>
      </c>
      <c r="L346" s="15"/>
    </row>
    <row r="347" spans="1:12" s="14" customFormat="1">
      <c r="A347" s="12"/>
      <c r="B347" s="68"/>
      <c r="C347" s="62"/>
      <c r="D347" s="58"/>
      <c r="E347" s="67"/>
      <c r="F347" s="46"/>
      <c r="G347" s="14" t="s">
        <v>9924</v>
      </c>
      <c r="H347" s="48"/>
      <c r="I347" s="50"/>
      <c r="J347" s="46"/>
      <c r="K347" s="14" t="s">
        <v>9925</v>
      </c>
      <c r="L347"/>
    </row>
    <row r="348" spans="1:12" s="14" customFormat="1">
      <c r="A348" s="12"/>
      <c r="B348" s="68"/>
      <c r="C348" s="62"/>
      <c r="D348" s="57" t="s">
        <v>9926</v>
      </c>
      <c r="E348" s="66" t="s">
        <v>9927</v>
      </c>
      <c r="F348" s="45" t="s">
        <v>16</v>
      </c>
      <c r="G348" s="13" t="s">
        <v>9791</v>
      </c>
      <c r="H348" s="47" t="s">
        <v>9928</v>
      </c>
      <c r="I348" s="49" t="s">
        <v>41</v>
      </c>
      <c r="J348" s="45" t="s">
        <v>9929</v>
      </c>
      <c r="K348" s="14" t="s">
        <v>9930</v>
      </c>
      <c r="L348" s="15"/>
    </row>
    <row r="349" spans="1:12" s="14" customFormat="1">
      <c r="A349" s="12"/>
      <c r="B349" s="68"/>
      <c r="C349" s="62"/>
      <c r="D349" s="58"/>
      <c r="E349" s="67"/>
      <c r="F349" s="46"/>
      <c r="G349" s="14" t="s">
        <v>9931</v>
      </c>
      <c r="H349" s="48"/>
      <c r="I349" s="50"/>
      <c r="J349" s="46"/>
      <c r="K349" s="14" t="s">
        <v>9932</v>
      </c>
      <c r="L349" s="15"/>
    </row>
    <row r="350" spans="1:12" s="14" customFormat="1">
      <c r="A350" s="12"/>
      <c r="B350" s="68"/>
      <c r="C350" s="62"/>
      <c r="D350" s="57" t="s">
        <v>9933</v>
      </c>
      <c r="E350" s="59" t="s">
        <v>9934</v>
      </c>
      <c r="F350" s="45" t="s">
        <v>16</v>
      </c>
      <c r="G350" s="13" t="s">
        <v>9935</v>
      </c>
      <c r="H350" s="47" t="s">
        <v>9936</v>
      </c>
      <c r="I350" s="49" t="s">
        <v>19</v>
      </c>
      <c r="J350" s="45" t="s">
        <v>9937</v>
      </c>
      <c r="K350" s="14" t="s">
        <v>9938</v>
      </c>
      <c r="L350" s="15"/>
    </row>
    <row r="351" spans="1:12" s="14" customFormat="1">
      <c r="A351" s="12"/>
      <c r="B351" s="68"/>
      <c r="C351" s="63"/>
      <c r="D351" s="58"/>
      <c r="E351" s="60"/>
      <c r="F351" s="46"/>
      <c r="G351" s="14" t="s">
        <v>9939</v>
      </c>
      <c r="H351" s="48"/>
      <c r="I351" s="50"/>
      <c r="J351" s="46"/>
      <c r="K351" s="14" t="s">
        <v>9940</v>
      </c>
      <c r="L351" s="15"/>
    </row>
    <row r="352" spans="1:12" s="14" customFormat="1" ht="14.5" customHeight="1">
      <c r="A352" s="12"/>
      <c r="B352" s="68"/>
      <c r="C352" s="61" t="s">
        <v>9941</v>
      </c>
      <c r="D352" s="64" t="s">
        <v>9942</v>
      </c>
      <c r="E352" s="59" t="s">
        <v>9943</v>
      </c>
      <c r="F352" s="45" t="s">
        <v>38</v>
      </c>
      <c r="G352" s="14" t="s">
        <v>9944</v>
      </c>
      <c r="H352" s="47" t="s">
        <v>9945</v>
      </c>
      <c r="I352" s="49" t="s">
        <v>19</v>
      </c>
      <c r="J352" s="45" t="s">
        <v>9946</v>
      </c>
      <c r="K352" s="14" t="s">
        <v>9947</v>
      </c>
      <c r="L352" s="15"/>
    </row>
    <row r="353" spans="1:12" s="14" customFormat="1">
      <c r="A353" s="12"/>
      <c r="B353" s="68"/>
      <c r="C353" s="62"/>
      <c r="D353" s="65"/>
      <c r="E353" s="60"/>
      <c r="F353" s="46"/>
      <c r="G353" s="14" t="s">
        <v>9948</v>
      </c>
      <c r="H353" s="48"/>
      <c r="I353" s="50"/>
      <c r="J353" s="46"/>
      <c r="K353" s="14" t="s">
        <v>9949</v>
      </c>
      <c r="L353" s="15"/>
    </row>
    <row r="354" spans="1:12" s="14" customFormat="1">
      <c r="A354" s="12"/>
      <c r="B354" s="68"/>
      <c r="C354" s="62"/>
      <c r="D354" s="57" t="s">
        <v>9950</v>
      </c>
      <c r="E354" s="59" t="s">
        <v>9951</v>
      </c>
      <c r="F354" s="45" t="s">
        <v>38</v>
      </c>
      <c r="G354" s="13" t="s">
        <v>9952</v>
      </c>
      <c r="H354" s="47" t="s">
        <v>9953</v>
      </c>
      <c r="I354" s="49" t="s">
        <v>19</v>
      </c>
      <c r="J354" s="45" t="s">
        <v>9954</v>
      </c>
      <c r="K354" s="14" t="s">
        <v>9955</v>
      </c>
      <c r="L354" s="15"/>
    </row>
    <row r="355" spans="1:12" s="14" customFormat="1">
      <c r="A355" s="12"/>
      <c r="B355" s="68"/>
      <c r="C355" s="62"/>
      <c r="D355" s="58"/>
      <c r="E355" s="60"/>
      <c r="F355" s="46"/>
      <c r="G355" s="14" t="s">
        <v>9956</v>
      </c>
      <c r="H355" s="48"/>
      <c r="I355" s="50"/>
      <c r="J355" s="46"/>
      <c r="K355" s="14" t="s">
        <v>9957</v>
      </c>
      <c r="L355" s="15"/>
    </row>
    <row r="356" spans="1:12" s="14" customFormat="1">
      <c r="A356" s="12"/>
      <c r="B356" s="68"/>
      <c r="C356" s="62"/>
      <c r="D356" s="57" t="s">
        <v>9958</v>
      </c>
      <c r="E356" s="59" t="s">
        <v>9959</v>
      </c>
      <c r="F356" s="45" t="s">
        <v>16</v>
      </c>
      <c r="G356" s="13" t="s">
        <v>9960</v>
      </c>
      <c r="H356" s="47" t="s">
        <v>9961</v>
      </c>
      <c r="I356" s="49" t="s">
        <v>19</v>
      </c>
      <c r="J356" s="45" t="s">
        <v>9962</v>
      </c>
      <c r="K356" s="14" t="s">
        <v>9963</v>
      </c>
      <c r="L356" s="15"/>
    </row>
    <row r="357" spans="1:12" s="14" customFormat="1">
      <c r="A357" s="12"/>
      <c r="B357" s="68"/>
      <c r="C357" s="62"/>
      <c r="D357" s="58"/>
      <c r="E357" s="60"/>
      <c r="F357" s="46"/>
      <c r="G357" s="14" t="s">
        <v>9964</v>
      </c>
      <c r="H357" s="48"/>
      <c r="I357" s="50"/>
      <c r="J357" s="46"/>
      <c r="K357" s="14" t="s">
        <v>9965</v>
      </c>
      <c r="L357" s="15"/>
    </row>
    <row r="358" spans="1:12" s="14" customFormat="1">
      <c r="A358" s="12"/>
      <c r="B358" s="68"/>
      <c r="C358" s="62"/>
      <c r="D358" s="57" t="s">
        <v>9966</v>
      </c>
      <c r="E358" s="59" t="s">
        <v>9967</v>
      </c>
      <c r="F358" s="45" t="s">
        <v>16</v>
      </c>
      <c r="G358" s="13" t="s">
        <v>9968</v>
      </c>
      <c r="H358" s="47" t="s">
        <v>9969</v>
      </c>
      <c r="I358" s="49" t="s">
        <v>19</v>
      </c>
      <c r="J358" s="45" t="s">
        <v>9970</v>
      </c>
      <c r="K358" s="14" t="s">
        <v>9971</v>
      </c>
      <c r="L358" s="15"/>
    </row>
    <row r="359" spans="1:12" s="14" customFormat="1">
      <c r="A359" s="12"/>
      <c r="B359" s="68"/>
      <c r="C359" s="62"/>
      <c r="D359" s="58"/>
      <c r="E359" s="60"/>
      <c r="F359" s="46"/>
      <c r="G359" s="14" t="s">
        <v>9972</v>
      </c>
      <c r="H359" s="48"/>
      <c r="I359" s="50"/>
      <c r="J359" s="46"/>
      <c r="K359" s="14" t="s">
        <v>9973</v>
      </c>
      <c r="L359" s="15"/>
    </row>
    <row r="360" spans="1:12" s="14" customFormat="1">
      <c r="A360" s="12"/>
      <c r="B360" s="68"/>
      <c r="C360" s="62"/>
      <c r="D360" s="57" t="s">
        <v>9974</v>
      </c>
      <c r="E360" s="59" t="s">
        <v>9975</v>
      </c>
      <c r="F360" s="45" t="s">
        <v>38</v>
      </c>
      <c r="G360" s="13" t="s">
        <v>9976</v>
      </c>
      <c r="H360" s="47" t="s">
        <v>9977</v>
      </c>
      <c r="I360" s="49" t="s">
        <v>19</v>
      </c>
      <c r="J360" s="45" t="s">
        <v>9978</v>
      </c>
      <c r="K360" s="14" t="s">
        <v>9979</v>
      </c>
      <c r="L360" s="15"/>
    </row>
    <row r="361" spans="1:12" s="15" customFormat="1">
      <c r="B361" s="67"/>
      <c r="C361" s="63"/>
      <c r="D361" s="58"/>
      <c r="E361" s="60"/>
      <c r="F361" s="46"/>
      <c r="G361" s="14" t="s">
        <v>9980</v>
      </c>
      <c r="H361" s="48"/>
      <c r="I361" s="50"/>
      <c r="J361" s="46"/>
      <c r="K361" s="14" t="s">
        <v>9981</v>
      </c>
    </row>
    <row r="362" spans="1:12" s="15" customFormat="1" ht="15.5">
      <c r="B362" s="20"/>
      <c r="C362" s="21"/>
      <c r="E362" s="12"/>
      <c r="F362" s="45"/>
      <c r="G362" s="22"/>
      <c r="H362" s="47"/>
      <c r="I362" s="49"/>
      <c r="J362" s="45"/>
      <c r="K362" s="22"/>
    </row>
    <row r="363" spans="1:12" s="15" customFormat="1" ht="15.5">
      <c r="B363" s="20"/>
      <c r="C363" s="21"/>
      <c r="E363" s="12"/>
      <c r="F363" s="46"/>
      <c r="G363" s="22"/>
      <c r="H363" s="48"/>
      <c r="I363" s="50"/>
      <c r="J363" s="46"/>
      <c r="K363" s="22"/>
    </row>
    <row r="364" spans="1:12" s="15" customFormat="1" ht="15.5">
      <c r="B364" s="20"/>
      <c r="C364" s="21"/>
      <c r="E364" s="12"/>
      <c r="F364" s="45"/>
      <c r="G364" s="22"/>
      <c r="H364" s="47"/>
      <c r="I364" s="49"/>
      <c r="J364" s="45"/>
      <c r="K364" s="22"/>
    </row>
    <row r="365" spans="1:12" s="15" customFormat="1" ht="15.5">
      <c r="B365" s="20"/>
      <c r="C365" s="21"/>
      <c r="E365" s="12"/>
      <c r="F365" s="46"/>
      <c r="G365" s="22"/>
      <c r="H365" s="48"/>
      <c r="I365" s="50"/>
      <c r="J365" s="46"/>
      <c r="K365" s="22"/>
    </row>
    <row r="366" spans="1:12" s="15" customFormat="1" ht="15.5">
      <c r="B366" s="20"/>
      <c r="C366" s="21"/>
      <c r="E366" s="12"/>
      <c r="F366" s="23"/>
      <c r="G366" s="22"/>
      <c r="H366" s="24"/>
      <c r="I366" s="25"/>
      <c r="J366" s="23"/>
      <c r="K366" s="22"/>
    </row>
    <row r="367" spans="1:12" s="15" customFormat="1" ht="15.5">
      <c r="B367" s="20"/>
      <c r="C367" s="21"/>
      <c r="E367" s="12"/>
      <c r="F367" s="45"/>
      <c r="G367" s="22"/>
      <c r="H367" s="47"/>
      <c r="I367" s="49"/>
      <c r="J367" s="45"/>
      <c r="K367" s="22"/>
    </row>
    <row r="368" spans="1:12" s="15" customFormat="1" ht="15.5">
      <c r="B368" s="20"/>
      <c r="C368" s="21"/>
      <c r="E368" s="12"/>
      <c r="F368" s="46"/>
      <c r="G368" s="22"/>
      <c r="H368" s="48"/>
      <c r="I368" s="50"/>
      <c r="J368" s="46"/>
      <c r="K368" s="22"/>
    </row>
    <row r="369" spans="2:11" s="15" customFormat="1" ht="15.5">
      <c r="B369" s="20"/>
      <c r="C369" s="21"/>
      <c r="E369" s="12"/>
      <c r="F369" s="45"/>
      <c r="G369" s="22"/>
      <c r="H369" s="47"/>
      <c r="I369" s="49"/>
      <c r="J369" s="45"/>
      <c r="K369" s="22"/>
    </row>
    <row r="370" spans="2:11" s="15" customFormat="1" ht="15.5">
      <c r="B370" s="20"/>
      <c r="C370" s="21"/>
      <c r="E370" s="12"/>
      <c r="F370" s="46"/>
      <c r="G370" s="22"/>
      <c r="H370" s="48"/>
      <c r="I370" s="50"/>
      <c r="J370" s="46"/>
      <c r="K370" s="22"/>
    </row>
    <row r="371" spans="2:11" s="15" customFormat="1" ht="15.5">
      <c r="C371" s="21"/>
      <c r="E371" s="12"/>
      <c r="F371" s="45"/>
      <c r="G371" s="22"/>
      <c r="H371" s="47"/>
      <c r="I371" s="49"/>
      <c r="J371" s="45"/>
      <c r="K371" s="22"/>
    </row>
    <row r="372" spans="2:11" s="15" customFormat="1" ht="15.5">
      <c r="C372" s="21"/>
      <c r="E372" s="12"/>
      <c r="F372" s="46"/>
      <c r="G372" s="22"/>
      <c r="H372" s="48"/>
      <c r="I372" s="50"/>
      <c r="J372" s="46"/>
      <c r="K372" s="22"/>
    </row>
    <row r="373" spans="2:11" s="15" customFormat="1" ht="15.5">
      <c r="C373" s="21"/>
      <c r="E373" s="12"/>
      <c r="F373" s="45"/>
      <c r="G373" s="22"/>
      <c r="H373" s="47"/>
      <c r="I373" s="49"/>
      <c r="J373" s="45"/>
      <c r="K373" s="22"/>
    </row>
    <row r="374" spans="2:11" s="15" customFormat="1" ht="15.5">
      <c r="C374" s="21"/>
      <c r="E374" s="12"/>
      <c r="F374" s="46"/>
      <c r="G374" s="22"/>
      <c r="H374" s="48"/>
      <c r="I374" s="50"/>
      <c r="J374" s="46"/>
      <c r="K374" s="22"/>
    </row>
    <row r="375" spans="2:11" s="15" customFormat="1" ht="15.5">
      <c r="C375" s="21"/>
      <c r="E375" s="12"/>
      <c r="F375" s="45"/>
      <c r="G375" s="22"/>
      <c r="H375" s="47"/>
      <c r="I375" s="49"/>
      <c r="J375" s="45"/>
      <c r="K375" s="22"/>
    </row>
    <row r="376" spans="2:11" s="15" customFormat="1" ht="15.5">
      <c r="C376" s="21"/>
      <c r="E376" s="12"/>
      <c r="F376" s="46"/>
      <c r="G376" s="22"/>
      <c r="H376" s="48"/>
      <c r="I376" s="50"/>
      <c r="J376" s="46"/>
      <c r="K376" s="22"/>
    </row>
    <row r="377" spans="2:11" s="15" customFormat="1" ht="15.5">
      <c r="C377" s="21"/>
      <c r="E377" s="12"/>
      <c r="F377" s="45"/>
      <c r="G377" s="22"/>
      <c r="H377" s="47"/>
      <c r="I377" s="49"/>
      <c r="J377" s="45"/>
      <c r="K377" s="22"/>
    </row>
    <row r="378" spans="2:11" s="15" customFormat="1" ht="15.5">
      <c r="C378" s="21"/>
      <c r="E378" s="12"/>
      <c r="F378" s="46"/>
      <c r="G378" s="22"/>
      <c r="H378" s="48"/>
      <c r="I378" s="50"/>
      <c r="J378" s="46"/>
      <c r="K378" s="22"/>
    </row>
    <row r="379" spans="2:11" s="15" customFormat="1" ht="15.5">
      <c r="C379" s="21"/>
      <c r="E379" s="12"/>
      <c r="F379" s="45"/>
      <c r="G379" s="22"/>
      <c r="H379" s="47"/>
      <c r="I379" s="49"/>
      <c r="J379" s="45"/>
      <c r="K379" s="22"/>
    </row>
    <row r="380" spans="2:11" s="15" customFormat="1" ht="15.5">
      <c r="C380" s="21"/>
      <c r="E380" s="12"/>
      <c r="F380" s="46"/>
      <c r="G380" s="22"/>
      <c r="H380" s="48"/>
      <c r="I380" s="50"/>
      <c r="J380" s="46"/>
      <c r="K380" s="22"/>
    </row>
    <row r="381" spans="2:11" s="15" customFormat="1" ht="15.5">
      <c r="E381" s="12"/>
      <c r="F381" s="45"/>
      <c r="G381" s="22"/>
      <c r="H381" s="47"/>
      <c r="I381" s="49"/>
      <c r="J381" s="45"/>
      <c r="K381" s="22"/>
    </row>
    <row r="382" spans="2:11" s="15" customFormat="1" ht="15.5">
      <c r="E382" s="12"/>
      <c r="F382" s="46"/>
      <c r="G382" s="22"/>
      <c r="H382" s="48"/>
      <c r="I382" s="50"/>
      <c r="J382" s="46"/>
      <c r="K382" s="22"/>
    </row>
    <row r="383" spans="2:11" s="15" customFormat="1" ht="15.5">
      <c r="E383" s="12"/>
      <c r="F383" s="45"/>
      <c r="G383" s="22"/>
      <c r="H383" s="47"/>
      <c r="I383" s="49"/>
      <c r="J383" s="45"/>
      <c r="K383" s="22"/>
    </row>
    <row r="384" spans="2:11" s="15" customFormat="1" ht="15.5">
      <c r="E384" s="12"/>
      <c r="F384" s="46"/>
      <c r="G384" s="22"/>
      <c r="H384" s="48"/>
      <c r="I384" s="50"/>
      <c r="J384" s="46"/>
      <c r="K384" s="22"/>
    </row>
    <row r="385" spans="5:11" s="15" customFormat="1" ht="15.5">
      <c r="E385" s="12"/>
      <c r="F385" s="45"/>
      <c r="G385" s="22"/>
      <c r="H385" s="47"/>
      <c r="I385" s="49"/>
      <c r="J385" s="45"/>
      <c r="K385" s="22"/>
    </row>
    <row r="386" spans="5:11" s="15" customFormat="1" ht="15.5">
      <c r="E386" s="12"/>
      <c r="F386" s="46"/>
      <c r="G386" s="22"/>
      <c r="H386" s="48"/>
      <c r="I386" s="50"/>
      <c r="J386" s="46"/>
      <c r="K386" s="22"/>
    </row>
    <row r="387" spans="5:11" s="15" customFormat="1" ht="15.5">
      <c r="E387" s="12"/>
      <c r="F387" s="45"/>
      <c r="G387" s="22"/>
      <c r="H387" s="47"/>
      <c r="I387" s="49"/>
      <c r="J387" s="45"/>
      <c r="K387" s="22"/>
    </row>
    <row r="388" spans="5:11" s="15" customFormat="1" ht="15.5">
      <c r="E388" s="12"/>
      <c r="F388" s="46"/>
      <c r="G388" s="22"/>
      <c r="H388" s="48"/>
      <c r="I388" s="50"/>
      <c r="J388" s="46"/>
      <c r="K388" s="22"/>
    </row>
    <row r="389" spans="5:11" s="15" customFormat="1" ht="15.5">
      <c r="E389" s="12"/>
      <c r="F389" s="45"/>
      <c r="G389" s="22"/>
      <c r="H389" s="47"/>
      <c r="I389" s="49"/>
      <c r="J389" s="45"/>
      <c r="K389" s="22"/>
    </row>
    <row r="390" spans="5:11" s="15" customFormat="1" ht="15.5">
      <c r="E390" s="12"/>
      <c r="F390" s="46"/>
      <c r="G390" s="22"/>
      <c r="H390" s="48"/>
      <c r="I390" s="50"/>
      <c r="J390" s="46"/>
      <c r="K390" s="22"/>
    </row>
    <row r="391" spans="5:11" s="15" customFormat="1" ht="15.5">
      <c r="E391" s="12"/>
      <c r="F391" s="45"/>
      <c r="G391" s="22"/>
      <c r="H391" s="47"/>
      <c r="I391" s="49"/>
      <c r="J391" s="45"/>
      <c r="K391" s="22"/>
    </row>
    <row r="392" spans="5:11" s="15" customFormat="1" ht="15.5">
      <c r="E392" s="12"/>
      <c r="F392" s="46"/>
      <c r="G392" s="22"/>
      <c r="H392" s="48"/>
      <c r="I392" s="50"/>
      <c r="J392" s="46"/>
      <c r="K392" s="22"/>
    </row>
    <row r="393" spans="5:11" s="15" customFormat="1" ht="15.5">
      <c r="E393" s="12"/>
      <c r="F393" s="45"/>
      <c r="G393" s="22"/>
      <c r="H393" s="47"/>
      <c r="I393" s="49"/>
      <c r="J393" s="45"/>
      <c r="K393" s="22"/>
    </row>
    <row r="394" spans="5:11" s="15" customFormat="1" ht="15.5">
      <c r="E394" s="12"/>
      <c r="F394" s="46"/>
      <c r="G394" s="22"/>
      <c r="H394" s="48"/>
      <c r="I394" s="50"/>
      <c r="J394" s="46"/>
      <c r="K394" s="22"/>
    </row>
    <row r="395" spans="5:11" s="15" customFormat="1" ht="15.5">
      <c r="E395" s="12"/>
      <c r="F395" s="45"/>
      <c r="G395" s="22"/>
      <c r="H395" s="47"/>
      <c r="I395" s="49"/>
      <c r="J395" s="45"/>
      <c r="K395" s="22"/>
    </row>
    <row r="396" spans="5:11" s="15" customFormat="1" ht="15.5">
      <c r="E396" s="12"/>
      <c r="F396" s="46"/>
      <c r="G396" s="22"/>
      <c r="H396" s="48"/>
      <c r="I396" s="50"/>
      <c r="J396" s="46"/>
      <c r="K396" s="22"/>
    </row>
    <row r="397" spans="5:11" s="15" customFormat="1" ht="15.5">
      <c r="E397" s="12"/>
      <c r="F397" s="45"/>
      <c r="G397" s="22"/>
      <c r="H397" s="47"/>
      <c r="I397" s="49"/>
      <c r="J397" s="45"/>
      <c r="K397" s="22"/>
    </row>
    <row r="398" spans="5:11" s="15" customFormat="1" ht="15.5">
      <c r="E398" s="12"/>
      <c r="F398" s="46"/>
      <c r="G398" s="22"/>
      <c r="H398" s="48"/>
      <c r="I398" s="50"/>
      <c r="J398" s="46"/>
      <c r="K398" s="22"/>
    </row>
    <row r="399" spans="5:11" s="15" customFormat="1" ht="15.5">
      <c r="E399" s="12"/>
      <c r="F399" s="45"/>
      <c r="G399" s="22"/>
      <c r="H399" s="47"/>
      <c r="I399" s="49"/>
      <c r="J399" s="45"/>
      <c r="K399" s="22"/>
    </row>
    <row r="400" spans="5:11" s="15" customFormat="1" ht="15.5">
      <c r="E400" s="12"/>
      <c r="F400" s="46"/>
      <c r="G400" s="22"/>
      <c r="H400" s="48"/>
      <c r="I400" s="50"/>
      <c r="J400" s="46"/>
      <c r="K400" s="22"/>
    </row>
    <row r="401" spans="5:11" s="15" customFormat="1" ht="15.5">
      <c r="E401" s="12"/>
      <c r="F401" s="45"/>
      <c r="G401" s="22"/>
      <c r="H401" s="47"/>
      <c r="I401" s="49"/>
      <c r="J401" s="45"/>
      <c r="K401" s="22"/>
    </row>
    <row r="402" spans="5:11" s="15" customFormat="1" ht="15.5">
      <c r="E402" s="12"/>
      <c r="F402" s="46"/>
      <c r="G402" s="22"/>
      <c r="H402" s="48"/>
      <c r="I402" s="50"/>
      <c r="J402" s="46"/>
      <c r="K402" s="22"/>
    </row>
    <row r="403" spans="5:11" s="15" customFormat="1" ht="15.5">
      <c r="E403" s="12"/>
      <c r="F403" s="45"/>
      <c r="G403" s="22"/>
      <c r="H403" s="47"/>
      <c r="I403" s="49"/>
      <c r="J403" s="45"/>
      <c r="K403" s="22"/>
    </row>
    <row r="404" spans="5:11" s="15" customFormat="1" ht="15.5">
      <c r="E404" s="12"/>
      <c r="F404" s="46"/>
      <c r="G404" s="22"/>
      <c r="H404" s="48"/>
      <c r="I404" s="50"/>
      <c r="J404" s="46"/>
      <c r="K404" s="22"/>
    </row>
    <row r="405" spans="5:11" s="15" customFormat="1" ht="15.5">
      <c r="E405" s="12"/>
      <c r="F405" s="45"/>
      <c r="G405" s="22"/>
      <c r="H405" s="47"/>
      <c r="I405" s="49"/>
      <c r="J405" s="45"/>
      <c r="K405" s="22"/>
    </row>
    <row r="406" spans="5:11" s="15" customFormat="1" ht="15.5">
      <c r="E406" s="12"/>
      <c r="F406" s="46"/>
      <c r="G406" s="22"/>
      <c r="H406" s="48"/>
      <c r="I406" s="50"/>
      <c r="J406" s="46"/>
      <c r="K406" s="22"/>
    </row>
    <row r="407" spans="5:11" s="15" customFormat="1" ht="15.5">
      <c r="E407" s="12"/>
      <c r="F407" s="45"/>
      <c r="G407" s="22"/>
      <c r="H407" s="47"/>
      <c r="I407" s="49"/>
      <c r="J407" s="45"/>
      <c r="K407" s="22"/>
    </row>
    <row r="408" spans="5:11" s="15" customFormat="1" ht="15.5">
      <c r="E408" s="12"/>
      <c r="F408" s="46"/>
      <c r="G408" s="22"/>
      <c r="H408" s="48"/>
      <c r="I408" s="50"/>
      <c r="J408" s="46"/>
      <c r="K408" s="22"/>
    </row>
    <row r="409" spans="5:11" s="15" customFormat="1" ht="15.5">
      <c r="E409" s="12"/>
      <c r="F409" s="45"/>
      <c r="G409" s="22"/>
      <c r="H409" s="47"/>
      <c r="I409" s="49"/>
      <c r="J409" s="45"/>
      <c r="K409" s="22"/>
    </row>
    <row r="410" spans="5:11" s="15" customFormat="1" ht="15.5">
      <c r="E410" s="12"/>
      <c r="F410" s="46"/>
      <c r="G410" s="22"/>
      <c r="H410" s="48"/>
      <c r="I410" s="50"/>
      <c r="J410" s="46"/>
      <c r="K410" s="22"/>
    </row>
    <row r="411" spans="5:11" s="15" customFormat="1" ht="15.5">
      <c r="E411" s="12"/>
      <c r="F411" s="45"/>
      <c r="G411" s="22"/>
      <c r="H411" s="47"/>
      <c r="I411" s="49"/>
      <c r="J411" s="45"/>
      <c r="K411" s="22"/>
    </row>
    <row r="412" spans="5:11" s="15" customFormat="1" ht="15.5">
      <c r="E412" s="12"/>
      <c r="F412" s="46"/>
      <c r="G412" s="22"/>
      <c r="H412" s="48"/>
      <c r="I412" s="50"/>
      <c r="J412" s="46"/>
      <c r="K412" s="22"/>
    </row>
    <row r="413" spans="5:11" s="15" customFormat="1" ht="15.5">
      <c r="E413" s="12"/>
      <c r="F413" s="45"/>
      <c r="G413" s="22"/>
      <c r="H413" s="47"/>
      <c r="I413" s="49"/>
      <c r="J413" s="45"/>
      <c r="K413" s="22"/>
    </row>
    <row r="414" spans="5:11" s="15" customFormat="1" ht="15.5">
      <c r="E414" s="12"/>
      <c r="F414" s="46"/>
      <c r="G414" s="22"/>
      <c r="H414" s="48"/>
      <c r="I414" s="50"/>
      <c r="J414" s="46"/>
      <c r="K414" s="22"/>
    </row>
    <row r="415" spans="5:11" s="15" customFormat="1" ht="15.5">
      <c r="E415" s="12"/>
      <c r="F415" s="45"/>
      <c r="G415" s="22"/>
      <c r="H415" s="47"/>
      <c r="I415" s="49"/>
      <c r="J415" s="45"/>
      <c r="K415" s="22"/>
    </row>
    <row r="416" spans="5:11" s="15" customFormat="1" ht="15.5">
      <c r="E416" s="12"/>
      <c r="F416" s="46"/>
      <c r="G416" s="22"/>
      <c r="H416" s="48"/>
      <c r="I416" s="50"/>
      <c r="J416" s="46"/>
      <c r="K416" s="22"/>
    </row>
    <row r="417" spans="5:11" s="15" customFormat="1" ht="15.5">
      <c r="E417" s="12"/>
      <c r="F417" s="45"/>
      <c r="G417" s="22"/>
      <c r="H417" s="47"/>
      <c r="I417" s="49"/>
      <c r="J417" s="45"/>
      <c r="K417" s="22"/>
    </row>
    <row r="418" spans="5:11" s="15" customFormat="1" ht="15.5">
      <c r="E418" s="12"/>
      <c r="F418" s="46"/>
      <c r="G418" s="22"/>
      <c r="H418" s="48"/>
      <c r="I418" s="50"/>
      <c r="J418" s="46"/>
      <c r="K418" s="22"/>
    </row>
    <row r="419" spans="5:11" s="15" customFormat="1" ht="15.5">
      <c r="E419" s="12"/>
      <c r="F419" s="45"/>
      <c r="G419" s="22"/>
      <c r="H419" s="47"/>
      <c r="I419" s="49"/>
      <c r="J419" s="45"/>
      <c r="K419" s="22"/>
    </row>
    <row r="420" spans="5:11" s="15" customFormat="1" ht="15.5">
      <c r="E420" s="12"/>
      <c r="F420" s="46"/>
      <c r="G420" s="22"/>
      <c r="H420" s="48"/>
      <c r="I420" s="50"/>
      <c r="J420" s="46"/>
      <c r="K420" s="22"/>
    </row>
    <row r="421" spans="5:11" s="15" customFormat="1" ht="15.5">
      <c r="E421" s="12"/>
      <c r="F421" s="45"/>
      <c r="G421" s="22"/>
      <c r="H421" s="47"/>
      <c r="I421" s="49"/>
      <c r="J421" s="45"/>
      <c r="K421" s="22"/>
    </row>
    <row r="422" spans="5:11" s="15" customFormat="1" ht="15.5">
      <c r="E422" s="12"/>
      <c r="F422" s="46"/>
      <c r="G422" s="22"/>
      <c r="H422" s="48"/>
      <c r="I422" s="50"/>
      <c r="J422" s="46"/>
      <c r="K422" s="22"/>
    </row>
    <row r="423" spans="5:11" s="15" customFormat="1" ht="15.5">
      <c r="E423" s="12"/>
      <c r="F423" s="45"/>
      <c r="G423" s="22"/>
      <c r="H423" s="47"/>
      <c r="I423" s="49"/>
      <c r="J423" s="45"/>
      <c r="K423" s="22"/>
    </row>
    <row r="424" spans="5:11" s="15" customFormat="1" ht="15.5">
      <c r="E424" s="12"/>
      <c r="F424" s="46"/>
      <c r="G424" s="22"/>
      <c r="H424" s="48"/>
      <c r="I424" s="50"/>
      <c r="J424" s="46"/>
      <c r="K424" s="22"/>
    </row>
    <row r="425" spans="5:11" s="15" customFormat="1" ht="15.5">
      <c r="E425" s="12"/>
      <c r="F425" s="45"/>
      <c r="G425" s="22"/>
      <c r="H425" s="47"/>
      <c r="I425" s="49"/>
      <c r="J425" s="45"/>
      <c r="K425" s="22"/>
    </row>
    <row r="426" spans="5:11" s="15" customFormat="1" ht="15.5">
      <c r="E426" s="12"/>
      <c r="F426" s="46"/>
      <c r="G426" s="22"/>
      <c r="H426" s="48"/>
      <c r="I426" s="50"/>
      <c r="J426" s="46"/>
      <c r="K426" s="22"/>
    </row>
    <row r="427" spans="5:11" s="15" customFormat="1" ht="15.5">
      <c r="E427" s="12"/>
      <c r="F427" s="45"/>
      <c r="G427" s="22"/>
      <c r="H427" s="47"/>
      <c r="I427" s="49"/>
      <c r="J427" s="45"/>
      <c r="K427" s="22"/>
    </row>
    <row r="428" spans="5:11" s="15" customFormat="1" ht="15.5">
      <c r="E428" s="12"/>
      <c r="F428" s="46"/>
      <c r="G428" s="22"/>
      <c r="H428" s="48"/>
      <c r="I428" s="50"/>
      <c r="J428" s="46"/>
      <c r="K428" s="22"/>
    </row>
    <row r="429" spans="5:11" s="15" customFormat="1" ht="15.5">
      <c r="E429" s="12"/>
      <c r="F429" s="45"/>
      <c r="G429" s="22"/>
      <c r="H429" s="47"/>
      <c r="I429" s="49"/>
      <c r="J429" s="45"/>
      <c r="K429" s="22"/>
    </row>
    <row r="430" spans="5:11" s="15" customFormat="1" ht="15.5">
      <c r="E430" s="12"/>
      <c r="F430" s="46"/>
      <c r="G430" s="22"/>
      <c r="H430" s="48"/>
      <c r="I430" s="50"/>
      <c r="J430" s="46"/>
      <c r="K430" s="22"/>
    </row>
    <row r="431" spans="5:11" s="15" customFormat="1" ht="15.5">
      <c r="E431" s="12"/>
      <c r="F431" s="45"/>
      <c r="G431" s="22"/>
      <c r="H431" s="47"/>
      <c r="I431" s="49"/>
      <c r="J431" s="45"/>
      <c r="K431" s="22"/>
    </row>
    <row r="432" spans="5:11" s="15" customFormat="1" ht="15.5">
      <c r="E432" s="12"/>
      <c r="F432" s="46"/>
      <c r="G432" s="22"/>
      <c r="H432" s="48"/>
      <c r="I432" s="50"/>
      <c r="J432" s="46"/>
      <c r="K432" s="22"/>
    </row>
    <row r="433" spans="5:11" s="15" customFormat="1" ht="15.5">
      <c r="E433" s="12"/>
      <c r="F433" s="45"/>
      <c r="G433" s="22"/>
      <c r="H433" s="47"/>
      <c r="I433" s="49"/>
      <c r="J433" s="45"/>
      <c r="K433" s="22"/>
    </row>
    <row r="434" spans="5:11" s="15" customFormat="1" ht="15.5">
      <c r="E434" s="12"/>
      <c r="F434" s="46"/>
      <c r="G434" s="22"/>
      <c r="H434" s="48"/>
      <c r="I434" s="50"/>
      <c r="J434" s="46"/>
      <c r="K434" s="22"/>
    </row>
    <row r="435" spans="5:11" s="15" customFormat="1" ht="15.5">
      <c r="E435" s="12"/>
      <c r="F435" s="45"/>
      <c r="G435" s="22"/>
      <c r="H435" s="47"/>
      <c r="I435" s="49"/>
      <c r="J435" s="45"/>
      <c r="K435" s="22"/>
    </row>
    <row r="436" spans="5:11" s="15" customFormat="1" ht="15.5">
      <c r="E436" s="12"/>
      <c r="F436" s="46"/>
      <c r="G436" s="22"/>
      <c r="H436" s="48"/>
      <c r="I436" s="50"/>
      <c r="J436" s="46"/>
      <c r="K436" s="22"/>
    </row>
    <row r="437" spans="5:11" s="15" customFormat="1" ht="15.5">
      <c r="E437" s="12"/>
      <c r="F437" s="45"/>
      <c r="G437" s="22"/>
      <c r="H437" s="47"/>
      <c r="I437" s="49"/>
      <c r="J437" s="45"/>
      <c r="K437" s="22"/>
    </row>
    <row r="438" spans="5:11" s="15" customFormat="1" ht="15.5">
      <c r="E438" s="12"/>
      <c r="F438" s="46"/>
      <c r="G438" s="22"/>
      <c r="H438" s="48"/>
      <c r="I438" s="50"/>
      <c r="J438" s="46"/>
      <c r="K438" s="22"/>
    </row>
    <row r="439" spans="5:11" s="15" customFormat="1" ht="15.5">
      <c r="E439" s="12"/>
      <c r="F439" s="45"/>
      <c r="G439" s="22"/>
      <c r="H439" s="47"/>
      <c r="I439" s="49"/>
      <c r="J439" s="45"/>
      <c r="K439" s="22"/>
    </row>
    <row r="440" spans="5:11" s="15" customFormat="1" ht="15.5">
      <c r="E440" s="12"/>
      <c r="F440" s="46"/>
      <c r="G440" s="22"/>
      <c r="H440" s="48"/>
      <c r="I440" s="50"/>
      <c r="J440" s="46"/>
      <c r="K440" s="22"/>
    </row>
    <row r="441" spans="5:11" s="15" customFormat="1" ht="15.5">
      <c r="E441" s="12"/>
      <c r="F441" s="45"/>
      <c r="G441" s="22"/>
      <c r="H441" s="47"/>
      <c r="I441" s="49"/>
      <c r="J441" s="45"/>
      <c r="K441" s="22"/>
    </row>
    <row r="442" spans="5:11" s="15" customFormat="1" ht="15.5">
      <c r="E442" s="12"/>
      <c r="F442" s="46"/>
      <c r="G442" s="22"/>
      <c r="H442" s="48"/>
      <c r="I442" s="50"/>
      <c r="J442" s="46"/>
      <c r="K442" s="22"/>
    </row>
    <row r="443" spans="5:11" s="15" customFormat="1" ht="15.5">
      <c r="E443" s="12"/>
      <c r="F443" s="45"/>
      <c r="G443" s="22"/>
      <c r="H443" s="47"/>
      <c r="I443" s="49"/>
      <c r="J443" s="45"/>
      <c r="K443" s="22"/>
    </row>
    <row r="444" spans="5:11" s="15" customFormat="1" ht="15.5">
      <c r="E444" s="12"/>
      <c r="F444" s="46"/>
      <c r="G444" s="22"/>
      <c r="H444" s="48"/>
      <c r="I444" s="50"/>
      <c r="J444" s="46"/>
      <c r="K444" s="22"/>
    </row>
    <row r="445" spans="5:11" s="15" customFormat="1" ht="15.5">
      <c r="E445" s="12"/>
      <c r="F445" s="45"/>
      <c r="G445" s="22"/>
      <c r="H445" s="47"/>
      <c r="I445" s="49"/>
      <c r="J445" s="45"/>
      <c r="K445" s="22"/>
    </row>
    <row r="446" spans="5:11" s="15" customFormat="1" ht="15.5">
      <c r="E446" s="12"/>
      <c r="F446" s="46"/>
      <c r="G446" s="22"/>
      <c r="H446" s="48"/>
      <c r="I446" s="50"/>
      <c r="J446" s="46"/>
      <c r="K446" s="22"/>
    </row>
    <row r="447" spans="5:11" s="15" customFormat="1" ht="15.5">
      <c r="E447" s="12"/>
      <c r="F447" s="45"/>
      <c r="G447" s="22"/>
      <c r="H447" s="47"/>
      <c r="I447" s="49"/>
      <c r="J447" s="45"/>
      <c r="K447" s="22"/>
    </row>
    <row r="448" spans="5:11" s="15" customFormat="1" ht="15.5">
      <c r="E448" s="12"/>
      <c r="F448" s="46"/>
      <c r="G448" s="22"/>
      <c r="H448" s="48"/>
      <c r="I448" s="50"/>
      <c r="J448" s="46"/>
      <c r="K448" s="22"/>
    </row>
    <row r="449" spans="1:11" s="15" customFormat="1" ht="15.5">
      <c r="E449" s="12"/>
      <c r="F449" s="45"/>
      <c r="G449" s="22"/>
      <c r="H449" s="47"/>
      <c r="I449" s="49"/>
      <c r="J449" s="45"/>
      <c r="K449" s="22"/>
    </row>
    <row r="450" spans="1:11" s="15" customFormat="1" ht="15.5">
      <c r="E450" s="12"/>
      <c r="F450" s="46"/>
      <c r="G450" s="22"/>
      <c r="H450" s="48"/>
      <c r="I450" s="50"/>
      <c r="J450" s="46"/>
      <c r="K450" s="22"/>
    </row>
    <row r="451" spans="1:11" s="26" customFormat="1" ht="15.5">
      <c r="A451" s="15"/>
      <c r="E451" s="27"/>
      <c r="F451" s="45"/>
      <c r="G451" s="22"/>
      <c r="H451" s="47"/>
      <c r="I451" s="49"/>
      <c r="J451" s="45"/>
      <c r="K451" s="22"/>
    </row>
    <row r="452" spans="1:11" ht="15.5">
      <c r="F452" s="46"/>
      <c r="G452" s="22"/>
      <c r="H452" s="48"/>
      <c r="I452" s="50"/>
      <c r="J452" s="46"/>
      <c r="K452" s="22"/>
    </row>
    <row r="453" spans="1:11" ht="15.5">
      <c r="F453" s="45"/>
      <c r="G453" s="22"/>
      <c r="H453" s="47"/>
      <c r="I453" s="49"/>
      <c r="J453" s="45"/>
      <c r="K453" s="22"/>
    </row>
    <row r="454" spans="1:11" ht="15.5">
      <c r="F454" s="46"/>
      <c r="G454" s="22"/>
      <c r="H454" s="48"/>
      <c r="I454" s="50"/>
      <c r="J454" s="46"/>
      <c r="K454" s="22"/>
    </row>
    <row r="455" spans="1:11" ht="15.5">
      <c r="F455" s="45"/>
      <c r="G455" s="22"/>
      <c r="H455" s="47"/>
      <c r="I455" s="49"/>
      <c r="J455" s="45"/>
      <c r="K455" s="22"/>
    </row>
    <row r="456" spans="1:11" ht="15.5">
      <c r="F456" s="46"/>
      <c r="G456" s="22"/>
      <c r="H456" s="48"/>
      <c r="I456" s="50"/>
      <c r="J456" s="46"/>
      <c r="K456" s="22"/>
    </row>
    <row r="457" spans="1:11" ht="15.5">
      <c r="F457" s="45"/>
      <c r="G457" s="22"/>
      <c r="H457" s="47"/>
      <c r="I457" s="49"/>
      <c r="J457" s="45"/>
      <c r="K457" s="22"/>
    </row>
    <row r="458" spans="1:11" ht="15.5">
      <c r="F458" s="46"/>
      <c r="G458" s="22"/>
      <c r="H458" s="48"/>
      <c r="I458" s="50"/>
      <c r="J458" s="46"/>
      <c r="K458" s="22"/>
    </row>
    <row r="459" spans="1:11" ht="15.5">
      <c r="F459" s="45"/>
      <c r="G459" s="22"/>
      <c r="H459" s="47"/>
      <c r="I459" s="49"/>
      <c r="J459" s="45"/>
      <c r="K459" s="22"/>
    </row>
    <row r="460" spans="1:11" ht="15.5">
      <c r="F460" s="46"/>
      <c r="G460" s="22"/>
      <c r="H460" s="48"/>
      <c r="I460" s="50"/>
      <c r="J460" s="46"/>
      <c r="K460" s="22"/>
    </row>
    <row r="461" spans="1:11" ht="15.5">
      <c r="F461" s="45"/>
      <c r="G461" s="22"/>
      <c r="H461" s="47"/>
      <c r="I461" s="49"/>
      <c r="J461" s="45"/>
      <c r="K461" s="22"/>
    </row>
    <row r="462" spans="1:11" ht="15.5">
      <c r="F462" s="46"/>
      <c r="G462" s="22"/>
      <c r="H462" s="48"/>
      <c r="I462" s="50"/>
      <c r="J462" s="46"/>
      <c r="K462" s="22"/>
    </row>
    <row r="463" spans="1:11" ht="15.5">
      <c r="F463" s="45"/>
      <c r="G463" s="22"/>
      <c r="H463" s="47"/>
      <c r="I463" s="49"/>
      <c r="J463" s="45"/>
      <c r="K463" s="22"/>
    </row>
    <row r="464" spans="1:11" ht="15.5">
      <c r="F464" s="46"/>
      <c r="G464" s="22"/>
      <c r="H464" s="48"/>
      <c r="I464" s="50"/>
      <c r="J464" s="46"/>
      <c r="K464" s="22"/>
    </row>
    <row r="465" spans="6:11" ht="15.5">
      <c r="F465" s="45"/>
      <c r="G465" s="22"/>
      <c r="H465" s="47"/>
      <c r="I465" s="49"/>
      <c r="J465" s="45"/>
      <c r="K465" s="22"/>
    </row>
    <row r="466" spans="6:11" ht="15.5">
      <c r="F466" s="46"/>
      <c r="G466" s="22"/>
      <c r="H466" s="48"/>
      <c r="I466" s="50"/>
      <c r="J466" s="46"/>
      <c r="K466" s="22"/>
    </row>
    <row r="467" spans="6:11" ht="15.5">
      <c r="F467" s="45"/>
      <c r="G467" s="22"/>
      <c r="H467" s="47"/>
      <c r="I467" s="49"/>
      <c r="J467" s="45"/>
      <c r="K467" s="22"/>
    </row>
    <row r="468" spans="6:11" ht="15.5">
      <c r="F468" s="46"/>
      <c r="G468" s="22"/>
      <c r="H468" s="48"/>
      <c r="I468" s="50"/>
      <c r="J468" s="46"/>
      <c r="K468" s="22"/>
    </row>
    <row r="469" spans="6:11" ht="15.5">
      <c r="F469" s="45"/>
      <c r="G469" s="22"/>
      <c r="H469" s="47"/>
      <c r="I469" s="49"/>
      <c r="J469" s="45"/>
      <c r="K469" s="22"/>
    </row>
    <row r="470" spans="6:11" ht="15.5">
      <c r="F470" s="46"/>
      <c r="G470" s="22"/>
      <c r="H470" s="48"/>
      <c r="I470" s="50"/>
      <c r="J470" s="46"/>
      <c r="K470" s="22"/>
    </row>
    <row r="471" spans="6:11" ht="15.5">
      <c r="F471" s="45"/>
      <c r="G471" s="22"/>
      <c r="H471" s="47"/>
      <c r="I471" s="49"/>
      <c r="J471" s="45"/>
      <c r="K471" s="22"/>
    </row>
    <row r="472" spans="6:11" ht="15.5">
      <c r="F472" s="46"/>
      <c r="G472" s="22"/>
      <c r="H472" s="48"/>
      <c r="I472" s="50"/>
      <c r="J472" s="46"/>
      <c r="K472" s="22"/>
    </row>
    <row r="473" spans="6:11" ht="15.5">
      <c r="F473" s="45"/>
      <c r="G473" s="22"/>
      <c r="H473" s="47"/>
      <c r="I473" s="49"/>
      <c r="J473" s="45"/>
      <c r="K473" s="22"/>
    </row>
    <row r="474" spans="6:11" ht="15.5">
      <c r="F474" s="46"/>
      <c r="G474" s="22"/>
      <c r="H474" s="48"/>
      <c r="I474" s="50"/>
      <c r="J474" s="46"/>
      <c r="K474" s="22"/>
    </row>
    <row r="475" spans="6:11" ht="15.5">
      <c r="F475" s="45"/>
      <c r="G475" s="22"/>
      <c r="H475" s="47"/>
      <c r="I475" s="49"/>
      <c r="J475" s="45"/>
      <c r="K475" s="22"/>
    </row>
    <row r="476" spans="6:11" ht="15.5">
      <c r="F476" s="46"/>
      <c r="G476" s="22"/>
      <c r="H476" s="48"/>
      <c r="I476" s="50"/>
      <c r="J476" s="46"/>
      <c r="K476" s="22"/>
    </row>
    <row r="477" spans="6:11" ht="15.5">
      <c r="F477" s="45"/>
      <c r="G477" s="22"/>
      <c r="H477" s="47"/>
      <c r="I477" s="49"/>
      <c r="J477" s="45"/>
      <c r="K477" s="22"/>
    </row>
    <row r="478" spans="6:11" ht="15.5">
      <c r="F478" s="46"/>
      <c r="G478" s="22"/>
      <c r="H478" s="48"/>
      <c r="I478" s="50"/>
      <c r="J478" s="46"/>
      <c r="K478" s="22"/>
    </row>
    <row r="479" spans="6:11" ht="15.5">
      <c r="F479" s="45"/>
      <c r="G479" s="22"/>
      <c r="H479" s="47"/>
      <c r="I479" s="49"/>
      <c r="J479" s="45"/>
      <c r="K479" s="22"/>
    </row>
    <row r="480" spans="6:11" ht="15.5">
      <c r="F480" s="46"/>
      <c r="G480" s="22"/>
      <c r="H480" s="48"/>
      <c r="I480" s="50"/>
      <c r="J480" s="46"/>
      <c r="K480" s="22"/>
    </row>
    <row r="481" spans="6:11" ht="15.5">
      <c r="F481" s="45"/>
      <c r="G481" s="22"/>
      <c r="H481" s="47"/>
      <c r="I481" s="49"/>
      <c r="J481" s="45"/>
      <c r="K481" s="22"/>
    </row>
    <row r="482" spans="6:11" ht="15.5">
      <c r="F482" s="46"/>
      <c r="G482" s="22"/>
      <c r="H482" s="48"/>
      <c r="I482" s="50"/>
      <c r="J482" s="46"/>
      <c r="K482" s="22"/>
    </row>
    <row r="483" spans="6:11" ht="15.5">
      <c r="F483" s="45"/>
      <c r="G483" s="22"/>
      <c r="H483" s="47"/>
      <c r="I483" s="49"/>
      <c r="J483" s="45"/>
      <c r="K483" s="22"/>
    </row>
    <row r="484" spans="6:11" ht="15.5">
      <c r="F484" s="46"/>
      <c r="G484" s="22"/>
      <c r="H484" s="48"/>
      <c r="I484" s="50"/>
      <c r="J484" s="46"/>
      <c r="K484" s="22"/>
    </row>
    <row r="485" spans="6:11" ht="15.5">
      <c r="F485" s="45"/>
      <c r="G485" s="22"/>
      <c r="H485" s="47"/>
      <c r="I485" s="49"/>
      <c r="J485" s="45"/>
      <c r="K485" s="22"/>
    </row>
    <row r="486" spans="6:11" ht="15.5">
      <c r="F486" s="46"/>
      <c r="G486" s="22"/>
      <c r="H486" s="48"/>
      <c r="I486" s="50"/>
      <c r="J486" s="46"/>
      <c r="K486" s="22"/>
    </row>
    <row r="487" spans="6:11" ht="15.5">
      <c r="F487" s="45"/>
      <c r="G487" s="22"/>
      <c r="H487" s="47"/>
      <c r="I487" s="49"/>
      <c r="J487" s="45"/>
      <c r="K487" s="22"/>
    </row>
    <row r="488" spans="6:11" ht="15.5">
      <c r="F488" s="46"/>
      <c r="G488" s="22"/>
      <c r="H488" s="48"/>
      <c r="I488" s="50"/>
      <c r="J488" s="46"/>
      <c r="K488" s="22"/>
    </row>
    <row r="489" spans="6:11" ht="15.5">
      <c r="F489" s="45"/>
      <c r="G489" s="22"/>
      <c r="H489" s="47"/>
      <c r="I489" s="49"/>
      <c r="J489" s="45"/>
      <c r="K489" s="22"/>
    </row>
    <row r="490" spans="6:11" ht="15.5">
      <c r="F490" s="46"/>
      <c r="G490" s="22"/>
      <c r="H490" s="48"/>
      <c r="I490" s="50"/>
      <c r="J490" s="46"/>
      <c r="K490" s="22"/>
    </row>
    <row r="491" spans="6:11" ht="15.5">
      <c r="F491" s="45"/>
      <c r="G491" s="22"/>
      <c r="H491" s="47"/>
      <c r="I491" s="49"/>
      <c r="J491" s="45"/>
      <c r="K491" s="22"/>
    </row>
    <row r="492" spans="6:11" ht="15.5">
      <c r="F492" s="46"/>
      <c r="G492" s="22"/>
      <c r="H492" s="48"/>
      <c r="I492" s="50"/>
      <c r="J492" s="46"/>
      <c r="K492" s="22"/>
    </row>
    <row r="493" spans="6:11" ht="15.5">
      <c r="F493" s="45"/>
      <c r="G493" s="22"/>
      <c r="H493" s="47"/>
      <c r="I493" s="49"/>
      <c r="J493" s="45"/>
      <c r="K493" s="22"/>
    </row>
    <row r="494" spans="6:11" ht="15.5">
      <c r="F494" s="46"/>
      <c r="G494" s="22"/>
      <c r="H494" s="48"/>
      <c r="I494" s="50"/>
      <c r="J494" s="46"/>
      <c r="K494" s="22"/>
    </row>
    <row r="495" spans="6:11" ht="15.5">
      <c r="F495" s="45"/>
      <c r="G495" s="22"/>
      <c r="H495" s="47"/>
      <c r="I495" s="49"/>
      <c r="J495" s="45"/>
      <c r="K495" s="22"/>
    </row>
    <row r="496" spans="6:11" ht="15.5">
      <c r="F496" s="46"/>
      <c r="G496" s="22"/>
      <c r="H496" s="48"/>
      <c r="I496" s="50"/>
      <c r="J496" s="46"/>
      <c r="K496" s="22"/>
    </row>
    <row r="497" spans="6:11" ht="15.5">
      <c r="F497" s="45"/>
      <c r="G497" s="22"/>
      <c r="H497" s="47"/>
      <c r="I497" s="49"/>
      <c r="J497" s="45"/>
      <c r="K497" s="22"/>
    </row>
    <row r="498" spans="6:11" ht="15.5">
      <c r="F498" s="46"/>
      <c r="G498" s="22"/>
      <c r="H498" s="48"/>
      <c r="I498" s="50"/>
      <c r="J498" s="46"/>
      <c r="K498" s="22"/>
    </row>
    <row r="499" spans="6:11" ht="15.5">
      <c r="F499" s="45"/>
      <c r="G499" s="22"/>
      <c r="H499" s="47"/>
      <c r="I499" s="49"/>
      <c r="J499" s="45"/>
      <c r="K499" s="22"/>
    </row>
    <row r="500" spans="6:11" ht="15.5">
      <c r="F500" s="46"/>
      <c r="G500" s="22"/>
      <c r="H500" s="48"/>
      <c r="I500" s="50"/>
      <c r="J500" s="46"/>
      <c r="K500" s="22"/>
    </row>
    <row r="501" spans="6:11" ht="15.5">
      <c r="F501" s="45"/>
      <c r="G501" s="22"/>
      <c r="H501" s="47"/>
      <c r="I501" s="49"/>
      <c r="J501" s="45"/>
      <c r="K501" s="22"/>
    </row>
    <row r="502" spans="6:11" ht="15.5">
      <c r="F502" s="46"/>
      <c r="G502" s="22"/>
      <c r="H502" s="48"/>
      <c r="I502" s="50"/>
      <c r="J502" s="46"/>
      <c r="K502" s="22"/>
    </row>
    <row r="503" spans="6:11" ht="15.5">
      <c r="F503" s="45"/>
      <c r="G503" s="22"/>
      <c r="H503" s="47"/>
      <c r="I503" s="49"/>
      <c r="J503" s="45"/>
      <c r="K503" s="22"/>
    </row>
    <row r="504" spans="6:11" ht="15.5">
      <c r="F504" s="46"/>
      <c r="G504" s="22"/>
      <c r="H504" s="48"/>
      <c r="I504" s="50"/>
      <c r="J504" s="46"/>
      <c r="K504" s="22"/>
    </row>
    <row r="505" spans="6:11" ht="15.5">
      <c r="F505" s="51"/>
      <c r="G505" s="22"/>
      <c r="H505" s="47"/>
      <c r="I505" s="49"/>
      <c r="J505" s="45"/>
      <c r="K505" s="22"/>
    </row>
    <row r="506" spans="6:11" ht="15.5">
      <c r="F506" s="52"/>
      <c r="G506" s="22"/>
      <c r="H506" s="48"/>
      <c r="I506" s="50"/>
      <c r="J506" s="46"/>
      <c r="K506" s="22"/>
    </row>
    <row r="507" spans="6:11" ht="15.5">
      <c r="F507" s="45"/>
      <c r="G507" s="22"/>
      <c r="H507" s="47"/>
      <c r="I507" s="49"/>
      <c r="J507" s="45"/>
      <c r="K507" s="22"/>
    </row>
    <row r="508" spans="6:11" ht="15.5">
      <c r="F508" s="46"/>
      <c r="G508" s="22"/>
      <c r="H508" s="48"/>
      <c r="I508" s="50"/>
      <c r="J508" s="46"/>
      <c r="K508" s="22"/>
    </row>
    <row r="509" spans="6:11" ht="15.5">
      <c r="F509" s="45"/>
      <c r="G509" s="22"/>
      <c r="H509" s="53"/>
      <c r="I509" s="55"/>
      <c r="J509" s="51"/>
      <c r="K509" s="22"/>
    </row>
    <row r="510" spans="6:11" ht="15.5">
      <c r="F510" s="46"/>
      <c r="G510" s="22"/>
      <c r="H510" s="54"/>
      <c r="I510" s="56"/>
      <c r="J510" s="52"/>
      <c r="K510" s="22"/>
    </row>
    <row r="511" spans="6:11" ht="15.5">
      <c r="F511" s="45"/>
      <c r="G511" s="22"/>
      <c r="H511" s="47"/>
      <c r="I511" s="49"/>
      <c r="J511" s="45"/>
      <c r="K511" s="22"/>
    </row>
    <row r="512" spans="6:11" ht="15.5">
      <c r="F512" s="46"/>
      <c r="G512" s="22"/>
      <c r="H512" s="48"/>
      <c r="I512" s="50"/>
      <c r="J512" s="46"/>
      <c r="K512" s="22"/>
    </row>
    <row r="513" spans="6:11" ht="15.5">
      <c r="F513" s="45"/>
      <c r="G513" s="22"/>
      <c r="H513" s="47"/>
      <c r="I513" s="49"/>
      <c r="J513" s="45"/>
      <c r="K513" s="22"/>
    </row>
    <row r="514" spans="6:11" ht="15.5">
      <c r="F514" s="46"/>
      <c r="G514" s="22"/>
      <c r="H514" s="48"/>
      <c r="I514" s="50"/>
      <c r="J514" s="46"/>
      <c r="K514" s="22"/>
    </row>
    <row r="515" spans="6:11" ht="15.5">
      <c r="F515" s="45"/>
      <c r="G515" s="22"/>
      <c r="H515" s="47"/>
      <c r="I515" s="49"/>
      <c r="J515" s="45"/>
      <c r="K515" s="22"/>
    </row>
    <row r="516" spans="6:11" ht="15.5">
      <c r="F516" s="46"/>
      <c r="G516" s="22"/>
      <c r="H516" s="48"/>
      <c r="I516" s="50"/>
      <c r="J516" s="46"/>
      <c r="K516" s="22"/>
    </row>
    <row r="517" spans="6:11" ht="15.5">
      <c r="F517" s="45"/>
      <c r="G517" s="22"/>
      <c r="H517" s="47"/>
      <c r="I517" s="49"/>
      <c r="J517" s="45"/>
      <c r="K517" s="22"/>
    </row>
    <row r="518" spans="6:11" ht="15.5">
      <c r="F518" s="46"/>
      <c r="G518" s="22"/>
      <c r="H518" s="48"/>
      <c r="I518" s="50"/>
      <c r="J518" s="46"/>
      <c r="K518" s="22"/>
    </row>
    <row r="519" spans="6:11" ht="15.5">
      <c r="F519" s="45"/>
      <c r="G519" s="22"/>
      <c r="H519" s="47"/>
      <c r="I519" s="49"/>
      <c r="J519" s="45"/>
      <c r="K519" s="22"/>
    </row>
    <row r="520" spans="6:11" ht="15.5">
      <c r="F520" s="46"/>
      <c r="G520" s="22"/>
      <c r="H520" s="48"/>
      <c r="I520" s="50"/>
      <c r="J520" s="46"/>
      <c r="K520" s="22"/>
    </row>
    <row r="521" spans="6:11" ht="15.5">
      <c r="F521" s="51"/>
      <c r="G521" s="22"/>
      <c r="H521" s="47"/>
      <c r="I521" s="49"/>
      <c r="J521" s="45"/>
      <c r="K521" s="22"/>
    </row>
    <row r="522" spans="6:11" ht="15.5">
      <c r="F522" s="52"/>
      <c r="G522" s="22"/>
      <c r="H522" s="48"/>
      <c r="I522" s="50"/>
      <c r="J522" s="46"/>
      <c r="K522" s="22"/>
    </row>
    <row r="523" spans="6:11" ht="15.5">
      <c r="F523" s="51"/>
      <c r="G523" s="22"/>
      <c r="H523" s="47"/>
      <c r="I523" s="49"/>
      <c r="J523" s="45"/>
      <c r="K523" s="22"/>
    </row>
    <row r="524" spans="6:11" ht="15.5">
      <c r="F524" s="52"/>
      <c r="G524" s="22"/>
      <c r="H524" s="48"/>
      <c r="I524" s="50"/>
      <c r="J524" s="46"/>
      <c r="K524" s="22"/>
    </row>
    <row r="525" spans="6:11" ht="15.5">
      <c r="F525" s="51"/>
      <c r="G525" s="22"/>
      <c r="H525" s="53"/>
      <c r="I525" s="55"/>
      <c r="J525" s="51"/>
      <c r="K525" s="22"/>
    </row>
    <row r="526" spans="6:11" ht="15.5">
      <c r="F526" s="52"/>
      <c r="G526" s="22"/>
      <c r="H526" s="54"/>
      <c r="I526" s="56"/>
      <c r="J526" s="52"/>
      <c r="K526" s="22"/>
    </row>
    <row r="527" spans="6:11" ht="15.5">
      <c r="F527" s="51"/>
      <c r="G527" s="22"/>
      <c r="H527" s="53"/>
      <c r="I527" s="55"/>
      <c r="J527" s="51"/>
      <c r="K527" s="22"/>
    </row>
    <row r="528" spans="6:11" ht="15.5">
      <c r="F528" s="52"/>
      <c r="G528" s="22"/>
      <c r="H528" s="54"/>
      <c r="I528" s="56"/>
      <c r="J528" s="52"/>
      <c r="K528" s="22"/>
    </row>
    <row r="529" spans="6:11" ht="15.5">
      <c r="F529" s="51"/>
      <c r="G529" s="22"/>
      <c r="H529" s="53"/>
      <c r="I529" s="55"/>
      <c r="J529" s="51"/>
      <c r="K529" s="22"/>
    </row>
    <row r="530" spans="6:11" ht="15.5">
      <c r="F530" s="52"/>
      <c r="G530" s="22"/>
      <c r="H530" s="54"/>
      <c r="I530" s="56"/>
      <c r="J530" s="52"/>
      <c r="K530" s="22"/>
    </row>
    <row r="531" spans="6:11" ht="15.5">
      <c r="F531" s="51"/>
      <c r="G531" s="22"/>
      <c r="H531" s="53"/>
      <c r="I531" s="55"/>
      <c r="J531" s="51"/>
      <c r="K531" s="22"/>
    </row>
    <row r="532" spans="6:11" ht="15.5">
      <c r="F532" s="52"/>
      <c r="G532" s="22"/>
      <c r="H532" s="54"/>
      <c r="I532" s="56"/>
      <c r="J532" s="52"/>
      <c r="K532" s="22"/>
    </row>
    <row r="533" spans="6:11" ht="15.5">
      <c r="F533" s="51"/>
      <c r="G533" s="22"/>
      <c r="H533" s="53"/>
      <c r="I533" s="55"/>
      <c r="J533" s="51"/>
      <c r="K533" s="22"/>
    </row>
    <row r="534" spans="6:11" ht="15.5">
      <c r="F534" s="52"/>
      <c r="G534" s="22"/>
      <c r="H534" s="54"/>
      <c r="I534" s="56"/>
      <c r="J534" s="52"/>
      <c r="K534" s="22"/>
    </row>
    <row r="535" spans="6:11" ht="15.5">
      <c r="F535" s="51"/>
      <c r="G535" s="22"/>
      <c r="H535" s="53"/>
      <c r="I535" s="55"/>
      <c r="J535" s="51"/>
      <c r="K535" s="22"/>
    </row>
    <row r="536" spans="6:11" ht="15.5">
      <c r="F536" s="52"/>
      <c r="G536" s="22"/>
      <c r="H536" s="54"/>
      <c r="I536" s="56"/>
      <c r="J536" s="52"/>
      <c r="K536" s="22"/>
    </row>
    <row r="537" spans="6:11" ht="15.5">
      <c r="F537" s="51"/>
      <c r="G537" s="22"/>
      <c r="H537" s="53"/>
      <c r="I537" s="55"/>
      <c r="J537" s="51"/>
      <c r="K537" s="22"/>
    </row>
    <row r="538" spans="6:11" ht="15.5">
      <c r="F538" s="52"/>
      <c r="G538" s="22"/>
      <c r="H538" s="54"/>
      <c r="I538" s="56"/>
      <c r="J538" s="52"/>
      <c r="K538" s="22"/>
    </row>
    <row r="539" spans="6:11" ht="15.5">
      <c r="F539" s="51"/>
      <c r="G539" s="22"/>
      <c r="H539" s="53"/>
      <c r="I539" s="55"/>
      <c r="J539" s="51"/>
      <c r="K539" s="22"/>
    </row>
    <row r="540" spans="6:11" ht="15.5">
      <c r="F540" s="52"/>
      <c r="G540" s="22"/>
      <c r="H540" s="54"/>
      <c r="I540" s="56"/>
      <c r="J540" s="52"/>
      <c r="K540" s="22"/>
    </row>
    <row r="541" spans="6:11" ht="15.5">
      <c r="F541" s="51"/>
      <c r="G541" s="22"/>
      <c r="H541" s="53"/>
      <c r="I541" s="55"/>
      <c r="J541" s="51"/>
      <c r="K541" s="22"/>
    </row>
    <row r="542" spans="6:11" ht="15.5">
      <c r="F542" s="52"/>
      <c r="G542" s="22"/>
      <c r="H542" s="54"/>
      <c r="I542" s="56"/>
      <c r="J542" s="52"/>
      <c r="K542" s="22"/>
    </row>
    <row r="543" spans="6:11" ht="15.5">
      <c r="F543" s="51"/>
      <c r="G543" s="22"/>
      <c r="H543" s="53"/>
      <c r="I543" s="55"/>
      <c r="J543" s="51"/>
      <c r="K543" s="22"/>
    </row>
    <row r="544" spans="6:11" ht="15.5">
      <c r="F544" s="52"/>
      <c r="G544" s="22"/>
      <c r="H544" s="54"/>
      <c r="I544" s="56"/>
      <c r="J544" s="52"/>
      <c r="K544" s="22"/>
    </row>
    <row r="545" spans="6:11" ht="15.5">
      <c r="F545" s="51"/>
      <c r="G545" s="22"/>
      <c r="H545" s="53"/>
      <c r="I545" s="55"/>
      <c r="J545" s="51"/>
      <c r="K545" s="22"/>
    </row>
    <row r="546" spans="6:11" ht="15.5">
      <c r="F546" s="52"/>
      <c r="G546" s="22"/>
      <c r="H546" s="54"/>
      <c r="I546" s="56"/>
      <c r="J546" s="52"/>
      <c r="K546" s="22"/>
    </row>
    <row r="547" spans="6:11" ht="15.5">
      <c r="F547" s="51"/>
      <c r="G547" s="22"/>
      <c r="H547" s="53"/>
      <c r="I547" s="55"/>
      <c r="J547" s="51"/>
      <c r="K547" s="22"/>
    </row>
    <row r="548" spans="6:11" ht="15.5">
      <c r="F548" s="52"/>
      <c r="G548" s="22"/>
      <c r="H548" s="54"/>
      <c r="I548" s="56"/>
      <c r="J548" s="52"/>
      <c r="K548" s="22"/>
    </row>
    <row r="549" spans="6:11" ht="15.5">
      <c r="F549" s="51"/>
      <c r="G549" s="22"/>
      <c r="H549" s="53"/>
      <c r="I549" s="55"/>
      <c r="J549" s="51"/>
      <c r="K549" s="22"/>
    </row>
    <row r="550" spans="6:11" ht="15.5">
      <c r="F550" s="52"/>
      <c r="G550" s="22"/>
      <c r="H550" s="54"/>
      <c r="I550" s="56"/>
      <c r="J550" s="52"/>
      <c r="K550" s="22"/>
    </row>
    <row r="551" spans="6:11" ht="15.5">
      <c r="F551" s="51"/>
      <c r="G551" s="22"/>
      <c r="H551" s="53"/>
      <c r="I551" s="55"/>
      <c r="J551" s="51"/>
      <c r="K551" s="22"/>
    </row>
    <row r="552" spans="6:11" ht="15.5">
      <c r="F552" s="52"/>
      <c r="G552" s="22"/>
      <c r="H552" s="54"/>
      <c r="I552" s="56"/>
      <c r="J552" s="52"/>
      <c r="K552" s="22"/>
    </row>
    <row r="553" spans="6:11" ht="15.5">
      <c r="F553" s="51"/>
      <c r="G553" s="22"/>
      <c r="H553" s="53"/>
      <c r="I553" s="55"/>
      <c r="J553" s="51"/>
      <c r="K553" s="22"/>
    </row>
    <row r="554" spans="6:11" ht="15.5">
      <c r="F554" s="52"/>
      <c r="G554" s="22"/>
      <c r="H554" s="54"/>
      <c r="I554" s="56"/>
      <c r="J554" s="52"/>
      <c r="K554" s="22"/>
    </row>
    <row r="555" spans="6:11" ht="15.5">
      <c r="F555" s="51"/>
      <c r="G555" s="22"/>
      <c r="H555" s="53"/>
      <c r="I555" s="55"/>
      <c r="J555" s="51"/>
      <c r="K555" s="22"/>
    </row>
    <row r="556" spans="6:11" ht="15.5">
      <c r="F556" s="52"/>
      <c r="G556" s="22"/>
      <c r="H556" s="54"/>
      <c r="I556" s="56"/>
      <c r="J556" s="52"/>
      <c r="K556" s="22"/>
    </row>
    <row r="557" spans="6:11" ht="15.5">
      <c r="F557" s="51"/>
      <c r="G557" s="22"/>
      <c r="H557" s="53"/>
      <c r="I557" s="55"/>
      <c r="J557" s="51"/>
      <c r="K557" s="22"/>
    </row>
    <row r="558" spans="6:11" ht="15.5">
      <c r="F558" s="52"/>
      <c r="G558" s="22"/>
      <c r="H558" s="54"/>
      <c r="I558" s="56"/>
      <c r="J558" s="52"/>
      <c r="K558" s="22"/>
    </row>
    <row r="559" spans="6:11" ht="15.5">
      <c r="F559" s="51"/>
      <c r="G559" s="22"/>
      <c r="H559" s="53"/>
      <c r="I559" s="55"/>
      <c r="J559" s="51"/>
      <c r="K559" s="22"/>
    </row>
    <row r="560" spans="6:11" ht="15.5">
      <c r="F560" s="52"/>
      <c r="G560" s="22"/>
      <c r="H560" s="54"/>
      <c r="I560" s="56"/>
      <c r="J560" s="52"/>
      <c r="K560" s="22"/>
    </row>
    <row r="561" spans="6:11" ht="15.5">
      <c r="F561" s="51"/>
      <c r="G561" s="22"/>
      <c r="H561" s="53"/>
      <c r="I561" s="55"/>
      <c r="J561" s="51"/>
      <c r="K561" s="22"/>
    </row>
    <row r="562" spans="6:11" ht="15.5">
      <c r="F562" s="52"/>
      <c r="G562" s="22"/>
      <c r="H562" s="54"/>
      <c r="I562" s="56"/>
      <c r="J562" s="52"/>
      <c r="K562" s="22"/>
    </row>
    <row r="563" spans="6:11" ht="15.5">
      <c r="F563" s="51"/>
      <c r="G563" s="22"/>
      <c r="H563" s="53"/>
      <c r="I563" s="55"/>
      <c r="J563" s="51"/>
      <c r="K563" s="22"/>
    </row>
    <row r="564" spans="6:11" ht="15.5">
      <c r="F564" s="52"/>
      <c r="G564" s="22"/>
      <c r="H564" s="54"/>
      <c r="I564" s="56"/>
      <c r="J564" s="52"/>
      <c r="K564" s="22"/>
    </row>
    <row r="565" spans="6:11" ht="15.5">
      <c r="F565" s="51"/>
      <c r="G565" s="22"/>
      <c r="H565" s="53"/>
      <c r="I565" s="55"/>
      <c r="J565" s="51"/>
      <c r="K565" s="22"/>
    </row>
    <row r="566" spans="6:11" ht="15.5">
      <c r="F566" s="52"/>
      <c r="G566" s="22"/>
      <c r="H566" s="54"/>
      <c r="I566" s="56"/>
      <c r="J566" s="52"/>
      <c r="K566" s="22"/>
    </row>
    <row r="567" spans="6:11" ht="15.5">
      <c r="F567" s="51"/>
      <c r="G567" s="22"/>
      <c r="H567" s="53"/>
      <c r="I567" s="55"/>
      <c r="J567" s="51"/>
      <c r="K567" s="22"/>
    </row>
    <row r="568" spans="6:11" ht="15.5">
      <c r="F568" s="52"/>
      <c r="G568" s="22"/>
      <c r="H568" s="54"/>
      <c r="I568" s="56"/>
      <c r="J568" s="52"/>
      <c r="K568" s="22"/>
    </row>
    <row r="569" spans="6:11" ht="15.5">
      <c r="F569" s="51"/>
      <c r="G569" s="22"/>
      <c r="H569" s="53"/>
      <c r="I569" s="55"/>
      <c r="J569" s="51"/>
      <c r="K569" s="22"/>
    </row>
    <row r="570" spans="6:11" ht="15.5">
      <c r="F570" s="52"/>
      <c r="G570" s="22"/>
      <c r="H570" s="54"/>
      <c r="I570" s="56"/>
      <c r="J570" s="52"/>
      <c r="K570" s="22"/>
    </row>
    <row r="571" spans="6:11" ht="15.5">
      <c r="F571" s="51"/>
      <c r="G571" s="22"/>
      <c r="H571" s="53"/>
      <c r="I571" s="55"/>
      <c r="J571" s="51"/>
      <c r="K571" s="22"/>
    </row>
    <row r="572" spans="6:11" ht="15.5">
      <c r="F572" s="52"/>
      <c r="G572" s="22"/>
      <c r="H572" s="54"/>
      <c r="I572" s="56"/>
      <c r="J572" s="52"/>
      <c r="K572" s="22"/>
    </row>
    <row r="573" spans="6:11" ht="15.5">
      <c r="F573" s="51"/>
      <c r="G573" s="22"/>
      <c r="H573" s="53"/>
      <c r="I573" s="55"/>
      <c r="J573" s="51"/>
      <c r="K573" s="22"/>
    </row>
    <row r="574" spans="6:11" ht="15.5">
      <c r="F574" s="52"/>
      <c r="G574" s="22"/>
      <c r="H574" s="54"/>
      <c r="I574" s="56"/>
      <c r="J574" s="52"/>
      <c r="K574" s="22"/>
    </row>
    <row r="575" spans="6:11" ht="15.5">
      <c r="F575" s="51"/>
      <c r="G575" s="22"/>
      <c r="H575" s="53"/>
      <c r="I575" s="55"/>
      <c r="J575" s="51"/>
      <c r="K575" s="22"/>
    </row>
    <row r="576" spans="6:11" ht="15.5">
      <c r="F576" s="52"/>
      <c r="G576" s="22"/>
      <c r="H576" s="54"/>
      <c r="I576" s="56"/>
      <c r="J576" s="52"/>
      <c r="K576" s="22"/>
    </row>
    <row r="577" spans="6:11" ht="15.5">
      <c r="F577" s="51"/>
      <c r="G577" s="22"/>
      <c r="H577" s="53"/>
      <c r="I577" s="55"/>
      <c r="J577" s="51"/>
      <c r="K577" s="22"/>
    </row>
    <row r="578" spans="6:11" ht="15.5">
      <c r="F578" s="52"/>
      <c r="G578" s="22"/>
      <c r="H578" s="54"/>
      <c r="I578" s="56"/>
      <c r="J578" s="52"/>
      <c r="K578" s="22"/>
    </row>
    <row r="579" spans="6:11" ht="15.5">
      <c r="F579" s="51"/>
      <c r="G579" s="22"/>
      <c r="H579" s="53"/>
      <c r="I579" s="55"/>
      <c r="J579" s="51"/>
      <c r="K579" s="22"/>
    </row>
    <row r="580" spans="6:11" ht="15.5">
      <c r="F580" s="52"/>
      <c r="G580" s="22"/>
      <c r="H580" s="54"/>
      <c r="I580" s="56"/>
      <c r="J580" s="52"/>
      <c r="K580" s="22"/>
    </row>
    <row r="581" spans="6:11" ht="15.5">
      <c r="F581" s="51"/>
      <c r="G581" s="22"/>
      <c r="H581" s="53"/>
      <c r="I581" s="55"/>
      <c r="J581" s="51"/>
      <c r="K581" s="22"/>
    </row>
    <row r="582" spans="6:11" ht="15.5">
      <c r="F582" s="52"/>
      <c r="G582" s="22"/>
      <c r="H582" s="54"/>
      <c r="I582" s="56"/>
      <c r="J582" s="52"/>
      <c r="K582" s="22"/>
    </row>
    <row r="583" spans="6:11" ht="15.5">
      <c r="F583" s="51"/>
      <c r="G583" s="22"/>
      <c r="H583" s="53"/>
      <c r="I583" s="55"/>
      <c r="J583" s="51"/>
      <c r="K583" s="22"/>
    </row>
    <row r="584" spans="6:11" ht="15.5">
      <c r="F584" s="52"/>
      <c r="G584" s="22"/>
      <c r="H584" s="54"/>
      <c r="I584" s="56"/>
      <c r="J584" s="52"/>
      <c r="K584" s="22"/>
    </row>
    <row r="585" spans="6:11" ht="15.5">
      <c r="F585" s="51"/>
      <c r="G585" s="22"/>
      <c r="H585" s="53"/>
      <c r="I585" s="55"/>
      <c r="J585" s="51"/>
      <c r="K585" s="22"/>
    </row>
    <row r="586" spans="6:11" ht="15.5">
      <c r="F586" s="52"/>
      <c r="G586" s="22"/>
      <c r="H586" s="54"/>
      <c r="I586" s="56"/>
      <c r="J586" s="52"/>
      <c r="K586" s="22"/>
    </row>
    <row r="587" spans="6:11" ht="15.5">
      <c r="F587" s="51"/>
      <c r="G587" s="22"/>
      <c r="H587" s="53"/>
      <c r="I587" s="55"/>
      <c r="J587" s="51"/>
      <c r="K587" s="22"/>
    </row>
    <row r="588" spans="6:11" ht="15.5">
      <c r="F588" s="52"/>
      <c r="G588" s="22"/>
      <c r="H588" s="54"/>
      <c r="I588" s="56"/>
      <c r="J588" s="52"/>
      <c r="K588" s="22"/>
    </row>
    <row r="589" spans="6:11" ht="15.5">
      <c r="F589" s="51"/>
      <c r="G589" s="22"/>
      <c r="H589" s="53"/>
      <c r="I589" s="55"/>
      <c r="J589" s="51"/>
      <c r="K589" s="22"/>
    </row>
    <row r="590" spans="6:11" ht="15.5">
      <c r="F590" s="52"/>
      <c r="G590" s="22"/>
      <c r="H590" s="54"/>
      <c r="I590" s="56"/>
      <c r="J590" s="52"/>
      <c r="K590" s="22"/>
    </row>
    <row r="591" spans="6:11" ht="15.5">
      <c r="F591" s="51"/>
      <c r="G591" s="22"/>
      <c r="H591" s="53"/>
      <c r="I591" s="55"/>
      <c r="J591" s="51"/>
      <c r="K591" s="22"/>
    </row>
    <row r="592" spans="6:11" ht="15.5">
      <c r="F592" s="52"/>
      <c r="G592" s="22"/>
      <c r="H592" s="54"/>
      <c r="I592" s="56"/>
      <c r="J592" s="52"/>
      <c r="K592" s="22"/>
    </row>
    <row r="593" spans="6:11" ht="15.5">
      <c r="F593" s="51"/>
      <c r="G593" s="22"/>
      <c r="H593" s="53"/>
      <c r="I593" s="55"/>
      <c r="J593" s="51"/>
      <c r="K593" s="22"/>
    </row>
    <row r="594" spans="6:11" ht="15.5">
      <c r="F594" s="52"/>
      <c r="G594" s="22"/>
      <c r="H594" s="54"/>
      <c r="I594" s="56"/>
      <c r="J594" s="52"/>
      <c r="K594" s="22"/>
    </row>
    <row r="595" spans="6:11" ht="15.5">
      <c r="F595" s="51"/>
      <c r="G595" s="22"/>
      <c r="H595" s="53"/>
      <c r="I595" s="55"/>
      <c r="J595" s="51"/>
      <c r="K595" s="22"/>
    </row>
    <row r="596" spans="6:11" ht="15.5">
      <c r="F596" s="52"/>
      <c r="G596" s="22"/>
      <c r="H596" s="54"/>
      <c r="I596" s="56"/>
      <c r="J596" s="52"/>
      <c r="K596" s="22"/>
    </row>
    <row r="597" spans="6:11" ht="15.5">
      <c r="F597" s="51"/>
      <c r="G597" s="22"/>
      <c r="H597" s="53"/>
      <c r="I597" s="55"/>
      <c r="J597" s="51"/>
      <c r="K597" s="22"/>
    </row>
    <row r="598" spans="6:11" ht="15.5">
      <c r="F598" s="52"/>
      <c r="G598" s="22"/>
      <c r="H598" s="54"/>
      <c r="I598" s="56"/>
      <c r="J598" s="52"/>
      <c r="K598" s="22"/>
    </row>
    <row r="599" spans="6:11" ht="15.5">
      <c r="F599" s="51"/>
      <c r="G599" s="22"/>
      <c r="H599" s="53"/>
      <c r="I599" s="55"/>
      <c r="J599" s="51"/>
      <c r="K599" s="22"/>
    </row>
    <row r="600" spans="6:11" ht="15.5">
      <c r="F600" s="52"/>
      <c r="G600" s="22"/>
      <c r="H600" s="54"/>
      <c r="I600" s="56"/>
      <c r="J600" s="52"/>
      <c r="K600" s="22"/>
    </row>
    <row r="601" spans="6:11" ht="15.5">
      <c r="F601" s="51"/>
      <c r="G601" s="22"/>
      <c r="H601" s="53"/>
      <c r="I601" s="55"/>
      <c r="J601" s="51"/>
      <c r="K601" s="22"/>
    </row>
    <row r="602" spans="6:11" ht="15.5">
      <c r="F602" s="52"/>
      <c r="G602" s="22"/>
      <c r="H602" s="54"/>
      <c r="I602" s="56"/>
      <c r="J602" s="52"/>
      <c r="K602" s="22"/>
    </row>
    <row r="603" spans="6:11" ht="15.5">
      <c r="F603" s="51"/>
      <c r="G603" s="22"/>
      <c r="H603" s="53"/>
      <c r="I603" s="55"/>
      <c r="J603" s="51"/>
      <c r="K603" s="22"/>
    </row>
    <row r="604" spans="6:11" ht="15.5">
      <c r="F604" s="52"/>
      <c r="G604" s="22"/>
      <c r="H604" s="54"/>
      <c r="I604" s="56"/>
      <c r="J604" s="52"/>
      <c r="K604" s="22"/>
    </row>
    <row r="605" spans="6:11" ht="15.5">
      <c r="F605" s="51"/>
      <c r="G605" s="22"/>
      <c r="H605" s="53"/>
      <c r="I605" s="55"/>
      <c r="J605" s="51"/>
      <c r="K605" s="22"/>
    </row>
    <row r="606" spans="6:11" ht="15.5">
      <c r="F606" s="52"/>
      <c r="G606" s="22"/>
      <c r="H606" s="54"/>
      <c r="I606" s="56"/>
      <c r="J606" s="52"/>
      <c r="K606" s="22"/>
    </row>
    <row r="607" spans="6:11" ht="15.5">
      <c r="F607" s="51"/>
      <c r="G607" s="22"/>
      <c r="H607" s="53"/>
      <c r="I607" s="55"/>
      <c r="J607" s="51"/>
      <c r="K607" s="22"/>
    </row>
    <row r="608" spans="6:11" ht="15.5">
      <c r="F608" s="52"/>
      <c r="G608" s="22"/>
      <c r="H608" s="54"/>
      <c r="I608" s="56"/>
      <c r="J608" s="52"/>
      <c r="K608" s="22"/>
    </row>
    <row r="609" spans="6:11" ht="15.5">
      <c r="F609" s="51"/>
      <c r="G609" s="22"/>
      <c r="H609" s="53"/>
      <c r="I609" s="55"/>
      <c r="J609" s="51"/>
      <c r="K609" s="22"/>
    </row>
    <row r="610" spans="6:11" ht="15.5">
      <c r="F610" s="52"/>
      <c r="G610" s="22"/>
      <c r="H610" s="54"/>
      <c r="I610" s="56"/>
      <c r="J610" s="52"/>
      <c r="K610" s="22"/>
    </row>
    <row r="611" spans="6:11" ht="15.5">
      <c r="F611" s="51"/>
      <c r="G611" s="22"/>
      <c r="H611" s="53"/>
      <c r="I611" s="55"/>
      <c r="J611" s="51"/>
      <c r="K611" s="22"/>
    </row>
    <row r="612" spans="6:11" ht="15.5">
      <c r="F612" s="52"/>
      <c r="G612" s="22"/>
      <c r="H612" s="54"/>
      <c r="I612" s="56"/>
      <c r="J612" s="52"/>
      <c r="K612" s="22"/>
    </row>
    <row r="613" spans="6:11" ht="15.5">
      <c r="F613" s="51"/>
      <c r="G613" s="22"/>
      <c r="H613" s="53"/>
      <c r="I613" s="55"/>
      <c r="J613" s="51"/>
      <c r="K613" s="22"/>
    </row>
    <row r="614" spans="6:11" ht="15.5">
      <c r="F614" s="52"/>
      <c r="G614" s="22"/>
      <c r="H614" s="54"/>
      <c r="I614" s="56"/>
      <c r="J614" s="52"/>
      <c r="K614" s="22"/>
    </row>
    <row r="615" spans="6:11" ht="15.5">
      <c r="F615" s="51"/>
      <c r="G615" s="22"/>
      <c r="H615" s="53"/>
      <c r="I615" s="55"/>
      <c r="J615" s="51"/>
      <c r="K615" s="22"/>
    </row>
    <row r="616" spans="6:11" ht="15.5">
      <c r="F616" s="52"/>
      <c r="G616" s="22"/>
      <c r="H616" s="54"/>
      <c r="I616" s="56"/>
      <c r="J616" s="52"/>
      <c r="K616" s="22"/>
    </row>
    <row r="617" spans="6:11" ht="15.5">
      <c r="F617" s="51"/>
      <c r="G617" s="22"/>
      <c r="H617" s="53"/>
      <c r="I617" s="55"/>
      <c r="J617" s="51"/>
      <c r="K617" s="22"/>
    </row>
    <row r="618" spans="6:11" ht="15.5">
      <c r="F618" s="52"/>
      <c r="G618" s="22"/>
      <c r="H618" s="54"/>
      <c r="I618" s="56"/>
      <c r="J618" s="52"/>
      <c r="K618" s="22"/>
    </row>
    <row r="619" spans="6:11" ht="15.5">
      <c r="F619" s="51"/>
      <c r="G619" s="22"/>
      <c r="H619" s="53"/>
      <c r="I619" s="55"/>
      <c r="J619" s="51"/>
      <c r="K619" s="22"/>
    </row>
    <row r="620" spans="6:11" ht="15.5">
      <c r="F620" s="52"/>
      <c r="G620" s="22"/>
      <c r="H620" s="54"/>
      <c r="I620" s="56"/>
      <c r="J620" s="52"/>
      <c r="K620" s="22"/>
    </row>
    <row r="621" spans="6:11" ht="15.5">
      <c r="F621" s="51"/>
      <c r="G621" s="22"/>
      <c r="H621" s="53"/>
      <c r="I621" s="55"/>
      <c r="J621" s="51"/>
      <c r="K621" s="22"/>
    </row>
    <row r="622" spans="6:11" ht="15.5">
      <c r="F622" s="52"/>
      <c r="G622" s="22"/>
      <c r="H622" s="54"/>
      <c r="I622" s="56"/>
      <c r="J622" s="52"/>
      <c r="K622" s="22"/>
    </row>
    <row r="623" spans="6:11" ht="15.5">
      <c r="F623" s="51"/>
      <c r="G623" s="22"/>
      <c r="H623" s="53"/>
      <c r="I623" s="55"/>
      <c r="J623" s="51"/>
      <c r="K623" s="22"/>
    </row>
    <row r="624" spans="6:11" ht="15.5">
      <c r="F624" s="52"/>
      <c r="G624" s="22"/>
      <c r="H624" s="54"/>
      <c r="I624" s="56"/>
      <c r="J624" s="52"/>
      <c r="K624" s="22"/>
    </row>
    <row r="625" spans="6:11" ht="15.5">
      <c r="F625" s="51"/>
      <c r="G625" s="22"/>
      <c r="H625" s="53"/>
      <c r="I625" s="55"/>
      <c r="J625" s="51"/>
      <c r="K625" s="22"/>
    </row>
    <row r="626" spans="6:11" ht="15.5">
      <c r="F626" s="52"/>
      <c r="G626" s="22"/>
      <c r="H626" s="54"/>
      <c r="I626" s="56"/>
      <c r="J626" s="52"/>
      <c r="K626" s="22"/>
    </row>
    <row r="627" spans="6:11" ht="15.5">
      <c r="F627" s="51"/>
      <c r="G627" s="22"/>
      <c r="H627" s="53"/>
      <c r="I627" s="55"/>
      <c r="J627" s="51"/>
      <c r="K627" s="22"/>
    </row>
    <row r="628" spans="6:11" ht="15.5">
      <c r="F628" s="52"/>
      <c r="G628" s="22"/>
      <c r="H628" s="54"/>
      <c r="I628" s="56"/>
      <c r="J628" s="52"/>
      <c r="K628" s="22"/>
    </row>
    <row r="629" spans="6:11" ht="15.5">
      <c r="F629" s="51"/>
      <c r="G629" s="22"/>
      <c r="H629" s="53"/>
      <c r="I629" s="55"/>
      <c r="J629" s="51"/>
      <c r="K629" s="22"/>
    </row>
    <row r="630" spans="6:11" ht="15.5">
      <c r="F630" s="52"/>
      <c r="G630" s="22"/>
      <c r="H630" s="54"/>
      <c r="I630" s="56"/>
      <c r="J630" s="52"/>
      <c r="K630" s="22"/>
    </row>
    <row r="631" spans="6:11" ht="15.5">
      <c r="F631" s="51"/>
      <c r="G631" s="22"/>
      <c r="H631" s="53"/>
      <c r="I631" s="55"/>
      <c r="J631" s="51"/>
      <c r="K631" s="22"/>
    </row>
    <row r="632" spans="6:11" ht="15.5">
      <c r="F632" s="52"/>
      <c r="G632" s="22"/>
      <c r="H632" s="54"/>
      <c r="I632" s="56"/>
      <c r="J632" s="52"/>
      <c r="K632" s="22"/>
    </row>
    <row r="633" spans="6:11" ht="15.5">
      <c r="F633" s="51"/>
      <c r="G633" s="22"/>
      <c r="H633" s="53"/>
      <c r="I633" s="55"/>
      <c r="J633" s="51"/>
      <c r="K633" s="22"/>
    </row>
    <row r="634" spans="6:11" ht="15.5">
      <c r="F634" s="52"/>
      <c r="G634" s="22"/>
      <c r="H634" s="54"/>
      <c r="I634" s="56"/>
      <c r="J634" s="52"/>
      <c r="K634" s="22"/>
    </row>
    <row r="635" spans="6:11" ht="15.5">
      <c r="F635" s="51"/>
      <c r="G635" s="22"/>
      <c r="H635" s="53"/>
      <c r="I635" s="55"/>
      <c r="J635" s="51"/>
      <c r="K635" s="22"/>
    </row>
    <row r="636" spans="6:11" ht="15.5">
      <c r="F636" s="52"/>
      <c r="G636" s="22"/>
      <c r="H636" s="54"/>
      <c r="I636" s="56"/>
      <c r="J636" s="52"/>
      <c r="K636" s="22"/>
    </row>
    <row r="637" spans="6:11" ht="15.5">
      <c r="F637" s="51"/>
      <c r="G637" s="22"/>
      <c r="H637" s="53"/>
      <c r="I637" s="55"/>
      <c r="J637" s="51"/>
      <c r="K637" s="22"/>
    </row>
    <row r="638" spans="6:11" ht="15.5">
      <c r="F638" s="52"/>
      <c r="G638" s="22"/>
      <c r="H638" s="54"/>
      <c r="I638" s="56"/>
      <c r="J638" s="52"/>
      <c r="K638" s="22"/>
    </row>
    <row r="639" spans="6:11" ht="15.5">
      <c r="F639" s="51"/>
      <c r="G639" s="22"/>
      <c r="H639" s="53"/>
      <c r="I639" s="55"/>
      <c r="J639" s="51"/>
      <c r="K639" s="22"/>
    </row>
    <row r="640" spans="6:11" ht="15.5">
      <c r="F640" s="52"/>
      <c r="G640" s="22"/>
      <c r="H640" s="54"/>
      <c r="I640" s="56"/>
      <c r="J640" s="52"/>
      <c r="K640" s="22"/>
    </row>
    <row r="641" spans="6:11" ht="15.5">
      <c r="F641" s="51"/>
      <c r="G641" s="22"/>
      <c r="H641" s="53"/>
      <c r="I641" s="55"/>
      <c r="J641" s="51"/>
      <c r="K641" s="22"/>
    </row>
    <row r="642" spans="6:11" ht="15.5">
      <c r="F642" s="52"/>
      <c r="G642" s="22"/>
      <c r="H642" s="54"/>
      <c r="I642" s="56"/>
      <c r="J642" s="52"/>
      <c r="K642" s="22"/>
    </row>
    <row r="643" spans="6:11" ht="15.5">
      <c r="F643" s="51"/>
      <c r="G643" s="22"/>
      <c r="H643" s="53"/>
      <c r="I643" s="55"/>
      <c r="J643" s="51"/>
      <c r="K643" s="22"/>
    </row>
    <row r="644" spans="6:11" ht="15.5">
      <c r="F644" s="52"/>
      <c r="G644" s="22"/>
      <c r="H644" s="54"/>
      <c r="I644" s="56"/>
      <c r="J644" s="52"/>
      <c r="K644" s="22"/>
    </row>
    <row r="645" spans="6:11" ht="15.5">
      <c r="F645" s="51"/>
      <c r="G645" s="22"/>
      <c r="H645" s="53"/>
      <c r="I645" s="55"/>
      <c r="J645" s="51"/>
      <c r="K645" s="22"/>
    </row>
    <row r="646" spans="6:11" ht="15.5">
      <c r="F646" s="52"/>
      <c r="G646" s="22"/>
      <c r="H646" s="54"/>
      <c r="I646" s="56"/>
      <c r="J646" s="52"/>
      <c r="K646" s="22"/>
    </row>
    <row r="647" spans="6:11" ht="15.5">
      <c r="F647" s="51"/>
      <c r="G647" s="22"/>
      <c r="H647" s="53"/>
      <c r="I647" s="55"/>
      <c r="J647" s="51"/>
      <c r="K647" s="22"/>
    </row>
    <row r="648" spans="6:11" ht="15.5">
      <c r="F648" s="52"/>
      <c r="G648" s="22"/>
      <c r="H648" s="54"/>
      <c r="I648" s="56"/>
      <c r="J648" s="52"/>
      <c r="K648" s="22"/>
    </row>
    <row r="649" spans="6:11" ht="15.5">
      <c r="F649" s="51"/>
      <c r="G649" s="22"/>
      <c r="H649" s="53"/>
      <c r="I649" s="55"/>
      <c r="J649" s="51"/>
      <c r="K649" s="22"/>
    </row>
    <row r="650" spans="6:11" ht="15.5">
      <c r="F650" s="52"/>
      <c r="G650" s="22"/>
      <c r="H650" s="54"/>
      <c r="I650" s="56"/>
      <c r="J650" s="52"/>
      <c r="K650" s="22"/>
    </row>
    <row r="651" spans="6:11" ht="15.5">
      <c r="F651" s="51"/>
      <c r="G651" s="22"/>
      <c r="H651" s="53"/>
      <c r="I651" s="55"/>
      <c r="J651" s="51"/>
      <c r="K651" s="22"/>
    </row>
    <row r="652" spans="6:11" ht="15.5">
      <c r="F652" s="52"/>
      <c r="G652" s="22"/>
      <c r="H652" s="54"/>
      <c r="I652" s="56"/>
      <c r="J652" s="52"/>
      <c r="K652" s="22"/>
    </row>
    <row r="653" spans="6:11" ht="15.5">
      <c r="F653" s="51"/>
      <c r="G653" s="22"/>
      <c r="H653" s="53"/>
      <c r="I653" s="55"/>
      <c r="J653" s="51"/>
      <c r="K653" s="22"/>
    </row>
    <row r="654" spans="6:11" ht="15.5">
      <c r="F654" s="52"/>
      <c r="G654" s="22"/>
      <c r="H654" s="54"/>
      <c r="I654" s="56"/>
      <c r="J654" s="52"/>
      <c r="K654" s="22"/>
    </row>
    <row r="655" spans="6:11" ht="15.5">
      <c r="F655" s="51"/>
      <c r="G655" s="22"/>
      <c r="H655" s="53"/>
      <c r="I655" s="55"/>
      <c r="J655" s="51"/>
      <c r="K655" s="22"/>
    </row>
    <row r="656" spans="6:11" ht="15.5">
      <c r="F656" s="52"/>
      <c r="G656" s="22"/>
      <c r="H656" s="54"/>
      <c r="I656" s="56"/>
      <c r="J656" s="52"/>
      <c r="K656" s="22"/>
    </row>
    <row r="657" spans="6:11" ht="15.5">
      <c r="F657" s="51"/>
      <c r="G657" s="22"/>
      <c r="H657" s="53"/>
      <c r="I657" s="55"/>
      <c r="J657" s="51"/>
      <c r="K657" s="22"/>
    </row>
    <row r="658" spans="6:11" ht="15.5">
      <c r="F658" s="52"/>
      <c r="G658" s="22"/>
      <c r="H658" s="54"/>
      <c r="I658" s="56"/>
      <c r="J658" s="52"/>
      <c r="K658" s="22"/>
    </row>
    <row r="659" spans="6:11" ht="15.5">
      <c r="F659" s="51"/>
      <c r="G659" s="22"/>
      <c r="H659" s="53"/>
      <c r="I659" s="55"/>
      <c r="J659" s="51"/>
      <c r="K659" s="22"/>
    </row>
    <row r="660" spans="6:11" ht="15.5">
      <c r="F660" s="52"/>
      <c r="G660" s="22"/>
      <c r="H660" s="54"/>
      <c r="I660" s="56"/>
      <c r="J660" s="52"/>
      <c r="K660" s="22"/>
    </row>
    <row r="661" spans="6:11" ht="15.5">
      <c r="F661" s="51"/>
      <c r="G661" s="22"/>
      <c r="H661" s="53"/>
      <c r="I661" s="55"/>
      <c r="J661" s="51"/>
      <c r="K661" s="22"/>
    </row>
    <row r="662" spans="6:11" ht="15.5">
      <c r="F662" s="52"/>
      <c r="G662" s="22"/>
      <c r="H662" s="54"/>
      <c r="I662" s="56"/>
      <c r="J662" s="52"/>
      <c r="K662" s="22"/>
    </row>
    <row r="663" spans="6:11" ht="15.5">
      <c r="F663" s="51"/>
      <c r="G663" s="22"/>
      <c r="H663" s="53"/>
      <c r="I663" s="55"/>
      <c r="J663" s="51"/>
      <c r="K663" s="22"/>
    </row>
    <row r="664" spans="6:11" ht="15.5">
      <c r="F664" s="52"/>
      <c r="G664" s="22"/>
      <c r="H664" s="54"/>
      <c r="I664" s="56"/>
      <c r="J664" s="52"/>
      <c r="K664" s="22"/>
    </row>
    <row r="665" spans="6:11" ht="15.5">
      <c r="F665" s="51"/>
      <c r="G665" s="22"/>
      <c r="H665" s="53"/>
      <c r="I665" s="55"/>
      <c r="J665" s="51"/>
      <c r="K665" s="22"/>
    </row>
    <row r="666" spans="6:11" ht="15.5">
      <c r="F666" s="52"/>
      <c r="G666" s="22"/>
      <c r="H666" s="54"/>
      <c r="I666" s="56"/>
      <c r="J666" s="52"/>
      <c r="K666" s="22"/>
    </row>
    <row r="667" spans="6:11" ht="15.5">
      <c r="F667" s="51"/>
      <c r="G667" s="22"/>
      <c r="H667" s="53"/>
      <c r="I667" s="55"/>
      <c r="J667" s="51"/>
      <c r="K667" s="22"/>
    </row>
    <row r="668" spans="6:11" ht="15.5">
      <c r="F668" s="52"/>
      <c r="G668" s="22"/>
      <c r="H668" s="54"/>
      <c r="I668" s="56"/>
      <c r="J668" s="52"/>
      <c r="K668" s="22"/>
    </row>
    <row r="669" spans="6:11" ht="15.5">
      <c r="F669" s="51"/>
      <c r="G669" s="22"/>
      <c r="H669" s="53"/>
      <c r="I669" s="55"/>
      <c r="J669" s="51"/>
      <c r="K669" s="22"/>
    </row>
    <row r="670" spans="6:11" ht="15.5">
      <c r="F670" s="52"/>
      <c r="G670" s="22"/>
      <c r="H670" s="54"/>
      <c r="I670" s="56"/>
      <c r="J670" s="52"/>
      <c r="K670" s="22"/>
    </row>
    <row r="671" spans="6:11" ht="15.5">
      <c r="F671" s="51"/>
      <c r="G671" s="22"/>
      <c r="H671" s="53"/>
      <c r="I671" s="55"/>
      <c r="J671" s="51"/>
      <c r="K671" s="22"/>
    </row>
    <row r="672" spans="6:11" ht="15.5">
      <c r="F672" s="52"/>
      <c r="G672" s="22"/>
      <c r="H672" s="54"/>
      <c r="I672" s="56"/>
      <c r="J672" s="52"/>
      <c r="K672" s="22"/>
    </row>
    <row r="673" spans="6:11" ht="15.5">
      <c r="F673" s="51"/>
      <c r="G673" s="22"/>
      <c r="H673" s="53"/>
      <c r="I673" s="55"/>
      <c r="J673" s="51"/>
      <c r="K673" s="22"/>
    </row>
    <row r="674" spans="6:11" ht="15.5">
      <c r="F674" s="52"/>
      <c r="G674" s="22"/>
      <c r="H674" s="54"/>
      <c r="I674" s="56"/>
      <c r="J674" s="52"/>
      <c r="K674" s="22"/>
    </row>
    <row r="675" spans="6:11" ht="15.5">
      <c r="F675" s="51"/>
      <c r="G675" s="22"/>
      <c r="H675" s="53"/>
      <c r="I675" s="55"/>
      <c r="J675" s="51"/>
      <c r="K675" s="22"/>
    </row>
    <row r="676" spans="6:11" ht="15.5">
      <c r="F676" s="52"/>
      <c r="G676" s="22"/>
      <c r="H676" s="54"/>
      <c r="I676" s="56"/>
      <c r="J676" s="52"/>
      <c r="K676" s="22"/>
    </row>
    <row r="677" spans="6:11" ht="15.5">
      <c r="F677" s="51"/>
      <c r="G677" s="22"/>
      <c r="H677" s="53"/>
      <c r="I677" s="55"/>
      <c r="J677" s="51"/>
      <c r="K677" s="22"/>
    </row>
    <row r="678" spans="6:11" ht="15.5">
      <c r="F678" s="52"/>
      <c r="G678" s="22"/>
      <c r="H678" s="54"/>
      <c r="I678" s="56"/>
      <c r="J678" s="52"/>
      <c r="K678" s="22"/>
    </row>
    <row r="679" spans="6:11" ht="15.5">
      <c r="F679" s="51"/>
      <c r="G679" s="22"/>
      <c r="H679" s="53"/>
      <c r="I679" s="55"/>
      <c r="J679" s="51"/>
      <c r="K679" s="22"/>
    </row>
    <row r="680" spans="6:11" ht="15.5">
      <c r="F680" s="52"/>
      <c r="G680" s="22"/>
      <c r="H680" s="54"/>
      <c r="I680" s="56"/>
      <c r="J680" s="52"/>
      <c r="K680" s="22"/>
    </row>
    <row r="681" spans="6:11" ht="15.5">
      <c r="F681" s="51"/>
      <c r="G681" s="22"/>
      <c r="H681" s="53"/>
      <c r="I681" s="55"/>
      <c r="J681" s="51"/>
      <c r="K681" s="22"/>
    </row>
    <row r="682" spans="6:11" ht="15.5">
      <c r="F682" s="52"/>
      <c r="G682" s="22"/>
      <c r="H682" s="54"/>
      <c r="I682" s="56"/>
      <c r="J682" s="52"/>
      <c r="K682" s="22"/>
    </row>
    <row r="683" spans="6:11" ht="15.5">
      <c r="F683" s="51"/>
      <c r="G683" s="22"/>
      <c r="H683" s="53"/>
      <c r="I683" s="55"/>
      <c r="J683" s="51"/>
      <c r="K683" s="22"/>
    </row>
    <row r="684" spans="6:11" ht="15.5">
      <c r="F684" s="52"/>
      <c r="G684" s="22"/>
      <c r="H684" s="54"/>
      <c r="I684" s="56"/>
      <c r="J684" s="52"/>
      <c r="K684" s="22"/>
    </row>
    <row r="685" spans="6:11" ht="15.5">
      <c r="F685" s="51"/>
      <c r="G685" s="22"/>
      <c r="H685" s="53"/>
      <c r="I685" s="55"/>
      <c r="J685" s="51"/>
      <c r="K685" s="22"/>
    </row>
    <row r="686" spans="6:11" ht="15.5">
      <c r="F686" s="52"/>
      <c r="G686" s="22"/>
      <c r="H686" s="54"/>
      <c r="I686" s="56"/>
      <c r="J686" s="52"/>
      <c r="K686" s="22"/>
    </row>
    <row r="687" spans="6:11" ht="15.5">
      <c r="F687" s="51"/>
      <c r="G687" s="22"/>
      <c r="H687" s="53"/>
      <c r="I687" s="55"/>
      <c r="J687" s="51"/>
      <c r="K687" s="22"/>
    </row>
    <row r="688" spans="6:11" ht="15.5">
      <c r="F688" s="52"/>
      <c r="G688" s="22"/>
      <c r="H688" s="54"/>
      <c r="I688" s="56"/>
      <c r="J688" s="52"/>
      <c r="K688" s="22"/>
    </row>
    <row r="689" spans="6:11" ht="15.5">
      <c r="F689" s="51"/>
      <c r="G689" s="22"/>
      <c r="H689" s="53"/>
      <c r="I689" s="55"/>
      <c r="J689" s="51"/>
      <c r="K689" s="22"/>
    </row>
    <row r="690" spans="6:11" ht="15.5">
      <c r="F690" s="52"/>
      <c r="G690" s="22"/>
      <c r="H690" s="54"/>
      <c r="I690" s="56"/>
      <c r="J690" s="52"/>
      <c r="K690" s="22"/>
    </row>
    <row r="691" spans="6:11" ht="15.5">
      <c r="F691" s="51"/>
      <c r="G691" s="22"/>
      <c r="H691" s="53"/>
      <c r="I691" s="55"/>
      <c r="J691" s="51"/>
      <c r="K691" s="22"/>
    </row>
    <row r="692" spans="6:11" ht="15.5">
      <c r="F692" s="52"/>
      <c r="G692" s="22"/>
      <c r="H692" s="54"/>
      <c r="I692" s="56"/>
      <c r="J692" s="52"/>
      <c r="K692" s="22"/>
    </row>
    <row r="693" spans="6:11" ht="15.5">
      <c r="F693" s="51"/>
      <c r="G693" s="22"/>
      <c r="H693" s="53"/>
      <c r="I693" s="55"/>
      <c r="J693" s="51"/>
      <c r="K693" s="22"/>
    </row>
    <row r="694" spans="6:11" ht="15.5">
      <c r="F694" s="52"/>
      <c r="G694" s="22"/>
      <c r="H694" s="54"/>
      <c r="I694" s="56"/>
      <c r="J694" s="52"/>
      <c r="K694" s="22"/>
    </row>
    <row r="695" spans="6:11" ht="15.5">
      <c r="F695" s="51"/>
      <c r="G695" s="22"/>
      <c r="H695" s="53"/>
      <c r="I695" s="55"/>
      <c r="J695" s="51"/>
      <c r="K695" s="22"/>
    </row>
    <row r="696" spans="6:11" ht="15.5">
      <c r="F696" s="52"/>
      <c r="G696" s="22"/>
      <c r="H696" s="54"/>
      <c r="I696" s="56"/>
      <c r="J696" s="52"/>
      <c r="K696" s="22"/>
    </row>
    <row r="697" spans="6:11" ht="15.5">
      <c r="F697" s="51"/>
      <c r="G697" s="22"/>
      <c r="H697" s="53"/>
      <c r="I697" s="55"/>
      <c r="J697" s="51"/>
      <c r="K697" s="22"/>
    </row>
    <row r="698" spans="6:11" ht="15.5">
      <c r="F698" s="52"/>
      <c r="G698" s="22"/>
      <c r="H698" s="54"/>
      <c r="I698" s="56"/>
      <c r="J698" s="52"/>
      <c r="K698" s="22"/>
    </row>
    <row r="699" spans="6:11" ht="15.5">
      <c r="F699" s="51"/>
      <c r="G699" s="22"/>
      <c r="H699" s="53"/>
      <c r="I699" s="55"/>
      <c r="J699" s="51"/>
      <c r="K699" s="22"/>
    </row>
    <row r="700" spans="6:11" ht="15.5">
      <c r="F700" s="52"/>
      <c r="G700" s="22"/>
      <c r="H700" s="54"/>
      <c r="I700" s="56"/>
      <c r="J700" s="52"/>
      <c r="K700" s="22"/>
    </row>
    <row r="701" spans="6:11" ht="15.5">
      <c r="F701" s="51"/>
      <c r="G701" s="22"/>
      <c r="H701" s="53"/>
      <c r="I701" s="55"/>
      <c r="J701" s="51"/>
      <c r="K701" s="22"/>
    </row>
    <row r="702" spans="6:11" ht="15.5">
      <c r="F702" s="52"/>
      <c r="G702" s="22"/>
      <c r="H702" s="54"/>
      <c r="I702" s="56"/>
      <c r="J702" s="52"/>
      <c r="K702" s="22"/>
    </row>
    <row r="703" spans="6:11" ht="15.5">
      <c r="F703" s="51"/>
      <c r="G703" s="22"/>
      <c r="H703" s="53"/>
      <c r="I703" s="55"/>
      <c r="J703" s="51"/>
      <c r="K703" s="22"/>
    </row>
    <row r="704" spans="6:11" ht="15.5">
      <c r="F704" s="52"/>
      <c r="G704" s="22"/>
      <c r="H704" s="54"/>
      <c r="I704" s="56"/>
      <c r="J704" s="52"/>
      <c r="K704" s="22"/>
    </row>
    <row r="705" spans="6:11" ht="15.5">
      <c r="F705" s="51"/>
      <c r="G705" s="22"/>
      <c r="H705" s="53"/>
      <c r="I705" s="55"/>
      <c r="J705" s="51"/>
      <c r="K705" s="22"/>
    </row>
    <row r="706" spans="6:11" ht="15.5">
      <c r="F706" s="52"/>
      <c r="G706" s="22"/>
      <c r="H706" s="54"/>
      <c r="I706" s="56"/>
      <c r="J706" s="52"/>
      <c r="K706" s="22"/>
    </row>
    <row r="707" spans="6:11" ht="15.5">
      <c r="F707" s="51"/>
      <c r="G707" s="22"/>
      <c r="H707" s="53"/>
      <c r="I707" s="55"/>
      <c r="J707" s="51"/>
      <c r="K707" s="22"/>
    </row>
    <row r="708" spans="6:11" ht="15.5">
      <c r="F708" s="52"/>
      <c r="G708" s="22"/>
      <c r="H708" s="54"/>
      <c r="I708" s="56"/>
      <c r="J708" s="52"/>
      <c r="K708" s="22"/>
    </row>
    <row r="709" spans="6:11" ht="15.5">
      <c r="F709" s="51"/>
      <c r="G709" s="22"/>
      <c r="H709" s="53"/>
      <c r="I709" s="55"/>
      <c r="J709" s="51"/>
      <c r="K709" s="22"/>
    </row>
    <row r="710" spans="6:11" ht="15.5">
      <c r="F710" s="52"/>
      <c r="G710" s="22"/>
      <c r="H710" s="54"/>
      <c r="I710" s="56"/>
      <c r="J710" s="52"/>
      <c r="K710" s="22"/>
    </row>
    <row r="711" spans="6:11" ht="15.5">
      <c r="F711" s="51"/>
      <c r="G711" s="22"/>
      <c r="H711" s="53"/>
      <c r="I711" s="55"/>
      <c r="J711" s="51"/>
      <c r="K711" s="22"/>
    </row>
    <row r="712" spans="6:11" ht="15.5">
      <c r="F712" s="52"/>
      <c r="G712" s="22"/>
      <c r="H712" s="54"/>
      <c r="I712" s="56"/>
      <c r="J712" s="52"/>
      <c r="K712" s="22"/>
    </row>
    <row r="713" spans="6:11" ht="15.5">
      <c r="F713" s="51"/>
      <c r="G713" s="22"/>
      <c r="H713" s="53"/>
      <c r="I713" s="55"/>
      <c r="J713" s="51"/>
      <c r="K713" s="22"/>
    </row>
    <row r="714" spans="6:11" ht="15.5">
      <c r="F714" s="52"/>
      <c r="G714" s="22"/>
      <c r="H714" s="54"/>
      <c r="I714" s="56"/>
      <c r="J714" s="52"/>
      <c r="K714" s="22"/>
    </row>
    <row r="715" spans="6:11" ht="15.5">
      <c r="F715" s="51"/>
      <c r="G715" s="22"/>
      <c r="H715" s="53"/>
      <c r="I715" s="55"/>
      <c r="J715" s="51"/>
      <c r="K715" s="22"/>
    </row>
    <row r="716" spans="6:11" ht="15.5">
      <c r="F716" s="52"/>
      <c r="G716" s="22"/>
      <c r="H716" s="54"/>
      <c r="I716" s="56"/>
      <c r="J716" s="52"/>
      <c r="K716" s="22"/>
    </row>
    <row r="717" spans="6:11" ht="15.5">
      <c r="F717" s="51"/>
      <c r="G717" s="22"/>
      <c r="H717" s="53"/>
      <c r="I717" s="55"/>
      <c r="J717" s="51"/>
      <c r="K717" s="22"/>
    </row>
    <row r="718" spans="6:11" ht="15.5">
      <c r="F718" s="52"/>
      <c r="G718" s="22"/>
      <c r="H718" s="54"/>
      <c r="I718" s="56"/>
      <c r="J718" s="52"/>
      <c r="K718" s="22"/>
    </row>
    <row r="719" spans="6:11" ht="15.5">
      <c r="F719" s="51"/>
      <c r="G719" s="22"/>
      <c r="H719" s="53"/>
      <c r="I719" s="55"/>
      <c r="J719" s="51"/>
      <c r="K719" s="22"/>
    </row>
    <row r="720" spans="6:11" ht="15.5">
      <c r="F720" s="52"/>
      <c r="G720" s="22"/>
      <c r="H720" s="54"/>
      <c r="I720" s="56"/>
      <c r="J720" s="52"/>
      <c r="K720" s="22"/>
    </row>
    <row r="721" spans="6:11" ht="15.5">
      <c r="F721" s="51"/>
      <c r="G721" s="22"/>
      <c r="H721" s="53"/>
      <c r="I721" s="55"/>
      <c r="J721" s="51"/>
      <c r="K721" s="22"/>
    </row>
    <row r="722" spans="6:11" ht="15.5">
      <c r="F722" s="52"/>
      <c r="G722" s="22"/>
      <c r="H722" s="54"/>
      <c r="I722" s="56"/>
      <c r="J722" s="52"/>
      <c r="K722" s="22"/>
    </row>
    <row r="723" spans="6:11" ht="15.5">
      <c r="F723" s="51"/>
      <c r="G723" s="22"/>
      <c r="H723" s="53"/>
      <c r="I723" s="55"/>
      <c r="J723" s="51"/>
      <c r="K723" s="22"/>
    </row>
    <row r="724" spans="6:11" ht="15.5">
      <c r="F724" s="52"/>
      <c r="G724" s="22"/>
      <c r="H724" s="54"/>
      <c r="I724" s="56"/>
      <c r="J724" s="52"/>
      <c r="K724" s="22"/>
    </row>
    <row r="725" spans="6:11" ht="15.5">
      <c r="F725" s="51"/>
      <c r="G725" s="22"/>
      <c r="H725" s="53"/>
      <c r="I725" s="55"/>
      <c r="J725" s="51"/>
      <c r="K725" s="22"/>
    </row>
    <row r="726" spans="6:11" ht="15.5">
      <c r="F726" s="52"/>
      <c r="G726" s="22"/>
      <c r="H726" s="54"/>
      <c r="I726" s="56"/>
      <c r="J726" s="52"/>
      <c r="K726" s="22"/>
    </row>
    <row r="727" spans="6:11" ht="15.5">
      <c r="F727" s="51"/>
      <c r="G727" s="22"/>
      <c r="H727" s="53"/>
      <c r="I727" s="55"/>
      <c r="J727" s="51"/>
      <c r="K727" s="22"/>
    </row>
    <row r="728" spans="6:11" ht="15.5">
      <c r="F728" s="52"/>
      <c r="G728" s="22"/>
      <c r="H728" s="54"/>
      <c r="I728" s="56"/>
      <c r="J728" s="52"/>
      <c r="K728" s="22"/>
    </row>
    <row r="729" spans="6:11" ht="15.5">
      <c r="F729" s="51"/>
      <c r="G729" s="22"/>
      <c r="H729" s="53"/>
      <c r="I729" s="55"/>
      <c r="J729" s="51"/>
      <c r="K729" s="22"/>
    </row>
    <row r="730" spans="6:11" ht="15.5">
      <c r="F730" s="52"/>
      <c r="G730" s="22"/>
      <c r="H730" s="54"/>
      <c r="I730" s="56"/>
      <c r="J730" s="52"/>
      <c r="K730" s="22"/>
    </row>
    <row r="731" spans="6:11" ht="15.5">
      <c r="F731" s="51"/>
      <c r="G731" s="22"/>
      <c r="H731" s="53"/>
      <c r="I731" s="55"/>
      <c r="J731" s="51"/>
      <c r="K731" s="22"/>
    </row>
    <row r="732" spans="6:11" ht="15.5">
      <c r="F732" s="52"/>
      <c r="G732" s="22"/>
      <c r="H732" s="54"/>
      <c r="I732" s="56"/>
      <c r="J732" s="52"/>
      <c r="K732" s="22"/>
    </row>
    <row r="733" spans="6:11" ht="15.5">
      <c r="F733" s="51"/>
      <c r="G733" s="22"/>
      <c r="H733" s="53"/>
      <c r="I733" s="55"/>
      <c r="J733" s="51"/>
      <c r="K733" s="22"/>
    </row>
    <row r="734" spans="6:11" ht="15.5">
      <c r="F734" s="52"/>
      <c r="G734" s="22"/>
      <c r="H734" s="54"/>
      <c r="I734" s="56"/>
      <c r="J734" s="52"/>
      <c r="K734" s="22"/>
    </row>
    <row r="735" spans="6:11" ht="15.5">
      <c r="F735" s="51"/>
      <c r="G735" s="22"/>
      <c r="H735" s="53"/>
      <c r="I735" s="55"/>
      <c r="J735" s="51"/>
      <c r="K735" s="22"/>
    </row>
    <row r="736" spans="6:11" ht="15.5">
      <c r="F736" s="52"/>
      <c r="G736" s="22"/>
      <c r="H736" s="54"/>
      <c r="I736" s="56"/>
      <c r="J736" s="52"/>
      <c r="K736" s="22"/>
    </row>
    <row r="737" spans="6:11" ht="15.5">
      <c r="F737" s="51"/>
      <c r="G737" s="22"/>
      <c r="H737" s="53"/>
      <c r="I737" s="55"/>
      <c r="J737" s="51"/>
      <c r="K737" s="22"/>
    </row>
    <row r="738" spans="6:11" ht="15.5">
      <c r="F738" s="52"/>
      <c r="G738" s="22"/>
      <c r="H738" s="54"/>
      <c r="I738" s="56"/>
      <c r="J738" s="52"/>
      <c r="K738" s="22"/>
    </row>
    <row r="739" spans="6:11" ht="15.5">
      <c r="F739" s="51"/>
      <c r="G739" s="22"/>
      <c r="H739" s="53"/>
      <c r="I739" s="55"/>
      <c r="J739" s="51"/>
      <c r="K739" s="22"/>
    </row>
    <row r="740" spans="6:11" ht="15.5">
      <c r="F740" s="52"/>
      <c r="G740" s="22"/>
      <c r="H740" s="54"/>
      <c r="I740" s="56"/>
      <c r="J740" s="52"/>
      <c r="K740" s="22"/>
    </row>
    <row r="741" spans="6:11" ht="15.5">
      <c r="F741" s="51"/>
      <c r="G741" s="22"/>
      <c r="H741" s="53"/>
      <c r="I741" s="55"/>
      <c r="J741" s="51"/>
      <c r="K741" s="22"/>
    </row>
    <row r="742" spans="6:11" ht="15.5">
      <c r="F742" s="52"/>
      <c r="G742" s="22"/>
      <c r="H742" s="54"/>
      <c r="I742" s="56"/>
      <c r="J742" s="52"/>
      <c r="K742" s="22"/>
    </row>
    <row r="743" spans="6:11" ht="15.5">
      <c r="F743" s="51"/>
      <c r="G743" s="22"/>
      <c r="H743" s="53"/>
      <c r="I743" s="55"/>
      <c r="J743" s="51"/>
      <c r="K743" s="22"/>
    </row>
    <row r="744" spans="6:11" ht="15.5">
      <c r="F744" s="52"/>
      <c r="G744" s="22"/>
      <c r="H744" s="54"/>
      <c r="I744" s="56"/>
      <c r="J744" s="52"/>
      <c r="K744" s="22"/>
    </row>
    <row r="745" spans="6:11" ht="15.5">
      <c r="F745" s="51"/>
      <c r="G745" s="22"/>
      <c r="H745" s="53"/>
      <c r="I745" s="55"/>
      <c r="J745" s="51"/>
      <c r="K745" s="22"/>
    </row>
    <row r="746" spans="6:11" ht="15.5">
      <c r="F746" s="52"/>
      <c r="G746" s="22"/>
      <c r="H746" s="54"/>
      <c r="I746" s="56"/>
      <c r="J746" s="52"/>
      <c r="K746" s="22"/>
    </row>
    <row r="747" spans="6:11" ht="15.5">
      <c r="F747" s="51"/>
      <c r="G747" s="22"/>
      <c r="H747" s="53"/>
      <c r="I747" s="55"/>
      <c r="J747" s="51"/>
      <c r="K747" s="22"/>
    </row>
    <row r="748" spans="6:11" ht="15.5">
      <c r="F748" s="52"/>
      <c r="G748" s="22"/>
      <c r="H748" s="54"/>
      <c r="I748" s="56"/>
      <c r="J748" s="52"/>
      <c r="K748" s="22"/>
    </row>
    <row r="749" spans="6:11" ht="15.5">
      <c r="F749" s="51"/>
      <c r="G749" s="22"/>
      <c r="H749" s="53"/>
      <c r="I749" s="55"/>
      <c r="J749" s="51"/>
      <c r="K749" s="22"/>
    </row>
    <row r="750" spans="6:11" ht="15.5">
      <c r="F750" s="52"/>
      <c r="G750" s="22"/>
      <c r="H750" s="54"/>
      <c r="I750" s="56"/>
      <c r="J750" s="52"/>
      <c r="K750" s="22"/>
    </row>
    <row r="751" spans="6:11" ht="15.5">
      <c r="F751" s="51"/>
      <c r="G751" s="22"/>
      <c r="H751" s="53"/>
      <c r="I751" s="55"/>
      <c r="J751" s="51"/>
      <c r="K751" s="22"/>
    </row>
    <row r="752" spans="6:11" ht="15.5">
      <c r="F752" s="52"/>
      <c r="G752" s="22"/>
      <c r="H752" s="54"/>
      <c r="I752" s="56"/>
      <c r="J752" s="52"/>
      <c r="K752" s="22"/>
    </row>
    <row r="753" spans="6:11" ht="15.5">
      <c r="F753" s="51"/>
      <c r="G753" s="22"/>
      <c r="H753" s="53"/>
      <c r="I753" s="55"/>
      <c r="J753" s="51"/>
      <c r="K753" s="22"/>
    </row>
    <row r="754" spans="6:11" ht="15.5">
      <c r="F754" s="52"/>
      <c r="G754" s="22"/>
      <c r="H754" s="54"/>
      <c r="I754" s="56"/>
      <c r="J754" s="52"/>
      <c r="K754" s="22"/>
    </row>
    <row r="755" spans="6:11" ht="15.5">
      <c r="F755" s="51"/>
      <c r="G755" s="22"/>
      <c r="H755" s="53"/>
      <c r="I755" s="55"/>
      <c r="J755" s="51"/>
      <c r="K755" s="22"/>
    </row>
    <row r="756" spans="6:11" ht="15.5">
      <c r="F756" s="52"/>
      <c r="G756" s="22"/>
      <c r="H756" s="54"/>
      <c r="I756" s="56"/>
      <c r="J756" s="52"/>
      <c r="K756" s="22"/>
    </row>
    <row r="757" spans="6:11" ht="15.5">
      <c r="F757" s="51"/>
      <c r="G757" s="22"/>
      <c r="H757" s="53"/>
      <c r="I757" s="55"/>
      <c r="J757" s="51"/>
      <c r="K757" s="22"/>
    </row>
    <row r="758" spans="6:11" ht="15.5">
      <c r="F758" s="52"/>
      <c r="G758" s="22"/>
      <c r="H758" s="54"/>
      <c r="I758" s="56"/>
      <c r="J758" s="52"/>
      <c r="K758" s="22"/>
    </row>
    <row r="759" spans="6:11" ht="15.5">
      <c r="F759" s="51"/>
      <c r="G759" s="22"/>
      <c r="H759" s="53"/>
      <c r="I759" s="55"/>
      <c r="J759" s="51"/>
      <c r="K759" s="22"/>
    </row>
    <row r="760" spans="6:11" ht="15.5">
      <c r="F760" s="52"/>
      <c r="G760" s="22"/>
      <c r="H760" s="54"/>
      <c r="I760" s="56"/>
      <c r="J760" s="52"/>
      <c r="K760" s="22"/>
    </row>
    <row r="761" spans="6:11" ht="15.5">
      <c r="F761" s="51"/>
      <c r="G761" s="22"/>
      <c r="H761" s="53"/>
      <c r="I761" s="55"/>
      <c r="J761" s="51"/>
      <c r="K761" s="22"/>
    </row>
    <row r="762" spans="6:11" ht="15.5">
      <c r="F762" s="52"/>
      <c r="G762" s="22"/>
      <c r="H762" s="54"/>
      <c r="I762" s="56"/>
      <c r="J762" s="52"/>
      <c r="K762" s="22"/>
    </row>
    <row r="763" spans="6:11" ht="15.5">
      <c r="F763" s="51"/>
      <c r="G763" s="22"/>
      <c r="H763" s="53"/>
      <c r="I763" s="55"/>
      <c r="J763" s="51"/>
      <c r="K763" s="22"/>
    </row>
    <row r="764" spans="6:11" ht="15.5">
      <c r="F764" s="52"/>
      <c r="G764" s="22"/>
      <c r="H764" s="54"/>
      <c r="I764" s="56"/>
      <c r="J764" s="52"/>
      <c r="K764" s="22"/>
    </row>
    <row r="765" spans="6:11" ht="15.5">
      <c r="F765" s="51"/>
      <c r="G765" s="22"/>
      <c r="H765" s="53"/>
      <c r="I765" s="55"/>
      <c r="J765" s="51"/>
      <c r="K765" s="22"/>
    </row>
    <row r="766" spans="6:11" ht="15.5">
      <c r="F766" s="52"/>
      <c r="G766" s="22"/>
      <c r="H766" s="54"/>
      <c r="I766" s="56"/>
      <c r="J766" s="52"/>
      <c r="K766" s="22"/>
    </row>
    <row r="767" spans="6:11" ht="15.5">
      <c r="F767" s="51"/>
      <c r="G767" s="22"/>
      <c r="H767" s="53"/>
      <c r="I767" s="55"/>
      <c r="J767" s="51"/>
      <c r="K767" s="22"/>
    </row>
    <row r="768" spans="6:11" ht="15.5">
      <c r="F768" s="52"/>
      <c r="G768" s="22"/>
      <c r="H768" s="54"/>
      <c r="I768" s="56"/>
      <c r="J768" s="52"/>
      <c r="K768" s="22"/>
    </row>
    <row r="769" spans="6:11" ht="15.5">
      <c r="F769" s="51"/>
      <c r="G769" s="22"/>
      <c r="H769" s="53"/>
      <c r="I769" s="55"/>
      <c r="J769" s="51"/>
      <c r="K769" s="22"/>
    </row>
    <row r="770" spans="6:11" ht="15.5">
      <c r="F770" s="52"/>
      <c r="G770" s="22"/>
      <c r="H770" s="54"/>
      <c r="I770" s="56"/>
      <c r="J770" s="52"/>
      <c r="K770" s="22"/>
    </row>
    <row r="771" spans="6:11" ht="15.5">
      <c r="F771" s="51"/>
      <c r="G771" s="22"/>
      <c r="H771" s="53"/>
      <c r="I771" s="55"/>
      <c r="J771" s="51"/>
      <c r="K771" s="22"/>
    </row>
    <row r="772" spans="6:11" ht="15.5">
      <c r="F772" s="52"/>
      <c r="G772" s="22"/>
      <c r="H772" s="54"/>
      <c r="I772" s="56"/>
      <c r="J772" s="52"/>
      <c r="K772" s="22"/>
    </row>
    <row r="773" spans="6:11" ht="15.5">
      <c r="F773" s="51"/>
      <c r="G773" s="22"/>
      <c r="H773" s="53"/>
      <c r="I773" s="55"/>
      <c r="J773" s="51"/>
      <c r="K773" s="22"/>
    </row>
    <row r="774" spans="6:11" ht="15.5">
      <c r="F774" s="52"/>
      <c r="G774" s="22"/>
      <c r="H774" s="54"/>
      <c r="I774" s="56"/>
      <c r="J774" s="52"/>
      <c r="K774" s="22"/>
    </row>
    <row r="775" spans="6:11" ht="15.5">
      <c r="F775" s="51"/>
      <c r="G775" s="22"/>
      <c r="H775" s="53"/>
      <c r="I775" s="55"/>
      <c r="J775" s="51"/>
      <c r="K775" s="22"/>
    </row>
    <row r="776" spans="6:11" ht="15.5">
      <c r="F776" s="52"/>
      <c r="G776" s="22"/>
      <c r="H776" s="54"/>
      <c r="I776" s="56"/>
      <c r="J776" s="52"/>
      <c r="K776" s="22"/>
    </row>
    <row r="777" spans="6:11" ht="15.5">
      <c r="F777" s="51"/>
      <c r="G777" s="22"/>
      <c r="H777" s="53"/>
      <c r="I777" s="55"/>
      <c r="J777" s="51"/>
      <c r="K777" s="22"/>
    </row>
    <row r="778" spans="6:11" ht="15.5">
      <c r="F778" s="52"/>
      <c r="G778" s="22"/>
      <c r="H778" s="54"/>
      <c r="I778" s="56"/>
      <c r="J778" s="52"/>
      <c r="K778" s="22"/>
    </row>
    <row r="779" spans="6:11" ht="15.5">
      <c r="F779" s="51"/>
      <c r="G779" s="22"/>
      <c r="H779" s="53"/>
      <c r="I779" s="55"/>
      <c r="J779" s="51"/>
      <c r="K779" s="22"/>
    </row>
    <row r="780" spans="6:11" ht="15.5">
      <c r="F780" s="52"/>
      <c r="G780" s="22"/>
      <c r="H780" s="54"/>
      <c r="I780" s="56"/>
      <c r="J780" s="52"/>
      <c r="K780" s="22"/>
    </row>
    <row r="781" spans="6:11" ht="15.5">
      <c r="F781" s="51"/>
      <c r="G781" s="22"/>
      <c r="H781" s="53"/>
      <c r="I781" s="55"/>
      <c r="J781" s="51"/>
      <c r="K781" s="22"/>
    </row>
    <row r="782" spans="6:11" ht="15.5">
      <c r="F782" s="52"/>
      <c r="G782" s="22"/>
      <c r="H782" s="54"/>
      <c r="I782" s="56"/>
      <c r="J782" s="52"/>
      <c r="K782" s="22"/>
    </row>
    <row r="783" spans="6:11" ht="15.5">
      <c r="F783" s="51"/>
      <c r="G783" s="22"/>
      <c r="H783" s="53"/>
      <c r="I783" s="55"/>
      <c r="J783" s="51"/>
      <c r="K783" s="22"/>
    </row>
    <row r="784" spans="6:11" ht="15.5">
      <c r="F784" s="52"/>
      <c r="G784" s="22"/>
      <c r="H784" s="54"/>
      <c r="I784" s="56"/>
      <c r="J784" s="52"/>
      <c r="K784" s="22"/>
    </row>
    <row r="785" spans="6:11" ht="15.5">
      <c r="F785" s="51"/>
      <c r="G785" s="22"/>
      <c r="H785" s="53"/>
      <c r="I785" s="55"/>
      <c r="J785" s="51"/>
      <c r="K785" s="22"/>
    </row>
    <row r="786" spans="6:11" ht="15.5">
      <c r="F786" s="52"/>
      <c r="G786" s="22"/>
      <c r="H786" s="54"/>
      <c r="I786" s="56"/>
      <c r="J786" s="52"/>
      <c r="K786" s="22"/>
    </row>
    <row r="787" spans="6:11" ht="15.5">
      <c r="F787" s="51"/>
      <c r="G787" s="22"/>
      <c r="H787" s="53"/>
      <c r="I787" s="55"/>
      <c r="J787" s="51"/>
      <c r="K787" s="22"/>
    </row>
    <row r="788" spans="6:11" ht="15.5">
      <c r="F788" s="52"/>
      <c r="G788" s="22"/>
      <c r="H788" s="54"/>
      <c r="I788" s="56"/>
      <c r="J788" s="52"/>
      <c r="K788" s="22"/>
    </row>
    <row r="789" spans="6:11" ht="15.5">
      <c r="F789" s="51"/>
      <c r="G789" s="22"/>
      <c r="H789" s="53"/>
      <c r="I789" s="55"/>
      <c r="J789" s="51"/>
      <c r="K789" s="22"/>
    </row>
    <row r="790" spans="6:11" ht="15.5">
      <c r="F790" s="52"/>
      <c r="G790" s="22"/>
      <c r="H790" s="54"/>
      <c r="I790" s="56"/>
      <c r="J790" s="52"/>
      <c r="K790" s="22"/>
    </row>
    <row r="791" spans="6:11" ht="15.5">
      <c r="F791" s="51"/>
      <c r="G791" s="22"/>
      <c r="H791" s="53"/>
      <c r="I791" s="55"/>
      <c r="J791" s="51"/>
      <c r="K791" s="22"/>
    </row>
    <row r="792" spans="6:11" ht="15.5">
      <c r="F792" s="52"/>
      <c r="G792" s="22"/>
      <c r="H792" s="54"/>
      <c r="I792" s="56"/>
      <c r="J792" s="52"/>
      <c r="K792" s="22"/>
    </row>
    <row r="793" spans="6:11" ht="15.5">
      <c r="F793" s="51"/>
      <c r="G793" s="22"/>
      <c r="H793" s="53"/>
      <c r="I793" s="55"/>
      <c r="J793" s="51"/>
      <c r="K793" s="22"/>
    </row>
    <row r="794" spans="6:11" ht="15.5">
      <c r="F794" s="52"/>
      <c r="G794" s="22"/>
      <c r="H794" s="54"/>
      <c r="I794" s="56"/>
      <c r="J794" s="52"/>
      <c r="K794" s="22"/>
    </row>
    <row r="795" spans="6:11" ht="15.5">
      <c r="F795" s="51"/>
      <c r="G795" s="22"/>
      <c r="H795" s="53"/>
      <c r="I795" s="55"/>
      <c r="J795" s="51"/>
      <c r="K795" s="22"/>
    </row>
    <row r="796" spans="6:11" ht="15.5">
      <c r="F796" s="52"/>
      <c r="G796" s="22"/>
      <c r="H796" s="54"/>
      <c r="I796" s="56"/>
      <c r="J796" s="52"/>
      <c r="K796" s="22"/>
    </row>
    <row r="797" spans="6:11" ht="15.5">
      <c r="F797" s="51"/>
      <c r="G797" s="22"/>
      <c r="H797" s="53"/>
      <c r="I797" s="55"/>
      <c r="J797" s="51"/>
      <c r="K797" s="22"/>
    </row>
    <row r="798" spans="6:11" ht="15.5">
      <c r="F798" s="52"/>
      <c r="G798" s="22"/>
      <c r="H798" s="54"/>
      <c r="I798" s="56"/>
      <c r="J798" s="52"/>
      <c r="K798" s="22"/>
    </row>
    <row r="799" spans="6:11" ht="15.5">
      <c r="F799" s="51"/>
      <c r="G799" s="22"/>
      <c r="H799" s="53"/>
      <c r="I799" s="55"/>
      <c r="J799" s="51"/>
      <c r="K799" s="22"/>
    </row>
    <row r="800" spans="6:11" ht="15.5">
      <c r="F800" s="52"/>
      <c r="G800" s="22"/>
      <c r="H800" s="54"/>
      <c r="I800" s="56"/>
      <c r="J800" s="52"/>
      <c r="K800" s="22"/>
    </row>
    <row r="801" spans="6:11" ht="15.5">
      <c r="F801" s="51"/>
      <c r="G801" s="22"/>
      <c r="H801" s="53"/>
      <c r="I801" s="55"/>
      <c r="J801" s="51"/>
      <c r="K801" s="22"/>
    </row>
    <row r="802" spans="6:11" ht="15.5">
      <c r="F802" s="52"/>
      <c r="G802" s="22"/>
      <c r="H802" s="54"/>
      <c r="I802" s="56"/>
      <c r="J802" s="52"/>
      <c r="K802" s="22"/>
    </row>
    <row r="803" spans="6:11" ht="15.5">
      <c r="F803" s="51"/>
      <c r="G803" s="22"/>
      <c r="H803" s="53"/>
      <c r="I803" s="55"/>
      <c r="J803" s="51"/>
      <c r="K803" s="22"/>
    </row>
    <row r="804" spans="6:11" ht="15.5">
      <c r="F804" s="52"/>
      <c r="G804" s="22"/>
      <c r="H804" s="54"/>
      <c r="I804" s="56"/>
      <c r="J804" s="52"/>
      <c r="K804" s="22"/>
    </row>
    <row r="805" spans="6:11" ht="15.5">
      <c r="F805" s="51"/>
      <c r="G805" s="22"/>
      <c r="H805" s="53"/>
      <c r="I805" s="55"/>
      <c r="J805" s="51"/>
      <c r="K805" s="22"/>
    </row>
    <row r="806" spans="6:11" ht="15.5">
      <c r="F806" s="52"/>
      <c r="G806" s="22"/>
      <c r="H806" s="54"/>
      <c r="I806" s="56"/>
      <c r="J806" s="52"/>
      <c r="K806" s="22"/>
    </row>
    <row r="807" spans="6:11" ht="15.5">
      <c r="F807" s="51"/>
      <c r="G807" s="22"/>
      <c r="H807" s="53"/>
      <c r="I807" s="55"/>
      <c r="J807" s="51"/>
      <c r="K807" s="22"/>
    </row>
    <row r="808" spans="6:11" ht="15.5">
      <c r="F808" s="52"/>
      <c r="G808" s="22"/>
      <c r="H808" s="54"/>
      <c r="I808" s="56"/>
      <c r="J808" s="52"/>
      <c r="K808" s="22"/>
    </row>
    <row r="809" spans="6:11" ht="15.5">
      <c r="F809" s="51"/>
      <c r="G809" s="22"/>
      <c r="H809" s="53"/>
      <c r="I809" s="55"/>
      <c r="J809" s="51"/>
      <c r="K809" s="22"/>
    </row>
    <row r="810" spans="6:11" ht="15.5">
      <c r="F810" s="52"/>
      <c r="G810" s="22"/>
      <c r="H810" s="54"/>
      <c r="I810" s="56"/>
      <c r="J810" s="52"/>
      <c r="K810" s="22"/>
    </row>
    <row r="811" spans="6:11" ht="15.5">
      <c r="F811" s="51"/>
      <c r="G811" s="22"/>
      <c r="H811" s="53"/>
      <c r="I811" s="55"/>
      <c r="J811" s="51"/>
      <c r="K811" s="22"/>
    </row>
    <row r="812" spans="6:11" ht="15.5">
      <c r="F812" s="52"/>
      <c r="G812" s="22"/>
      <c r="H812" s="54"/>
      <c r="I812" s="56"/>
      <c r="J812" s="52"/>
      <c r="K812" s="22"/>
    </row>
    <row r="813" spans="6:11" ht="15.5">
      <c r="F813" s="51"/>
      <c r="G813" s="22"/>
      <c r="H813" s="53"/>
      <c r="I813" s="55"/>
      <c r="J813" s="51"/>
      <c r="K813" s="22"/>
    </row>
    <row r="814" spans="6:11" ht="15.5">
      <c r="F814" s="52"/>
      <c r="G814" s="22"/>
      <c r="H814" s="54"/>
      <c r="I814" s="56"/>
      <c r="J814" s="52"/>
      <c r="K814" s="22"/>
    </row>
    <row r="815" spans="6:11" ht="15.5">
      <c r="F815" s="51"/>
      <c r="G815" s="22"/>
      <c r="H815" s="53"/>
      <c r="I815" s="55"/>
      <c r="J815" s="51"/>
      <c r="K815" s="22"/>
    </row>
    <row r="816" spans="6:11" ht="15.5">
      <c r="F816" s="52"/>
      <c r="G816" s="22"/>
      <c r="H816" s="54"/>
      <c r="I816" s="56"/>
      <c r="J816" s="52"/>
      <c r="K816" s="22"/>
    </row>
    <row r="817" spans="6:11" ht="15.5">
      <c r="F817" s="51"/>
      <c r="G817" s="22"/>
      <c r="H817" s="53"/>
      <c r="I817" s="55"/>
      <c r="J817" s="51"/>
      <c r="K817" s="22"/>
    </row>
    <row r="818" spans="6:11" ht="15.5">
      <c r="F818" s="52"/>
      <c r="G818" s="22"/>
      <c r="H818" s="54"/>
      <c r="I818" s="56"/>
      <c r="J818" s="52"/>
      <c r="K818" s="22"/>
    </row>
    <row r="819" spans="6:11" ht="15.5">
      <c r="F819" s="51"/>
      <c r="G819" s="22"/>
      <c r="H819" s="53"/>
      <c r="I819" s="55"/>
      <c r="J819" s="51"/>
      <c r="K819" s="22"/>
    </row>
    <row r="820" spans="6:11" ht="15.5">
      <c r="F820" s="52"/>
      <c r="G820" s="22"/>
      <c r="H820" s="54"/>
      <c r="I820" s="56"/>
      <c r="J820" s="52"/>
      <c r="K820" s="22"/>
    </row>
    <row r="821" spans="6:11" ht="15.5">
      <c r="F821" s="51"/>
      <c r="G821" s="22"/>
      <c r="H821" s="53"/>
      <c r="I821" s="55"/>
      <c r="J821" s="51"/>
      <c r="K821" s="22"/>
    </row>
    <row r="822" spans="6:11" ht="15.5">
      <c r="F822" s="52"/>
      <c r="G822" s="22"/>
      <c r="H822" s="54"/>
      <c r="I822" s="56"/>
      <c r="J822" s="52"/>
      <c r="K822" s="22"/>
    </row>
    <row r="823" spans="6:11" ht="15.5">
      <c r="F823" s="51"/>
      <c r="G823" s="22"/>
      <c r="H823" s="53"/>
      <c r="I823" s="55"/>
      <c r="J823" s="51"/>
      <c r="K823" s="22"/>
    </row>
    <row r="824" spans="6:11" ht="15.5">
      <c r="F824" s="52"/>
      <c r="G824" s="22"/>
      <c r="H824" s="54"/>
      <c r="I824" s="56"/>
      <c r="J824" s="52"/>
      <c r="K824" s="22"/>
    </row>
    <row r="825" spans="6:11" ht="15.5">
      <c r="F825" s="51"/>
      <c r="G825" s="22"/>
      <c r="H825" s="53"/>
      <c r="I825" s="55"/>
      <c r="J825" s="51"/>
      <c r="K825" s="22"/>
    </row>
    <row r="826" spans="6:11" ht="15.5">
      <c r="F826" s="52"/>
      <c r="G826" s="22"/>
      <c r="H826" s="54"/>
      <c r="I826" s="56"/>
      <c r="J826" s="52"/>
      <c r="K826" s="22"/>
    </row>
    <row r="827" spans="6:11" ht="15.5">
      <c r="F827" s="51"/>
      <c r="G827" s="22"/>
      <c r="H827" s="53"/>
      <c r="I827" s="55"/>
      <c r="J827" s="51"/>
      <c r="K827" s="22"/>
    </row>
    <row r="828" spans="6:11" ht="15.5">
      <c r="F828" s="52"/>
      <c r="G828" s="22"/>
      <c r="H828" s="54"/>
      <c r="I828" s="56"/>
      <c r="J828" s="52"/>
      <c r="K828" s="22"/>
    </row>
    <row r="829" spans="6:11" ht="15.5">
      <c r="F829" s="51"/>
      <c r="G829" s="22"/>
      <c r="H829" s="53"/>
      <c r="I829" s="55"/>
      <c r="J829" s="51"/>
      <c r="K829" s="22"/>
    </row>
    <row r="830" spans="6:11" ht="15.5">
      <c r="F830" s="52"/>
      <c r="G830" s="22"/>
      <c r="H830" s="54"/>
      <c r="I830" s="56"/>
      <c r="J830" s="52"/>
      <c r="K830" s="22"/>
    </row>
    <row r="831" spans="6:11" ht="15.5">
      <c r="F831" s="51"/>
      <c r="G831" s="22"/>
      <c r="H831" s="53"/>
      <c r="I831" s="55"/>
      <c r="J831" s="51"/>
      <c r="K831" s="22"/>
    </row>
    <row r="832" spans="6:11" ht="15.5">
      <c r="F832" s="52"/>
      <c r="G832" s="22"/>
      <c r="H832" s="54"/>
      <c r="I832" s="56"/>
      <c r="J832" s="52"/>
      <c r="K832" s="22"/>
    </row>
    <row r="833" spans="6:11" ht="15.5">
      <c r="F833" s="51"/>
      <c r="G833" s="22"/>
      <c r="H833" s="53"/>
      <c r="I833" s="55"/>
      <c r="J833" s="51"/>
      <c r="K833" s="22"/>
    </row>
    <row r="834" spans="6:11" ht="15.5">
      <c r="F834" s="52"/>
      <c r="G834" s="22"/>
      <c r="H834" s="54"/>
      <c r="I834" s="56"/>
      <c r="J834" s="52"/>
      <c r="K834" s="22"/>
    </row>
    <row r="835" spans="6:11" ht="15.5">
      <c r="F835" s="51"/>
      <c r="G835" s="22"/>
      <c r="H835" s="53"/>
      <c r="I835" s="55"/>
      <c r="J835" s="51"/>
      <c r="K835" s="22"/>
    </row>
    <row r="836" spans="6:11" ht="15.5">
      <c r="F836" s="52"/>
      <c r="G836" s="22"/>
      <c r="H836" s="54"/>
      <c r="I836" s="56"/>
      <c r="J836" s="52"/>
      <c r="K836" s="22"/>
    </row>
    <row r="837" spans="6:11" ht="15.5">
      <c r="F837" s="51"/>
      <c r="G837" s="22"/>
      <c r="H837" s="53"/>
      <c r="I837" s="55"/>
      <c r="J837" s="51"/>
      <c r="K837" s="22"/>
    </row>
    <row r="838" spans="6:11" ht="15.5">
      <c r="F838" s="52"/>
      <c r="G838" s="22"/>
      <c r="H838" s="54"/>
      <c r="I838" s="56"/>
      <c r="J838" s="52"/>
      <c r="K838" s="22"/>
    </row>
    <row r="839" spans="6:11" ht="15.5">
      <c r="F839" s="51"/>
      <c r="G839" s="22"/>
      <c r="H839" s="53"/>
      <c r="I839" s="55"/>
      <c r="J839" s="51"/>
      <c r="K839" s="22"/>
    </row>
    <row r="840" spans="6:11" ht="15.5">
      <c r="F840" s="52"/>
      <c r="G840" s="22"/>
      <c r="H840" s="54"/>
      <c r="I840" s="56"/>
      <c r="J840" s="52"/>
      <c r="K840" s="22"/>
    </row>
    <row r="841" spans="6:11" ht="15.5">
      <c r="F841" s="51"/>
      <c r="G841" s="22"/>
      <c r="H841" s="53"/>
      <c r="I841" s="55"/>
      <c r="J841" s="51"/>
      <c r="K841" s="22"/>
    </row>
    <row r="842" spans="6:11" ht="15.5">
      <c r="F842" s="52"/>
      <c r="G842" s="22"/>
      <c r="H842" s="54"/>
      <c r="I842" s="56"/>
      <c r="J842" s="52"/>
      <c r="K842" s="22"/>
    </row>
    <row r="843" spans="6:11" ht="15.5">
      <c r="F843" s="51"/>
      <c r="G843" s="22"/>
      <c r="H843" s="53"/>
      <c r="I843" s="55"/>
      <c r="J843" s="51"/>
      <c r="K843" s="22"/>
    </row>
    <row r="844" spans="6:11" ht="15.5">
      <c r="F844" s="52"/>
      <c r="G844" s="22"/>
      <c r="H844" s="54"/>
      <c r="I844" s="56"/>
      <c r="J844" s="52"/>
      <c r="K844" s="22"/>
    </row>
    <row r="845" spans="6:11" ht="15.5">
      <c r="F845" s="51"/>
      <c r="G845" s="22"/>
      <c r="H845" s="53"/>
      <c r="I845" s="55"/>
      <c r="J845" s="51"/>
      <c r="K845" s="22"/>
    </row>
    <row r="846" spans="6:11" ht="15.5">
      <c r="F846" s="52"/>
      <c r="G846" s="22"/>
      <c r="H846" s="54"/>
      <c r="I846" s="56"/>
      <c r="J846" s="52"/>
      <c r="K846" s="22"/>
    </row>
    <row r="847" spans="6:11" ht="15.5">
      <c r="F847" s="51"/>
      <c r="G847" s="22"/>
      <c r="H847" s="53"/>
      <c r="I847" s="55"/>
      <c r="J847" s="51"/>
      <c r="K847" s="22"/>
    </row>
    <row r="848" spans="6:11" ht="15.5">
      <c r="F848" s="52"/>
      <c r="G848" s="22"/>
      <c r="H848" s="54"/>
      <c r="I848" s="56"/>
      <c r="J848" s="52"/>
      <c r="K848" s="22"/>
    </row>
    <row r="849" spans="6:11" ht="15.5">
      <c r="F849" s="51"/>
      <c r="G849" s="22"/>
      <c r="H849" s="53"/>
      <c r="I849" s="55"/>
      <c r="J849" s="51"/>
      <c r="K849" s="22"/>
    </row>
    <row r="850" spans="6:11" ht="15.5">
      <c r="F850" s="52"/>
      <c r="G850" s="22"/>
      <c r="H850" s="54"/>
      <c r="I850" s="56"/>
      <c r="J850" s="52"/>
      <c r="K850" s="22"/>
    </row>
    <row r="851" spans="6:11" ht="15.5">
      <c r="F851" s="51"/>
      <c r="G851" s="22"/>
      <c r="H851" s="53"/>
      <c r="I851" s="55"/>
      <c r="J851" s="51"/>
      <c r="K851" s="22"/>
    </row>
    <row r="852" spans="6:11" ht="15.5">
      <c r="F852" s="52"/>
      <c r="G852" s="22"/>
      <c r="H852" s="54"/>
      <c r="I852" s="56"/>
      <c r="J852" s="52"/>
      <c r="K852" s="22"/>
    </row>
    <row r="853" spans="6:11" ht="15.5">
      <c r="F853" s="51"/>
      <c r="G853" s="22"/>
      <c r="H853" s="53"/>
      <c r="I853" s="55"/>
      <c r="J853" s="51"/>
      <c r="K853" s="22"/>
    </row>
    <row r="854" spans="6:11" ht="15.5">
      <c r="F854" s="52"/>
      <c r="G854" s="22"/>
      <c r="H854" s="54"/>
      <c r="I854" s="56"/>
      <c r="J854" s="52"/>
      <c r="K854" s="22"/>
    </row>
    <row r="855" spans="6:11" ht="15.5">
      <c r="F855" s="51"/>
      <c r="G855" s="22"/>
      <c r="H855" s="53"/>
      <c r="I855" s="55"/>
      <c r="J855" s="51"/>
      <c r="K855" s="22"/>
    </row>
    <row r="856" spans="6:11" ht="15.5">
      <c r="F856" s="52"/>
      <c r="G856" s="22"/>
      <c r="H856" s="54"/>
      <c r="I856" s="56"/>
      <c r="J856" s="52"/>
      <c r="K856" s="22"/>
    </row>
    <row r="857" spans="6:11" ht="15.5">
      <c r="F857" s="51"/>
      <c r="G857" s="22"/>
      <c r="H857" s="53"/>
      <c r="I857" s="55"/>
      <c r="J857" s="51"/>
      <c r="K857" s="22"/>
    </row>
    <row r="858" spans="6:11" ht="15.5">
      <c r="F858" s="52"/>
      <c r="G858" s="22"/>
      <c r="H858" s="54"/>
      <c r="I858" s="56"/>
      <c r="J858" s="52"/>
      <c r="K858" s="22"/>
    </row>
    <row r="859" spans="6:11" ht="15.5">
      <c r="F859" s="51"/>
      <c r="G859" s="22"/>
      <c r="H859" s="53"/>
      <c r="I859" s="55"/>
      <c r="J859" s="51"/>
      <c r="K859" s="22"/>
    </row>
    <row r="860" spans="6:11" ht="15.5">
      <c r="F860" s="52"/>
      <c r="G860" s="22"/>
      <c r="H860" s="54"/>
      <c r="I860" s="56"/>
      <c r="J860" s="52"/>
      <c r="K860" s="22"/>
    </row>
    <row r="861" spans="6:11" ht="15.5">
      <c r="F861" s="51"/>
      <c r="G861" s="22"/>
      <c r="H861" s="53"/>
      <c r="I861" s="55"/>
      <c r="J861" s="51"/>
      <c r="K861" s="22"/>
    </row>
    <row r="862" spans="6:11" ht="15.5">
      <c r="F862" s="52"/>
      <c r="G862" s="22"/>
      <c r="H862" s="54"/>
      <c r="I862" s="56"/>
      <c r="J862" s="52"/>
      <c r="K862" s="22"/>
    </row>
    <row r="863" spans="6:11" ht="15.5">
      <c r="F863" s="51"/>
      <c r="G863" s="22"/>
      <c r="H863" s="53"/>
      <c r="I863" s="55"/>
      <c r="J863" s="51"/>
      <c r="K863" s="22"/>
    </row>
    <row r="864" spans="6:11" ht="15.5">
      <c r="F864" s="52"/>
      <c r="G864" s="22"/>
      <c r="H864" s="54"/>
      <c r="I864" s="56"/>
      <c r="J864" s="52"/>
      <c r="K864" s="22"/>
    </row>
    <row r="865" spans="6:11" ht="15.5">
      <c r="F865" s="51"/>
      <c r="G865" s="22"/>
      <c r="H865" s="53"/>
      <c r="I865" s="55"/>
      <c r="J865" s="51"/>
      <c r="K865" s="22"/>
    </row>
    <row r="866" spans="6:11" ht="15.5">
      <c r="F866" s="52"/>
      <c r="G866" s="22"/>
      <c r="H866" s="54"/>
      <c r="I866" s="56"/>
      <c r="J866" s="52"/>
      <c r="K866" s="22"/>
    </row>
    <row r="867" spans="6:11" ht="15.5">
      <c r="F867" s="51"/>
      <c r="G867" s="22"/>
      <c r="H867" s="53"/>
      <c r="I867" s="55"/>
      <c r="J867" s="51"/>
      <c r="K867" s="22"/>
    </row>
    <row r="868" spans="6:11" ht="15.5">
      <c r="F868" s="52"/>
      <c r="G868" s="22"/>
      <c r="H868" s="54"/>
      <c r="I868" s="56"/>
      <c r="J868" s="52"/>
      <c r="K868" s="22"/>
    </row>
    <row r="869" spans="6:11" ht="15.5">
      <c r="F869" s="51"/>
      <c r="G869" s="22"/>
      <c r="H869" s="53"/>
      <c r="I869" s="55"/>
      <c r="J869" s="51"/>
      <c r="K869" s="22"/>
    </row>
    <row r="870" spans="6:11" ht="15.5">
      <c r="F870" s="52"/>
      <c r="G870" s="22"/>
      <c r="H870" s="54"/>
      <c r="I870" s="56"/>
      <c r="J870" s="52"/>
      <c r="K870" s="22"/>
    </row>
    <row r="871" spans="6:11" ht="15.5">
      <c r="F871" s="51"/>
      <c r="G871" s="22"/>
      <c r="H871" s="53"/>
      <c r="I871" s="55"/>
      <c r="J871" s="51"/>
      <c r="K871" s="22"/>
    </row>
    <row r="872" spans="6:11" ht="15.5">
      <c r="F872" s="52"/>
      <c r="G872" s="22"/>
      <c r="H872" s="54"/>
      <c r="I872" s="56"/>
      <c r="J872" s="52"/>
      <c r="K872" s="22"/>
    </row>
    <row r="873" spans="6:11" ht="15.5">
      <c r="F873" s="51"/>
      <c r="G873" s="22"/>
      <c r="H873" s="53"/>
      <c r="I873" s="55"/>
      <c r="J873" s="51"/>
      <c r="K873" s="22"/>
    </row>
    <row r="874" spans="6:11" ht="15.5">
      <c r="F874" s="52"/>
      <c r="G874" s="22"/>
      <c r="H874" s="54"/>
      <c r="I874" s="56"/>
      <c r="J874" s="52"/>
      <c r="K874" s="22"/>
    </row>
    <row r="875" spans="6:11" ht="15.5">
      <c r="F875" s="51"/>
      <c r="G875" s="22"/>
      <c r="H875" s="53"/>
      <c r="I875" s="55"/>
      <c r="J875" s="51"/>
      <c r="K875" s="22"/>
    </row>
    <row r="876" spans="6:11" ht="15.5">
      <c r="F876" s="52"/>
      <c r="G876" s="22"/>
      <c r="H876" s="54"/>
      <c r="I876" s="56"/>
      <c r="J876" s="52"/>
      <c r="K876" s="22"/>
    </row>
    <row r="877" spans="6:11" ht="15.5">
      <c r="F877" s="51"/>
      <c r="G877" s="22"/>
      <c r="H877" s="53"/>
      <c r="I877" s="55"/>
      <c r="J877" s="51"/>
      <c r="K877" s="22"/>
    </row>
    <row r="878" spans="6:11" ht="15.5">
      <c r="F878" s="52"/>
      <c r="G878" s="22"/>
      <c r="H878" s="54"/>
      <c r="I878" s="56"/>
      <c r="J878" s="52"/>
      <c r="K878" s="22"/>
    </row>
    <row r="879" spans="6:11" ht="15.5">
      <c r="F879" s="51"/>
      <c r="G879" s="22"/>
      <c r="H879" s="53"/>
      <c r="I879" s="55"/>
      <c r="J879" s="51"/>
      <c r="K879" s="22"/>
    </row>
    <row r="880" spans="6:11" ht="15.5">
      <c r="F880" s="52"/>
      <c r="G880" s="22"/>
      <c r="H880" s="54"/>
      <c r="I880" s="56"/>
      <c r="J880" s="52"/>
      <c r="K880" s="22"/>
    </row>
    <row r="881" spans="6:11" ht="15.5">
      <c r="F881" s="51"/>
      <c r="G881" s="22"/>
      <c r="H881" s="53"/>
      <c r="I881" s="55"/>
      <c r="J881" s="51"/>
      <c r="K881" s="22"/>
    </row>
    <row r="882" spans="6:11" ht="15.5">
      <c r="F882" s="52"/>
      <c r="G882" s="22"/>
      <c r="H882" s="54"/>
      <c r="I882" s="56"/>
      <c r="J882" s="52"/>
      <c r="K882" s="22"/>
    </row>
    <row r="883" spans="6:11" ht="15.5">
      <c r="F883" s="51"/>
      <c r="G883" s="22"/>
      <c r="H883" s="53"/>
      <c r="I883" s="55"/>
      <c r="J883" s="51"/>
      <c r="K883" s="22"/>
    </row>
    <row r="884" spans="6:11" ht="15.5">
      <c r="F884" s="52"/>
      <c r="G884" s="22"/>
      <c r="H884" s="54"/>
      <c r="I884" s="56"/>
      <c r="J884" s="52"/>
      <c r="K884" s="22"/>
    </row>
    <row r="885" spans="6:11" ht="15.5">
      <c r="F885" s="51"/>
      <c r="G885" s="22"/>
      <c r="H885" s="53"/>
      <c r="I885" s="55"/>
      <c r="J885" s="51"/>
      <c r="K885" s="22"/>
    </row>
    <row r="886" spans="6:11" ht="15.5">
      <c r="F886" s="52"/>
      <c r="G886" s="22"/>
      <c r="H886" s="54"/>
      <c r="I886" s="56"/>
      <c r="J886" s="52"/>
      <c r="K886" s="22"/>
    </row>
    <row r="887" spans="6:11" ht="15.5">
      <c r="F887" s="51"/>
      <c r="G887" s="22"/>
      <c r="H887" s="53"/>
      <c r="I887" s="55"/>
      <c r="J887" s="51"/>
      <c r="K887" s="22"/>
    </row>
    <row r="888" spans="6:11" ht="15.5">
      <c r="F888" s="52"/>
      <c r="G888" s="22"/>
      <c r="H888" s="54"/>
      <c r="I888" s="56"/>
      <c r="J888" s="52"/>
      <c r="K888" s="22"/>
    </row>
    <row r="889" spans="6:11" ht="15.5">
      <c r="F889" s="51"/>
      <c r="G889" s="22"/>
      <c r="H889" s="53"/>
      <c r="I889" s="55"/>
      <c r="J889" s="51"/>
      <c r="K889" s="22"/>
    </row>
    <row r="890" spans="6:11" ht="15.5">
      <c r="F890" s="52"/>
      <c r="G890" s="22"/>
      <c r="H890" s="54"/>
      <c r="I890" s="56"/>
      <c r="J890" s="52"/>
      <c r="K890" s="22"/>
    </row>
    <row r="891" spans="6:11" ht="15.5">
      <c r="F891" s="51"/>
      <c r="G891" s="22"/>
      <c r="H891" s="53"/>
      <c r="I891" s="55"/>
      <c r="J891" s="51"/>
      <c r="K891" s="22"/>
    </row>
    <row r="892" spans="6:11" ht="15.5">
      <c r="F892" s="52"/>
      <c r="G892" s="22"/>
      <c r="H892" s="54"/>
      <c r="I892" s="56"/>
      <c r="J892" s="52"/>
      <c r="K892" s="22"/>
    </row>
    <row r="893" spans="6:11" ht="15.5">
      <c r="F893" s="51"/>
      <c r="G893" s="22"/>
      <c r="H893" s="53"/>
      <c r="I893" s="55"/>
      <c r="J893" s="51"/>
      <c r="K893" s="22"/>
    </row>
    <row r="894" spans="6:11" ht="15.5">
      <c r="F894" s="52"/>
      <c r="G894" s="22"/>
      <c r="H894" s="54"/>
      <c r="I894" s="56"/>
      <c r="J894" s="52"/>
      <c r="K894" s="22"/>
    </row>
    <row r="895" spans="6:11" ht="15.5">
      <c r="F895" s="51"/>
      <c r="G895" s="22"/>
      <c r="H895" s="53"/>
      <c r="I895" s="55"/>
      <c r="J895" s="51"/>
      <c r="K895" s="22"/>
    </row>
    <row r="896" spans="6:11" ht="15.5">
      <c r="F896" s="52"/>
      <c r="G896" s="22"/>
      <c r="H896" s="54"/>
      <c r="I896" s="56"/>
      <c r="J896" s="52"/>
      <c r="K896" s="22"/>
    </row>
    <row r="897" spans="6:11" ht="15.5">
      <c r="F897" s="51"/>
      <c r="G897" s="22"/>
      <c r="H897" s="53"/>
      <c r="I897" s="55"/>
      <c r="J897" s="51"/>
      <c r="K897" s="22"/>
    </row>
    <row r="898" spans="6:11" ht="15.5">
      <c r="F898" s="52"/>
      <c r="G898" s="22"/>
      <c r="H898" s="54"/>
      <c r="I898" s="56"/>
      <c r="J898" s="52"/>
      <c r="K898" s="22"/>
    </row>
    <row r="899" spans="6:11" ht="15.5">
      <c r="F899" s="51"/>
      <c r="G899" s="22"/>
      <c r="H899" s="53"/>
      <c r="I899" s="55"/>
      <c r="J899" s="51"/>
      <c r="K899" s="22"/>
    </row>
    <row r="900" spans="6:11" ht="15.5">
      <c r="F900" s="52"/>
      <c r="G900" s="22"/>
      <c r="H900" s="54"/>
      <c r="I900" s="56"/>
      <c r="J900" s="52"/>
      <c r="K900" s="22"/>
    </row>
    <row r="901" spans="6:11" ht="15.5">
      <c r="F901" s="51"/>
      <c r="G901" s="22"/>
      <c r="H901" s="53"/>
      <c r="I901" s="55"/>
      <c r="J901" s="51"/>
      <c r="K901" s="22"/>
    </row>
    <row r="902" spans="6:11" ht="15.5">
      <c r="F902" s="52"/>
      <c r="G902" s="22"/>
      <c r="H902" s="54"/>
      <c r="I902" s="56"/>
      <c r="J902" s="52"/>
      <c r="K902" s="22"/>
    </row>
    <row r="903" spans="6:11" ht="15.5">
      <c r="F903" s="51"/>
      <c r="G903" s="22"/>
      <c r="H903" s="53"/>
      <c r="I903" s="55"/>
      <c r="J903" s="51"/>
      <c r="K903" s="22"/>
    </row>
    <row r="904" spans="6:11" ht="15.5">
      <c r="F904" s="52"/>
      <c r="G904" s="22"/>
      <c r="H904" s="54"/>
      <c r="I904" s="56"/>
      <c r="J904" s="52"/>
      <c r="K904" s="22"/>
    </row>
    <row r="905" spans="6:11" ht="15.5">
      <c r="F905" s="51"/>
      <c r="G905" s="22"/>
      <c r="H905" s="53"/>
      <c r="I905" s="55"/>
      <c r="J905" s="51"/>
      <c r="K905" s="22"/>
    </row>
    <row r="906" spans="6:11" ht="15.5">
      <c r="F906" s="52"/>
      <c r="G906" s="22"/>
      <c r="H906" s="54"/>
      <c r="I906" s="56"/>
      <c r="J906" s="52"/>
      <c r="K906" s="22"/>
    </row>
    <row r="907" spans="6:11" ht="15.5">
      <c r="F907" s="51"/>
      <c r="G907" s="22"/>
      <c r="H907" s="53"/>
      <c r="I907" s="55"/>
      <c r="J907" s="51"/>
      <c r="K907" s="22"/>
    </row>
    <row r="908" spans="6:11" ht="15.5">
      <c r="F908" s="52"/>
      <c r="G908" s="22"/>
      <c r="H908" s="54"/>
      <c r="I908" s="56"/>
      <c r="J908" s="52"/>
      <c r="K908" s="22"/>
    </row>
    <row r="909" spans="6:11" ht="15.5">
      <c r="F909" s="51"/>
      <c r="G909" s="22"/>
      <c r="H909" s="53"/>
      <c r="I909" s="55"/>
      <c r="J909" s="51"/>
      <c r="K909" s="22"/>
    </row>
    <row r="910" spans="6:11" ht="15.5">
      <c r="F910" s="52"/>
      <c r="G910" s="22"/>
      <c r="H910" s="54"/>
      <c r="I910" s="56"/>
      <c r="J910" s="52"/>
      <c r="K910" s="22"/>
    </row>
    <row r="911" spans="6:11" ht="15.5">
      <c r="F911" s="51"/>
      <c r="G911" s="22"/>
      <c r="H911" s="53"/>
      <c r="I911" s="55"/>
      <c r="J911" s="51"/>
      <c r="K911" s="22"/>
    </row>
    <row r="912" spans="6:11" ht="15.5">
      <c r="F912" s="52"/>
      <c r="G912" s="22"/>
      <c r="H912" s="54"/>
      <c r="I912" s="56"/>
      <c r="J912" s="52"/>
      <c r="K912" s="22"/>
    </row>
    <row r="913" spans="6:11" ht="15.5">
      <c r="F913" s="51"/>
      <c r="G913" s="22"/>
      <c r="H913" s="53"/>
      <c r="I913" s="55"/>
      <c r="J913" s="51"/>
      <c r="K913" s="22"/>
    </row>
    <row r="914" spans="6:11" ht="15.5">
      <c r="F914" s="52"/>
      <c r="G914" s="22"/>
      <c r="H914" s="54"/>
      <c r="I914" s="56"/>
      <c r="J914" s="52"/>
      <c r="K914" s="22"/>
    </row>
    <row r="915" spans="6:11" ht="15.5">
      <c r="F915" s="51"/>
      <c r="G915" s="22"/>
      <c r="H915" s="53"/>
      <c r="I915" s="55"/>
      <c r="J915" s="51"/>
      <c r="K915" s="22"/>
    </row>
    <row r="916" spans="6:11" ht="15.5">
      <c r="F916" s="52"/>
      <c r="G916" s="22"/>
      <c r="H916" s="54"/>
      <c r="I916" s="56"/>
      <c r="J916" s="52"/>
      <c r="K916" s="22"/>
    </row>
    <row r="917" spans="6:11" ht="15.5">
      <c r="F917" s="51"/>
      <c r="G917" s="22"/>
      <c r="H917" s="53"/>
      <c r="I917" s="55"/>
      <c r="J917" s="51"/>
      <c r="K917" s="22"/>
    </row>
    <row r="918" spans="6:11" ht="15.5">
      <c r="F918" s="52"/>
      <c r="G918" s="22"/>
      <c r="H918" s="54"/>
      <c r="I918" s="56"/>
      <c r="J918" s="52"/>
      <c r="K918" s="22"/>
    </row>
    <row r="919" spans="6:11" ht="15.5">
      <c r="F919" s="51"/>
      <c r="G919" s="22"/>
      <c r="H919" s="53"/>
      <c r="I919" s="55"/>
      <c r="J919" s="51"/>
      <c r="K919" s="22"/>
    </row>
    <row r="920" spans="6:11" ht="15.5">
      <c r="F920" s="52"/>
      <c r="G920" s="22"/>
      <c r="H920" s="54"/>
      <c r="I920" s="56"/>
      <c r="J920" s="52"/>
      <c r="K920" s="22"/>
    </row>
    <row r="921" spans="6:11" ht="15.5">
      <c r="F921" s="51"/>
      <c r="G921" s="22"/>
      <c r="H921" s="53"/>
      <c r="I921" s="55"/>
      <c r="J921" s="51"/>
      <c r="K921" s="22"/>
    </row>
    <row r="922" spans="6:11" ht="15.5">
      <c r="F922" s="52"/>
      <c r="G922" s="22"/>
      <c r="H922" s="54"/>
      <c r="I922" s="56"/>
      <c r="J922" s="52"/>
      <c r="K922" s="22"/>
    </row>
    <row r="923" spans="6:11" ht="15.5">
      <c r="F923" s="51"/>
      <c r="G923" s="22"/>
      <c r="H923" s="53"/>
      <c r="I923" s="55"/>
      <c r="J923" s="51"/>
      <c r="K923" s="22"/>
    </row>
    <row r="924" spans="6:11" ht="15.5">
      <c r="F924" s="52"/>
      <c r="G924" s="22"/>
      <c r="H924" s="54"/>
      <c r="I924" s="56"/>
      <c r="J924" s="52"/>
      <c r="K924" s="22"/>
    </row>
    <row r="925" spans="6:11" ht="15.5">
      <c r="F925" s="51"/>
      <c r="G925" s="22"/>
      <c r="H925" s="53"/>
      <c r="I925" s="55"/>
      <c r="J925" s="51"/>
      <c r="K925" s="22"/>
    </row>
    <row r="926" spans="6:11" ht="15.5">
      <c r="F926" s="52"/>
      <c r="G926" s="22"/>
      <c r="H926" s="54"/>
      <c r="I926" s="56"/>
      <c r="J926" s="52"/>
      <c r="K926" s="22"/>
    </row>
    <row r="927" spans="6:11" ht="15.5">
      <c r="F927" s="51"/>
      <c r="G927" s="22"/>
      <c r="H927" s="53"/>
      <c r="I927" s="55"/>
      <c r="J927" s="51"/>
      <c r="K927" s="22"/>
    </row>
    <row r="928" spans="6:11" ht="15.5">
      <c r="F928" s="52"/>
      <c r="G928" s="22"/>
      <c r="H928" s="54"/>
      <c r="I928" s="56"/>
      <c r="J928" s="52"/>
      <c r="K928" s="22"/>
    </row>
    <row r="929" spans="6:11" ht="15.5">
      <c r="F929" s="51"/>
      <c r="G929" s="22"/>
      <c r="H929" s="53"/>
      <c r="I929" s="55"/>
      <c r="J929" s="51"/>
      <c r="K929" s="22"/>
    </row>
    <row r="930" spans="6:11" ht="15.5">
      <c r="F930" s="52"/>
      <c r="G930" s="22"/>
      <c r="H930" s="54"/>
      <c r="I930" s="56"/>
      <c r="J930" s="52"/>
      <c r="K930" s="22"/>
    </row>
    <row r="931" spans="6:11" ht="15.5">
      <c r="F931" s="51"/>
      <c r="G931" s="22"/>
      <c r="H931" s="53"/>
      <c r="I931" s="55"/>
      <c r="J931" s="51"/>
      <c r="K931" s="22"/>
    </row>
    <row r="932" spans="6:11" ht="15.5">
      <c r="F932" s="52"/>
      <c r="G932" s="22"/>
      <c r="H932" s="54"/>
      <c r="I932" s="56"/>
      <c r="J932" s="52"/>
      <c r="K932" s="22"/>
    </row>
    <row r="933" spans="6:11" ht="15.5">
      <c r="F933" s="51"/>
      <c r="G933" s="22"/>
      <c r="H933" s="53"/>
      <c r="I933" s="55"/>
      <c r="J933" s="51"/>
      <c r="K933" s="22"/>
    </row>
    <row r="934" spans="6:11" ht="15.5">
      <c r="F934" s="52"/>
      <c r="G934" s="22"/>
      <c r="H934" s="54"/>
      <c r="I934" s="56"/>
      <c r="J934" s="52"/>
      <c r="K934" s="22"/>
    </row>
    <row r="935" spans="6:11" ht="15.5">
      <c r="F935" s="51"/>
      <c r="G935" s="22"/>
      <c r="H935" s="53"/>
      <c r="I935" s="55"/>
      <c r="J935" s="51"/>
      <c r="K935" s="22"/>
    </row>
    <row r="936" spans="6:11" ht="15.5">
      <c r="F936" s="52"/>
      <c r="G936" s="22"/>
      <c r="H936" s="54"/>
      <c r="I936" s="56"/>
      <c r="J936" s="52"/>
      <c r="K936" s="22"/>
    </row>
    <row r="937" spans="6:11" ht="15.5">
      <c r="F937" s="51"/>
      <c r="G937" s="22"/>
      <c r="H937" s="53"/>
      <c r="I937" s="55"/>
      <c r="J937" s="51"/>
      <c r="K937" s="22"/>
    </row>
    <row r="938" spans="6:11" ht="15.5">
      <c r="F938" s="52"/>
      <c r="G938" s="22"/>
      <c r="H938" s="54"/>
      <c r="I938" s="56"/>
      <c r="J938" s="52"/>
      <c r="K938" s="22"/>
    </row>
    <row r="939" spans="6:11" ht="15.5">
      <c r="F939" s="51"/>
      <c r="G939" s="22"/>
      <c r="H939" s="53"/>
      <c r="I939" s="55"/>
      <c r="J939" s="51"/>
      <c r="K939" s="22"/>
    </row>
    <row r="940" spans="6:11" ht="15.5">
      <c r="F940" s="52"/>
      <c r="G940" s="22"/>
      <c r="H940" s="54"/>
      <c r="I940" s="56"/>
      <c r="J940" s="52"/>
      <c r="K940" s="22"/>
    </row>
    <row r="941" spans="6:11" ht="15.5">
      <c r="F941" s="51"/>
      <c r="G941" s="22"/>
      <c r="H941" s="53"/>
      <c r="I941" s="55"/>
      <c r="J941" s="51"/>
      <c r="K941" s="22"/>
    </row>
    <row r="942" spans="6:11" ht="15.5">
      <c r="F942" s="52"/>
      <c r="G942" s="22"/>
      <c r="H942" s="54"/>
      <c r="I942" s="56"/>
      <c r="J942" s="52"/>
      <c r="K942" s="22"/>
    </row>
    <row r="943" spans="6:11" ht="15.5">
      <c r="F943" s="51"/>
      <c r="G943" s="22"/>
      <c r="H943" s="53"/>
      <c r="I943" s="55"/>
      <c r="J943" s="51"/>
      <c r="K943" s="22"/>
    </row>
    <row r="944" spans="6:11" ht="15.5">
      <c r="F944" s="52"/>
      <c r="G944" s="22"/>
      <c r="H944" s="54"/>
      <c r="I944" s="56"/>
      <c r="J944" s="52"/>
      <c r="K944" s="22"/>
    </row>
    <row r="945" spans="6:11" ht="15.5">
      <c r="F945" s="51"/>
      <c r="G945" s="22"/>
      <c r="H945" s="53"/>
      <c r="I945" s="55"/>
      <c r="J945" s="51"/>
      <c r="K945" s="22"/>
    </row>
    <row r="946" spans="6:11" ht="15.5">
      <c r="F946" s="52"/>
      <c r="G946" s="22"/>
      <c r="H946" s="54"/>
      <c r="I946" s="56"/>
      <c r="J946" s="52"/>
      <c r="K946" s="22"/>
    </row>
    <row r="947" spans="6:11" ht="15.5">
      <c r="F947" s="51"/>
      <c r="G947" s="22"/>
      <c r="H947" s="53"/>
      <c r="I947" s="55"/>
      <c r="J947" s="51"/>
      <c r="K947" s="22"/>
    </row>
    <row r="948" spans="6:11" ht="15.5">
      <c r="F948" s="52"/>
      <c r="G948" s="22"/>
      <c r="H948" s="54"/>
      <c r="I948" s="56"/>
      <c r="J948" s="52"/>
      <c r="K948" s="22"/>
    </row>
    <row r="949" spans="6:11" ht="15.5">
      <c r="F949" s="51"/>
      <c r="G949" s="22"/>
      <c r="H949" s="53"/>
      <c r="I949" s="55"/>
      <c r="J949" s="51"/>
      <c r="K949" s="22"/>
    </row>
    <row r="950" spans="6:11" ht="15.5">
      <c r="F950" s="52"/>
      <c r="G950" s="22"/>
      <c r="H950" s="54"/>
      <c r="I950" s="56"/>
      <c r="J950" s="52"/>
      <c r="K950" s="22"/>
    </row>
    <row r="951" spans="6:11" ht="15.5">
      <c r="F951" s="51"/>
      <c r="G951" s="22"/>
      <c r="H951" s="53"/>
      <c r="I951" s="55"/>
      <c r="J951" s="51"/>
      <c r="K951" s="22"/>
    </row>
    <row r="952" spans="6:11" ht="15.5">
      <c r="F952" s="52"/>
      <c r="G952" s="22"/>
      <c r="H952" s="54"/>
      <c r="I952" s="56"/>
      <c r="J952" s="52"/>
      <c r="K952" s="22"/>
    </row>
    <row r="953" spans="6:11" ht="15.5">
      <c r="F953" s="51"/>
      <c r="G953" s="22"/>
      <c r="H953" s="53"/>
      <c r="I953" s="55"/>
      <c r="J953" s="51"/>
      <c r="K953" s="22"/>
    </row>
    <row r="954" spans="6:11" ht="15.5">
      <c r="F954" s="52"/>
      <c r="G954" s="22"/>
      <c r="H954" s="54"/>
      <c r="I954" s="56"/>
      <c r="J954" s="52"/>
      <c r="K954" s="22"/>
    </row>
    <row r="955" spans="6:11" ht="15.5">
      <c r="F955" s="51"/>
      <c r="G955" s="22"/>
      <c r="H955" s="53"/>
      <c r="I955" s="55"/>
      <c r="J955" s="51"/>
      <c r="K955" s="22"/>
    </row>
    <row r="956" spans="6:11" ht="15.5">
      <c r="F956" s="52"/>
      <c r="G956" s="22"/>
      <c r="H956" s="54"/>
      <c r="I956" s="56"/>
      <c r="J956" s="52"/>
      <c r="K956" s="22"/>
    </row>
    <row r="957" spans="6:11" ht="15.5">
      <c r="F957" s="51"/>
      <c r="G957" s="22"/>
      <c r="H957" s="53"/>
      <c r="I957" s="55"/>
      <c r="J957" s="51"/>
      <c r="K957" s="22"/>
    </row>
    <row r="958" spans="6:11" ht="15.5">
      <c r="F958" s="52"/>
      <c r="G958" s="22"/>
      <c r="H958" s="54"/>
      <c r="I958" s="56"/>
      <c r="J958" s="52"/>
      <c r="K958" s="22"/>
    </row>
    <row r="959" spans="6:11" ht="15.5">
      <c r="F959" s="51"/>
      <c r="G959" s="22"/>
      <c r="H959" s="53"/>
      <c r="I959" s="55"/>
      <c r="J959" s="51"/>
      <c r="K959" s="22"/>
    </row>
    <row r="960" spans="6:11" ht="15.5">
      <c r="F960" s="52"/>
      <c r="G960" s="22"/>
      <c r="H960" s="54"/>
      <c r="I960" s="56"/>
      <c r="J960" s="52"/>
      <c r="K960" s="22"/>
    </row>
    <row r="961" spans="6:11" ht="15.5">
      <c r="F961" s="51"/>
      <c r="G961" s="22"/>
      <c r="H961" s="53"/>
      <c r="I961" s="55"/>
      <c r="J961" s="51"/>
      <c r="K961" s="22"/>
    </row>
    <row r="962" spans="6:11" ht="15.5">
      <c r="F962" s="52"/>
      <c r="G962" s="22"/>
      <c r="H962" s="54"/>
      <c r="I962" s="56"/>
      <c r="J962" s="52"/>
      <c r="K962" s="22"/>
    </row>
    <row r="963" spans="6:11" ht="15.5">
      <c r="F963" s="51"/>
      <c r="G963" s="22"/>
      <c r="H963" s="53"/>
      <c r="I963" s="55"/>
      <c r="J963" s="51"/>
      <c r="K963" s="22"/>
    </row>
    <row r="964" spans="6:11" ht="15.5">
      <c r="F964" s="52"/>
      <c r="G964" s="22"/>
      <c r="H964" s="54"/>
      <c r="I964" s="56"/>
      <c r="J964" s="52"/>
      <c r="K964" s="22"/>
    </row>
    <row r="965" spans="6:11" ht="15.5">
      <c r="F965" s="51"/>
      <c r="G965" s="22"/>
      <c r="H965" s="53"/>
      <c r="I965" s="55"/>
      <c r="J965" s="51"/>
      <c r="K965" s="22"/>
    </row>
    <row r="966" spans="6:11" ht="15.5">
      <c r="F966" s="52"/>
      <c r="G966" s="22"/>
      <c r="H966" s="54"/>
      <c r="I966" s="56"/>
      <c r="J966" s="52"/>
      <c r="K966" s="22"/>
    </row>
    <row r="967" spans="6:11" ht="15.5">
      <c r="F967" s="51"/>
      <c r="G967" s="22"/>
      <c r="H967" s="53"/>
      <c r="I967" s="55"/>
      <c r="J967" s="51"/>
      <c r="K967" s="22"/>
    </row>
    <row r="968" spans="6:11" ht="15.5">
      <c r="F968" s="52"/>
      <c r="G968" s="22"/>
      <c r="H968" s="54"/>
      <c r="I968" s="56"/>
      <c r="J968" s="52"/>
      <c r="K968" s="22"/>
    </row>
    <row r="969" spans="6:11" ht="15.5">
      <c r="F969" s="51"/>
      <c r="G969" s="22"/>
      <c r="H969" s="53"/>
      <c r="I969" s="55"/>
      <c r="J969" s="51"/>
      <c r="K969" s="22"/>
    </row>
    <row r="970" spans="6:11" ht="15.5">
      <c r="F970" s="52"/>
      <c r="G970" s="22"/>
      <c r="H970" s="54"/>
      <c r="I970" s="56"/>
      <c r="J970" s="52"/>
      <c r="K970" s="22"/>
    </row>
    <row r="971" spans="6:11" ht="15.5">
      <c r="F971" s="51"/>
      <c r="G971" s="22"/>
      <c r="H971" s="53"/>
      <c r="I971" s="55"/>
      <c r="J971" s="51"/>
      <c r="K971" s="22"/>
    </row>
    <row r="972" spans="6:11" ht="15.5">
      <c r="F972" s="52"/>
      <c r="G972" s="22"/>
      <c r="H972" s="54"/>
      <c r="I972" s="56"/>
      <c r="J972" s="52"/>
      <c r="K972" s="22"/>
    </row>
    <row r="973" spans="6:11" ht="15.5">
      <c r="F973" s="51"/>
      <c r="G973" s="22"/>
      <c r="H973" s="53"/>
      <c r="I973" s="55"/>
      <c r="J973" s="51"/>
      <c r="K973" s="22"/>
    </row>
    <row r="974" spans="6:11" ht="15.5">
      <c r="F974" s="52"/>
      <c r="G974" s="22"/>
      <c r="H974" s="54"/>
      <c r="I974" s="56"/>
      <c r="J974" s="52"/>
      <c r="K974" s="22"/>
    </row>
    <row r="975" spans="6:11" ht="15.5">
      <c r="F975" s="51"/>
      <c r="G975" s="22"/>
      <c r="H975" s="53"/>
      <c r="I975" s="55"/>
      <c r="J975" s="51"/>
      <c r="K975" s="22"/>
    </row>
    <row r="976" spans="6:11" ht="15.5">
      <c r="F976" s="52"/>
      <c r="G976" s="22"/>
      <c r="H976" s="54"/>
      <c r="I976" s="56"/>
      <c r="J976" s="52"/>
      <c r="K976" s="22"/>
    </row>
    <row r="977" spans="6:11" ht="15.5">
      <c r="F977" s="51"/>
      <c r="G977" s="22"/>
      <c r="H977" s="53"/>
      <c r="I977" s="55"/>
      <c r="J977" s="51"/>
      <c r="K977" s="22"/>
    </row>
    <row r="978" spans="6:11" ht="15.5">
      <c r="F978" s="52"/>
      <c r="G978" s="22"/>
      <c r="H978" s="54"/>
      <c r="I978" s="56"/>
      <c r="J978" s="52"/>
      <c r="K978" s="22"/>
    </row>
    <row r="979" spans="6:11" ht="15.5">
      <c r="F979" s="51"/>
      <c r="G979" s="22"/>
      <c r="H979" s="53"/>
      <c r="I979" s="55"/>
      <c r="J979" s="51"/>
      <c r="K979" s="22"/>
    </row>
    <row r="980" spans="6:11" ht="15.5">
      <c r="F980" s="52"/>
      <c r="G980" s="22"/>
      <c r="H980" s="54"/>
      <c r="I980" s="56"/>
      <c r="J980" s="52"/>
      <c r="K980" s="22"/>
    </row>
    <row r="981" spans="6:11" ht="15.5">
      <c r="F981" s="51"/>
      <c r="G981" s="22"/>
      <c r="H981" s="53"/>
      <c r="I981" s="55"/>
      <c r="J981" s="51"/>
      <c r="K981" s="22"/>
    </row>
    <row r="982" spans="6:11" ht="15.5">
      <c r="F982" s="52"/>
      <c r="G982" s="22"/>
      <c r="H982" s="54"/>
      <c r="I982" s="56"/>
      <c r="J982" s="52"/>
      <c r="K982" s="22"/>
    </row>
    <row r="983" spans="6:11" ht="15.5">
      <c r="F983" s="51"/>
      <c r="G983" s="22"/>
      <c r="H983" s="53"/>
      <c r="I983" s="55"/>
      <c r="J983" s="51"/>
      <c r="K983" s="22"/>
    </row>
    <row r="984" spans="6:11" ht="15.5">
      <c r="F984" s="52"/>
      <c r="G984" s="22"/>
      <c r="H984" s="54"/>
      <c r="I984" s="56"/>
      <c r="J984" s="52"/>
      <c r="K984" s="22"/>
    </row>
    <row r="985" spans="6:11" ht="15.5">
      <c r="F985" s="51"/>
      <c r="G985" s="22"/>
      <c r="H985" s="53"/>
      <c r="I985" s="55"/>
      <c r="J985" s="51"/>
      <c r="K985" s="22"/>
    </row>
    <row r="986" spans="6:11" ht="15.5">
      <c r="F986" s="52"/>
      <c r="G986" s="22"/>
      <c r="H986" s="54"/>
      <c r="I986" s="56"/>
      <c r="J986" s="52"/>
      <c r="K986" s="22"/>
    </row>
    <row r="987" spans="6:11" ht="15.5">
      <c r="F987" s="51"/>
      <c r="G987" s="22"/>
      <c r="H987" s="53"/>
      <c r="I987" s="55"/>
      <c r="J987" s="51"/>
      <c r="K987" s="22"/>
    </row>
    <row r="988" spans="6:11" ht="15.5">
      <c r="F988" s="52"/>
      <c r="G988" s="22"/>
      <c r="H988" s="54"/>
      <c r="I988" s="56"/>
      <c r="J988" s="52"/>
      <c r="K988" s="22"/>
    </row>
    <row r="989" spans="6:11" ht="15.5">
      <c r="F989" s="28"/>
      <c r="G989" s="22"/>
      <c r="H989" s="53"/>
      <c r="I989" s="55"/>
      <c r="J989" s="51"/>
      <c r="K989" s="22"/>
    </row>
    <row r="990" spans="6:11" ht="15.5">
      <c r="F990" s="28"/>
      <c r="G990" s="22"/>
      <c r="H990" s="54"/>
      <c r="I990" s="56"/>
      <c r="J990" s="52"/>
      <c r="K990" s="22"/>
    </row>
    <row r="991" spans="6:11" ht="15.5">
      <c r="F991" s="28"/>
      <c r="G991" s="22"/>
      <c r="H991" s="53"/>
      <c r="I991" s="55"/>
      <c r="J991" s="51"/>
      <c r="K991" s="22"/>
    </row>
    <row r="992" spans="6:11">
      <c r="F992" s="28"/>
      <c r="H992" s="54"/>
      <c r="I992" s="56"/>
      <c r="J992" s="52"/>
    </row>
    <row r="993" spans="6:11" ht="15.5">
      <c r="F993" s="45"/>
      <c r="G993" s="22"/>
      <c r="H993" s="47"/>
      <c r="I993" s="49"/>
      <c r="J993" s="45"/>
      <c r="K993" s="22"/>
    </row>
    <row r="994" spans="6:11" ht="15.5">
      <c r="F994" s="46"/>
      <c r="G994" s="22"/>
      <c r="H994" s="48"/>
      <c r="I994" s="50"/>
      <c r="J994" s="46"/>
      <c r="K994" s="22"/>
    </row>
    <row r="995" spans="6:11" ht="15.5">
      <c r="F995" s="45"/>
      <c r="G995" s="22"/>
      <c r="H995" s="47"/>
      <c r="I995" s="49"/>
      <c r="J995" s="45"/>
      <c r="K995" s="22"/>
    </row>
    <row r="996" spans="6:11" ht="15.5">
      <c r="F996" s="46"/>
      <c r="G996" s="22"/>
      <c r="H996" s="48"/>
      <c r="I996" s="50"/>
      <c r="J996" s="46"/>
      <c r="K996" s="22"/>
    </row>
    <row r="997" spans="6:11" ht="15.5">
      <c r="F997" s="45"/>
      <c r="G997" s="22"/>
      <c r="H997" s="47"/>
      <c r="I997" s="49"/>
      <c r="J997" s="45"/>
      <c r="K997" s="22"/>
    </row>
    <row r="998" spans="6:11" ht="15.5">
      <c r="F998" s="46"/>
      <c r="G998" s="22"/>
      <c r="H998" s="48"/>
      <c r="I998" s="50"/>
      <c r="J998" s="46"/>
      <c r="K998" s="22"/>
    </row>
    <row r="999" spans="6:11" ht="15.5">
      <c r="F999" s="45"/>
      <c r="G999" s="22"/>
      <c r="H999" s="47"/>
      <c r="I999" s="49"/>
      <c r="J999" s="45"/>
      <c r="K999" s="22"/>
    </row>
    <row r="1000" spans="6:11" ht="15.5">
      <c r="F1000" s="46"/>
      <c r="G1000" s="22"/>
      <c r="H1000" s="48"/>
      <c r="I1000" s="50"/>
      <c r="J1000" s="46"/>
      <c r="K1000" s="22"/>
    </row>
    <row r="1001" spans="6:11" ht="15.5">
      <c r="F1001" s="45"/>
      <c r="G1001" s="22"/>
      <c r="H1001" s="47"/>
      <c r="I1001" s="49"/>
      <c r="J1001" s="45"/>
      <c r="K1001" s="22"/>
    </row>
    <row r="1002" spans="6:11" ht="15.5">
      <c r="F1002" s="46"/>
      <c r="G1002" s="22"/>
      <c r="H1002" s="48"/>
      <c r="I1002" s="50"/>
      <c r="J1002" s="46"/>
      <c r="K1002" s="22"/>
    </row>
    <row r="1003" spans="6:11" ht="15.5">
      <c r="F1003" s="45"/>
      <c r="G1003" s="22"/>
      <c r="H1003" s="47"/>
      <c r="I1003" s="49"/>
      <c r="J1003" s="45"/>
      <c r="K1003" s="22"/>
    </row>
    <row r="1004" spans="6:11" ht="15.5">
      <c r="F1004" s="46"/>
      <c r="G1004" s="22"/>
      <c r="H1004" s="48"/>
      <c r="I1004" s="50"/>
      <c r="J1004" s="46"/>
      <c r="K1004" s="22"/>
    </row>
    <row r="1005" spans="6:11" ht="15.5">
      <c r="F1005" s="45"/>
      <c r="G1005" s="22"/>
      <c r="H1005" s="47"/>
      <c r="I1005" s="49"/>
      <c r="J1005" s="45"/>
      <c r="K1005" s="22"/>
    </row>
    <row r="1006" spans="6:11" ht="15.5">
      <c r="F1006" s="46"/>
      <c r="G1006" s="22"/>
      <c r="H1006" s="48"/>
      <c r="I1006" s="50"/>
      <c r="J1006" s="46"/>
      <c r="K1006" s="22"/>
    </row>
    <row r="1007" spans="6:11" ht="15.5">
      <c r="F1007" s="45"/>
      <c r="G1007" s="22"/>
      <c r="H1007" s="47"/>
      <c r="I1007" s="49"/>
      <c r="J1007" s="45"/>
      <c r="K1007" s="22"/>
    </row>
    <row r="1008" spans="6:11" ht="15.5">
      <c r="F1008" s="46"/>
      <c r="G1008" s="22"/>
      <c r="H1008" s="48"/>
      <c r="I1008" s="50"/>
      <c r="J1008" s="46"/>
      <c r="K1008" s="22"/>
    </row>
    <row r="1009" spans="6:11" ht="15.5">
      <c r="F1009" s="45"/>
      <c r="G1009" s="22"/>
      <c r="H1009" s="47"/>
      <c r="I1009" s="49"/>
      <c r="J1009" s="45"/>
      <c r="K1009" s="22"/>
    </row>
    <row r="1010" spans="6:11" ht="15.5">
      <c r="F1010" s="46"/>
      <c r="G1010" s="22"/>
      <c r="H1010" s="48"/>
      <c r="I1010" s="50"/>
      <c r="J1010" s="46"/>
      <c r="K1010" s="22"/>
    </row>
    <row r="1011" spans="6:11" ht="15.5">
      <c r="F1011" s="45"/>
      <c r="G1011" s="22"/>
      <c r="H1011" s="47"/>
      <c r="I1011" s="49"/>
      <c r="J1011" s="45"/>
      <c r="K1011" s="22"/>
    </row>
    <row r="1012" spans="6:11" ht="15.5">
      <c r="F1012" s="46"/>
      <c r="G1012" s="22"/>
      <c r="H1012" s="48"/>
      <c r="I1012" s="50"/>
      <c r="J1012" s="46"/>
      <c r="K1012" s="22"/>
    </row>
    <row r="1013" spans="6:11" ht="15.5">
      <c r="F1013" s="45"/>
      <c r="G1013" s="22"/>
      <c r="H1013" s="47"/>
      <c r="I1013" s="49"/>
      <c r="J1013" s="45"/>
      <c r="K1013" s="22"/>
    </row>
    <row r="1014" spans="6:11" ht="15.5">
      <c r="F1014" s="46"/>
      <c r="G1014" s="22"/>
      <c r="H1014" s="48"/>
      <c r="I1014" s="50"/>
      <c r="J1014" s="46"/>
      <c r="K1014" s="22"/>
    </row>
    <row r="1015" spans="6:11" ht="15.5">
      <c r="F1015" s="45"/>
      <c r="G1015" s="22"/>
      <c r="H1015" s="47"/>
      <c r="I1015" s="49"/>
      <c r="J1015" s="45"/>
      <c r="K1015" s="22"/>
    </row>
    <row r="1016" spans="6:11" ht="15.5">
      <c r="F1016" s="46"/>
      <c r="G1016" s="22"/>
      <c r="H1016" s="48"/>
      <c r="I1016" s="50"/>
      <c r="J1016" s="46"/>
      <c r="K1016" s="22"/>
    </row>
    <row r="1017" spans="6:11" ht="15.5">
      <c r="F1017" s="45"/>
      <c r="G1017" s="22"/>
      <c r="H1017" s="47"/>
      <c r="I1017" s="49"/>
      <c r="J1017" s="45"/>
      <c r="K1017" s="22"/>
    </row>
    <row r="1018" spans="6:11" ht="15.5">
      <c r="F1018" s="46"/>
      <c r="G1018" s="22"/>
      <c r="H1018" s="48"/>
      <c r="I1018" s="50"/>
      <c r="J1018" s="46"/>
      <c r="K1018" s="22"/>
    </row>
    <row r="1019" spans="6:11" ht="15.5">
      <c r="F1019" s="45"/>
      <c r="G1019" s="22"/>
      <c r="H1019" s="47"/>
      <c r="I1019" s="49"/>
      <c r="J1019" s="45"/>
      <c r="K1019" s="22"/>
    </row>
    <row r="1020" spans="6:11" ht="15.5">
      <c r="F1020" s="46"/>
      <c r="G1020" s="22"/>
      <c r="H1020" s="48"/>
      <c r="I1020" s="50"/>
      <c r="J1020" s="46"/>
      <c r="K1020" s="22"/>
    </row>
    <row r="1021" spans="6:11" ht="15.5">
      <c r="F1021" s="45"/>
      <c r="G1021" s="22"/>
      <c r="H1021" s="47"/>
      <c r="I1021" s="49"/>
      <c r="J1021" s="45"/>
      <c r="K1021" s="22"/>
    </row>
    <row r="1022" spans="6:11" ht="15.5">
      <c r="F1022" s="46"/>
      <c r="G1022" s="22"/>
      <c r="H1022" s="48"/>
      <c r="I1022" s="50"/>
      <c r="J1022" s="46"/>
      <c r="K1022" s="22"/>
    </row>
    <row r="1023" spans="6:11" ht="15.5">
      <c r="F1023" s="45"/>
      <c r="G1023" s="22"/>
      <c r="H1023" s="47"/>
      <c r="I1023" s="49"/>
      <c r="J1023" s="45"/>
      <c r="K1023" s="22"/>
    </row>
    <row r="1024" spans="6:11" ht="15.5">
      <c r="F1024" s="46"/>
      <c r="G1024" s="22"/>
      <c r="H1024" s="48"/>
      <c r="I1024" s="50"/>
      <c r="J1024" s="46"/>
      <c r="K1024" s="22"/>
    </row>
    <row r="1025" spans="6:11" ht="15.5">
      <c r="F1025" s="45"/>
      <c r="G1025" s="22"/>
      <c r="H1025" s="47"/>
      <c r="I1025" s="49"/>
      <c r="J1025" s="45"/>
      <c r="K1025" s="22"/>
    </row>
    <row r="1026" spans="6:11" ht="15.5">
      <c r="F1026" s="46"/>
      <c r="G1026" s="22"/>
      <c r="H1026" s="48"/>
      <c r="I1026" s="50"/>
      <c r="J1026" s="46"/>
      <c r="K1026" s="22"/>
    </row>
    <row r="1027" spans="6:11" ht="15.5">
      <c r="F1027" s="45"/>
      <c r="G1027" s="22"/>
      <c r="H1027" s="47"/>
      <c r="I1027" s="49"/>
      <c r="J1027" s="45"/>
      <c r="K1027" s="22"/>
    </row>
    <row r="1028" spans="6:11" ht="15.5">
      <c r="F1028" s="46"/>
      <c r="G1028" s="22"/>
      <c r="H1028" s="48"/>
      <c r="I1028" s="50"/>
      <c r="J1028" s="46"/>
      <c r="K1028" s="22"/>
    </row>
    <row r="1029" spans="6:11" ht="15.5">
      <c r="F1029" s="45"/>
      <c r="G1029" s="22"/>
      <c r="H1029" s="47"/>
      <c r="I1029" s="49"/>
      <c r="J1029" s="45"/>
      <c r="K1029" s="22"/>
    </row>
    <row r="1030" spans="6:11" ht="15.5">
      <c r="F1030" s="46"/>
      <c r="G1030" s="22"/>
      <c r="H1030" s="48"/>
      <c r="I1030" s="50"/>
      <c r="J1030" s="46"/>
      <c r="K1030" s="22"/>
    </row>
    <row r="1031" spans="6:11" ht="15.5">
      <c r="F1031" s="45"/>
      <c r="G1031" s="22"/>
      <c r="H1031" s="47"/>
      <c r="I1031" s="49"/>
      <c r="J1031" s="45"/>
      <c r="K1031" s="22"/>
    </row>
    <row r="1032" spans="6:11" ht="15.5">
      <c r="F1032" s="46"/>
      <c r="G1032" s="22"/>
      <c r="H1032" s="48"/>
      <c r="I1032" s="50"/>
      <c r="J1032" s="46"/>
      <c r="K1032" s="22"/>
    </row>
    <row r="1033" spans="6:11" ht="15.5">
      <c r="F1033" s="45"/>
      <c r="G1033" s="22"/>
      <c r="H1033" s="47"/>
      <c r="I1033" s="49"/>
      <c r="J1033" s="45"/>
      <c r="K1033" s="22"/>
    </row>
    <row r="1034" spans="6:11" ht="15.5">
      <c r="F1034" s="46"/>
      <c r="G1034" s="22"/>
      <c r="H1034" s="48"/>
      <c r="I1034" s="50"/>
      <c r="J1034" s="46"/>
      <c r="K1034" s="22"/>
    </row>
    <row r="1035" spans="6:11" ht="15.5">
      <c r="F1035" s="45"/>
      <c r="G1035" s="22"/>
      <c r="H1035" s="47"/>
      <c r="I1035" s="49"/>
      <c r="J1035" s="45"/>
      <c r="K1035" s="22"/>
    </row>
    <row r="1036" spans="6:11" ht="15.5">
      <c r="F1036" s="46"/>
      <c r="G1036" s="22"/>
      <c r="H1036" s="48"/>
      <c r="I1036" s="50"/>
      <c r="J1036" s="46"/>
      <c r="K1036" s="22"/>
    </row>
    <row r="1037" spans="6:11" ht="15.5">
      <c r="F1037" s="45"/>
      <c r="G1037" s="22"/>
      <c r="H1037" s="47"/>
      <c r="I1037" s="49"/>
      <c r="J1037" s="45"/>
      <c r="K1037" s="22"/>
    </row>
    <row r="1038" spans="6:11" ht="15.5">
      <c r="F1038" s="46"/>
      <c r="G1038" s="22"/>
      <c r="H1038" s="48"/>
      <c r="I1038" s="50"/>
      <c r="J1038" s="46"/>
      <c r="K1038" s="22"/>
    </row>
    <row r="1039" spans="6:11" ht="15.5">
      <c r="F1039" s="45"/>
      <c r="G1039" s="22"/>
      <c r="H1039" s="47"/>
      <c r="I1039" s="49"/>
      <c r="J1039" s="45"/>
      <c r="K1039" s="22"/>
    </row>
    <row r="1040" spans="6:11" ht="15.5">
      <c r="F1040" s="46"/>
      <c r="G1040" s="22"/>
      <c r="H1040" s="48"/>
      <c r="I1040" s="50"/>
      <c r="J1040" s="46"/>
      <c r="K1040" s="22"/>
    </row>
    <row r="1041" spans="6:11" ht="15.5">
      <c r="F1041" s="45"/>
      <c r="G1041" s="22"/>
      <c r="H1041" s="47"/>
      <c r="I1041" s="49"/>
      <c r="J1041" s="45"/>
      <c r="K1041" s="22"/>
    </row>
    <row r="1042" spans="6:11" ht="15.5">
      <c r="F1042" s="46"/>
      <c r="G1042" s="22"/>
      <c r="H1042" s="48"/>
      <c r="I1042" s="50"/>
      <c r="J1042" s="46"/>
      <c r="K1042" s="22"/>
    </row>
    <row r="1043" spans="6:11" ht="15.5">
      <c r="F1043" s="45"/>
      <c r="G1043" s="22"/>
      <c r="H1043" s="47"/>
      <c r="I1043" s="49"/>
      <c r="J1043" s="45"/>
      <c r="K1043" s="22"/>
    </row>
    <row r="1044" spans="6:11" ht="15.5">
      <c r="F1044" s="46"/>
      <c r="G1044" s="22"/>
      <c r="H1044" s="48"/>
      <c r="I1044" s="50"/>
      <c r="J1044" s="46"/>
      <c r="K1044" s="22"/>
    </row>
    <row r="1045" spans="6:11" ht="15.5">
      <c r="F1045" s="45"/>
      <c r="G1045" s="22"/>
      <c r="H1045" s="47"/>
      <c r="I1045" s="49"/>
      <c r="J1045" s="45"/>
      <c r="K1045" s="22"/>
    </row>
    <row r="1046" spans="6:11" ht="15.5">
      <c r="F1046" s="46"/>
      <c r="G1046" s="22"/>
      <c r="H1046" s="48"/>
      <c r="I1046" s="50"/>
      <c r="J1046" s="46"/>
      <c r="K1046" s="22"/>
    </row>
    <row r="1047" spans="6:11" ht="15.5">
      <c r="F1047" s="45"/>
      <c r="G1047" s="22"/>
      <c r="H1047" s="47"/>
      <c r="I1047" s="49"/>
      <c r="J1047" s="45"/>
      <c r="K1047" s="22"/>
    </row>
    <row r="1048" spans="6:11" ht="15.5">
      <c r="F1048" s="46"/>
      <c r="G1048" s="22"/>
      <c r="H1048" s="48"/>
      <c r="I1048" s="50"/>
      <c r="J1048" s="46"/>
      <c r="K1048" s="22"/>
    </row>
    <row r="1049" spans="6:11" ht="15.5">
      <c r="F1049" s="45"/>
      <c r="G1049" s="22"/>
      <c r="H1049" s="47"/>
      <c r="I1049" s="49"/>
      <c r="J1049" s="45"/>
      <c r="K1049" s="22"/>
    </row>
    <row r="1050" spans="6:11" ht="15.5">
      <c r="F1050" s="46"/>
      <c r="G1050" s="22"/>
      <c r="H1050" s="48"/>
      <c r="I1050" s="50"/>
      <c r="J1050" s="46"/>
      <c r="K1050" s="22"/>
    </row>
    <row r="1051" spans="6:11" ht="15.5">
      <c r="F1051" s="45"/>
      <c r="G1051" s="22"/>
      <c r="H1051" s="47"/>
      <c r="I1051" s="49"/>
      <c r="J1051" s="45"/>
      <c r="K1051" s="22"/>
    </row>
    <row r="1052" spans="6:11" ht="15.5">
      <c r="F1052" s="46"/>
      <c r="G1052" s="22"/>
      <c r="H1052" s="48"/>
      <c r="I1052" s="50"/>
      <c r="J1052" s="46"/>
      <c r="K1052" s="22"/>
    </row>
    <row r="1053" spans="6:11" ht="15.5">
      <c r="F1053" s="45"/>
      <c r="G1053" s="22"/>
      <c r="H1053" s="47"/>
      <c r="I1053" s="49"/>
      <c r="J1053" s="45"/>
      <c r="K1053" s="22"/>
    </row>
    <row r="1054" spans="6:11" ht="15.5">
      <c r="F1054" s="46"/>
      <c r="G1054" s="22"/>
      <c r="H1054" s="48"/>
      <c r="I1054" s="50"/>
      <c r="J1054" s="46"/>
      <c r="K1054" s="22"/>
    </row>
    <row r="1055" spans="6:11" ht="15.5">
      <c r="F1055" s="45"/>
      <c r="G1055" s="22"/>
      <c r="H1055" s="47"/>
      <c r="I1055" s="49"/>
      <c r="J1055" s="45"/>
      <c r="K1055" s="22"/>
    </row>
    <row r="1056" spans="6:11" ht="15.5">
      <c r="F1056" s="46"/>
      <c r="G1056" s="22"/>
      <c r="H1056" s="48"/>
      <c r="I1056" s="50"/>
      <c r="J1056" s="46"/>
      <c r="K1056" s="22"/>
    </row>
    <row r="1057" spans="6:11" ht="15.5">
      <c r="F1057" s="45"/>
      <c r="G1057" s="22"/>
      <c r="H1057" s="47"/>
      <c r="I1057" s="49"/>
      <c r="J1057" s="45"/>
      <c r="K1057" s="22"/>
    </row>
    <row r="1058" spans="6:11" ht="15.5">
      <c r="F1058" s="46"/>
      <c r="G1058" s="22"/>
      <c r="H1058" s="48"/>
      <c r="I1058" s="50"/>
      <c r="J1058" s="46"/>
      <c r="K1058" s="22"/>
    </row>
    <row r="1059" spans="6:11" ht="15.5">
      <c r="F1059" s="45"/>
      <c r="G1059" s="22"/>
      <c r="H1059" s="47"/>
      <c r="I1059" s="49"/>
      <c r="J1059" s="45"/>
      <c r="K1059" s="22"/>
    </row>
    <row r="1060" spans="6:11" ht="15.5">
      <c r="F1060" s="46"/>
      <c r="G1060" s="22"/>
      <c r="H1060" s="48"/>
      <c r="I1060" s="50"/>
      <c r="J1060" s="46"/>
      <c r="K1060" s="22"/>
    </row>
    <row r="1061" spans="6:11" ht="15.5">
      <c r="F1061" s="45"/>
      <c r="G1061" s="22"/>
      <c r="H1061" s="47"/>
      <c r="I1061" s="49"/>
      <c r="J1061" s="45"/>
      <c r="K1061" s="22"/>
    </row>
    <row r="1062" spans="6:11" ht="15.5">
      <c r="F1062" s="46"/>
      <c r="G1062" s="22"/>
      <c r="H1062" s="48"/>
      <c r="I1062" s="50"/>
      <c r="J1062" s="46"/>
      <c r="K1062" s="22"/>
    </row>
    <row r="1063" spans="6:11" ht="15.5">
      <c r="F1063" s="45"/>
      <c r="G1063" s="22"/>
      <c r="H1063" s="47"/>
      <c r="I1063" s="49"/>
      <c r="J1063" s="45"/>
      <c r="K1063" s="22"/>
    </row>
    <row r="1064" spans="6:11" ht="15.5">
      <c r="F1064" s="46"/>
      <c r="G1064" s="22"/>
      <c r="H1064" s="48"/>
      <c r="I1064" s="50"/>
      <c r="J1064" s="46"/>
      <c r="K1064" s="22"/>
    </row>
    <row r="1065" spans="6:11" ht="15.5">
      <c r="F1065" s="45"/>
      <c r="G1065" s="22"/>
      <c r="H1065" s="47"/>
      <c r="I1065" s="49"/>
      <c r="J1065" s="45"/>
      <c r="K1065" s="22"/>
    </row>
    <row r="1066" spans="6:11" ht="15.5">
      <c r="F1066" s="46"/>
      <c r="G1066" s="22"/>
      <c r="H1066" s="48"/>
      <c r="I1066" s="50"/>
      <c r="J1066" s="46"/>
      <c r="K1066" s="22"/>
    </row>
    <row r="1067" spans="6:11" ht="15.5">
      <c r="F1067" s="45"/>
      <c r="G1067" s="22"/>
      <c r="H1067" s="47"/>
      <c r="I1067" s="49"/>
      <c r="J1067" s="45"/>
      <c r="K1067" s="22"/>
    </row>
    <row r="1068" spans="6:11" ht="15.5">
      <c r="F1068" s="46"/>
      <c r="G1068" s="22"/>
      <c r="H1068" s="48"/>
      <c r="I1068" s="50"/>
      <c r="J1068" s="46"/>
      <c r="K1068" s="22"/>
    </row>
    <row r="1069" spans="6:11" ht="15.5">
      <c r="F1069" s="45"/>
      <c r="G1069" s="22"/>
      <c r="H1069" s="47"/>
      <c r="I1069" s="49"/>
      <c r="J1069" s="45"/>
      <c r="K1069" s="22"/>
    </row>
    <row r="1070" spans="6:11" ht="15.5">
      <c r="F1070" s="46"/>
      <c r="G1070" s="22"/>
      <c r="H1070" s="48"/>
      <c r="I1070" s="50"/>
      <c r="J1070" s="46"/>
      <c r="K1070" s="22"/>
    </row>
    <row r="1071" spans="6:11" ht="15.5">
      <c r="F1071" s="45"/>
      <c r="G1071" s="22"/>
      <c r="H1071" s="47"/>
      <c r="I1071" s="49"/>
      <c r="J1071" s="45"/>
      <c r="K1071" s="22"/>
    </row>
    <row r="1072" spans="6:11" ht="15.5">
      <c r="F1072" s="46"/>
      <c r="G1072" s="22"/>
      <c r="H1072" s="48"/>
      <c r="I1072" s="50"/>
      <c r="J1072" s="46"/>
      <c r="K1072" s="22"/>
    </row>
    <row r="1073" spans="6:11" ht="15.5">
      <c r="F1073" s="45"/>
      <c r="G1073" s="22"/>
      <c r="H1073" s="47"/>
      <c r="I1073" s="49"/>
      <c r="J1073" s="45"/>
      <c r="K1073" s="22"/>
    </row>
    <row r="1074" spans="6:11" ht="15.5">
      <c r="F1074" s="46"/>
      <c r="G1074" s="22"/>
      <c r="H1074" s="48"/>
      <c r="I1074" s="50"/>
      <c r="J1074" s="46"/>
      <c r="K1074" s="22"/>
    </row>
    <row r="1075" spans="6:11" ht="15.5">
      <c r="F1075" s="45"/>
      <c r="G1075" s="22"/>
      <c r="H1075" s="47"/>
      <c r="I1075" s="49"/>
      <c r="J1075" s="45"/>
      <c r="K1075" s="22"/>
    </row>
    <row r="1076" spans="6:11" ht="15.5">
      <c r="F1076" s="46"/>
      <c r="G1076" s="22"/>
      <c r="H1076" s="48"/>
      <c r="I1076" s="50"/>
      <c r="J1076" s="46"/>
      <c r="K1076" s="22"/>
    </row>
    <row r="1077" spans="6:11" ht="15.5">
      <c r="F1077" s="45"/>
      <c r="G1077" s="22"/>
      <c r="H1077" s="47"/>
      <c r="I1077" s="49"/>
      <c r="J1077" s="45"/>
      <c r="K1077" s="22"/>
    </row>
    <row r="1078" spans="6:11" ht="15.5">
      <c r="F1078" s="46"/>
      <c r="G1078" s="22"/>
      <c r="H1078" s="48"/>
      <c r="I1078" s="50"/>
      <c r="J1078" s="46"/>
      <c r="K1078" s="22"/>
    </row>
    <row r="1079" spans="6:11" ht="15.5">
      <c r="F1079" s="45"/>
      <c r="G1079" s="22"/>
      <c r="H1079" s="47"/>
      <c r="I1079" s="49"/>
      <c r="J1079" s="45"/>
      <c r="K1079" s="22"/>
    </row>
    <row r="1080" spans="6:11" ht="15.5">
      <c r="F1080" s="46"/>
      <c r="G1080" s="22"/>
      <c r="H1080" s="48"/>
      <c r="I1080" s="50"/>
      <c r="J1080" s="46"/>
      <c r="K1080" s="22"/>
    </row>
    <row r="1081" spans="6:11" ht="15.5">
      <c r="F1081" s="45"/>
      <c r="G1081" s="22"/>
      <c r="H1081" s="47"/>
      <c r="I1081" s="49"/>
      <c r="J1081" s="45"/>
      <c r="K1081" s="22"/>
    </row>
    <row r="1082" spans="6:11" ht="15.5">
      <c r="F1082" s="46"/>
      <c r="G1082" s="22"/>
      <c r="H1082" s="48"/>
      <c r="I1082" s="50"/>
      <c r="J1082" s="46"/>
      <c r="K1082" s="22"/>
    </row>
    <row r="1083" spans="6:11" ht="15.5">
      <c r="F1083" s="45"/>
      <c r="G1083" s="22"/>
      <c r="H1083" s="47"/>
      <c r="I1083" s="49"/>
      <c r="J1083" s="45"/>
      <c r="K1083" s="22"/>
    </row>
    <row r="1084" spans="6:11" ht="15.5">
      <c r="F1084" s="46"/>
      <c r="G1084" s="22"/>
      <c r="H1084" s="48"/>
      <c r="I1084" s="50"/>
      <c r="J1084" s="46"/>
      <c r="K1084" s="22"/>
    </row>
    <row r="1085" spans="6:11" ht="15.5">
      <c r="F1085" s="45"/>
      <c r="G1085" s="22"/>
      <c r="H1085" s="47"/>
      <c r="I1085" s="49"/>
      <c r="J1085" s="45"/>
      <c r="K1085" s="22"/>
    </row>
    <row r="1086" spans="6:11" ht="15.5">
      <c r="F1086" s="46"/>
      <c r="G1086" s="22"/>
      <c r="H1086" s="48"/>
      <c r="I1086" s="50"/>
      <c r="J1086" s="46"/>
      <c r="K1086" s="22"/>
    </row>
    <row r="1087" spans="6:11" ht="15.5">
      <c r="F1087" s="45"/>
      <c r="G1087" s="22"/>
      <c r="H1087" s="47"/>
      <c r="I1087" s="49"/>
      <c r="J1087" s="45"/>
      <c r="K1087" s="22"/>
    </row>
    <row r="1088" spans="6:11" ht="15.5">
      <c r="F1088" s="46"/>
      <c r="G1088" s="22"/>
      <c r="H1088" s="48"/>
      <c r="I1088" s="50"/>
      <c r="J1088" s="46"/>
      <c r="K1088" s="22"/>
    </row>
    <row r="1089" spans="6:11" ht="15.5">
      <c r="F1089" s="45"/>
      <c r="G1089" s="22"/>
      <c r="H1089" s="47"/>
      <c r="I1089" s="49"/>
      <c r="J1089" s="45"/>
      <c r="K1089" s="22"/>
    </row>
    <row r="1090" spans="6:11" ht="15.5">
      <c r="F1090" s="46"/>
      <c r="G1090" s="22"/>
      <c r="H1090" s="48"/>
      <c r="I1090" s="50"/>
      <c r="J1090" s="46"/>
      <c r="K1090" s="22"/>
    </row>
    <row r="1091" spans="6:11" ht="15.5">
      <c r="F1091" s="45"/>
      <c r="G1091" s="22"/>
      <c r="H1091" s="47"/>
      <c r="I1091" s="49"/>
      <c r="J1091" s="45"/>
      <c r="K1091" s="22"/>
    </row>
    <row r="1092" spans="6:11" ht="15.5">
      <c r="F1092" s="46"/>
      <c r="G1092" s="22"/>
      <c r="H1092" s="48"/>
      <c r="I1092" s="50"/>
      <c r="J1092" s="46"/>
      <c r="K1092" s="22"/>
    </row>
    <row r="1093" spans="6:11" ht="15.5">
      <c r="F1093" s="45"/>
      <c r="G1093" s="22"/>
      <c r="H1093" s="47"/>
      <c r="I1093" s="49"/>
      <c r="J1093" s="45"/>
      <c r="K1093" s="22"/>
    </row>
    <row r="1094" spans="6:11" ht="15.5">
      <c r="F1094" s="46"/>
      <c r="G1094" s="22"/>
      <c r="H1094" s="48"/>
      <c r="I1094" s="50"/>
      <c r="J1094" s="46"/>
      <c r="K1094" s="22"/>
    </row>
    <row r="1095" spans="6:11" ht="15.5">
      <c r="F1095" s="45"/>
      <c r="G1095" s="22"/>
      <c r="H1095" s="47"/>
      <c r="I1095" s="49"/>
      <c r="J1095" s="45"/>
      <c r="K1095" s="22"/>
    </row>
    <row r="1096" spans="6:11" ht="15.5">
      <c r="F1096" s="46"/>
      <c r="G1096" s="22"/>
      <c r="H1096" s="48"/>
      <c r="I1096" s="50"/>
      <c r="J1096" s="46"/>
      <c r="K1096" s="22"/>
    </row>
    <row r="1097" spans="6:11" ht="15.5">
      <c r="F1097" s="45"/>
      <c r="G1097" s="22"/>
      <c r="H1097" s="47"/>
      <c r="I1097" s="49"/>
      <c r="J1097" s="45"/>
      <c r="K1097" s="22"/>
    </row>
    <row r="1098" spans="6:11" ht="15.5">
      <c r="F1098" s="46"/>
      <c r="G1098" s="22"/>
      <c r="H1098" s="48"/>
      <c r="I1098" s="50"/>
      <c r="J1098" s="46"/>
      <c r="K1098" s="22"/>
    </row>
    <row r="1099" spans="6:11" ht="15.5">
      <c r="F1099" s="45"/>
      <c r="G1099" s="22"/>
      <c r="H1099" s="47"/>
      <c r="I1099" s="49"/>
      <c r="J1099" s="45"/>
      <c r="K1099" s="22"/>
    </row>
    <row r="1100" spans="6:11" ht="15.5">
      <c r="F1100" s="46"/>
      <c r="G1100" s="22"/>
      <c r="H1100" s="48"/>
      <c r="I1100" s="50"/>
      <c r="J1100" s="46"/>
      <c r="K1100" s="22"/>
    </row>
    <row r="1101" spans="6:11" ht="15.5">
      <c r="F1101" s="45"/>
      <c r="G1101" s="22"/>
      <c r="H1101" s="47"/>
      <c r="I1101" s="49"/>
      <c r="J1101" s="45"/>
      <c r="K1101" s="22"/>
    </row>
    <row r="1102" spans="6:11" ht="15.5">
      <c r="F1102" s="46"/>
      <c r="G1102" s="22"/>
      <c r="H1102" s="48"/>
      <c r="I1102" s="50"/>
      <c r="J1102" s="46"/>
      <c r="K1102" s="22"/>
    </row>
    <row r="1103" spans="6:11" ht="15.5">
      <c r="F1103" s="45"/>
      <c r="G1103" s="22"/>
      <c r="H1103" s="47"/>
      <c r="I1103" s="49"/>
      <c r="J1103" s="45"/>
      <c r="K1103" s="22"/>
    </row>
    <row r="1104" spans="6:11" ht="15.5">
      <c r="F1104" s="46"/>
      <c r="G1104" s="22"/>
      <c r="H1104" s="48"/>
      <c r="I1104" s="50"/>
      <c r="J1104" s="46"/>
      <c r="K1104" s="22"/>
    </row>
    <row r="1105" spans="6:11" ht="15.5">
      <c r="F1105" s="45"/>
      <c r="G1105" s="22"/>
      <c r="H1105" s="47"/>
      <c r="I1105" s="49"/>
      <c r="J1105" s="45"/>
      <c r="K1105" s="22"/>
    </row>
    <row r="1106" spans="6:11" ht="15.5">
      <c r="F1106" s="46"/>
      <c r="G1106" s="22"/>
      <c r="H1106" s="48"/>
      <c r="I1106" s="50"/>
      <c r="J1106" s="46"/>
      <c r="K1106" s="22"/>
    </row>
    <row r="1107" spans="6:11" ht="15.5">
      <c r="F1107" s="45"/>
      <c r="G1107" s="22"/>
      <c r="H1107" s="47"/>
      <c r="I1107" s="49"/>
      <c r="J1107" s="45"/>
      <c r="K1107" s="22"/>
    </row>
    <row r="1108" spans="6:11" ht="15.5">
      <c r="F1108" s="46"/>
      <c r="G1108" s="22"/>
      <c r="H1108" s="48"/>
      <c r="I1108" s="50"/>
      <c r="J1108" s="46"/>
      <c r="K1108" s="22"/>
    </row>
    <row r="1109" spans="6:11" ht="15.5">
      <c r="F1109" s="51"/>
      <c r="G1109" s="22"/>
      <c r="H1109" s="53"/>
      <c r="I1109" s="55"/>
      <c r="J1109" s="51"/>
      <c r="K1109" s="22"/>
    </row>
    <row r="1110" spans="6:11" ht="15.5">
      <c r="F1110" s="52"/>
      <c r="G1110" s="22"/>
      <c r="H1110" s="54"/>
      <c r="I1110" s="56"/>
      <c r="J1110" s="52"/>
      <c r="K1110" s="22"/>
    </row>
    <row r="1111" spans="6:11" ht="15.5">
      <c r="F1111" s="45"/>
      <c r="G1111" s="22"/>
      <c r="H1111" s="47"/>
      <c r="I1111" s="49"/>
      <c r="J1111" s="45"/>
      <c r="K1111" s="22"/>
    </row>
    <row r="1112" spans="6:11" ht="15.5">
      <c r="F1112" s="46"/>
      <c r="G1112" s="22"/>
      <c r="H1112" s="48"/>
      <c r="I1112" s="50"/>
      <c r="J1112" s="46"/>
      <c r="K1112" s="22"/>
    </row>
    <row r="1113" spans="6:11" ht="15.5">
      <c r="F1113" s="45"/>
      <c r="G1113" s="22"/>
      <c r="H1113" s="47"/>
      <c r="I1113" s="49"/>
      <c r="J1113" s="45"/>
      <c r="K1113" s="22"/>
    </row>
    <row r="1114" spans="6:11" ht="15.5">
      <c r="F1114" s="46"/>
      <c r="G1114" s="22"/>
      <c r="H1114" s="48"/>
      <c r="I1114" s="50"/>
      <c r="J1114" s="46"/>
      <c r="K1114" s="22"/>
    </row>
    <row r="1115" spans="6:11" ht="15.5">
      <c r="F1115" s="45"/>
      <c r="G1115" s="22"/>
      <c r="H1115" s="47"/>
      <c r="I1115" s="49"/>
      <c r="J1115" s="45"/>
      <c r="K1115" s="22"/>
    </row>
    <row r="1116" spans="6:11" ht="15.5">
      <c r="F1116" s="46"/>
      <c r="G1116" s="22"/>
      <c r="H1116" s="48"/>
      <c r="I1116" s="50"/>
      <c r="J1116" s="46"/>
      <c r="K1116" s="22"/>
    </row>
    <row r="1117" spans="6:11" ht="15.5">
      <c r="F1117" s="45"/>
      <c r="G1117" s="22"/>
      <c r="H1117" s="47"/>
      <c r="I1117" s="49"/>
      <c r="J1117" s="45"/>
      <c r="K1117" s="22"/>
    </row>
    <row r="1118" spans="6:11" ht="15.5">
      <c r="F1118" s="46"/>
      <c r="G1118" s="22"/>
      <c r="H1118" s="48"/>
      <c r="I1118" s="50"/>
      <c r="J1118" s="46"/>
      <c r="K1118" s="22"/>
    </row>
    <row r="1119" spans="6:11" ht="15.5">
      <c r="F1119" s="45"/>
      <c r="G1119" s="22"/>
      <c r="H1119" s="47"/>
      <c r="I1119" s="49"/>
      <c r="J1119" s="45"/>
      <c r="K1119" s="22"/>
    </row>
    <row r="1120" spans="6:11" ht="15.5">
      <c r="F1120" s="46"/>
      <c r="G1120" s="22"/>
      <c r="H1120" s="48"/>
      <c r="I1120" s="50"/>
      <c r="J1120" s="46"/>
      <c r="K1120" s="22"/>
    </row>
    <row r="1121" spans="6:11" ht="15.5">
      <c r="F1121" s="45"/>
      <c r="G1121" s="22"/>
      <c r="H1121" s="47"/>
      <c r="I1121" s="49"/>
      <c r="J1121" s="45"/>
      <c r="K1121" s="22"/>
    </row>
    <row r="1122" spans="6:11" ht="15.5">
      <c r="F1122" s="46"/>
      <c r="G1122" s="22"/>
      <c r="H1122" s="48"/>
      <c r="I1122" s="50"/>
      <c r="J1122" s="46"/>
      <c r="K1122" s="22"/>
    </row>
    <row r="1123" spans="6:11" ht="15.5">
      <c r="F1123" s="45"/>
      <c r="G1123" s="22"/>
      <c r="H1123" s="47"/>
      <c r="I1123" s="49"/>
      <c r="J1123" s="45"/>
      <c r="K1123" s="22"/>
    </row>
    <row r="1124" spans="6:11" ht="15.5">
      <c r="F1124" s="46"/>
      <c r="G1124" s="22"/>
      <c r="H1124" s="48"/>
      <c r="I1124" s="50"/>
      <c r="J1124" s="46"/>
      <c r="K1124" s="22"/>
    </row>
    <row r="1125" spans="6:11" ht="15.5">
      <c r="F1125" s="45"/>
      <c r="G1125" s="22"/>
      <c r="H1125" s="47"/>
      <c r="I1125" s="49"/>
      <c r="J1125" s="45"/>
      <c r="K1125" s="22"/>
    </row>
    <row r="1126" spans="6:11" ht="15.5">
      <c r="F1126" s="46"/>
      <c r="G1126" s="22"/>
      <c r="H1126" s="48"/>
      <c r="I1126" s="50"/>
      <c r="J1126" s="46"/>
      <c r="K1126" s="22"/>
    </row>
    <row r="1127" spans="6:11" ht="15.5">
      <c r="F1127" s="45"/>
      <c r="G1127" s="22"/>
      <c r="H1127" s="47"/>
      <c r="I1127" s="49"/>
      <c r="J1127" s="45"/>
      <c r="K1127" s="22"/>
    </row>
    <row r="1128" spans="6:11" ht="15.5">
      <c r="F1128" s="46"/>
      <c r="G1128" s="22"/>
      <c r="H1128" s="48"/>
      <c r="I1128" s="50"/>
      <c r="J1128" s="46"/>
      <c r="K1128" s="22"/>
    </row>
    <row r="1129" spans="6:11" ht="15.5">
      <c r="F1129" s="45"/>
      <c r="G1129" s="22"/>
      <c r="H1129" s="47"/>
      <c r="I1129" s="49"/>
      <c r="J1129" s="45"/>
      <c r="K1129" s="22"/>
    </row>
    <row r="1130" spans="6:11" ht="15.5">
      <c r="F1130" s="46"/>
      <c r="G1130" s="22"/>
      <c r="H1130" s="48"/>
      <c r="I1130" s="50"/>
      <c r="J1130" s="46"/>
      <c r="K1130" s="22"/>
    </row>
    <row r="1131" spans="6:11" ht="15.5">
      <c r="F1131" s="45"/>
      <c r="G1131" s="22"/>
      <c r="H1131" s="47"/>
      <c r="I1131" s="49"/>
      <c r="J1131" s="45"/>
      <c r="K1131" s="22"/>
    </row>
    <row r="1132" spans="6:11" ht="15.5">
      <c r="F1132" s="46"/>
      <c r="G1132" s="22"/>
      <c r="H1132" s="48"/>
      <c r="I1132" s="50"/>
      <c r="J1132" s="46"/>
      <c r="K1132" s="22"/>
    </row>
    <row r="1133" spans="6:11" ht="15.5">
      <c r="F1133" s="45"/>
      <c r="G1133" s="22"/>
      <c r="H1133" s="47"/>
      <c r="I1133" s="49"/>
      <c r="J1133" s="45"/>
      <c r="K1133" s="22"/>
    </row>
    <row r="1134" spans="6:11" ht="15.5">
      <c r="F1134" s="46"/>
      <c r="G1134" s="22"/>
      <c r="H1134" s="48"/>
      <c r="I1134" s="50"/>
      <c r="J1134" s="46"/>
      <c r="K1134" s="22"/>
    </row>
    <row r="1135" spans="6:11" ht="15.5">
      <c r="F1135" s="45"/>
      <c r="G1135" s="22"/>
      <c r="H1135" s="47"/>
      <c r="I1135" s="49"/>
      <c r="J1135" s="45"/>
      <c r="K1135" s="22"/>
    </row>
    <row r="1136" spans="6:11" ht="15.5">
      <c r="F1136" s="46"/>
      <c r="G1136" s="22"/>
      <c r="H1136" s="48"/>
      <c r="I1136" s="50"/>
      <c r="J1136" s="46"/>
      <c r="K1136" s="22"/>
    </row>
    <row r="1137" spans="6:11" ht="15.5">
      <c r="F1137" s="45"/>
      <c r="G1137" s="22"/>
      <c r="H1137" s="47"/>
      <c r="I1137" s="49"/>
      <c r="J1137" s="45"/>
      <c r="K1137" s="22"/>
    </row>
    <row r="1138" spans="6:11" ht="15.5">
      <c r="F1138" s="46"/>
      <c r="G1138" s="22"/>
      <c r="H1138" s="48"/>
      <c r="I1138" s="50"/>
      <c r="J1138" s="46"/>
      <c r="K1138" s="22"/>
    </row>
    <row r="1139" spans="6:11" ht="15.5">
      <c r="F1139" s="45"/>
      <c r="G1139" s="22"/>
      <c r="H1139" s="47"/>
      <c r="I1139" s="49"/>
      <c r="J1139" s="45"/>
      <c r="K1139" s="22"/>
    </row>
    <row r="1140" spans="6:11" ht="15.5">
      <c r="F1140" s="46"/>
      <c r="G1140" s="22"/>
      <c r="H1140" s="48"/>
      <c r="I1140" s="50"/>
      <c r="J1140" s="46"/>
      <c r="K1140" s="22"/>
    </row>
    <row r="1141" spans="6:11" ht="15.5">
      <c r="F1141" s="45"/>
      <c r="G1141" s="22"/>
      <c r="H1141" s="47"/>
      <c r="I1141" s="49"/>
      <c r="J1141" s="45"/>
      <c r="K1141" s="22"/>
    </row>
    <row r="1142" spans="6:11" ht="15.5">
      <c r="F1142" s="46"/>
      <c r="G1142" s="22"/>
      <c r="H1142" s="48"/>
      <c r="I1142" s="50"/>
      <c r="J1142" s="46"/>
      <c r="K1142" s="22"/>
    </row>
    <row r="1143" spans="6:11" ht="15.5">
      <c r="F1143" s="45"/>
      <c r="G1143" s="22"/>
      <c r="H1143" s="47"/>
      <c r="I1143" s="49"/>
      <c r="J1143" s="45"/>
      <c r="K1143" s="22"/>
    </row>
    <row r="1144" spans="6:11" ht="15.5">
      <c r="F1144" s="46"/>
      <c r="G1144" s="22"/>
      <c r="H1144" s="48"/>
      <c r="I1144" s="50"/>
      <c r="J1144" s="46"/>
      <c r="K1144" s="22"/>
    </row>
    <row r="1145" spans="6:11" ht="15.5">
      <c r="F1145" s="45"/>
      <c r="G1145" s="22"/>
      <c r="H1145" s="47"/>
      <c r="I1145" s="49"/>
      <c r="J1145" s="45"/>
      <c r="K1145" s="22"/>
    </row>
    <row r="1146" spans="6:11" ht="15.5">
      <c r="F1146" s="46"/>
      <c r="G1146" s="22"/>
      <c r="H1146" s="48"/>
      <c r="I1146" s="50"/>
      <c r="J1146" s="46"/>
      <c r="K1146" s="22"/>
    </row>
    <row r="1147" spans="6:11" ht="15.5">
      <c r="F1147" s="45"/>
      <c r="G1147" s="22"/>
      <c r="H1147" s="47"/>
      <c r="I1147" s="49"/>
      <c r="J1147" s="45"/>
      <c r="K1147" s="22"/>
    </row>
    <row r="1148" spans="6:11" ht="15.5">
      <c r="F1148" s="46"/>
      <c r="G1148" s="22"/>
      <c r="H1148" s="48"/>
      <c r="I1148" s="50"/>
      <c r="J1148" s="46"/>
      <c r="K1148" s="22"/>
    </row>
    <row r="1149" spans="6:11" ht="15.5">
      <c r="F1149" s="45"/>
      <c r="G1149" s="22"/>
      <c r="H1149" s="47"/>
      <c r="I1149" s="49"/>
      <c r="J1149" s="45"/>
      <c r="K1149" s="22"/>
    </row>
    <row r="1150" spans="6:11" ht="15.5">
      <c r="F1150" s="46"/>
      <c r="G1150" s="22"/>
      <c r="H1150" s="48"/>
      <c r="I1150" s="50"/>
      <c r="J1150" s="46"/>
      <c r="K1150" s="22"/>
    </row>
    <row r="1151" spans="6:11" ht="15.5">
      <c r="F1151" s="45"/>
      <c r="G1151" s="22"/>
      <c r="H1151" s="47"/>
      <c r="I1151" s="49"/>
      <c r="J1151" s="45"/>
      <c r="K1151" s="22"/>
    </row>
    <row r="1152" spans="6:11" ht="15.5">
      <c r="F1152" s="46"/>
      <c r="G1152" s="22"/>
      <c r="H1152" s="48"/>
      <c r="I1152" s="50"/>
      <c r="J1152" s="46"/>
      <c r="K1152" s="22"/>
    </row>
    <row r="1153" spans="6:11" ht="15.5">
      <c r="F1153" s="45"/>
      <c r="G1153" s="22"/>
      <c r="H1153" s="47"/>
      <c r="I1153" s="49"/>
      <c r="J1153" s="45"/>
      <c r="K1153" s="22"/>
    </row>
    <row r="1154" spans="6:11" ht="15.5">
      <c r="F1154" s="46"/>
      <c r="G1154" s="22"/>
      <c r="H1154" s="48"/>
      <c r="I1154" s="50"/>
      <c r="J1154" s="46"/>
      <c r="K1154" s="22"/>
    </row>
    <row r="1155" spans="6:11" ht="15.5">
      <c r="F1155" s="45"/>
      <c r="G1155" s="22"/>
      <c r="H1155" s="47"/>
      <c r="I1155" s="49"/>
      <c r="J1155" s="45"/>
      <c r="K1155" s="22"/>
    </row>
    <row r="1156" spans="6:11" ht="15.5">
      <c r="F1156" s="46"/>
      <c r="G1156" s="22"/>
      <c r="H1156" s="48"/>
      <c r="I1156" s="50"/>
      <c r="J1156" s="46"/>
      <c r="K1156" s="22"/>
    </row>
    <row r="1157" spans="6:11" ht="15.5">
      <c r="F1157" s="45"/>
      <c r="G1157" s="22"/>
      <c r="H1157" s="47"/>
      <c r="I1157" s="49"/>
      <c r="J1157" s="45"/>
      <c r="K1157" s="22"/>
    </row>
    <row r="1158" spans="6:11" ht="15.5">
      <c r="F1158" s="46"/>
      <c r="G1158" s="22"/>
      <c r="H1158" s="48"/>
      <c r="I1158" s="50"/>
      <c r="J1158" s="46"/>
      <c r="K1158" s="22"/>
    </row>
    <row r="1159" spans="6:11" ht="15.5">
      <c r="F1159" s="45"/>
      <c r="G1159" s="22"/>
      <c r="H1159" s="47"/>
      <c r="I1159" s="49"/>
      <c r="J1159" s="45"/>
      <c r="K1159" s="22"/>
    </row>
    <row r="1160" spans="6:11" ht="15.5">
      <c r="F1160" s="46"/>
      <c r="G1160" s="22"/>
      <c r="H1160" s="48"/>
      <c r="I1160" s="50"/>
      <c r="J1160" s="46"/>
      <c r="K1160" s="22"/>
    </row>
    <row r="1161" spans="6:11" ht="15.5">
      <c r="F1161" s="45"/>
      <c r="G1161" s="22"/>
      <c r="H1161" s="47"/>
      <c r="I1161" s="49"/>
      <c r="J1161" s="45"/>
      <c r="K1161" s="22"/>
    </row>
    <row r="1162" spans="6:11" ht="15.5">
      <c r="F1162" s="46"/>
      <c r="G1162" s="22"/>
      <c r="H1162" s="48"/>
      <c r="I1162" s="50"/>
      <c r="J1162" s="46"/>
      <c r="K1162" s="22"/>
    </row>
    <row r="1163" spans="6:11" ht="15.5">
      <c r="F1163" s="45"/>
      <c r="G1163" s="22"/>
      <c r="H1163" s="47"/>
      <c r="I1163" s="49"/>
      <c r="J1163" s="45"/>
      <c r="K1163" s="22"/>
    </row>
    <row r="1164" spans="6:11" ht="15.5">
      <c r="F1164" s="46"/>
      <c r="G1164" s="22"/>
      <c r="H1164" s="48"/>
      <c r="I1164" s="50"/>
      <c r="J1164" s="46"/>
      <c r="K1164" s="22"/>
    </row>
    <row r="1165" spans="6:11" ht="15.5">
      <c r="F1165" s="45"/>
      <c r="G1165" s="22"/>
      <c r="H1165" s="47"/>
      <c r="I1165" s="49"/>
      <c r="J1165" s="45"/>
      <c r="K1165" s="22"/>
    </row>
    <row r="1166" spans="6:11" ht="15.5">
      <c r="F1166" s="46"/>
      <c r="G1166" s="22"/>
      <c r="H1166" s="48"/>
      <c r="I1166" s="50"/>
      <c r="J1166" s="46"/>
      <c r="K1166" s="22"/>
    </row>
    <row r="1167" spans="6:11" ht="15.5">
      <c r="F1167" s="23"/>
      <c r="G1167" s="22"/>
      <c r="H1167" s="24"/>
      <c r="I1167" s="25"/>
      <c r="J1167" s="23"/>
      <c r="K1167" s="22"/>
    </row>
    <row r="1168" spans="6:11" ht="15.5">
      <c r="F1168" s="45"/>
      <c r="G1168" s="22"/>
      <c r="H1168" s="47"/>
      <c r="I1168" s="49"/>
      <c r="J1168" s="45"/>
      <c r="K1168" s="22"/>
    </row>
    <row r="1169" spans="6:11" ht="15.5">
      <c r="F1169" s="46"/>
      <c r="G1169" s="22"/>
      <c r="H1169" s="48"/>
      <c r="I1169" s="50"/>
      <c r="J1169" s="46"/>
      <c r="K1169" s="22"/>
    </row>
    <row r="1170" spans="6:11" ht="15.5">
      <c r="F1170" s="45"/>
      <c r="G1170" s="22"/>
      <c r="H1170" s="47"/>
      <c r="I1170" s="49"/>
      <c r="J1170" s="45"/>
      <c r="K1170" s="22"/>
    </row>
    <row r="1171" spans="6:11" ht="15.5">
      <c r="F1171" s="46"/>
      <c r="G1171" s="22"/>
      <c r="H1171" s="48"/>
      <c r="I1171" s="50"/>
      <c r="J1171" s="46"/>
      <c r="K1171" s="22"/>
    </row>
    <row r="1172" spans="6:11" ht="15.5">
      <c r="F1172" s="45"/>
      <c r="G1172" s="22"/>
      <c r="H1172" s="47"/>
      <c r="I1172" s="49"/>
      <c r="J1172" s="45"/>
      <c r="K1172" s="22"/>
    </row>
    <row r="1173" spans="6:11" ht="15.5">
      <c r="F1173" s="46"/>
      <c r="G1173" s="22"/>
      <c r="H1173" s="48"/>
      <c r="I1173" s="50"/>
      <c r="J1173" s="46"/>
      <c r="K1173" s="22"/>
    </row>
    <row r="1174" spans="6:11" ht="15.5">
      <c r="F1174" s="45"/>
      <c r="G1174" s="22"/>
      <c r="H1174" s="47"/>
      <c r="I1174" s="49"/>
      <c r="J1174" s="45"/>
      <c r="K1174" s="22"/>
    </row>
    <row r="1175" spans="6:11" ht="15.5">
      <c r="F1175" s="46"/>
      <c r="G1175" s="22"/>
      <c r="H1175" s="48"/>
      <c r="I1175" s="50"/>
      <c r="J1175" s="46"/>
      <c r="K1175" s="22"/>
    </row>
    <row r="1176" spans="6:11" ht="15.5">
      <c r="F1176" s="45"/>
      <c r="G1176" s="22"/>
      <c r="H1176" s="47"/>
      <c r="I1176" s="49"/>
      <c r="J1176" s="45"/>
      <c r="K1176" s="22"/>
    </row>
    <row r="1177" spans="6:11" ht="15.5">
      <c r="F1177" s="46"/>
      <c r="G1177" s="22"/>
      <c r="H1177" s="48"/>
      <c r="I1177" s="50"/>
      <c r="J1177" s="46"/>
      <c r="K1177" s="22"/>
    </row>
    <row r="1178" spans="6:11" ht="15.5">
      <c r="F1178" s="45"/>
      <c r="G1178" s="22"/>
      <c r="H1178" s="47"/>
      <c r="I1178" s="49"/>
      <c r="J1178" s="45"/>
      <c r="K1178" s="22"/>
    </row>
    <row r="1179" spans="6:11" ht="15.5">
      <c r="F1179" s="46"/>
      <c r="G1179" s="22"/>
      <c r="H1179" s="48"/>
      <c r="I1179" s="50"/>
      <c r="J1179" s="46"/>
      <c r="K1179" s="22"/>
    </row>
    <row r="1180" spans="6:11" ht="15.5">
      <c r="F1180" s="45"/>
      <c r="G1180" s="22"/>
      <c r="H1180" s="47"/>
      <c r="I1180" s="49"/>
      <c r="J1180" s="45"/>
      <c r="K1180" s="22"/>
    </row>
    <row r="1181" spans="6:11" ht="15.5">
      <c r="F1181" s="46"/>
      <c r="G1181" s="22"/>
      <c r="H1181" s="48"/>
      <c r="I1181" s="50"/>
      <c r="J1181" s="46"/>
      <c r="K1181" s="22"/>
    </row>
    <row r="1182" spans="6:11" ht="15.5">
      <c r="F1182" s="45"/>
      <c r="G1182" s="22"/>
      <c r="H1182" s="47"/>
      <c r="I1182" s="49"/>
      <c r="J1182" s="45"/>
      <c r="K1182" s="22"/>
    </row>
    <row r="1183" spans="6:11" ht="15.5">
      <c r="F1183" s="46"/>
      <c r="G1183" s="22"/>
      <c r="H1183" s="48"/>
      <c r="I1183" s="50"/>
      <c r="J1183" s="46"/>
      <c r="K1183" s="22"/>
    </row>
    <row r="1184" spans="6:11" ht="15.5">
      <c r="F1184" s="45"/>
      <c r="G1184" s="22"/>
      <c r="H1184" s="47"/>
      <c r="I1184" s="49"/>
      <c r="J1184" s="45"/>
      <c r="K1184" s="22"/>
    </row>
    <row r="1185" spans="6:11" ht="15.5">
      <c r="F1185" s="46"/>
      <c r="G1185" s="22"/>
      <c r="H1185" s="48"/>
      <c r="I1185" s="50"/>
      <c r="J1185" s="46"/>
      <c r="K1185" s="22"/>
    </row>
    <row r="1186" spans="6:11" ht="15.5">
      <c r="F1186" s="45"/>
      <c r="G1186" s="22"/>
      <c r="H1186" s="47"/>
      <c r="I1186" s="49"/>
      <c r="J1186" s="45"/>
      <c r="K1186" s="22"/>
    </row>
    <row r="1187" spans="6:11" ht="15.5">
      <c r="F1187" s="46"/>
      <c r="G1187" s="22"/>
      <c r="H1187" s="48"/>
      <c r="I1187" s="50"/>
      <c r="J1187" s="46"/>
      <c r="K1187" s="22"/>
    </row>
    <row r="1188" spans="6:11" ht="15.5">
      <c r="F1188" s="45"/>
      <c r="G1188" s="22"/>
      <c r="H1188" s="47"/>
      <c r="I1188" s="49"/>
      <c r="J1188" s="45"/>
      <c r="K1188" s="22"/>
    </row>
    <row r="1189" spans="6:11" ht="15.5">
      <c r="F1189" s="46"/>
      <c r="G1189" s="22"/>
      <c r="H1189" s="48"/>
      <c r="I1189" s="50"/>
      <c r="J1189" s="46"/>
      <c r="K1189" s="22"/>
    </row>
    <row r="1190" spans="6:11" ht="15.5">
      <c r="F1190" s="45"/>
      <c r="G1190" s="22"/>
      <c r="H1190" s="47"/>
      <c r="I1190" s="49"/>
      <c r="J1190" s="45"/>
      <c r="K1190" s="22"/>
    </row>
    <row r="1191" spans="6:11" ht="15.5">
      <c r="F1191" s="46"/>
      <c r="G1191" s="22"/>
      <c r="H1191" s="48"/>
      <c r="I1191" s="50"/>
      <c r="J1191" s="46"/>
      <c r="K1191" s="22"/>
    </row>
    <row r="1192" spans="6:11" ht="15.5">
      <c r="F1192" s="45"/>
      <c r="G1192" s="22"/>
      <c r="H1192" s="47"/>
      <c r="I1192" s="49"/>
      <c r="J1192" s="45"/>
      <c r="K1192" s="22"/>
    </row>
    <row r="1193" spans="6:11" ht="15.5">
      <c r="F1193" s="46"/>
      <c r="G1193" s="22"/>
      <c r="H1193" s="48"/>
      <c r="I1193" s="50"/>
      <c r="J1193" s="46"/>
      <c r="K1193" s="22"/>
    </row>
    <row r="1194" spans="6:11" ht="15.5">
      <c r="F1194" s="45"/>
      <c r="G1194" s="22"/>
      <c r="H1194" s="47"/>
      <c r="I1194" s="49"/>
      <c r="J1194" s="45"/>
      <c r="K1194" s="22"/>
    </row>
    <row r="1195" spans="6:11" ht="15.5">
      <c r="F1195" s="46"/>
      <c r="G1195" s="22"/>
      <c r="H1195" s="48"/>
      <c r="I1195" s="50"/>
      <c r="J1195" s="46"/>
      <c r="K1195" s="22"/>
    </row>
    <row r="1196" spans="6:11" ht="15.5">
      <c r="F1196" s="45"/>
      <c r="G1196" s="22"/>
      <c r="H1196" s="47"/>
      <c r="I1196" s="49"/>
      <c r="J1196" s="45"/>
      <c r="K1196" s="22"/>
    </row>
    <row r="1197" spans="6:11" ht="15.5">
      <c r="F1197" s="46"/>
      <c r="G1197" s="22"/>
      <c r="H1197" s="48"/>
      <c r="I1197" s="50"/>
      <c r="J1197" s="46"/>
      <c r="K1197" s="22"/>
    </row>
    <row r="1198" spans="6:11" ht="15.5">
      <c r="F1198" s="45"/>
      <c r="G1198" s="22"/>
      <c r="H1198" s="47"/>
      <c r="I1198" s="49"/>
      <c r="J1198" s="45"/>
      <c r="K1198" s="22"/>
    </row>
    <row r="1199" spans="6:11" ht="15.5">
      <c r="F1199" s="46"/>
      <c r="G1199" s="22"/>
      <c r="H1199" s="48"/>
      <c r="I1199" s="50"/>
      <c r="J1199" s="46"/>
      <c r="K1199" s="22"/>
    </row>
    <row r="1200" spans="6:11" ht="15.5">
      <c r="F1200" s="45"/>
      <c r="G1200" s="22"/>
      <c r="H1200" s="47"/>
      <c r="I1200" s="49"/>
      <c r="J1200" s="45"/>
      <c r="K1200" s="22"/>
    </row>
    <row r="1201" spans="6:11" ht="15.5">
      <c r="F1201" s="46"/>
      <c r="G1201" s="22"/>
      <c r="H1201" s="48"/>
      <c r="I1201" s="50"/>
      <c r="J1201" s="46"/>
      <c r="K1201" s="22"/>
    </row>
    <row r="1202" spans="6:11" ht="15.5">
      <c r="F1202" s="45"/>
      <c r="G1202" s="22"/>
      <c r="H1202" s="47"/>
      <c r="I1202" s="49"/>
      <c r="J1202" s="45"/>
      <c r="K1202" s="22"/>
    </row>
    <row r="1203" spans="6:11" ht="15.5">
      <c r="F1203" s="46"/>
      <c r="G1203" s="22"/>
      <c r="H1203" s="48"/>
      <c r="I1203" s="50"/>
      <c r="J1203" s="46"/>
      <c r="K1203" s="22"/>
    </row>
    <row r="1204" spans="6:11" ht="15.5">
      <c r="F1204" s="45"/>
      <c r="G1204" s="22"/>
      <c r="H1204" s="47"/>
      <c r="I1204" s="49"/>
      <c r="J1204" s="45"/>
      <c r="K1204" s="22"/>
    </row>
    <row r="1205" spans="6:11" ht="15.5">
      <c r="F1205" s="46"/>
      <c r="G1205" s="22"/>
      <c r="H1205" s="48"/>
      <c r="I1205" s="50"/>
      <c r="J1205" s="46"/>
      <c r="K1205" s="22"/>
    </row>
    <row r="1206" spans="6:11" ht="15.5">
      <c r="F1206" s="45"/>
      <c r="G1206" s="22"/>
      <c r="H1206" s="47"/>
      <c r="I1206" s="49"/>
      <c r="J1206" s="45"/>
      <c r="K1206" s="22"/>
    </row>
    <row r="1207" spans="6:11" ht="15.5">
      <c r="F1207" s="46"/>
      <c r="G1207" s="22"/>
      <c r="H1207" s="48"/>
      <c r="I1207" s="50"/>
      <c r="J1207" s="46"/>
      <c r="K1207" s="22"/>
    </row>
    <row r="1208" spans="6:11" ht="15.5">
      <c r="F1208" s="45"/>
      <c r="G1208" s="22"/>
      <c r="H1208" s="47"/>
      <c r="I1208" s="49"/>
      <c r="J1208" s="45"/>
      <c r="K1208" s="22"/>
    </row>
    <row r="1209" spans="6:11" ht="15.5">
      <c r="F1209" s="46"/>
      <c r="G1209" s="22"/>
      <c r="H1209" s="48"/>
      <c r="I1209" s="50"/>
      <c r="J1209" s="46"/>
      <c r="K1209" s="22"/>
    </row>
    <row r="1210" spans="6:11" ht="15.5">
      <c r="F1210" s="45"/>
      <c r="G1210" s="22"/>
      <c r="H1210" s="47"/>
      <c r="I1210" s="49"/>
      <c r="J1210" s="45"/>
      <c r="K1210" s="22"/>
    </row>
    <row r="1211" spans="6:11" ht="15.5">
      <c r="F1211" s="46"/>
      <c r="G1211" s="22"/>
      <c r="H1211" s="48"/>
      <c r="I1211" s="50"/>
      <c r="J1211" s="46"/>
      <c r="K1211" s="22"/>
    </row>
    <row r="1212" spans="6:11" ht="15.5">
      <c r="F1212" s="45"/>
      <c r="G1212" s="22"/>
      <c r="H1212" s="47"/>
      <c r="I1212" s="49"/>
      <c r="J1212" s="45"/>
      <c r="K1212" s="22"/>
    </row>
    <row r="1213" spans="6:11" ht="15.5">
      <c r="F1213" s="46"/>
      <c r="G1213" s="22"/>
      <c r="H1213" s="48"/>
      <c r="I1213" s="50"/>
      <c r="J1213" s="46"/>
      <c r="K1213" s="22"/>
    </row>
    <row r="1214" spans="6:11" ht="15.5">
      <c r="F1214" s="45"/>
      <c r="G1214" s="22"/>
      <c r="H1214" s="47"/>
      <c r="I1214" s="49"/>
      <c r="J1214" s="45"/>
      <c r="K1214" s="22"/>
    </row>
    <row r="1215" spans="6:11" ht="15.5">
      <c r="F1215" s="46"/>
      <c r="G1215" s="22"/>
      <c r="H1215" s="48"/>
      <c r="I1215" s="50"/>
      <c r="J1215" s="46"/>
      <c r="K1215" s="22"/>
    </row>
    <row r="1216" spans="6:11" ht="15.5">
      <c r="F1216" s="45"/>
      <c r="G1216" s="22"/>
      <c r="H1216" s="47"/>
      <c r="I1216" s="49"/>
      <c r="J1216" s="45"/>
      <c r="K1216" s="22"/>
    </row>
    <row r="1217" spans="6:11" ht="15.5">
      <c r="F1217" s="46"/>
      <c r="G1217" s="22"/>
      <c r="H1217" s="48"/>
      <c r="I1217" s="50"/>
      <c r="J1217" s="46"/>
      <c r="K1217" s="22"/>
    </row>
    <row r="1218" spans="6:11" ht="15.5">
      <c r="F1218" s="45"/>
      <c r="G1218" s="22"/>
      <c r="H1218" s="47"/>
      <c r="I1218" s="49"/>
      <c r="J1218" s="45"/>
      <c r="K1218" s="22"/>
    </row>
    <row r="1219" spans="6:11" ht="15.5">
      <c r="F1219" s="46"/>
      <c r="G1219" s="22"/>
      <c r="H1219" s="48"/>
      <c r="I1219" s="50"/>
      <c r="J1219" s="46"/>
      <c r="K1219" s="22"/>
    </row>
    <row r="1220" spans="6:11" ht="15.5">
      <c r="F1220" s="45"/>
      <c r="G1220" s="22"/>
      <c r="H1220" s="47"/>
      <c r="I1220" s="49"/>
      <c r="J1220" s="45"/>
      <c r="K1220" s="22"/>
    </row>
    <row r="1221" spans="6:11" ht="15.5">
      <c r="F1221" s="46"/>
      <c r="G1221" s="22"/>
      <c r="H1221" s="48"/>
      <c r="I1221" s="50"/>
      <c r="J1221" s="46"/>
      <c r="K1221" s="22"/>
    </row>
    <row r="1222" spans="6:11" ht="15.5">
      <c r="F1222" s="45"/>
      <c r="G1222" s="22"/>
      <c r="H1222" s="47"/>
      <c r="I1222" s="49"/>
      <c r="J1222" s="45"/>
      <c r="K1222" s="22"/>
    </row>
    <row r="1223" spans="6:11" ht="15.5">
      <c r="F1223" s="46"/>
      <c r="G1223" s="22"/>
      <c r="H1223" s="48"/>
      <c r="I1223" s="50"/>
      <c r="J1223" s="46"/>
      <c r="K1223" s="22"/>
    </row>
    <row r="1224" spans="6:11" ht="15.5">
      <c r="F1224" s="45"/>
      <c r="G1224" s="22"/>
      <c r="H1224" s="47"/>
      <c r="I1224" s="49"/>
      <c r="J1224" s="45"/>
      <c r="K1224" s="22"/>
    </row>
    <row r="1225" spans="6:11" ht="15.5">
      <c r="F1225" s="46"/>
      <c r="G1225" s="22"/>
      <c r="H1225" s="48"/>
      <c r="I1225" s="50"/>
      <c r="J1225" s="46"/>
      <c r="K1225" s="22"/>
    </row>
    <row r="1226" spans="6:11" ht="15.5">
      <c r="F1226" s="45"/>
      <c r="G1226" s="22"/>
      <c r="H1226" s="47"/>
      <c r="I1226" s="49"/>
      <c r="J1226" s="45"/>
      <c r="K1226" s="22"/>
    </row>
    <row r="1227" spans="6:11" ht="15.5">
      <c r="F1227" s="46"/>
      <c r="G1227" s="22"/>
      <c r="H1227" s="48"/>
      <c r="I1227" s="50"/>
      <c r="J1227" s="46"/>
      <c r="K1227" s="22"/>
    </row>
    <row r="1228" spans="6:11" ht="15.5">
      <c r="F1228" s="45"/>
      <c r="G1228" s="22"/>
      <c r="H1228" s="47"/>
      <c r="I1228" s="49"/>
      <c r="J1228" s="45"/>
      <c r="K1228" s="22"/>
    </row>
    <row r="1229" spans="6:11" ht="15.5">
      <c r="F1229" s="46"/>
      <c r="G1229" s="22"/>
      <c r="H1229" s="48"/>
      <c r="I1229" s="50"/>
      <c r="J1229" s="46"/>
      <c r="K1229" s="22"/>
    </row>
    <row r="1230" spans="6:11" ht="15.5">
      <c r="F1230" s="45"/>
      <c r="G1230" s="22"/>
      <c r="H1230" s="47"/>
      <c r="I1230" s="49"/>
      <c r="J1230" s="45"/>
      <c r="K1230" s="22"/>
    </row>
    <row r="1231" spans="6:11" ht="15.5">
      <c r="F1231" s="46"/>
      <c r="G1231" s="22"/>
      <c r="H1231" s="48"/>
      <c r="I1231" s="50"/>
      <c r="J1231" s="46"/>
      <c r="K1231" s="22"/>
    </row>
    <row r="1232" spans="6:11" ht="15.5">
      <c r="F1232" s="45"/>
      <c r="G1232" s="22"/>
      <c r="H1232" s="47"/>
      <c r="I1232" s="49"/>
      <c r="J1232" s="45"/>
      <c r="K1232" s="22"/>
    </row>
    <row r="1233" spans="6:11" ht="15.5">
      <c r="F1233" s="46"/>
      <c r="G1233" s="22"/>
      <c r="H1233" s="48"/>
      <c r="I1233" s="50"/>
      <c r="J1233" s="46"/>
      <c r="K1233" s="22"/>
    </row>
    <row r="1234" spans="6:11" ht="15.5">
      <c r="F1234" s="45"/>
      <c r="G1234" s="22"/>
      <c r="H1234" s="47"/>
      <c r="I1234" s="49"/>
      <c r="J1234" s="45"/>
      <c r="K1234" s="22"/>
    </row>
    <row r="1235" spans="6:11" ht="15.5">
      <c r="F1235" s="46"/>
      <c r="G1235" s="22"/>
      <c r="H1235" s="48"/>
      <c r="I1235" s="50"/>
      <c r="J1235" s="46"/>
      <c r="K1235" s="22"/>
    </row>
    <row r="1236" spans="6:11" ht="15.5">
      <c r="F1236" s="45"/>
      <c r="G1236" s="22"/>
      <c r="H1236" s="47"/>
      <c r="I1236" s="49"/>
      <c r="J1236" s="45"/>
      <c r="K1236" s="22"/>
    </row>
    <row r="1237" spans="6:11" ht="15.5">
      <c r="F1237" s="46"/>
      <c r="G1237" s="22"/>
      <c r="H1237" s="48"/>
      <c r="I1237" s="50"/>
      <c r="J1237" s="46"/>
      <c r="K1237" s="22"/>
    </row>
    <row r="1238" spans="6:11" ht="15.5">
      <c r="F1238" s="45"/>
      <c r="G1238" s="22"/>
      <c r="H1238" s="47"/>
      <c r="I1238" s="49"/>
      <c r="J1238" s="45"/>
      <c r="K1238" s="22"/>
    </row>
    <row r="1239" spans="6:11" ht="15.5">
      <c r="F1239" s="46"/>
      <c r="G1239" s="22"/>
      <c r="H1239" s="48"/>
      <c r="I1239" s="50"/>
      <c r="J1239" s="46"/>
      <c r="K1239" s="22"/>
    </row>
    <row r="1240" spans="6:11" ht="15.5">
      <c r="F1240" s="45"/>
      <c r="G1240" s="22"/>
      <c r="H1240" s="47"/>
      <c r="I1240" s="49"/>
      <c r="J1240" s="45"/>
      <c r="K1240" s="22"/>
    </row>
    <row r="1241" spans="6:11" ht="15.5">
      <c r="F1241" s="46"/>
      <c r="G1241" s="22"/>
      <c r="H1241" s="48"/>
      <c r="I1241" s="50"/>
      <c r="J1241" s="46"/>
      <c r="K1241" s="22"/>
    </row>
    <row r="1242" spans="6:11" ht="15.5">
      <c r="F1242" s="45"/>
      <c r="G1242" s="22"/>
      <c r="H1242" s="47"/>
      <c r="I1242" s="49"/>
      <c r="J1242" s="45"/>
      <c r="K1242" s="22"/>
    </row>
    <row r="1243" spans="6:11" ht="15.5">
      <c r="F1243" s="46"/>
      <c r="G1243" s="22"/>
      <c r="H1243" s="48"/>
      <c r="I1243" s="50"/>
      <c r="J1243" s="46"/>
      <c r="K1243" s="22"/>
    </row>
    <row r="1244" spans="6:11" ht="15.5">
      <c r="F1244" s="45"/>
      <c r="G1244" s="22"/>
      <c r="H1244" s="47"/>
      <c r="I1244" s="49"/>
      <c r="J1244" s="45"/>
      <c r="K1244" s="22"/>
    </row>
    <row r="1245" spans="6:11" ht="15.5">
      <c r="F1245" s="46"/>
      <c r="G1245" s="22"/>
      <c r="H1245" s="48"/>
      <c r="I1245" s="50"/>
      <c r="J1245" s="46"/>
      <c r="K1245" s="22"/>
    </row>
    <row r="1246" spans="6:11" ht="15.5">
      <c r="F1246" s="45"/>
      <c r="G1246" s="22"/>
      <c r="H1246" s="47"/>
      <c r="I1246" s="49"/>
      <c r="J1246" s="45"/>
      <c r="K1246" s="22"/>
    </row>
    <row r="1247" spans="6:11" ht="15.5">
      <c r="F1247" s="46"/>
      <c r="G1247" s="22"/>
      <c r="H1247" s="48"/>
      <c r="I1247" s="50"/>
      <c r="J1247" s="46"/>
      <c r="K1247" s="22"/>
    </row>
    <row r="1248" spans="6:11" ht="15.5">
      <c r="F1248" s="45"/>
      <c r="G1248" s="22"/>
      <c r="H1248" s="47"/>
      <c r="I1248" s="49"/>
      <c r="J1248" s="45"/>
      <c r="K1248" s="22"/>
    </row>
    <row r="1249" spans="6:11" ht="15.5">
      <c r="F1249" s="46"/>
      <c r="G1249" s="22"/>
      <c r="H1249" s="48"/>
      <c r="I1249" s="50"/>
      <c r="J1249" s="46"/>
      <c r="K1249" s="22"/>
    </row>
    <row r="1250" spans="6:11" ht="15.5">
      <c r="F1250" s="45"/>
      <c r="G1250" s="22"/>
      <c r="H1250" s="47"/>
      <c r="I1250" s="49"/>
      <c r="J1250" s="45"/>
      <c r="K1250" s="22"/>
    </row>
    <row r="1251" spans="6:11" ht="15.5">
      <c r="F1251" s="46"/>
      <c r="G1251" s="22"/>
      <c r="H1251" s="48"/>
      <c r="I1251" s="50"/>
      <c r="J1251" s="46"/>
      <c r="K1251" s="22"/>
    </row>
    <row r="1252" spans="6:11" ht="15.5">
      <c r="F1252" s="45"/>
      <c r="G1252" s="22"/>
      <c r="H1252" s="47"/>
      <c r="I1252" s="49"/>
      <c r="J1252" s="45"/>
      <c r="K1252" s="22"/>
    </row>
    <row r="1253" spans="6:11" ht="15.5">
      <c r="F1253" s="46"/>
      <c r="G1253" s="22"/>
      <c r="H1253" s="48"/>
      <c r="I1253" s="50"/>
      <c r="J1253" s="46"/>
      <c r="K1253" s="22"/>
    </row>
    <row r="1254" spans="6:11" ht="15.5">
      <c r="F1254" s="45"/>
      <c r="G1254" s="22"/>
      <c r="H1254" s="47"/>
      <c r="I1254" s="49"/>
      <c r="J1254" s="45"/>
      <c r="K1254" s="22"/>
    </row>
    <row r="1255" spans="6:11" ht="15.5">
      <c r="F1255" s="46"/>
      <c r="G1255" s="22"/>
      <c r="H1255" s="48"/>
      <c r="I1255" s="50"/>
      <c r="J1255" s="46"/>
      <c r="K1255" s="22"/>
    </row>
    <row r="1256" spans="6:11" ht="15.5">
      <c r="F1256" s="45"/>
      <c r="G1256" s="22"/>
      <c r="H1256" s="47"/>
      <c r="I1256" s="49"/>
      <c r="J1256" s="45"/>
      <c r="K1256" s="22"/>
    </row>
    <row r="1257" spans="6:11" ht="15.5">
      <c r="F1257" s="46"/>
      <c r="G1257" s="22"/>
      <c r="H1257" s="48"/>
      <c r="I1257" s="50"/>
      <c r="J1257" s="46"/>
      <c r="K1257" s="22"/>
    </row>
    <row r="1258" spans="6:11" ht="15.5">
      <c r="F1258" s="45"/>
      <c r="G1258" s="22"/>
      <c r="H1258" s="47"/>
      <c r="I1258" s="49"/>
      <c r="J1258" s="45"/>
      <c r="K1258" s="22"/>
    </row>
    <row r="1259" spans="6:11" ht="15.5">
      <c r="F1259" s="46"/>
      <c r="G1259" s="22"/>
      <c r="H1259" s="48"/>
      <c r="I1259" s="50"/>
      <c r="J1259" s="46"/>
      <c r="K1259" s="22"/>
    </row>
    <row r="1260" spans="6:11" ht="15.5">
      <c r="F1260" s="45"/>
      <c r="G1260" s="22"/>
      <c r="H1260" s="47"/>
      <c r="I1260" s="49"/>
      <c r="J1260" s="45"/>
      <c r="K1260" s="22"/>
    </row>
    <row r="1261" spans="6:11" ht="15.5">
      <c r="F1261" s="46"/>
      <c r="G1261" s="22"/>
      <c r="H1261" s="48"/>
      <c r="I1261" s="50"/>
      <c r="J1261" s="46"/>
      <c r="K1261" s="22"/>
    </row>
    <row r="1262" spans="6:11" ht="15.5">
      <c r="F1262" s="45"/>
      <c r="G1262" s="22"/>
      <c r="H1262" s="47"/>
      <c r="I1262" s="49"/>
      <c r="J1262" s="45"/>
      <c r="K1262" s="22"/>
    </row>
    <row r="1263" spans="6:11" ht="15.5">
      <c r="F1263" s="46"/>
      <c r="G1263" s="22"/>
      <c r="H1263" s="48"/>
      <c r="I1263" s="50"/>
      <c r="J1263" s="46"/>
      <c r="K1263" s="22"/>
    </row>
    <row r="1264" spans="6:11" ht="15.5">
      <c r="F1264" s="45"/>
      <c r="G1264" s="22"/>
      <c r="H1264" s="47"/>
      <c r="I1264" s="49"/>
      <c r="J1264" s="45"/>
      <c r="K1264" s="22"/>
    </row>
    <row r="1265" spans="6:11" ht="15.5">
      <c r="F1265" s="46"/>
      <c r="G1265" s="22"/>
      <c r="H1265" s="48"/>
      <c r="I1265" s="50"/>
      <c r="J1265" s="46"/>
      <c r="K1265" s="22"/>
    </row>
    <row r="1266" spans="6:11" ht="15.5">
      <c r="F1266" s="45"/>
      <c r="G1266" s="22"/>
      <c r="H1266" s="47"/>
      <c r="I1266" s="49"/>
      <c r="J1266" s="45"/>
      <c r="K1266" s="22"/>
    </row>
    <row r="1267" spans="6:11" ht="15.5">
      <c r="F1267" s="46"/>
      <c r="G1267" s="22"/>
      <c r="H1267" s="48"/>
      <c r="I1267" s="50"/>
      <c r="J1267" s="46"/>
      <c r="K1267" s="22"/>
    </row>
    <row r="1268" spans="6:11" ht="15.5">
      <c r="F1268" s="45"/>
      <c r="G1268" s="22"/>
      <c r="H1268" s="47"/>
      <c r="I1268" s="49"/>
      <c r="J1268" s="45"/>
      <c r="K1268" s="22"/>
    </row>
    <row r="1269" spans="6:11" ht="15.5">
      <c r="F1269" s="46"/>
      <c r="G1269" s="22"/>
      <c r="H1269" s="48"/>
      <c r="I1269" s="50"/>
      <c r="J1269" s="46"/>
      <c r="K1269" s="22"/>
    </row>
    <row r="1270" spans="6:11" ht="15.5">
      <c r="F1270" s="45"/>
      <c r="G1270" s="22"/>
      <c r="H1270" s="47"/>
      <c r="I1270" s="49"/>
      <c r="J1270" s="45"/>
      <c r="K1270" s="22"/>
    </row>
    <row r="1271" spans="6:11" ht="15.5">
      <c r="F1271" s="46"/>
      <c r="G1271" s="22"/>
      <c r="H1271" s="48"/>
      <c r="I1271" s="50"/>
      <c r="J1271" s="46"/>
      <c r="K1271" s="22"/>
    </row>
    <row r="1272" spans="6:11" ht="15.5">
      <c r="F1272" s="45"/>
      <c r="G1272" s="22"/>
      <c r="H1272" s="47"/>
      <c r="I1272" s="49"/>
      <c r="J1272" s="45"/>
      <c r="K1272" s="22"/>
    </row>
    <row r="1273" spans="6:11" ht="15.5">
      <c r="F1273" s="46"/>
      <c r="G1273" s="22"/>
      <c r="H1273" s="48"/>
      <c r="I1273" s="50"/>
      <c r="J1273" s="46"/>
      <c r="K1273" s="22"/>
    </row>
    <row r="1274" spans="6:11" ht="15.5">
      <c r="F1274" s="45"/>
      <c r="G1274" s="22"/>
      <c r="H1274" s="47"/>
      <c r="I1274" s="49"/>
      <c r="J1274" s="45"/>
      <c r="K1274" s="22"/>
    </row>
    <row r="1275" spans="6:11" ht="15.5">
      <c r="F1275" s="46"/>
      <c r="G1275" s="22"/>
      <c r="H1275" s="48"/>
      <c r="I1275" s="50"/>
      <c r="J1275" s="46"/>
      <c r="K1275" s="22"/>
    </row>
    <row r="1276" spans="6:11" ht="15.5">
      <c r="F1276" s="45"/>
      <c r="G1276" s="22"/>
      <c r="H1276" s="47"/>
      <c r="I1276" s="49"/>
      <c r="J1276" s="45"/>
      <c r="K1276" s="22"/>
    </row>
    <row r="1277" spans="6:11" ht="15.5">
      <c r="F1277" s="46"/>
      <c r="G1277" s="22"/>
      <c r="H1277" s="48"/>
      <c r="I1277" s="50"/>
      <c r="J1277" s="46"/>
      <c r="K1277" s="22"/>
    </row>
    <row r="1278" spans="6:11" ht="15.5">
      <c r="F1278" s="45"/>
      <c r="G1278" s="22"/>
      <c r="H1278" s="47"/>
      <c r="I1278" s="49"/>
      <c r="J1278" s="45"/>
      <c r="K1278" s="22"/>
    </row>
    <row r="1279" spans="6:11" ht="15.5">
      <c r="F1279" s="46"/>
      <c r="G1279" s="22"/>
      <c r="H1279" s="48"/>
      <c r="I1279" s="50"/>
      <c r="J1279" s="46"/>
      <c r="K1279" s="22"/>
    </row>
    <row r="1280" spans="6:11" ht="15.5">
      <c r="F1280" s="45"/>
      <c r="G1280" s="22"/>
      <c r="H1280" s="47"/>
      <c r="I1280" s="49"/>
      <c r="J1280" s="45"/>
      <c r="K1280" s="22"/>
    </row>
    <row r="1281" spans="6:11" ht="15.5">
      <c r="F1281" s="46"/>
      <c r="G1281" s="22"/>
      <c r="H1281" s="48"/>
      <c r="I1281" s="50"/>
      <c r="J1281" s="46"/>
      <c r="K1281" s="22"/>
    </row>
    <row r="1282" spans="6:11" ht="15.5">
      <c r="F1282" s="45"/>
      <c r="G1282" s="22"/>
      <c r="H1282" s="47"/>
      <c r="I1282" s="49"/>
      <c r="J1282" s="45"/>
      <c r="K1282" s="22"/>
    </row>
    <row r="1283" spans="6:11" ht="15.5">
      <c r="F1283" s="46"/>
      <c r="G1283" s="22"/>
      <c r="H1283" s="48"/>
      <c r="I1283" s="50"/>
      <c r="J1283" s="46"/>
      <c r="K1283" s="22"/>
    </row>
  </sheetData>
  <mergeCells count="2959">
    <mergeCell ref="B2:B51"/>
    <mergeCell ref="C2:C11"/>
    <mergeCell ref="D2:D3"/>
    <mergeCell ref="E2:E3"/>
    <mergeCell ref="F2:F3"/>
    <mergeCell ref="H2:H3"/>
    <mergeCell ref="D6:D7"/>
    <mergeCell ref="E6:E7"/>
    <mergeCell ref="F6:F7"/>
    <mergeCell ref="H6:H7"/>
    <mergeCell ref="D10:D11"/>
    <mergeCell ref="E10:E11"/>
    <mergeCell ref="F10:F11"/>
    <mergeCell ref="H10:H11"/>
    <mergeCell ref="I10:I11"/>
    <mergeCell ref="J10:J11"/>
    <mergeCell ref="I6:I7"/>
    <mergeCell ref="J6:J7"/>
    <mergeCell ref="D8:D9"/>
    <mergeCell ref="E8:E9"/>
    <mergeCell ref="F8:F9"/>
    <mergeCell ref="H8:H9"/>
    <mergeCell ref="I8:I9"/>
    <mergeCell ref="J8:J9"/>
    <mergeCell ref="I2:I3"/>
    <mergeCell ref="J2:J3"/>
    <mergeCell ref="D4:D5"/>
    <mergeCell ref="E4:E5"/>
    <mergeCell ref="F4:F5"/>
    <mergeCell ref="H4:H5"/>
    <mergeCell ref="I4:I5"/>
    <mergeCell ref="J4:J5"/>
    <mergeCell ref="J12:J13"/>
    <mergeCell ref="D14:D15"/>
    <mergeCell ref="E14:E15"/>
    <mergeCell ref="F14:F15"/>
    <mergeCell ref="H14:H15"/>
    <mergeCell ref="I14:I15"/>
    <mergeCell ref="J14:J15"/>
    <mergeCell ref="C12:C21"/>
    <mergeCell ref="D12:D13"/>
    <mergeCell ref="E12:E13"/>
    <mergeCell ref="F12:F13"/>
    <mergeCell ref="H12:H13"/>
    <mergeCell ref="I12:I13"/>
    <mergeCell ref="D16:D17"/>
    <mergeCell ref="E16:E17"/>
    <mergeCell ref="F16:F17"/>
    <mergeCell ref="H16:H17"/>
    <mergeCell ref="C22:C31"/>
    <mergeCell ref="D22:D23"/>
    <mergeCell ref="E22:E23"/>
    <mergeCell ref="F22:F23"/>
    <mergeCell ref="H22:H23"/>
    <mergeCell ref="I22:I23"/>
    <mergeCell ref="D26:D27"/>
    <mergeCell ref="E26:E27"/>
    <mergeCell ref="F26:F27"/>
    <mergeCell ref="H26:H27"/>
    <mergeCell ref="D20:D21"/>
    <mergeCell ref="E20:E21"/>
    <mergeCell ref="F20:F21"/>
    <mergeCell ref="H20:H21"/>
    <mergeCell ref="I20:I21"/>
    <mergeCell ref="J20:J21"/>
    <mergeCell ref="I16:I17"/>
    <mergeCell ref="J16:J17"/>
    <mergeCell ref="D18:D19"/>
    <mergeCell ref="E18:E19"/>
    <mergeCell ref="F18:F19"/>
    <mergeCell ref="H18:H19"/>
    <mergeCell ref="I18:I19"/>
    <mergeCell ref="J18:J19"/>
    <mergeCell ref="D30:D31"/>
    <mergeCell ref="E30:E31"/>
    <mergeCell ref="F30:F31"/>
    <mergeCell ref="H30:H31"/>
    <mergeCell ref="I30:I31"/>
    <mergeCell ref="J30:J31"/>
    <mergeCell ref="I26:I27"/>
    <mergeCell ref="J26:J27"/>
    <mergeCell ref="D28:D29"/>
    <mergeCell ref="E28:E29"/>
    <mergeCell ref="F28:F29"/>
    <mergeCell ref="H28:H29"/>
    <mergeCell ref="I28:I29"/>
    <mergeCell ref="J28:J29"/>
    <mergeCell ref="J22:J23"/>
    <mergeCell ref="D24:D25"/>
    <mergeCell ref="E24:E25"/>
    <mergeCell ref="F24:F25"/>
    <mergeCell ref="H24:H25"/>
    <mergeCell ref="I24:I25"/>
    <mergeCell ref="J24:J25"/>
    <mergeCell ref="J32:J33"/>
    <mergeCell ref="D34:D35"/>
    <mergeCell ref="E34:E35"/>
    <mergeCell ref="F34:F35"/>
    <mergeCell ref="H34:H35"/>
    <mergeCell ref="I34:I35"/>
    <mergeCell ref="J34:J35"/>
    <mergeCell ref="C32:C41"/>
    <mergeCell ref="D32:D33"/>
    <mergeCell ref="E32:E33"/>
    <mergeCell ref="F32:F33"/>
    <mergeCell ref="H32:H33"/>
    <mergeCell ref="I32:I33"/>
    <mergeCell ref="D36:D37"/>
    <mergeCell ref="E36:E37"/>
    <mergeCell ref="F36:F37"/>
    <mergeCell ref="H36:H37"/>
    <mergeCell ref="C42:C51"/>
    <mergeCell ref="D42:D43"/>
    <mergeCell ref="E42:E43"/>
    <mergeCell ref="F42:F43"/>
    <mergeCell ref="H42:H43"/>
    <mergeCell ref="I42:I43"/>
    <mergeCell ref="D46:D47"/>
    <mergeCell ref="E46:E47"/>
    <mergeCell ref="F46:F47"/>
    <mergeCell ref="H46:H47"/>
    <mergeCell ref="D40:D41"/>
    <mergeCell ref="E40:E41"/>
    <mergeCell ref="F40:F41"/>
    <mergeCell ref="H40:H41"/>
    <mergeCell ref="I40:I41"/>
    <mergeCell ref="J40:J41"/>
    <mergeCell ref="I36:I37"/>
    <mergeCell ref="J36:J37"/>
    <mergeCell ref="D38:D39"/>
    <mergeCell ref="E38:E39"/>
    <mergeCell ref="F38:F39"/>
    <mergeCell ref="H38:H39"/>
    <mergeCell ref="I38:I39"/>
    <mergeCell ref="J38:J39"/>
    <mergeCell ref="D50:D51"/>
    <mergeCell ref="E50:E51"/>
    <mergeCell ref="F50:F51"/>
    <mergeCell ref="H50:H51"/>
    <mergeCell ref="I50:I51"/>
    <mergeCell ref="J50:J51"/>
    <mergeCell ref="I46:I47"/>
    <mergeCell ref="J46:J47"/>
    <mergeCell ref="D48:D49"/>
    <mergeCell ref="E48:E49"/>
    <mergeCell ref="F48:F49"/>
    <mergeCell ref="H48:H49"/>
    <mergeCell ref="I48:I49"/>
    <mergeCell ref="J48:J49"/>
    <mergeCell ref="J42:J43"/>
    <mergeCell ref="D44:D45"/>
    <mergeCell ref="E44:E45"/>
    <mergeCell ref="F44:F45"/>
    <mergeCell ref="H44:H45"/>
    <mergeCell ref="I44:I45"/>
    <mergeCell ref="J44:J45"/>
    <mergeCell ref="D60:D61"/>
    <mergeCell ref="E60:E61"/>
    <mergeCell ref="F60:F61"/>
    <mergeCell ref="H60:H61"/>
    <mergeCell ref="I60:I61"/>
    <mergeCell ref="J60:J61"/>
    <mergeCell ref="I56:I57"/>
    <mergeCell ref="J56:J57"/>
    <mergeCell ref="D58:D59"/>
    <mergeCell ref="E58:E59"/>
    <mergeCell ref="F58:F59"/>
    <mergeCell ref="H58:H59"/>
    <mergeCell ref="I58:I59"/>
    <mergeCell ref="J58:J59"/>
    <mergeCell ref="I52:I53"/>
    <mergeCell ref="J52:J53"/>
    <mergeCell ref="D54:D55"/>
    <mergeCell ref="E54:E55"/>
    <mergeCell ref="F54:F55"/>
    <mergeCell ref="H54:H55"/>
    <mergeCell ref="I54:I55"/>
    <mergeCell ref="J54:J55"/>
    <mergeCell ref="D52:D53"/>
    <mergeCell ref="E52:E53"/>
    <mergeCell ref="F52:F53"/>
    <mergeCell ref="H52:H53"/>
    <mergeCell ref="D56:D57"/>
    <mergeCell ref="E56:E57"/>
    <mergeCell ref="F56:F57"/>
    <mergeCell ref="H56:H57"/>
    <mergeCell ref="J62:J63"/>
    <mergeCell ref="D64:D65"/>
    <mergeCell ref="E64:E65"/>
    <mergeCell ref="F64:F65"/>
    <mergeCell ref="H64:H65"/>
    <mergeCell ref="I64:I65"/>
    <mergeCell ref="J64:J65"/>
    <mergeCell ref="C62:C71"/>
    <mergeCell ref="D62:D63"/>
    <mergeCell ref="E62:E63"/>
    <mergeCell ref="F62:F63"/>
    <mergeCell ref="H62:H63"/>
    <mergeCell ref="I62:I63"/>
    <mergeCell ref="D66:D67"/>
    <mergeCell ref="E66:E67"/>
    <mergeCell ref="F66:F67"/>
    <mergeCell ref="H66:H67"/>
    <mergeCell ref="C72:C81"/>
    <mergeCell ref="D72:D73"/>
    <mergeCell ref="E72:E73"/>
    <mergeCell ref="F72:F73"/>
    <mergeCell ref="H72:H73"/>
    <mergeCell ref="I72:I73"/>
    <mergeCell ref="D76:D77"/>
    <mergeCell ref="E76:E77"/>
    <mergeCell ref="F76:F77"/>
    <mergeCell ref="H76:H77"/>
    <mergeCell ref="D70:D71"/>
    <mergeCell ref="E70:E71"/>
    <mergeCell ref="F70:F71"/>
    <mergeCell ref="H70:H71"/>
    <mergeCell ref="I70:I71"/>
    <mergeCell ref="J70:J71"/>
    <mergeCell ref="I66:I67"/>
    <mergeCell ref="J66:J67"/>
    <mergeCell ref="D68:D69"/>
    <mergeCell ref="E68:E69"/>
    <mergeCell ref="F68:F69"/>
    <mergeCell ref="H68:H69"/>
    <mergeCell ref="I68:I69"/>
    <mergeCell ref="J68:J69"/>
    <mergeCell ref="D80:D81"/>
    <mergeCell ref="E80:E81"/>
    <mergeCell ref="F80:F81"/>
    <mergeCell ref="H80:H81"/>
    <mergeCell ref="I80:I81"/>
    <mergeCell ref="J80:J81"/>
    <mergeCell ref="I76:I77"/>
    <mergeCell ref="J76:J77"/>
    <mergeCell ref="D78:D79"/>
    <mergeCell ref="E78:E79"/>
    <mergeCell ref="F78:F79"/>
    <mergeCell ref="H78:H79"/>
    <mergeCell ref="I78:I79"/>
    <mergeCell ref="J78:J79"/>
    <mergeCell ref="J72:J73"/>
    <mergeCell ref="D74:D75"/>
    <mergeCell ref="E74:E75"/>
    <mergeCell ref="F74:F75"/>
    <mergeCell ref="H74:H75"/>
    <mergeCell ref="I74:I75"/>
    <mergeCell ref="J74:J75"/>
    <mergeCell ref="I84:I85"/>
    <mergeCell ref="J84:J85"/>
    <mergeCell ref="D86:D87"/>
    <mergeCell ref="E86:E87"/>
    <mergeCell ref="F86:F87"/>
    <mergeCell ref="H86:H87"/>
    <mergeCell ref="I86:I87"/>
    <mergeCell ref="J86:J87"/>
    <mergeCell ref="C82:C91"/>
    <mergeCell ref="D82:D83"/>
    <mergeCell ref="F82:F83"/>
    <mergeCell ref="H82:H83"/>
    <mergeCell ref="I82:I83"/>
    <mergeCell ref="J82:J83"/>
    <mergeCell ref="D84:D85"/>
    <mergeCell ref="E84:E85"/>
    <mergeCell ref="F84:F85"/>
    <mergeCell ref="H84:H85"/>
    <mergeCell ref="C92:C101"/>
    <mergeCell ref="D92:D93"/>
    <mergeCell ref="E92:E93"/>
    <mergeCell ref="F92:F93"/>
    <mergeCell ref="H92:H93"/>
    <mergeCell ref="I92:I93"/>
    <mergeCell ref="D96:D97"/>
    <mergeCell ref="E96:E97"/>
    <mergeCell ref="F96:F97"/>
    <mergeCell ref="H96:H97"/>
    <mergeCell ref="D90:D91"/>
    <mergeCell ref="E90:E91"/>
    <mergeCell ref="F90:F91"/>
    <mergeCell ref="H90:H91"/>
    <mergeCell ref="I90:I91"/>
    <mergeCell ref="J90:J91"/>
    <mergeCell ref="D88:D89"/>
    <mergeCell ref="E88:E89"/>
    <mergeCell ref="F88:F89"/>
    <mergeCell ref="H88:H89"/>
    <mergeCell ref="I88:I89"/>
    <mergeCell ref="J88:J89"/>
    <mergeCell ref="D100:D101"/>
    <mergeCell ref="E100:E101"/>
    <mergeCell ref="F100:F101"/>
    <mergeCell ref="H100:H101"/>
    <mergeCell ref="I100:I101"/>
    <mergeCell ref="J100:J101"/>
    <mergeCell ref="I96:I97"/>
    <mergeCell ref="J96:J97"/>
    <mergeCell ref="D98:D99"/>
    <mergeCell ref="E98:E99"/>
    <mergeCell ref="F98:F99"/>
    <mergeCell ref="H98:H99"/>
    <mergeCell ref="I98:I99"/>
    <mergeCell ref="J98:J99"/>
    <mergeCell ref="J92:J93"/>
    <mergeCell ref="D94:D95"/>
    <mergeCell ref="E94:E95"/>
    <mergeCell ref="F94:F95"/>
    <mergeCell ref="H94:H95"/>
    <mergeCell ref="I94:I95"/>
    <mergeCell ref="J94:J95"/>
    <mergeCell ref="J102:J103"/>
    <mergeCell ref="D104:D105"/>
    <mergeCell ref="E104:E105"/>
    <mergeCell ref="F104:F105"/>
    <mergeCell ref="H104:H105"/>
    <mergeCell ref="I104:I105"/>
    <mergeCell ref="J104:J105"/>
    <mergeCell ref="C102:C111"/>
    <mergeCell ref="D102:D103"/>
    <mergeCell ref="E102:E103"/>
    <mergeCell ref="F102:F103"/>
    <mergeCell ref="H102:H103"/>
    <mergeCell ref="I102:I103"/>
    <mergeCell ref="D106:D107"/>
    <mergeCell ref="E106:E107"/>
    <mergeCell ref="F106:F107"/>
    <mergeCell ref="H106:H107"/>
    <mergeCell ref="B112:B161"/>
    <mergeCell ref="C112:C121"/>
    <mergeCell ref="D112:D113"/>
    <mergeCell ref="E112:E113"/>
    <mergeCell ref="F112:F113"/>
    <mergeCell ref="H112:H113"/>
    <mergeCell ref="D116:D117"/>
    <mergeCell ref="E116:E117"/>
    <mergeCell ref="F116:F117"/>
    <mergeCell ref="H116:H117"/>
    <mergeCell ref="D110:D111"/>
    <mergeCell ref="E110:E111"/>
    <mergeCell ref="F110:F111"/>
    <mergeCell ref="H110:H111"/>
    <mergeCell ref="I110:I111"/>
    <mergeCell ref="J110:J111"/>
    <mergeCell ref="I106:I107"/>
    <mergeCell ref="J106:J107"/>
    <mergeCell ref="D108:D109"/>
    <mergeCell ref="E108:E109"/>
    <mergeCell ref="F108:F109"/>
    <mergeCell ref="H108:H109"/>
    <mergeCell ref="I108:I109"/>
    <mergeCell ref="J108:J109"/>
    <mergeCell ref="B52:B111"/>
    <mergeCell ref="C52:C61"/>
    <mergeCell ref="D120:D121"/>
    <mergeCell ref="E120:E121"/>
    <mergeCell ref="F120:F121"/>
    <mergeCell ref="H120:H121"/>
    <mergeCell ref="I120:I121"/>
    <mergeCell ref="J120:J121"/>
    <mergeCell ref="I116:I117"/>
    <mergeCell ref="J116:J117"/>
    <mergeCell ref="D118:D119"/>
    <mergeCell ref="E118:E119"/>
    <mergeCell ref="F118:F119"/>
    <mergeCell ref="H118:H119"/>
    <mergeCell ref="I118:I119"/>
    <mergeCell ref="J118:J119"/>
    <mergeCell ref="I112:I113"/>
    <mergeCell ref="J112:J113"/>
    <mergeCell ref="D114:D115"/>
    <mergeCell ref="E114:E115"/>
    <mergeCell ref="F114:F115"/>
    <mergeCell ref="H114:H115"/>
    <mergeCell ref="I114:I115"/>
    <mergeCell ref="J114:J115"/>
    <mergeCell ref="J122:J123"/>
    <mergeCell ref="D124:D125"/>
    <mergeCell ref="E124:E125"/>
    <mergeCell ref="F124:F125"/>
    <mergeCell ref="H124:H125"/>
    <mergeCell ref="I124:I125"/>
    <mergeCell ref="J124:J125"/>
    <mergeCell ref="C122:C131"/>
    <mergeCell ref="D122:D123"/>
    <mergeCell ref="E122:E123"/>
    <mergeCell ref="F122:F123"/>
    <mergeCell ref="H122:H123"/>
    <mergeCell ref="I122:I123"/>
    <mergeCell ref="D126:D127"/>
    <mergeCell ref="E126:E127"/>
    <mergeCell ref="F126:F127"/>
    <mergeCell ref="H126:H127"/>
    <mergeCell ref="C132:C141"/>
    <mergeCell ref="D132:D133"/>
    <mergeCell ref="E132:E133"/>
    <mergeCell ref="F132:F133"/>
    <mergeCell ref="H132:H133"/>
    <mergeCell ref="I132:I133"/>
    <mergeCell ref="D136:D137"/>
    <mergeCell ref="E136:E137"/>
    <mergeCell ref="F136:F137"/>
    <mergeCell ref="H136:H137"/>
    <mergeCell ref="D130:D131"/>
    <mergeCell ref="E130:E131"/>
    <mergeCell ref="F130:F131"/>
    <mergeCell ref="H130:H131"/>
    <mergeCell ref="I130:I131"/>
    <mergeCell ref="J130:J131"/>
    <mergeCell ref="I126:I127"/>
    <mergeCell ref="J126:J127"/>
    <mergeCell ref="D128:D129"/>
    <mergeCell ref="E128:E129"/>
    <mergeCell ref="F128:F129"/>
    <mergeCell ref="H128:H129"/>
    <mergeCell ref="I128:I129"/>
    <mergeCell ref="J128:J129"/>
    <mergeCell ref="D140:D141"/>
    <mergeCell ref="E140:E141"/>
    <mergeCell ref="F140:F141"/>
    <mergeCell ref="H140:H141"/>
    <mergeCell ref="I140:I141"/>
    <mergeCell ref="J140:J141"/>
    <mergeCell ref="I136:I137"/>
    <mergeCell ref="J136:J137"/>
    <mergeCell ref="D138:D139"/>
    <mergeCell ref="E138:E139"/>
    <mergeCell ref="F138:F139"/>
    <mergeCell ref="H138:H139"/>
    <mergeCell ref="I138:I139"/>
    <mergeCell ref="J138:J139"/>
    <mergeCell ref="J132:J133"/>
    <mergeCell ref="D134:D135"/>
    <mergeCell ref="E134:E135"/>
    <mergeCell ref="F134:F135"/>
    <mergeCell ref="H134:H135"/>
    <mergeCell ref="I134:I135"/>
    <mergeCell ref="J134:J135"/>
    <mergeCell ref="J142:J143"/>
    <mergeCell ref="D144:D145"/>
    <mergeCell ref="E144:E145"/>
    <mergeCell ref="F144:F145"/>
    <mergeCell ref="H144:H145"/>
    <mergeCell ref="I144:I145"/>
    <mergeCell ref="J144:J145"/>
    <mergeCell ref="C142:C151"/>
    <mergeCell ref="D142:D143"/>
    <mergeCell ref="E142:E143"/>
    <mergeCell ref="F142:F143"/>
    <mergeCell ref="H142:H143"/>
    <mergeCell ref="I142:I143"/>
    <mergeCell ref="D146:D147"/>
    <mergeCell ref="E146:E147"/>
    <mergeCell ref="F146:F147"/>
    <mergeCell ref="H146:H147"/>
    <mergeCell ref="C152:C161"/>
    <mergeCell ref="D152:D153"/>
    <mergeCell ref="E152:E153"/>
    <mergeCell ref="F152:F153"/>
    <mergeCell ref="H152:H153"/>
    <mergeCell ref="I152:I153"/>
    <mergeCell ref="D156:D157"/>
    <mergeCell ref="E156:E157"/>
    <mergeCell ref="F156:F157"/>
    <mergeCell ref="H156:H157"/>
    <mergeCell ref="D150:D151"/>
    <mergeCell ref="E150:E151"/>
    <mergeCell ref="F150:F151"/>
    <mergeCell ref="H150:H151"/>
    <mergeCell ref="I150:I151"/>
    <mergeCell ref="J150:J151"/>
    <mergeCell ref="I146:I147"/>
    <mergeCell ref="J146:J147"/>
    <mergeCell ref="D148:D149"/>
    <mergeCell ref="E148:E149"/>
    <mergeCell ref="F148:F149"/>
    <mergeCell ref="H148:H149"/>
    <mergeCell ref="I148:I149"/>
    <mergeCell ref="J148:J149"/>
    <mergeCell ref="D160:D161"/>
    <mergeCell ref="E160:E161"/>
    <mergeCell ref="F160:F161"/>
    <mergeCell ref="H160:H161"/>
    <mergeCell ref="I160:I161"/>
    <mergeCell ref="J160:J161"/>
    <mergeCell ref="I156:I157"/>
    <mergeCell ref="J156:J157"/>
    <mergeCell ref="D158:D159"/>
    <mergeCell ref="E158:E159"/>
    <mergeCell ref="F158:F159"/>
    <mergeCell ref="H158:H159"/>
    <mergeCell ref="I158:I159"/>
    <mergeCell ref="J158:J159"/>
    <mergeCell ref="J152:J153"/>
    <mergeCell ref="D154:D155"/>
    <mergeCell ref="E154:E155"/>
    <mergeCell ref="F154:F155"/>
    <mergeCell ref="H154:H155"/>
    <mergeCell ref="I154:I155"/>
    <mergeCell ref="J154:J155"/>
    <mergeCell ref="D170:D171"/>
    <mergeCell ref="E170:E171"/>
    <mergeCell ref="F170:F171"/>
    <mergeCell ref="H170:H171"/>
    <mergeCell ref="I170:I171"/>
    <mergeCell ref="J170:J171"/>
    <mergeCell ref="I166:I167"/>
    <mergeCell ref="J166:J167"/>
    <mergeCell ref="D168:D169"/>
    <mergeCell ref="E168:E169"/>
    <mergeCell ref="F168:F169"/>
    <mergeCell ref="H168:H169"/>
    <mergeCell ref="I168:I169"/>
    <mergeCell ref="J168:J169"/>
    <mergeCell ref="I162:I163"/>
    <mergeCell ref="J162:J163"/>
    <mergeCell ref="D164:D165"/>
    <mergeCell ref="E164:E165"/>
    <mergeCell ref="F164:F165"/>
    <mergeCell ref="H164:H165"/>
    <mergeCell ref="I164:I165"/>
    <mergeCell ref="J164:J165"/>
    <mergeCell ref="D162:D163"/>
    <mergeCell ref="E162:E163"/>
    <mergeCell ref="F162:F163"/>
    <mergeCell ref="H162:H163"/>
    <mergeCell ref="D166:D167"/>
    <mergeCell ref="E166:E167"/>
    <mergeCell ref="F166:F167"/>
    <mergeCell ref="H166:H167"/>
    <mergeCell ref="J172:J173"/>
    <mergeCell ref="D174:D175"/>
    <mergeCell ref="E174:E175"/>
    <mergeCell ref="F174:F175"/>
    <mergeCell ref="H174:H175"/>
    <mergeCell ref="I174:I175"/>
    <mergeCell ref="J174:J175"/>
    <mergeCell ref="C172:C181"/>
    <mergeCell ref="D172:D173"/>
    <mergeCell ref="E172:E173"/>
    <mergeCell ref="F172:F173"/>
    <mergeCell ref="H172:H173"/>
    <mergeCell ref="I172:I173"/>
    <mergeCell ref="D176:D177"/>
    <mergeCell ref="E176:E177"/>
    <mergeCell ref="F176:F177"/>
    <mergeCell ref="H176:H177"/>
    <mergeCell ref="C182:C191"/>
    <mergeCell ref="D182:D183"/>
    <mergeCell ref="E182:E183"/>
    <mergeCell ref="F182:F183"/>
    <mergeCell ref="H182:H183"/>
    <mergeCell ref="I182:I183"/>
    <mergeCell ref="D186:D187"/>
    <mergeCell ref="E186:E187"/>
    <mergeCell ref="F186:F187"/>
    <mergeCell ref="H186:H187"/>
    <mergeCell ref="D180:D181"/>
    <mergeCell ref="E180:E181"/>
    <mergeCell ref="F180:F181"/>
    <mergeCell ref="H180:H181"/>
    <mergeCell ref="I180:I181"/>
    <mergeCell ref="J180:J181"/>
    <mergeCell ref="I176:I177"/>
    <mergeCell ref="J176:J177"/>
    <mergeCell ref="D178:D179"/>
    <mergeCell ref="E178:E179"/>
    <mergeCell ref="F178:F179"/>
    <mergeCell ref="H178:H179"/>
    <mergeCell ref="I178:I179"/>
    <mergeCell ref="J178:J179"/>
    <mergeCell ref="D190:D191"/>
    <mergeCell ref="E190:E191"/>
    <mergeCell ref="F190:F191"/>
    <mergeCell ref="H190:H191"/>
    <mergeCell ref="I190:I191"/>
    <mergeCell ref="J190:J191"/>
    <mergeCell ref="I186:I187"/>
    <mergeCell ref="J186:J187"/>
    <mergeCell ref="D188:D189"/>
    <mergeCell ref="E188:E189"/>
    <mergeCell ref="F188:F189"/>
    <mergeCell ref="H188:H189"/>
    <mergeCell ref="I188:I189"/>
    <mergeCell ref="J188:J189"/>
    <mergeCell ref="J182:J183"/>
    <mergeCell ref="D184:D185"/>
    <mergeCell ref="E184:E185"/>
    <mergeCell ref="F184:F185"/>
    <mergeCell ref="H184:H185"/>
    <mergeCell ref="I184:I185"/>
    <mergeCell ref="J184:J185"/>
    <mergeCell ref="J192:J193"/>
    <mergeCell ref="D194:D195"/>
    <mergeCell ref="E194:E195"/>
    <mergeCell ref="F194:F195"/>
    <mergeCell ref="H194:H195"/>
    <mergeCell ref="I194:I195"/>
    <mergeCell ref="J194:J195"/>
    <mergeCell ref="C192:C201"/>
    <mergeCell ref="D192:D193"/>
    <mergeCell ref="E192:E193"/>
    <mergeCell ref="F192:F193"/>
    <mergeCell ref="H192:H193"/>
    <mergeCell ref="I192:I193"/>
    <mergeCell ref="D196:D197"/>
    <mergeCell ref="E196:E197"/>
    <mergeCell ref="F196:F197"/>
    <mergeCell ref="H196:H197"/>
    <mergeCell ref="C202:C211"/>
    <mergeCell ref="D202:D203"/>
    <mergeCell ref="E202:E203"/>
    <mergeCell ref="F202:F203"/>
    <mergeCell ref="H202:H203"/>
    <mergeCell ref="I202:I203"/>
    <mergeCell ref="D206:D207"/>
    <mergeCell ref="E206:E207"/>
    <mergeCell ref="F206:F207"/>
    <mergeCell ref="H206:H207"/>
    <mergeCell ref="D200:D201"/>
    <mergeCell ref="E200:E201"/>
    <mergeCell ref="F200:F201"/>
    <mergeCell ref="H200:H201"/>
    <mergeCell ref="I200:I201"/>
    <mergeCell ref="J200:J201"/>
    <mergeCell ref="I196:I197"/>
    <mergeCell ref="J196:J197"/>
    <mergeCell ref="D198:D199"/>
    <mergeCell ref="E198:E199"/>
    <mergeCell ref="F198:F199"/>
    <mergeCell ref="H198:H199"/>
    <mergeCell ref="I198:I199"/>
    <mergeCell ref="J198:J199"/>
    <mergeCell ref="D210:D211"/>
    <mergeCell ref="E210:E211"/>
    <mergeCell ref="F210:F211"/>
    <mergeCell ref="H210:H211"/>
    <mergeCell ref="I210:I211"/>
    <mergeCell ref="J210:J211"/>
    <mergeCell ref="I206:I207"/>
    <mergeCell ref="J206:J207"/>
    <mergeCell ref="D208:D209"/>
    <mergeCell ref="E208:E209"/>
    <mergeCell ref="F208:F209"/>
    <mergeCell ref="H208:H209"/>
    <mergeCell ref="I208:I209"/>
    <mergeCell ref="J208:J209"/>
    <mergeCell ref="J202:J203"/>
    <mergeCell ref="D204:D205"/>
    <mergeCell ref="E204:E205"/>
    <mergeCell ref="F204:F205"/>
    <mergeCell ref="H204:H205"/>
    <mergeCell ref="I204:I205"/>
    <mergeCell ref="J204:J205"/>
    <mergeCell ref="J212:J213"/>
    <mergeCell ref="D214:D215"/>
    <mergeCell ref="E214:E215"/>
    <mergeCell ref="F214:F215"/>
    <mergeCell ref="H214:H215"/>
    <mergeCell ref="I214:I215"/>
    <mergeCell ref="J214:J215"/>
    <mergeCell ref="C212:C221"/>
    <mergeCell ref="D212:D213"/>
    <mergeCell ref="E212:E213"/>
    <mergeCell ref="F212:F213"/>
    <mergeCell ref="H212:H213"/>
    <mergeCell ref="I212:I213"/>
    <mergeCell ref="D216:D217"/>
    <mergeCell ref="E216:E217"/>
    <mergeCell ref="F216:F217"/>
    <mergeCell ref="H216:H217"/>
    <mergeCell ref="B222:B311"/>
    <mergeCell ref="C222:C231"/>
    <mergeCell ref="D222:D223"/>
    <mergeCell ref="E222:E223"/>
    <mergeCell ref="F222:F223"/>
    <mergeCell ref="H222:H223"/>
    <mergeCell ref="D226:D227"/>
    <mergeCell ref="E226:E227"/>
    <mergeCell ref="F226:F227"/>
    <mergeCell ref="H226:H227"/>
    <mergeCell ref="D220:D221"/>
    <mergeCell ref="E220:E221"/>
    <mergeCell ref="F220:F221"/>
    <mergeCell ref="H220:H221"/>
    <mergeCell ref="I220:I221"/>
    <mergeCell ref="J220:J221"/>
    <mergeCell ref="I216:I217"/>
    <mergeCell ref="J216:J217"/>
    <mergeCell ref="D218:D219"/>
    <mergeCell ref="E218:E219"/>
    <mergeCell ref="F218:F219"/>
    <mergeCell ref="H218:H219"/>
    <mergeCell ref="I218:I219"/>
    <mergeCell ref="J218:J219"/>
    <mergeCell ref="B162:B221"/>
    <mergeCell ref="C162:C171"/>
    <mergeCell ref="D230:D231"/>
    <mergeCell ref="E230:E231"/>
    <mergeCell ref="F230:F231"/>
    <mergeCell ref="H230:H231"/>
    <mergeCell ref="I230:I231"/>
    <mergeCell ref="J230:J231"/>
    <mergeCell ref="I226:I227"/>
    <mergeCell ref="J226:J227"/>
    <mergeCell ref="D228:D229"/>
    <mergeCell ref="E228:E229"/>
    <mergeCell ref="F228:F229"/>
    <mergeCell ref="H228:H229"/>
    <mergeCell ref="I228:I229"/>
    <mergeCell ref="J228:J229"/>
    <mergeCell ref="I222:I223"/>
    <mergeCell ref="J222:J223"/>
    <mergeCell ref="D224:D225"/>
    <mergeCell ref="E224:E225"/>
    <mergeCell ref="F224:F225"/>
    <mergeCell ref="H224:H225"/>
    <mergeCell ref="I224:I225"/>
    <mergeCell ref="J224:J225"/>
    <mergeCell ref="J232:J233"/>
    <mergeCell ref="D234:D235"/>
    <mergeCell ref="E234:E235"/>
    <mergeCell ref="F234:F235"/>
    <mergeCell ref="H234:H235"/>
    <mergeCell ref="I234:I235"/>
    <mergeCell ref="J234:J235"/>
    <mergeCell ref="C232:C241"/>
    <mergeCell ref="D232:D233"/>
    <mergeCell ref="E232:E233"/>
    <mergeCell ref="F232:F233"/>
    <mergeCell ref="H232:H233"/>
    <mergeCell ref="I232:I233"/>
    <mergeCell ref="D236:D237"/>
    <mergeCell ref="E236:E237"/>
    <mergeCell ref="F236:F237"/>
    <mergeCell ref="H236:H237"/>
    <mergeCell ref="C242:C251"/>
    <mergeCell ref="D242:D243"/>
    <mergeCell ref="E242:E243"/>
    <mergeCell ref="F242:F243"/>
    <mergeCell ref="H242:H243"/>
    <mergeCell ref="I242:I243"/>
    <mergeCell ref="D246:D247"/>
    <mergeCell ref="E246:E247"/>
    <mergeCell ref="F246:F247"/>
    <mergeCell ref="H246:H247"/>
    <mergeCell ref="D240:D241"/>
    <mergeCell ref="E240:E241"/>
    <mergeCell ref="F240:F241"/>
    <mergeCell ref="H240:H241"/>
    <mergeCell ref="I240:I241"/>
    <mergeCell ref="J240:J241"/>
    <mergeCell ref="I236:I237"/>
    <mergeCell ref="J236:J237"/>
    <mergeCell ref="D238:D239"/>
    <mergeCell ref="E238:E239"/>
    <mergeCell ref="F238:F239"/>
    <mergeCell ref="H238:H239"/>
    <mergeCell ref="I238:I239"/>
    <mergeCell ref="J238:J239"/>
    <mergeCell ref="D250:D251"/>
    <mergeCell ref="E250:E251"/>
    <mergeCell ref="F250:F251"/>
    <mergeCell ref="H250:H251"/>
    <mergeCell ref="I250:I251"/>
    <mergeCell ref="J250:J251"/>
    <mergeCell ref="I246:I247"/>
    <mergeCell ref="J246:J247"/>
    <mergeCell ref="D248:D249"/>
    <mergeCell ref="E248:E249"/>
    <mergeCell ref="F248:F249"/>
    <mergeCell ref="H248:H249"/>
    <mergeCell ref="I248:I249"/>
    <mergeCell ref="J248:J249"/>
    <mergeCell ref="J242:J243"/>
    <mergeCell ref="D244:D245"/>
    <mergeCell ref="E244:E245"/>
    <mergeCell ref="F244:F245"/>
    <mergeCell ref="H244:H245"/>
    <mergeCell ref="I244:I245"/>
    <mergeCell ref="J244:J245"/>
    <mergeCell ref="J252:J253"/>
    <mergeCell ref="D254:D255"/>
    <mergeCell ref="E254:E255"/>
    <mergeCell ref="F254:F255"/>
    <mergeCell ref="H254:H255"/>
    <mergeCell ref="I254:I255"/>
    <mergeCell ref="J254:J255"/>
    <mergeCell ref="C252:C261"/>
    <mergeCell ref="D252:D253"/>
    <mergeCell ref="E252:E253"/>
    <mergeCell ref="F252:F253"/>
    <mergeCell ref="H252:H253"/>
    <mergeCell ref="I252:I253"/>
    <mergeCell ref="D256:D257"/>
    <mergeCell ref="E256:E257"/>
    <mergeCell ref="F256:F257"/>
    <mergeCell ref="H256:H257"/>
    <mergeCell ref="C262:C271"/>
    <mergeCell ref="D262:D263"/>
    <mergeCell ref="E262:E263"/>
    <mergeCell ref="F262:F263"/>
    <mergeCell ref="H262:H263"/>
    <mergeCell ref="I262:I263"/>
    <mergeCell ref="D266:D267"/>
    <mergeCell ref="E266:E267"/>
    <mergeCell ref="F266:F267"/>
    <mergeCell ref="H266:H267"/>
    <mergeCell ref="D260:D261"/>
    <mergeCell ref="E260:E261"/>
    <mergeCell ref="F260:F261"/>
    <mergeCell ref="H260:H261"/>
    <mergeCell ref="I260:I261"/>
    <mergeCell ref="J260:J261"/>
    <mergeCell ref="I256:I257"/>
    <mergeCell ref="J256:J257"/>
    <mergeCell ref="D258:D259"/>
    <mergeCell ref="E258:E259"/>
    <mergeCell ref="F258:F259"/>
    <mergeCell ref="H258:H259"/>
    <mergeCell ref="I258:I259"/>
    <mergeCell ref="J258:J259"/>
    <mergeCell ref="D270:D271"/>
    <mergeCell ref="E270:E271"/>
    <mergeCell ref="F270:F271"/>
    <mergeCell ref="H270:H271"/>
    <mergeCell ref="I270:I271"/>
    <mergeCell ref="J270:J271"/>
    <mergeCell ref="I266:I267"/>
    <mergeCell ref="J266:J267"/>
    <mergeCell ref="D268:D269"/>
    <mergeCell ref="E268:E269"/>
    <mergeCell ref="F268:F269"/>
    <mergeCell ref="H268:H269"/>
    <mergeCell ref="I268:I269"/>
    <mergeCell ref="J268:J269"/>
    <mergeCell ref="J262:J263"/>
    <mergeCell ref="D264:D265"/>
    <mergeCell ref="E264:E265"/>
    <mergeCell ref="F264:F265"/>
    <mergeCell ref="H264:H265"/>
    <mergeCell ref="I264:I265"/>
    <mergeCell ref="J264:J265"/>
    <mergeCell ref="J272:J273"/>
    <mergeCell ref="D274:D275"/>
    <mergeCell ref="E274:E275"/>
    <mergeCell ref="F274:F275"/>
    <mergeCell ref="H274:H275"/>
    <mergeCell ref="I274:I275"/>
    <mergeCell ref="J274:J275"/>
    <mergeCell ref="C272:C281"/>
    <mergeCell ref="D272:D273"/>
    <mergeCell ref="E272:E273"/>
    <mergeCell ref="F272:F273"/>
    <mergeCell ref="H272:H273"/>
    <mergeCell ref="I272:I273"/>
    <mergeCell ref="D276:D277"/>
    <mergeCell ref="E276:E277"/>
    <mergeCell ref="F276:F277"/>
    <mergeCell ref="H276:H277"/>
    <mergeCell ref="C282:C291"/>
    <mergeCell ref="D282:D283"/>
    <mergeCell ref="E282:E283"/>
    <mergeCell ref="F282:F283"/>
    <mergeCell ref="H282:H283"/>
    <mergeCell ref="I282:I283"/>
    <mergeCell ref="D286:D287"/>
    <mergeCell ref="E286:E287"/>
    <mergeCell ref="F286:F287"/>
    <mergeCell ref="H286:H287"/>
    <mergeCell ref="D280:D281"/>
    <mergeCell ref="E280:E281"/>
    <mergeCell ref="F280:F281"/>
    <mergeCell ref="H280:H281"/>
    <mergeCell ref="I280:I281"/>
    <mergeCell ref="J280:J281"/>
    <mergeCell ref="I276:I277"/>
    <mergeCell ref="J276:J277"/>
    <mergeCell ref="D278:D279"/>
    <mergeCell ref="E278:E279"/>
    <mergeCell ref="F278:F279"/>
    <mergeCell ref="H278:H279"/>
    <mergeCell ref="I278:I279"/>
    <mergeCell ref="J278:J279"/>
    <mergeCell ref="D290:D291"/>
    <mergeCell ref="E290:E291"/>
    <mergeCell ref="F290:F291"/>
    <mergeCell ref="H290:H291"/>
    <mergeCell ref="I290:I291"/>
    <mergeCell ref="J290:J291"/>
    <mergeCell ref="I286:I287"/>
    <mergeCell ref="J286:J287"/>
    <mergeCell ref="D288:D289"/>
    <mergeCell ref="E288:E289"/>
    <mergeCell ref="F288:F289"/>
    <mergeCell ref="H288:H289"/>
    <mergeCell ref="I288:I289"/>
    <mergeCell ref="J288:J289"/>
    <mergeCell ref="J282:J283"/>
    <mergeCell ref="D284:D285"/>
    <mergeCell ref="E284:E285"/>
    <mergeCell ref="F284:F285"/>
    <mergeCell ref="H284:H285"/>
    <mergeCell ref="I284:I285"/>
    <mergeCell ref="J284:J285"/>
    <mergeCell ref="J292:J293"/>
    <mergeCell ref="D294:D295"/>
    <mergeCell ref="E294:E295"/>
    <mergeCell ref="F294:F295"/>
    <mergeCell ref="H294:H295"/>
    <mergeCell ref="I294:I295"/>
    <mergeCell ref="J294:J295"/>
    <mergeCell ref="C292:C301"/>
    <mergeCell ref="D292:D293"/>
    <mergeCell ref="E292:E293"/>
    <mergeCell ref="F292:F293"/>
    <mergeCell ref="H292:H293"/>
    <mergeCell ref="I292:I293"/>
    <mergeCell ref="D296:D297"/>
    <mergeCell ref="E296:E297"/>
    <mergeCell ref="F296:F297"/>
    <mergeCell ref="H296:H297"/>
    <mergeCell ref="C302:C311"/>
    <mergeCell ref="D302:D303"/>
    <mergeCell ref="E302:E303"/>
    <mergeCell ref="F302:F303"/>
    <mergeCell ref="H302:H303"/>
    <mergeCell ref="I302:I303"/>
    <mergeCell ref="D306:D307"/>
    <mergeCell ref="E306:E307"/>
    <mergeCell ref="F306:F307"/>
    <mergeCell ref="H306:H307"/>
    <mergeCell ref="D300:D301"/>
    <mergeCell ref="E300:E301"/>
    <mergeCell ref="F300:F301"/>
    <mergeCell ref="H300:H301"/>
    <mergeCell ref="I300:I301"/>
    <mergeCell ref="J300:J301"/>
    <mergeCell ref="I296:I297"/>
    <mergeCell ref="J296:J297"/>
    <mergeCell ref="D298:D299"/>
    <mergeCell ref="E298:E299"/>
    <mergeCell ref="F298:F299"/>
    <mergeCell ref="H298:H299"/>
    <mergeCell ref="I298:I299"/>
    <mergeCell ref="J298:J299"/>
    <mergeCell ref="D310:D311"/>
    <mergeCell ref="E310:E311"/>
    <mergeCell ref="F310:F311"/>
    <mergeCell ref="H310:H311"/>
    <mergeCell ref="I310:I311"/>
    <mergeCell ref="J310:J311"/>
    <mergeCell ref="I306:I307"/>
    <mergeCell ref="J306:J307"/>
    <mergeCell ref="D308:D309"/>
    <mergeCell ref="E308:E309"/>
    <mergeCell ref="F308:F309"/>
    <mergeCell ref="H308:H309"/>
    <mergeCell ref="I308:I309"/>
    <mergeCell ref="J308:J309"/>
    <mergeCell ref="J302:J303"/>
    <mergeCell ref="D304:D305"/>
    <mergeCell ref="E304:E305"/>
    <mergeCell ref="F304:F305"/>
    <mergeCell ref="H304:H305"/>
    <mergeCell ref="I304:I305"/>
    <mergeCell ref="J304:J305"/>
    <mergeCell ref="I312:I313"/>
    <mergeCell ref="J312:J313"/>
    <mergeCell ref="D314:D315"/>
    <mergeCell ref="E314:E315"/>
    <mergeCell ref="F314:F315"/>
    <mergeCell ref="H314:H315"/>
    <mergeCell ref="I314:I315"/>
    <mergeCell ref="J314:J315"/>
    <mergeCell ref="B312:B361"/>
    <mergeCell ref="C312:C321"/>
    <mergeCell ref="D312:D313"/>
    <mergeCell ref="E312:E313"/>
    <mergeCell ref="F312:F313"/>
    <mergeCell ref="H312:H313"/>
    <mergeCell ref="D316:D317"/>
    <mergeCell ref="E316:E317"/>
    <mergeCell ref="F316:F317"/>
    <mergeCell ref="H316:H317"/>
    <mergeCell ref="C322:C331"/>
    <mergeCell ref="D322:D323"/>
    <mergeCell ref="E322:E323"/>
    <mergeCell ref="F322:F323"/>
    <mergeCell ref="H322:H323"/>
    <mergeCell ref="I322:I323"/>
    <mergeCell ref="D326:D327"/>
    <mergeCell ref="E326:E327"/>
    <mergeCell ref="F326:F327"/>
    <mergeCell ref="H326:H327"/>
    <mergeCell ref="D320:D321"/>
    <mergeCell ref="E320:E321"/>
    <mergeCell ref="F320:F321"/>
    <mergeCell ref="H320:H321"/>
    <mergeCell ref="I320:I321"/>
    <mergeCell ref="J320:J321"/>
    <mergeCell ref="I316:I317"/>
    <mergeCell ref="J316:J317"/>
    <mergeCell ref="D318:D319"/>
    <mergeCell ref="E318:E319"/>
    <mergeCell ref="F318:F319"/>
    <mergeCell ref="H318:H319"/>
    <mergeCell ref="I318:I319"/>
    <mergeCell ref="J318:J319"/>
    <mergeCell ref="D330:D331"/>
    <mergeCell ref="E330:E331"/>
    <mergeCell ref="F330:F331"/>
    <mergeCell ref="H330:H331"/>
    <mergeCell ref="I330:I331"/>
    <mergeCell ref="J330:J331"/>
    <mergeCell ref="I326:I327"/>
    <mergeCell ref="J326:J327"/>
    <mergeCell ref="D328:D329"/>
    <mergeCell ref="E328:E329"/>
    <mergeCell ref="F328:F329"/>
    <mergeCell ref="H328:H329"/>
    <mergeCell ref="I328:I329"/>
    <mergeCell ref="J328:J329"/>
    <mergeCell ref="J322:J323"/>
    <mergeCell ref="D324:D325"/>
    <mergeCell ref="E324:E325"/>
    <mergeCell ref="F324:F325"/>
    <mergeCell ref="H324:H325"/>
    <mergeCell ref="I324:I325"/>
    <mergeCell ref="J324:J325"/>
    <mergeCell ref="J332:J333"/>
    <mergeCell ref="D334:D335"/>
    <mergeCell ref="E334:E335"/>
    <mergeCell ref="F334:F335"/>
    <mergeCell ref="H334:H335"/>
    <mergeCell ref="I334:I335"/>
    <mergeCell ref="J334:J335"/>
    <mergeCell ref="C332:C341"/>
    <mergeCell ref="D332:D333"/>
    <mergeCell ref="E332:E333"/>
    <mergeCell ref="F332:F333"/>
    <mergeCell ref="H332:H333"/>
    <mergeCell ref="I332:I333"/>
    <mergeCell ref="D336:D337"/>
    <mergeCell ref="E336:E337"/>
    <mergeCell ref="F336:F337"/>
    <mergeCell ref="H336:H337"/>
    <mergeCell ref="C342:C351"/>
    <mergeCell ref="D342:D343"/>
    <mergeCell ref="E342:E343"/>
    <mergeCell ref="F342:F343"/>
    <mergeCell ref="H342:H343"/>
    <mergeCell ref="I342:I343"/>
    <mergeCell ref="D346:D347"/>
    <mergeCell ref="E346:E347"/>
    <mergeCell ref="F346:F347"/>
    <mergeCell ref="H346:H347"/>
    <mergeCell ref="D340:D341"/>
    <mergeCell ref="E340:E341"/>
    <mergeCell ref="F340:F341"/>
    <mergeCell ref="H340:H341"/>
    <mergeCell ref="I340:I341"/>
    <mergeCell ref="J340:J341"/>
    <mergeCell ref="I336:I337"/>
    <mergeCell ref="J336:J337"/>
    <mergeCell ref="D338:D339"/>
    <mergeCell ref="E338:E339"/>
    <mergeCell ref="F338:F339"/>
    <mergeCell ref="H338:H339"/>
    <mergeCell ref="I338:I339"/>
    <mergeCell ref="J338:J339"/>
    <mergeCell ref="D350:D351"/>
    <mergeCell ref="E350:E351"/>
    <mergeCell ref="F350:F351"/>
    <mergeCell ref="H350:H351"/>
    <mergeCell ref="I350:I351"/>
    <mergeCell ref="J350:J351"/>
    <mergeCell ref="I346:I347"/>
    <mergeCell ref="J346:J347"/>
    <mergeCell ref="D348:D349"/>
    <mergeCell ref="E348:E349"/>
    <mergeCell ref="F348:F349"/>
    <mergeCell ref="H348:H349"/>
    <mergeCell ref="I348:I349"/>
    <mergeCell ref="J348:J349"/>
    <mergeCell ref="J342:J343"/>
    <mergeCell ref="D344:D345"/>
    <mergeCell ref="E344:E345"/>
    <mergeCell ref="F344:F345"/>
    <mergeCell ref="H344:H345"/>
    <mergeCell ref="I344:I345"/>
    <mergeCell ref="J344:J345"/>
    <mergeCell ref="I356:I357"/>
    <mergeCell ref="J356:J357"/>
    <mergeCell ref="D358:D359"/>
    <mergeCell ref="E358:E359"/>
    <mergeCell ref="F358:F359"/>
    <mergeCell ref="H358:H359"/>
    <mergeCell ref="I358:I359"/>
    <mergeCell ref="J358:J359"/>
    <mergeCell ref="J352:J353"/>
    <mergeCell ref="D354:D355"/>
    <mergeCell ref="E354:E355"/>
    <mergeCell ref="F354:F355"/>
    <mergeCell ref="H354:H355"/>
    <mergeCell ref="I354:I355"/>
    <mergeCell ref="J354:J355"/>
    <mergeCell ref="C352:C361"/>
    <mergeCell ref="D352:D353"/>
    <mergeCell ref="E352:E353"/>
    <mergeCell ref="F352:F353"/>
    <mergeCell ref="H352:H353"/>
    <mergeCell ref="I352:I353"/>
    <mergeCell ref="D356:D357"/>
    <mergeCell ref="E356:E357"/>
    <mergeCell ref="F356:F357"/>
    <mergeCell ref="H356:H357"/>
    <mergeCell ref="F367:F368"/>
    <mergeCell ref="H367:H368"/>
    <mergeCell ref="I367:I368"/>
    <mergeCell ref="J367:J368"/>
    <mergeCell ref="F369:F370"/>
    <mergeCell ref="H369:H370"/>
    <mergeCell ref="I369:I370"/>
    <mergeCell ref="J369:J370"/>
    <mergeCell ref="F362:F363"/>
    <mergeCell ref="H362:H363"/>
    <mergeCell ref="I362:I363"/>
    <mergeCell ref="J362:J363"/>
    <mergeCell ref="F364:F365"/>
    <mergeCell ref="H364:H365"/>
    <mergeCell ref="I364:I365"/>
    <mergeCell ref="J364:J365"/>
    <mergeCell ref="D360:D361"/>
    <mergeCell ref="E360:E361"/>
    <mergeCell ref="F360:F361"/>
    <mergeCell ref="H360:H361"/>
    <mergeCell ref="I360:I361"/>
    <mergeCell ref="J360:J361"/>
    <mergeCell ref="F379:F380"/>
    <mergeCell ref="H379:H380"/>
    <mergeCell ref="I379:I380"/>
    <mergeCell ref="J379:J380"/>
    <mergeCell ref="F381:F382"/>
    <mergeCell ref="H381:H382"/>
    <mergeCell ref="I381:I382"/>
    <mergeCell ref="J381:J382"/>
    <mergeCell ref="F375:F376"/>
    <mergeCell ref="H375:H376"/>
    <mergeCell ref="I375:I376"/>
    <mergeCell ref="J375:J376"/>
    <mergeCell ref="F377:F378"/>
    <mergeCell ref="H377:H378"/>
    <mergeCell ref="I377:I378"/>
    <mergeCell ref="J377:J378"/>
    <mergeCell ref="F371:F372"/>
    <mergeCell ref="H371:H372"/>
    <mergeCell ref="I371:I372"/>
    <mergeCell ref="J371:J372"/>
    <mergeCell ref="F373:F374"/>
    <mergeCell ref="H373:H374"/>
    <mergeCell ref="I373:I374"/>
    <mergeCell ref="J373:J374"/>
    <mergeCell ref="F391:F392"/>
    <mergeCell ref="H391:H392"/>
    <mergeCell ref="I391:I392"/>
    <mergeCell ref="J391:J392"/>
    <mergeCell ref="F393:F394"/>
    <mergeCell ref="H393:H394"/>
    <mergeCell ref="I393:I394"/>
    <mergeCell ref="J393:J394"/>
    <mergeCell ref="F387:F388"/>
    <mergeCell ref="H387:H388"/>
    <mergeCell ref="I387:I388"/>
    <mergeCell ref="J387:J388"/>
    <mergeCell ref="F389:F390"/>
    <mergeCell ref="H389:H390"/>
    <mergeCell ref="I389:I390"/>
    <mergeCell ref="J389:J390"/>
    <mergeCell ref="F383:F384"/>
    <mergeCell ref="H383:H384"/>
    <mergeCell ref="I383:I384"/>
    <mergeCell ref="J383:J384"/>
    <mergeCell ref="F385:F386"/>
    <mergeCell ref="H385:H386"/>
    <mergeCell ref="I385:I386"/>
    <mergeCell ref="J385:J386"/>
    <mergeCell ref="F403:F404"/>
    <mergeCell ref="H403:H404"/>
    <mergeCell ref="I403:I404"/>
    <mergeCell ref="J403:J404"/>
    <mergeCell ref="F405:F406"/>
    <mergeCell ref="H405:H406"/>
    <mergeCell ref="I405:I406"/>
    <mergeCell ref="J405:J406"/>
    <mergeCell ref="F399:F400"/>
    <mergeCell ref="H399:H400"/>
    <mergeCell ref="I399:I400"/>
    <mergeCell ref="J399:J400"/>
    <mergeCell ref="F401:F402"/>
    <mergeCell ref="H401:H402"/>
    <mergeCell ref="I401:I402"/>
    <mergeCell ref="J401:J402"/>
    <mergeCell ref="F395:F396"/>
    <mergeCell ref="H395:H396"/>
    <mergeCell ref="I395:I396"/>
    <mergeCell ref="J395:J396"/>
    <mergeCell ref="F397:F398"/>
    <mergeCell ref="H397:H398"/>
    <mergeCell ref="I397:I398"/>
    <mergeCell ref="J397:J398"/>
    <mergeCell ref="F415:F416"/>
    <mergeCell ref="H415:H416"/>
    <mergeCell ref="I415:I416"/>
    <mergeCell ref="J415:J416"/>
    <mergeCell ref="F417:F418"/>
    <mergeCell ref="H417:H418"/>
    <mergeCell ref="I417:I418"/>
    <mergeCell ref="J417:J418"/>
    <mergeCell ref="F411:F412"/>
    <mergeCell ref="H411:H412"/>
    <mergeCell ref="I411:I412"/>
    <mergeCell ref="J411:J412"/>
    <mergeCell ref="F413:F414"/>
    <mergeCell ref="H413:H414"/>
    <mergeCell ref="I413:I414"/>
    <mergeCell ref="J413:J414"/>
    <mergeCell ref="F407:F408"/>
    <mergeCell ref="H407:H408"/>
    <mergeCell ref="I407:I408"/>
    <mergeCell ref="J407:J408"/>
    <mergeCell ref="F409:F410"/>
    <mergeCell ref="H409:H410"/>
    <mergeCell ref="I409:I410"/>
    <mergeCell ref="J409:J410"/>
    <mergeCell ref="F427:F428"/>
    <mergeCell ref="H427:H428"/>
    <mergeCell ref="I427:I428"/>
    <mergeCell ref="J427:J428"/>
    <mergeCell ref="F429:F430"/>
    <mergeCell ref="H429:H430"/>
    <mergeCell ref="I429:I430"/>
    <mergeCell ref="J429:J430"/>
    <mergeCell ref="F423:F424"/>
    <mergeCell ref="H423:H424"/>
    <mergeCell ref="I423:I424"/>
    <mergeCell ref="J423:J424"/>
    <mergeCell ref="F425:F426"/>
    <mergeCell ref="H425:H426"/>
    <mergeCell ref="I425:I426"/>
    <mergeCell ref="J425:J426"/>
    <mergeCell ref="F419:F420"/>
    <mergeCell ref="H419:H420"/>
    <mergeCell ref="I419:I420"/>
    <mergeCell ref="J419:J420"/>
    <mergeCell ref="F421:F422"/>
    <mergeCell ref="H421:H422"/>
    <mergeCell ref="I421:I422"/>
    <mergeCell ref="J421:J422"/>
    <mergeCell ref="F439:F440"/>
    <mergeCell ref="H439:H440"/>
    <mergeCell ref="I439:I440"/>
    <mergeCell ref="J439:J440"/>
    <mergeCell ref="F441:F442"/>
    <mergeCell ref="H441:H442"/>
    <mergeCell ref="I441:I442"/>
    <mergeCell ref="J441:J442"/>
    <mergeCell ref="F435:F436"/>
    <mergeCell ref="H435:H436"/>
    <mergeCell ref="I435:I436"/>
    <mergeCell ref="J435:J436"/>
    <mergeCell ref="F437:F438"/>
    <mergeCell ref="H437:H438"/>
    <mergeCell ref="I437:I438"/>
    <mergeCell ref="J437:J438"/>
    <mergeCell ref="F431:F432"/>
    <mergeCell ref="H431:H432"/>
    <mergeCell ref="I431:I432"/>
    <mergeCell ref="J431:J432"/>
    <mergeCell ref="F433:F434"/>
    <mergeCell ref="H433:H434"/>
    <mergeCell ref="I433:I434"/>
    <mergeCell ref="J433:J434"/>
    <mergeCell ref="F451:F452"/>
    <mergeCell ref="H451:H452"/>
    <mergeCell ref="I451:I452"/>
    <mergeCell ref="J451:J452"/>
    <mergeCell ref="F453:F454"/>
    <mergeCell ref="H453:H454"/>
    <mergeCell ref="I453:I454"/>
    <mergeCell ref="J453:J454"/>
    <mergeCell ref="F447:F448"/>
    <mergeCell ref="H447:H448"/>
    <mergeCell ref="I447:I448"/>
    <mergeCell ref="J447:J448"/>
    <mergeCell ref="F449:F450"/>
    <mergeCell ref="H449:H450"/>
    <mergeCell ref="I449:I450"/>
    <mergeCell ref="J449:J450"/>
    <mergeCell ref="F443:F444"/>
    <mergeCell ref="H443:H444"/>
    <mergeCell ref="I443:I444"/>
    <mergeCell ref="J443:J444"/>
    <mergeCell ref="F445:F446"/>
    <mergeCell ref="H445:H446"/>
    <mergeCell ref="I445:I446"/>
    <mergeCell ref="J445:J446"/>
    <mergeCell ref="F463:F464"/>
    <mergeCell ref="H463:H464"/>
    <mergeCell ref="I463:I464"/>
    <mergeCell ref="J463:J464"/>
    <mergeCell ref="F465:F466"/>
    <mergeCell ref="H465:H466"/>
    <mergeCell ref="I465:I466"/>
    <mergeCell ref="J465:J466"/>
    <mergeCell ref="F459:F460"/>
    <mergeCell ref="H459:H460"/>
    <mergeCell ref="I459:I460"/>
    <mergeCell ref="J459:J460"/>
    <mergeCell ref="F461:F462"/>
    <mergeCell ref="H461:H462"/>
    <mergeCell ref="I461:I462"/>
    <mergeCell ref="J461:J462"/>
    <mergeCell ref="F455:F456"/>
    <mergeCell ref="H455:H456"/>
    <mergeCell ref="I455:I456"/>
    <mergeCell ref="J455:J456"/>
    <mergeCell ref="F457:F458"/>
    <mergeCell ref="H457:H458"/>
    <mergeCell ref="I457:I458"/>
    <mergeCell ref="J457:J458"/>
    <mergeCell ref="F475:F476"/>
    <mergeCell ref="H475:H476"/>
    <mergeCell ref="I475:I476"/>
    <mergeCell ref="J475:J476"/>
    <mergeCell ref="F477:F478"/>
    <mergeCell ref="H477:H478"/>
    <mergeCell ref="I477:I478"/>
    <mergeCell ref="J477:J478"/>
    <mergeCell ref="F471:F472"/>
    <mergeCell ref="H471:H472"/>
    <mergeCell ref="I471:I472"/>
    <mergeCell ref="J471:J472"/>
    <mergeCell ref="F473:F474"/>
    <mergeCell ref="H473:H474"/>
    <mergeCell ref="I473:I474"/>
    <mergeCell ref="J473:J474"/>
    <mergeCell ref="F467:F468"/>
    <mergeCell ref="H467:H468"/>
    <mergeCell ref="I467:I468"/>
    <mergeCell ref="J467:J468"/>
    <mergeCell ref="F469:F470"/>
    <mergeCell ref="H469:H470"/>
    <mergeCell ref="I469:I470"/>
    <mergeCell ref="J469:J470"/>
    <mergeCell ref="F487:F488"/>
    <mergeCell ref="H487:H488"/>
    <mergeCell ref="I487:I488"/>
    <mergeCell ref="J487:J488"/>
    <mergeCell ref="F489:F490"/>
    <mergeCell ref="H489:H490"/>
    <mergeCell ref="I489:I490"/>
    <mergeCell ref="J489:J490"/>
    <mergeCell ref="F483:F484"/>
    <mergeCell ref="H483:H484"/>
    <mergeCell ref="I483:I484"/>
    <mergeCell ref="J483:J484"/>
    <mergeCell ref="F485:F486"/>
    <mergeCell ref="H485:H486"/>
    <mergeCell ref="I485:I486"/>
    <mergeCell ref="J485:J486"/>
    <mergeCell ref="F479:F480"/>
    <mergeCell ref="H479:H480"/>
    <mergeCell ref="I479:I480"/>
    <mergeCell ref="J479:J480"/>
    <mergeCell ref="F481:F482"/>
    <mergeCell ref="H481:H482"/>
    <mergeCell ref="I481:I482"/>
    <mergeCell ref="J481:J482"/>
    <mergeCell ref="F499:F500"/>
    <mergeCell ref="H499:H500"/>
    <mergeCell ref="I499:I500"/>
    <mergeCell ref="J499:J500"/>
    <mergeCell ref="F501:F502"/>
    <mergeCell ref="H501:H502"/>
    <mergeCell ref="I501:I502"/>
    <mergeCell ref="J501:J502"/>
    <mergeCell ref="F495:F496"/>
    <mergeCell ref="H495:H496"/>
    <mergeCell ref="I495:I496"/>
    <mergeCell ref="J495:J496"/>
    <mergeCell ref="F497:F498"/>
    <mergeCell ref="H497:H498"/>
    <mergeCell ref="I497:I498"/>
    <mergeCell ref="J497:J498"/>
    <mergeCell ref="F491:F492"/>
    <mergeCell ref="H491:H492"/>
    <mergeCell ref="I491:I492"/>
    <mergeCell ref="J491:J492"/>
    <mergeCell ref="F493:F494"/>
    <mergeCell ref="H493:H494"/>
    <mergeCell ref="I493:I494"/>
    <mergeCell ref="J493:J494"/>
    <mergeCell ref="F511:F512"/>
    <mergeCell ref="H511:H512"/>
    <mergeCell ref="I511:I512"/>
    <mergeCell ref="J511:J512"/>
    <mergeCell ref="F513:F514"/>
    <mergeCell ref="H513:H514"/>
    <mergeCell ref="I513:I514"/>
    <mergeCell ref="J513:J514"/>
    <mergeCell ref="F507:F508"/>
    <mergeCell ref="H507:H508"/>
    <mergeCell ref="I507:I508"/>
    <mergeCell ref="J507:J508"/>
    <mergeCell ref="F509:F510"/>
    <mergeCell ref="H509:H510"/>
    <mergeCell ref="I509:I510"/>
    <mergeCell ref="J509:J510"/>
    <mergeCell ref="F503:F504"/>
    <mergeCell ref="H503:H504"/>
    <mergeCell ref="I503:I504"/>
    <mergeCell ref="J503:J504"/>
    <mergeCell ref="F505:F506"/>
    <mergeCell ref="H505:H506"/>
    <mergeCell ref="I505:I506"/>
    <mergeCell ref="J505:J506"/>
    <mergeCell ref="F523:F524"/>
    <mergeCell ref="H523:H524"/>
    <mergeCell ref="I523:I524"/>
    <mergeCell ref="J523:J524"/>
    <mergeCell ref="F525:F526"/>
    <mergeCell ref="H525:H526"/>
    <mergeCell ref="I525:I526"/>
    <mergeCell ref="J525:J526"/>
    <mergeCell ref="F519:F520"/>
    <mergeCell ref="H519:H520"/>
    <mergeCell ref="I519:I520"/>
    <mergeCell ref="J519:J520"/>
    <mergeCell ref="F521:F522"/>
    <mergeCell ref="H521:H522"/>
    <mergeCell ref="I521:I522"/>
    <mergeCell ref="J521:J522"/>
    <mergeCell ref="F515:F516"/>
    <mergeCell ref="H515:H516"/>
    <mergeCell ref="I515:I516"/>
    <mergeCell ref="J515:J516"/>
    <mergeCell ref="F517:F518"/>
    <mergeCell ref="H517:H518"/>
    <mergeCell ref="I517:I518"/>
    <mergeCell ref="J517:J518"/>
    <mergeCell ref="F535:F536"/>
    <mergeCell ref="H535:H536"/>
    <mergeCell ref="I535:I536"/>
    <mergeCell ref="J535:J536"/>
    <mergeCell ref="F537:F538"/>
    <mergeCell ref="H537:H538"/>
    <mergeCell ref="I537:I538"/>
    <mergeCell ref="J537:J538"/>
    <mergeCell ref="F531:F532"/>
    <mergeCell ref="H531:H532"/>
    <mergeCell ref="I531:I532"/>
    <mergeCell ref="J531:J532"/>
    <mergeCell ref="F533:F534"/>
    <mergeCell ref="H533:H534"/>
    <mergeCell ref="I533:I534"/>
    <mergeCell ref="J533:J534"/>
    <mergeCell ref="F527:F528"/>
    <mergeCell ref="H527:H528"/>
    <mergeCell ref="I527:I528"/>
    <mergeCell ref="J527:J528"/>
    <mergeCell ref="F529:F530"/>
    <mergeCell ref="H529:H530"/>
    <mergeCell ref="I529:I530"/>
    <mergeCell ref="J529:J530"/>
    <mergeCell ref="F547:F548"/>
    <mergeCell ref="H547:H548"/>
    <mergeCell ref="I547:I548"/>
    <mergeCell ref="J547:J548"/>
    <mergeCell ref="F549:F550"/>
    <mergeCell ref="H549:H550"/>
    <mergeCell ref="I549:I550"/>
    <mergeCell ref="J549:J550"/>
    <mergeCell ref="F543:F544"/>
    <mergeCell ref="H543:H544"/>
    <mergeCell ref="I543:I544"/>
    <mergeCell ref="J543:J544"/>
    <mergeCell ref="F545:F546"/>
    <mergeCell ref="H545:H546"/>
    <mergeCell ref="I545:I546"/>
    <mergeCell ref="J545:J546"/>
    <mergeCell ref="F539:F540"/>
    <mergeCell ref="H539:H540"/>
    <mergeCell ref="I539:I540"/>
    <mergeCell ref="J539:J540"/>
    <mergeCell ref="F541:F542"/>
    <mergeCell ref="H541:H542"/>
    <mergeCell ref="I541:I542"/>
    <mergeCell ref="J541:J542"/>
    <mergeCell ref="F559:F560"/>
    <mergeCell ref="H559:H560"/>
    <mergeCell ref="I559:I560"/>
    <mergeCell ref="J559:J560"/>
    <mergeCell ref="F561:F562"/>
    <mergeCell ref="H561:H562"/>
    <mergeCell ref="I561:I562"/>
    <mergeCell ref="J561:J562"/>
    <mergeCell ref="F555:F556"/>
    <mergeCell ref="H555:H556"/>
    <mergeCell ref="I555:I556"/>
    <mergeCell ref="J555:J556"/>
    <mergeCell ref="F557:F558"/>
    <mergeCell ref="H557:H558"/>
    <mergeCell ref="I557:I558"/>
    <mergeCell ref="J557:J558"/>
    <mergeCell ref="F551:F552"/>
    <mergeCell ref="H551:H552"/>
    <mergeCell ref="I551:I552"/>
    <mergeCell ref="J551:J552"/>
    <mergeCell ref="F553:F554"/>
    <mergeCell ref="H553:H554"/>
    <mergeCell ref="I553:I554"/>
    <mergeCell ref="J553:J554"/>
    <mergeCell ref="F571:F572"/>
    <mergeCell ref="H571:H572"/>
    <mergeCell ref="I571:I572"/>
    <mergeCell ref="J571:J572"/>
    <mergeCell ref="F573:F574"/>
    <mergeCell ref="H573:H574"/>
    <mergeCell ref="I573:I574"/>
    <mergeCell ref="J573:J574"/>
    <mergeCell ref="F567:F568"/>
    <mergeCell ref="H567:H568"/>
    <mergeCell ref="I567:I568"/>
    <mergeCell ref="J567:J568"/>
    <mergeCell ref="F569:F570"/>
    <mergeCell ref="H569:H570"/>
    <mergeCell ref="I569:I570"/>
    <mergeCell ref="J569:J570"/>
    <mergeCell ref="F563:F564"/>
    <mergeCell ref="H563:H564"/>
    <mergeCell ref="I563:I564"/>
    <mergeCell ref="J563:J564"/>
    <mergeCell ref="F565:F566"/>
    <mergeCell ref="H565:H566"/>
    <mergeCell ref="I565:I566"/>
    <mergeCell ref="J565:J566"/>
    <mergeCell ref="F583:F584"/>
    <mergeCell ref="H583:H584"/>
    <mergeCell ref="I583:I584"/>
    <mergeCell ref="J583:J584"/>
    <mergeCell ref="F585:F586"/>
    <mergeCell ref="H585:H586"/>
    <mergeCell ref="I585:I586"/>
    <mergeCell ref="J585:J586"/>
    <mergeCell ref="F579:F580"/>
    <mergeCell ref="H579:H580"/>
    <mergeCell ref="I579:I580"/>
    <mergeCell ref="J579:J580"/>
    <mergeCell ref="F581:F582"/>
    <mergeCell ref="H581:H582"/>
    <mergeCell ref="I581:I582"/>
    <mergeCell ref="J581:J582"/>
    <mergeCell ref="F575:F576"/>
    <mergeCell ref="H575:H576"/>
    <mergeCell ref="I575:I576"/>
    <mergeCell ref="J575:J576"/>
    <mergeCell ref="F577:F578"/>
    <mergeCell ref="H577:H578"/>
    <mergeCell ref="I577:I578"/>
    <mergeCell ref="J577:J578"/>
    <mergeCell ref="F595:F596"/>
    <mergeCell ref="H595:H596"/>
    <mergeCell ref="I595:I596"/>
    <mergeCell ref="J595:J596"/>
    <mergeCell ref="F597:F598"/>
    <mergeCell ref="H597:H598"/>
    <mergeCell ref="I597:I598"/>
    <mergeCell ref="J597:J598"/>
    <mergeCell ref="F591:F592"/>
    <mergeCell ref="H591:H592"/>
    <mergeCell ref="I591:I592"/>
    <mergeCell ref="J591:J592"/>
    <mergeCell ref="F593:F594"/>
    <mergeCell ref="H593:H594"/>
    <mergeCell ref="I593:I594"/>
    <mergeCell ref="J593:J594"/>
    <mergeCell ref="F587:F588"/>
    <mergeCell ref="H587:H588"/>
    <mergeCell ref="I587:I588"/>
    <mergeCell ref="J587:J588"/>
    <mergeCell ref="F589:F590"/>
    <mergeCell ref="H589:H590"/>
    <mergeCell ref="I589:I590"/>
    <mergeCell ref="J589:J590"/>
    <mergeCell ref="F607:F608"/>
    <mergeCell ref="H607:H608"/>
    <mergeCell ref="I607:I608"/>
    <mergeCell ref="J607:J608"/>
    <mergeCell ref="F609:F610"/>
    <mergeCell ref="H609:H610"/>
    <mergeCell ref="I609:I610"/>
    <mergeCell ref="J609:J610"/>
    <mergeCell ref="F603:F604"/>
    <mergeCell ref="H603:H604"/>
    <mergeCell ref="I603:I604"/>
    <mergeCell ref="J603:J604"/>
    <mergeCell ref="F605:F606"/>
    <mergeCell ref="H605:H606"/>
    <mergeCell ref="I605:I606"/>
    <mergeCell ref="J605:J606"/>
    <mergeCell ref="F599:F600"/>
    <mergeCell ref="H599:H600"/>
    <mergeCell ref="I599:I600"/>
    <mergeCell ref="J599:J600"/>
    <mergeCell ref="F601:F602"/>
    <mergeCell ref="H601:H602"/>
    <mergeCell ref="I601:I602"/>
    <mergeCell ref="J601:J602"/>
    <mergeCell ref="F619:F620"/>
    <mergeCell ref="H619:H620"/>
    <mergeCell ref="I619:I620"/>
    <mergeCell ref="J619:J620"/>
    <mergeCell ref="F621:F622"/>
    <mergeCell ref="H621:H622"/>
    <mergeCell ref="I621:I622"/>
    <mergeCell ref="J621:J622"/>
    <mergeCell ref="F615:F616"/>
    <mergeCell ref="H615:H616"/>
    <mergeCell ref="I615:I616"/>
    <mergeCell ref="J615:J616"/>
    <mergeCell ref="F617:F618"/>
    <mergeCell ref="H617:H618"/>
    <mergeCell ref="I617:I618"/>
    <mergeCell ref="J617:J618"/>
    <mergeCell ref="F611:F612"/>
    <mergeCell ref="H611:H612"/>
    <mergeCell ref="I611:I612"/>
    <mergeCell ref="J611:J612"/>
    <mergeCell ref="F613:F614"/>
    <mergeCell ref="H613:H614"/>
    <mergeCell ref="I613:I614"/>
    <mergeCell ref="J613:J614"/>
    <mergeCell ref="F631:F632"/>
    <mergeCell ref="H631:H632"/>
    <mergeCell ref="I631:I632"/>
    <mergeCell ref="J631:J632"/>
    <mergeCell ref="F633:F634"/>
    <mergeCell ref="H633:H634"/>
    <mergeCell ref="I633:I634"/>
    <mergeCell ref="J633:J634"/>
    <mergeCell ref="F627:F628"/>
    <mergeCell ref="H627:H628"/>
    <mergeCell ref="I627:I628"/>
    <mergeCell ref="J627:J628"/>
    <mergeCell ref="F629:F630"/>
    <mergeCell ref="H629:H630"/>
    <mergeCell ref="I629:I630"/>
    <mergeCell ref="J629:J630"/>
    <mergeCell ref="F623:F624"/>
    <mergeCell ref="H623:H624"/>
    <mergeCell ref="I623:I624"/>
    <mergeCell ref="J623:J624"/>
    <mergeCell ref="F625:F626"/>
    <mergeCell ref="H625:H626"/>
    <mergeCell ref="I625:I626"/>
    <mergeCell ref="J625:J626"/>
    <mergeCell ref="F643:F644"/>
    <mergeCell ref="H643:H644"/>
    <mergeCell ref="I643:I644"/>
    <mergeCell ref="J643:J644"/>
    <mergeCell ref="F645:F646"/>
    <mergeCell ref="H645:H646"/>
    <mergeCell ref="I645:I646"/>
    <mergeCell ref="J645:J646"/>
    <mergeCell ref="F639:F640"/>
    <mergeCell ref="H639:H640"/>
    <mergeCell ref="I639:I640"/>
    <mergeCell ref="J639:J640"/>
    <mergeCell ref="F641:F642"/>
    <mergeCell ref="H641:H642"/>
    <mergeCell ref="I641:I642"/>
    <mergeCell ref="J641:J642"/>
    <mergeCell ref="F635:F636"/>
    <mergeCell ref="H635:H636"/>
    <mergeCell ref="I635:I636"/>
    <mergeCell ref="J635:J636"/>
    <mergeCell ref="F637:F638"/>
    <mergeCell ref="H637:H638"/>
    <mergeCell ref="I637:I638"/>
    <mergeCell ref="J637:J638"/>
    <mergeCell ref="F655:F656"/>
    <mergeCell ref="H655:H656"/>
    <mergeCell ref="I655:I656"/>
    <mergeCell ref="J655:J656"/>
    <mergeCell ref="F657:F658"/>
    <mergeCell ref="H657:H658"/>
    <mergeCell ref="I657:I658"/>
    <mergeCell ref="J657:J658"/>
    <mergeCell ref="F651:F652"/>
    <mergeCell ref="H651:H652"/>
    <mergeCell ref="I651:I652"/>
    <mergeCell ref="J651:J652"/>
    <mergeCell ref="F653:F654"/>
    <mergeCell ref="H653:H654"/>
    <mergeCell ref="I653:I654"/>
    <mergeCell ref="J653:J654"/>
    <mergeCell ref="F647:F648"/>
    <mergeCell ref="H647:H648"/>
    <mergeCell ref="I647:I648"/>
    <mergeCell ref="J647:J648"/>
    <mergeCell ref="F649:F650"/>
    <mergeCell ref="H649:H650"/>
    <mergeCell ref="I649:I650"/>
    <mergeCell ref="J649:J650"/>
    <mergeCell ref="F667:F668"/>
    <mergeCell ref="H667:H668"/>
    <mergeCell ref="I667:I668"/>
    <mergeCell ref="J667:J668"/>
    <mergeCell ref="F669:F670"/>
    <mergeCell ref="H669:H670"/>
    <mergeCell ref="I669:I670"/>
    <mergeCell ref="J669:J670"/>
    <mergeCell ref="F663:F664"/>
    <mergeCell ref="H663:H664"/>
    <mergeCell ref="I663:I664"/>
    <mergeCell ref="J663:J664"/>
    <mergeCell ref="F665:F666"/>
    <mergeCell ref="H665:H666"/>
    <mergeCell ref="I665:I666"/>
    <mergeCell ref="J665:J666"/>
    <mergeCell ref="F659:F660"/>
    <mergeCell ref="H659:H660"/>
    <mergeCell ref="I659:I660"/>
    <mergeCell ref="J659:J660"/>
    <mergeCell ref="F661:F662"/>
    <mergeCell ref="H661:H662"/>
    <mergeCell ref="I661:I662"/>
    <mergeCell ref="J661:J662"/>
    <mergeCell ref="F679:F680"/>
    <mergeCell ref="H679:H680"/>
    <mergeCell ref="I679:I680"/>
    <mergeCell ref="J679:J680"/>
    <mergeCell ref="F681:F682"/>
    <mergeCell ref="H681:H682"/>
    <mergeCell ref="I681:I682"/>
    <mergeCell ref="J681:J682"/>
    <mergeCell ref="F675:F676"/>
    <mergeCell ref="H675:H676"/>
    <mergeCell ref="I675:I676"/>
    <mergeCell ref="J675:J676"/>
    <mergeCell ref="F677:F678"/>
    <mergeCell ref="H677:H678"/>
    <mergeCell ref="I677:I678"/>
    <mergeCell ref="J677:J678"/>
    <mergeCell ref="F671:F672"/>
    <mergeCell ref="H671:H672"/>
    <mergeCell ref="I671:I672"/>
    <mergeCell ref="J671:J672"/>
    <mergeCell ref="F673:F674"/>
    <mergeCell ref="H673:H674"/>
    <mergeCell ref="I673:I674"/>
    <mergeCell ref="J673:J674"/>
    <mergeCell ref="F691:F692"/>
    <mergeCell ref="H691:H692"/>
    <mergeCell ref="I691:I692"/>
    <mergeCell ref="J691:J692"/>
    <mergeCell ref="F693:F694"/>
    <mergeCell ref="H693:H694"/>
    <mergeCell ref="I693:I694"/>
    <mergeCell ref="J693:J694"/>
    <mergeCell ref="F687:F688"/>
    <mergeCell ref="H687:H688"/>
    <mergeCell ref="I687:I688"/>
    <mergeCell ref="J687:J688"/>
    <mergeCell ref="F689:F690"/>
    <mergeCell ref="H689:H690"/>
    <mergeCell ref="I689:I690"/>
    <mergeCell ref="J689:J690"/>
    <mergeCell ref="F683:F684"/>
    <mergeCell ref="H683:H684"/>
    <mergeCell ref="I683:I684"/>
    <mergeCell ref="J683:J684"/>
    <mergeCell ref="F685:F686"/>
    <mergeCell ref="H685:H686"/>
    <mergeCell ref="I685:I686"/>
    <mergeCell ref="J685:J686"/>
    <mergeCell ref="F703:F704"/>
    <mergeCell ref="H703:H704"/>
    <mergeCell ref="I703:I704"/>
    <mergeCell ref="J703:J704"/>
    <mergeCell ref="F705:F706"/>
    <mergeCell ref="H705:H706"/>
    <mergeCell ref="I705:I706"/>
    <mergeCell ref="J705:J706"/>
    <mergeCell ref="F699:F700"/>
    <mergeCell ref="H699:H700"/>
    <mergeCell ref="I699:I700"/>
    <mergeCell ref="J699:J700"/>
    <mergeCell ref="F701:F702"/>
    <mergeCell ref="H701:H702"/>
    <mergeCell ref="I701:I702"/>
    <mergeCell ref="J701:J702"/>
    <mergeCell ref="F695:F696"/>
    <mergeCell ref="H695:H696"/>
    <mergeCell ref="I695:I696"/>
    <mergeCell ref="J695:J696"/>
    <mergeCell ref="F697:F698"/>
    <mergeCell ref="H697:H698"/>
    <mergeCell ref="I697:I698"/>
    <mergeCell ref="J697:J698"/>
    <mergeCell ref="F715:F716"/>
    <mergeCell ref="H715:H716"/>
    <mergeCell ref="I715:I716"/>
    <mergeCell ref="J715:J716"/>
    <mergeCell ref="F717:F718"/>
    <mergeCell ref="H717:H718"/>
    <mergeCell ref="I717:I718"/>
    <mergeCell ref="J717:J718"/>
    <mergeCell ref="F711:F712"/>
    <mergeCell ref="H711:H712"/>
    <mergeCell ref="I711:I712"/>
    <mergeCell ref="J711:J712"/>
    <mergeCell ref="F713:F714"/>
    <mergeCell ref="H713:H714"/>
    <mergeCell ref="I713:I714"/>
    <mergeCell ref="J713:J714"/>
    <mergeCell ref="F707:F708"/>
    <mergeCell ref="H707:H708"/>
    <mergeCell ref="I707:I708"/>
    <mergeCell ref="J707:J708"/>
    <mergeCell ref="F709:F710"/>
    <mergeCell ref="H709:H710"/>
    <mergeCell ref="I709:I710"/>
    <mergeCell ref="J709:J710"/>
    <mergeCell ref="F727:F728"/>
    <mergeCell ref="H727:H728"/>
    <mergeCell ref="I727:I728"/>
    <mergeCell ref="J727:J728"/>
    <mergeCell ref="F729:F730"/>
    <mergeCell ref="H729:H730"/>
    <mergeCell ref="I729:I730"/>
    <mergeCell ref="J729:J730"/>
    <mergeCell ref="F723:F724"/>
    <mergeCell ref="H723:H724"/>
    <mergeCell ref="I723:I724"/>
    <mergeCell ref="J723:J724"/>
    <mergeCell ref="F725:F726"/>
    <mergeCell ref="H725:H726"/>
    <mergeCell ref="I725:I726"/>
    <mergeCell ref="J725:J726"/>
    <mergeCell ref="F719:F720"/>
    <mergeCell ref="H719:H720"/>
    <mergeCell ref="I719:I720"/>
    <mergeCell ref="J719:J720"/>
    <mergeCell ref="F721:F722"/>
    <mergeCell ref="H721:H722"/>
    <mergeCell ref="I721:I722"/>
    <mergeCell ref="J721:J722"/>
    <mergeCell ref="F739:F740"/>
    <mergeCell ref="H739:H740"/>
    <mergeCell ref="I739:I740"/>
    <mergeCell ref="J739:J740"/>
    <mergeCell ref="F741:F742"/>
    <mergeCell ref="H741:H742"/>
    <mergeCell ref="I741:I742"/>
    <mergeCell ref="J741:J742"/>
    <mergeCell ref="F735:F736"/>
    <mergeCell ref="H735:H736"/>
    <mergeCell ref="I735:I736"/>
    <mergeCell ref="J735:J736"/>
    <mergeCell ref="F737:F738"/>
    <mergeCell ref="H737:H738"/>
    <mergeCell ref="I737:I738"/>
    <mergeCell ref="J737:J738"/>
    <mergeCell ref="F731:F732"/>
    <mergeCell ref="H731:H732"/>
    <mergeCell ref="I731:I732"/>
    <mergeCell ref="J731:J732"/>
    <mergeCell ref="F733:F734"/>
    <mergeCell ref="H733:H734"/>
    <mergeCell ref="I733:I734"/>
    <mergeCell ref="J733:J734"/>
    <mergeCell ref="F751:F752"/>
    <mergeCell ref="H751:H752"/>
    <mergeCell ref="I751:I752"/>
    <mergeCell ref="J751:J752"/>
    <mergeCell ref="F753:F754"/>
    <mergeCell ref="H753:H754"/>
    <mergeCell ref="I753:I754"/>
    <mergeCell ref="J753:J754"/>
    <mergeCell ref="F747:F748"/>
    <mergeCell ref="H747:H748"/>
    <mergeCell ref="I747:I748"/>
    <mergeCell ref="J747:J748"/>
    <mergeCell ref="F749:F750"/>
    <mergeCell ref="H749:H750"/>
    <mergeCell ref="I749:I750"/>
    <mergeCell ref="J749:J750"/>
    <mergeCell ref="F743:F744"/>
    <mergeCell ref="H743:H744"/>
    <mergeCell ref="I743:I744"/>
    <mergeCell ref="J743:J744"/>
    <mergeCell ref="F745:F746"/>
    <mergeCell ref="H745:H746"/>
    <mergeCell ref="I745:I746"/>
    <mergeCell ref="J745:J746"/>
    <mergeCell ref="F763:F764"/>
    <mergeCell ref="H763:H764"/>
    <mergeCell ref="I763:I764"/>
    <mergeCell ref="J763:J764"/>
    <mergeCell ref="F765:F766"/>
    <mergeCell ref="H765:H766"/>
    <mergeCell ref="I765:I766"/>
    <mergeCell ref="J765:J766"/>
    <mergeCell ref="F759:F760"/>
    <mergeCell ref="H759:H760"/>
    <mergeCell ref="I759:I760"/>
    <mergeCell ref="J759:J760"/>
    <mergeCell ref="F761:F762"/>
    <mergeCell ref="H761:H762"/>
    <mergeCell ref="I761:I762"/>
    <mergeCell ref="J761:J762"/>
    <mergeCell ref="F755:F756"/>
    <mergeCell ref="H755:H756"/>
    <mergeCell ref="I755:I756"/>
    <mergeCell ref="J755:J756"/>
    <mergeCell ref="F757:F758"/>
    <mergeCell ref="H757:H758"/>
    <mergeCell ref="I757:I758"/>
    <mergeCell ref="J757:J758"/>
    <mergeCell ref="F775:F776"/>
    <mergeCell ref="H775:H776"/>
    <mergeCell ref="I775:I776"/>
    <mergeCell ref="J775:J776"/>
    <mergeCell ref="F777:F778"/>
    <mergeCell ref="H777:H778"/>
    <mergeCell ref="I777:I778"/>
    <mergeCell ref="J777:J778"/>
    <mergeCell ref="F771:F772"/>
    <mergeCell ref="H771:H772"/>
    <mergeCell ref="I771:I772"/>
    <mergeCell ref="J771:J772"/>
    <mergeCell ref="F773:F774"/>
    <mergeCell ref="H773:H774"/>
    <mergeCell ref="I773:I774"/>
    <mergeCell ref="J773:J774"/>
    <mergeCell ref="F767:F768"/>
    <mergeCell ref="H767:H768"/>
    <mergeCell ref="I767:I768"/>
    <mergeCell ref="J767:J768"/>
    <mergeCell ref="F769:F770"/>
    <mergeCell ref="H769:H770"/>
    <mergeCell ref="I769:I770"/>
    <mergeCell ref="J769:J770"/>
    <mergeCell ref="F787:F788"/>
    <mergeCell ref="H787:H788"/>
    <mergeCell ref="I787:I788"/>
    <mergeCell ref="J787:J788"/>
    <mergeCell ref="F789:F790"/>
    <mergeCell ref="H789:H790"/>
    <mergeCell ref="I789:I790"/>
    <mergeCell ref="J789:J790"/>
    <mergeCell ref="F783:F784"/>
    <mergeCell ref="H783:H784"/>
    <mergeCell ref="I783:I784"/>
    <mergeCell ref="J783:J784"/>
    <mergeCell ref="F785:F786"/>
    <mergeCell ref="H785:H786"/>
    <mergeCell ref="I785:I786"/>
    <mergeCell ref="J785:J786"/>
    <mergeCell ref="F779:F780"/>
    <mergeCell ref="H779:H780"/>
    <mergeCell ref="I779:I780"/>
    <mergeCell ref="J779:J780"/>
    <mergeCell ref="F781:F782"/>
    <mergeCell ref="H781:H782"/>
    <mergeCell ref="I781:I782"/>
    <mergeCell ref="J781:J782"/>
    <mergeCell ref="F799:F800"/>
    <mergeCell ref="H799:H800"/>
    <mergeCell ref="I799:I800"/>
    <mergeCell ref="J799:J800"/>
    <mergeCell ref="F801:F802"/>
    <mergeCell ref="H801:H802"/>
    <mergeCell ref="I801:I802"/>
    <mergeCell ref="J801:J802"/>
    <mergeCell ref="F795:F796"/>
    <mergeCell ref="H795:H796"/>
    <mergeCell ref="I795:I796"/>
    <mergeCell ref="J795:J796"/>
    <mergeCell ref="F797:F798"/>
    <mergeCell ref="H797:H798"/>
    <mergeCell ref="I797:I798"/>
    <mergeCell ref="J797:J798"/>
    <mergeCell ref="F791:F792"/>
    <mergeCell ref="H791:H792"/>
    <mergeCell ref="I791:I792"/>
    <mergeCell ref="J791:J792"/>
    <mergeCell ref="F793:F794"/>
    <mergeCell ref="H793:H794"/>
    <mergeCell ref="I793:I794"/>
    <mergeCell ref="J793:J794"/>
    <mergeCell ref="F811:F812"/>
    <mergeCell ref="H811:H812"/>
    <mergeCell ref="I811:I812"/>
    <mergeCell ref="J811:J812"/>
    <mergeCell ref="F813:F814"/>
    <mergeCell ref="H813:H814"/>
    <mergeCell ref="I813:I814"/>
    <mergeCell ref="J813:J814"/>
    <mergeCell ref="F807:F808"/>
    <mergeCell ref="H807:H808"/>
    <mergeCell ref="I807:I808"/>
    <mergeCell ref="J807:J808"/>
    <mergeCell ref="F809:F810"/>
    <mergeCell ref="H809:H810"/>
    <mergeCell ref="I809:I810"/>
    <mergeCell ref="J809:J810"/>
    <mergeCell ref="F803:F804"/>
    <mergeCell ref="H803:H804"/>
    <mergeCell ref="I803:I804"/>
    <mergeCell ref="J803:J804"/>
    <mergeCell ref="F805:F806"/>
    <mergeCell ref="H805:H806"/>
    <mergeCell ref="I805:I806"/>
    <mergeCell ref="J805:J806"/>
    <mergeCell ref="F823:F824"/>
    <mergeCell ref="H823:H824"/>
    <mergeCell ref="I823:I824"/>
    <mergeCell ref="J823:J824"/>
    <mergeCell ref="F825:F826"/>
    <mergeCell ref="H825:H826"/>
    <mergeCell ref="I825:I826"/>
    <mergeCell ref="J825:J826"/>
    <mergeCell ref="F819:F820"/>
    <mergeCell ref="H819:H820"/>
    <mergeCell ref="I819:I820"/>
    <mergeCell ref="J819:J820"/>
    <mergeCell ref="F821:F822"/>
    <mergeCell ref="H821:H822"/>
    <mergeCell ref="I821:I822"/>
    <mergeCell ref="J821:J822"/>
    <mergeCell ref="F815:F816"/>
    <mergeCell ref="H815:H816"/>
    <mergeCell ref="I815:I816"/>
    <mergeCell ref="J815:J816"/>
    <mergeCell ref="F817:F818"/>
    <mergeCell ref="H817:H818"/>
    <mergeCell ref="I817:I818"/>
    <mergeCell ref="J817:J818"/>
    <mergeCell ref="F835:F836"/>
    <mergeCell ref="H835:H836"/>
    <mergeCell ref="I835:I836"/>
    <mergeCell ref="J835:J836"/>
    <mergeCell ref="F837:F838"/>
    <mergeCell ref="H837:H838"/>
    <mergeCell ref="I837:I838"/>
    <mergeCell ref="J837:J838"/>
    <mergeCell ref="F831:F832"/>
    <mergeCell ref="H831:H832"/>
    <mergeCell ref="I831:I832"/>
    <mergeCell ref="J831:J832"/>
    <mergeCell ref="F833:F834"/>
    <mergeCell ref="H833:H834"/>
    <mergeCell ref="I833:I834"/>
    <mergeCell ref="J833:J834"/>
    <mergeCell ref="F827:F828"/>
    <mergeCell ref="H827:H828"/>
    <mergeCell ref="I827:I828"/>
    <mergeCell ref="J827:J828"/>
    <mergeCell ref="F829:F830"/>
    <mergeCell ref="H829:H830"/>
    <mergeCell ref="I829:I830"/>
    <mergeCell ref="J829:J830"/>
    <mergeCell ref="F847:F848"/>
    <mergeCell ref="H847:H848"/>
    <mergeCell ref="I847:I848"/>
    <mergeCell ref="J847:J848"/>
    <mergeCell ref="F849:F850"/>
    <mergeCell ref="H849:H850"/>
    <mergeCell ref="I849:I850"/>
    <mergeCell ref="J849:J850"/>
    <mergeCell ref="F843:F844"/>
    <mergeCell ref="H843:H844"/>
    <mergeCell ref="I843:I844"/>
    <mergeCell ref="J843:J844"/>
    <mergeCell ref="F845:F846"/>
    <mergeCell ref="H845:H846"/>
    <mergeCell ref="I845:I846"/>
    <mergeCell ref="J845:J846"/>
    <mergeCell ref="F839:F840"/>
    <mergeCell ref="H839:H840"/>
    <mergeCell ref="I839:I840"/>
    <mergeCell ref="J839:J840"/>
    <mergeCell ref="F841:F842"/>
    <mergeCell ref="H841:H842"/>
    <mergeCell ref="I841:I842"/>
    <mergeCell ref="J841:J842"/>
    <mergeCell ref="F859:F860"/>
    <mergeCell ref="H859:H860"/>
    <mergeCell ref="I859:I860"/>
    <mergeCell ref="J859:J860"/>
    <mergeCell ref="F861:F862"/>
    <mergeCell ref="H861:H862"/>
    <mergeCell ref="I861:I862"/>
    <mergeCell ref="J861:J862"/>
    <mergeCell ref="F855:F856"/>
    <mergeCell ref="H855:H856"/>
    <mergeCell ref="I855:I856"/>
    <mergeCell ref="J855:J856"/>
    <mergeCell ref="F857:F858"/>
    <mergeCell ref="H857:H858"/>
    <mergeCell ref="I857:I858"/>
    <mergeCell ref="J857:J858"/>
    <mergeCell ref="F851:F852"/>
    <mergeCell ref="H851:H852"/>
    <mergeCell ref="I851:I852"/>
    <mergeCell ref="J851:J852"/>
    <mergeCell ref="F853:F854"/>
    <mergeCell ref="H853:H854"/>
    <mergeCell ref="I853:I854"/>
    <mergeCell ref="J853:J854"/>
    <mergeCell ref="F871:F872"/>
    <mergeCell ref="H871:H872"/>
    <mergeCell ref="I871:I872"/>
    <mergeCell ref="J871:J872"/>
    <mergeCell ref="F873:F874"/>
    <mergeCell ref="H873:H874"/>
    <mergeCell ref="I873:I874"/>
    <mergeCell ref="J873:J874"/>
    <mergeCell ref="F867:F868"/>
    <mergeCell ref="H867:H868"/>
    <mergeCell ref="I867:I868"/>
    <mergeCell ref="J867:J868"/>
    <mergeCell ref="F869:F870"/>
    <mergeCell ref="H869:H870"/>
    <mergeCell ref="I869:I870"/>
    <mergeCell ref="J869:J870"/>
    <mergeCell ref="F863:F864"/>
    <mergeCell ref="H863:H864"/>
    <mergeCell ref="I863:I864"/>
    <mergeCell ref="J863:J864"/>
    <mergeCell ref="F865:F866"/>
    <mergeCell ref="H865:H866"/>
    <mergeCell ref="I865:I866"/>
    <mergeCell ref="J865:J866"/>
    <mergeCell ref="F883:F884"/>
    <mergeCell ref="H883:H884"/>
    <mergeCell ref="I883:I884"/>
    <mergeCell ref="J883:J884"/>
    <mergeCell ref="F885:F886"/>
    <mergeCell ref="H885:H886"/>
    <mergeCell ref="I885:I886"/>
    <mergeCell ref="J885:J886"/>
    <mergeCell ref="F879:F880"/>
    <mergeCell ref="H879:H880"/>
    <mergeCell ref="I879:I880"/>
    <mergeCell ref="J879:J880"/>
    <mergeCell ref="F881:F882"/>
    <mergeCell ref="H881:H882"/>
    <mergeCell ref="I881:I882"/>
    <mergeCell ref="J881:J882"/>
    <mergeCell ref="F875:F876"/>
    <mergeCell ref="H875:H876"/>
    <mergeCell ref="I875:I876"/>
    <mergeCell ref="J875:J876"/>
    <mergeCell ref="F877:F878"/>
    <mergeCell ref="H877:H878"/>
    <mergeCell ref="I877:I878"/>
    <mergeCell ref="J877:J878"/>
    <mergeCell ref="F895:F896"/>
    <mergeCell ref="H895:H896"/>
    <mergeCell ref="I895:I896"/>
    <mergeCell ref="J895:J896"/>
    <mergeCell ref="F897:F898"/>
    <mergeCell ref="H897:H898"/>
    <mergeCell ref="I897:I898"/>
    <mergeCell ref="J897:J898"/>
    <mergeCell ref="F891:F892"/>
    <mergeCell ref="H891:H892"/>
    <mergeCell ref="I891:I892"/>
    <mergeCell ref="J891:J892"/>
    <mergeCell ref="F893:F894"/>
    <mergeCell ref="H893:H894"/>
    <mergeCell ref="I893:I894"/>
    <mergeCell ref="J893:J894"/>
    <mergeCell ref="F887:F888"/>
    <mergeCell ref="H887:H888"/>
    <mergeCell ref="I887:I888"/>
    <mergeCell ref="J887:J888"/>
    <mergeCell ref="F889:F890"/>
    <mergeCell ref="H889:H890"/>
    <mergeCell ref="I889:I890"/>
    <mergeCell ref="J889:J890"/>
    <mergeCell ref="F907:F908"/>
    <mergeCell ref="H907:H908"/>
    <mergeCell ref="I907:I908"/>
    <mergeCell ref="J907:J908"/>
    <mergeCell ref="F909:F910"/>
    <mergeCell ref="H909:H910"/>
    <mergeCell ref="I909:I910"/>
    <mergeCell ref="J909:J910"/>
    <mergeCell ref="F903:F904"/>
    <mergeCell ref="H903:H904"/>
    <mergeCell ref="I903:I904"/>
    <mergeCell ref="J903:J904"/>
    <mergeCell ref="F905:F906"/>
    <mergeCell ref="H905:H906"/>
    <mergeCell ref="I905:I906"/>
    <mergeCell ref="J905:J906"/>
    <mergeCell ref="F899:F900"/>
    <mergeCell ref="H899:H900"/>
    <mergeCell ref="I899:I900"/>
    <mergeCell ref="J899:J900"/>
    <mergeCell ref="F901:F902"/>
    <mergeCell ref="H901:H902"/>
    <mergeCell ref="I901:I902"/>
    <mergeCell ref="J901:J902"/>
    <mergeCell ref="F919:F920"/>
    <mergeCell ref="H919:H920"/>
    <mergeCell ref="I919:I920"/>
    <mergeCell ref="J919:J920"/>
    <mergeCell ref="F921:F922"/>
    <mergeCell ref="H921:H922"/>
    <mergeCell ref="I921:I922"/>
    <mergeCell ref="J921:J922"/>
    <mergeCell ref="F915:F916"/>
    <mergeCell ref="H915:H916"/>
    <mergeCell ref="I915:I916"/>
    <mergeCell ref="J915:J916"/>
    <mergeCell ref="F917:F918"/>
    <mergeCell ref="H917:H918"/>
    <mergeCell ref="I917:I918"/>
    <mergeCell ref="J917:J918"/>
    <mergeCell ref="F911:F912"/>
    <mergeCell ref="H911:H912"/>
    <mergeCell ref="I911:I912"/>
    <mergeCell ref="J911:J912"/>
    <mergeCell ref="F913:F914"/>
    <mergeCell ref="H913:H914"/>
    <mergeCell ref="I913:I914"/>
    <mergeCell ref="J913:J914"/>
    <mergeCell ref="F931:F932"/>
    <mergeCell ref="H931:H932"/>
    <mergeCell ref="I931:I932"/>
    <mergeCell ref="J931:J932"/>
    <mergeCell ref="F933:F934"/>
    <mergeCell ref="H933:H934"/>
    <mergeCell ref="I933:I934"/>
    <mergeCell ref="J933:J934"/>
    <mergeCell ref="F927:F928"/>
    <mergeCell ref="H927:H928"/>
    <mergeCell ref="I927:I928"/>
    <mergeCell ref="J927:J928"/>
    <mergeCell ref="F929:F930"/>
    <mergeCell ref="H929:H930"/>
    <mergeCell ref="I929:I930"/>
    <mergeCell ref="J929:J930"/>
    <mergeCell ref="F923:F924"/>
    <mergeCell ref="H923:H924"/>
    <mergeCell ref="I923:I924"/>
    <mergeCell ref="J923:J924"/>
    <mergeCell ref="F925:F926"/>
    <mergeCell ref="H925:H926"/>
    <mergeCell ref="I925:I926"/>
    <mergeCell ref="J925:J926"/>
    <mergeCell ref="F943:F944"/>
    <mergeCell ref="H943:H944"/>
    <mergeCell ref="I943:I944"/>
    <mergeCell ref="J943:J944"/>
    <mergeCell ref="F945:F946"/>
    <mergeCell ref="H945:H946"/>
    <mergeCell ref="I945:I946"/>
    <mergeCell ref="J945:J946"/>
    <mergeCell ref="F939:F940"/>
    <mergeCell ref="H939:H940"/>
    <mergeCell ref="I939:I940"/>
    <mergeCell ref="J939:J940"/>
    <mergeCell ref="F941:F942"/>
    <mergeCell ref="H941:H942"/>
    <mergeCell ref="I941:I942"/>
    <mergeCell ref="J941:J942"/>
    <mergeCell ref="F935:F936"/>
    <mergeCell ref="H935:H936"/>
    <mergeCell ref="I935:I936"/>
    <mergeCell ref="J935:J936"/>
    <mergeCell ref="F937:F938"/>
    <mergeCell ref="H937:H938"/>
    <mergeCell ref="I937:I938"/>
    <mergeCell ref="J937:J938"/>
    <mergeCell ref="F955:F956"/>
    <mergeCell ref="H955:H956"/>
    <mergeCell ref="I955:I956"/>
    <mergeCell ref="J955:J956"/>
    <mergeCell ref="F957:F958"/>
    <mergeCell ref="H957:H958"/>
    <mergeCell ref="I957:I958"/>
    <mergeCell ref="J957:J958"/>
    <mergeCell ref="F951:F952"/>
    <mergeCell ref="H951:H952"/>
    <mergeCell ref="I951:I952"/>
    <mergeCell ref="J951:J952"/>
    <mergeCell ref="F953:F954"/>
    <mergeCell ref="H953:H954"/>
    <mergeCell ref="I953:I954"/>
    <mergeCell ref="J953:J954"/>
    <mergeCell ref="F947:F948"/>
    <mergeCell ref="H947:H948"/>
    <mergeCell ref="I947:I948"/>
    <mergeCell ref="J947:J948"/>
    <mergeCell ref="F949:F950"/>
    <mergeCell ref="H949:H950"/>
    <mergeCell ref="I949:I950"/>
    <mergeCell ref="J949:J950"/>
    <mergeCell ref="F967:F968"/>
    <mergeCell ref="H967:H968"/>
    <mergeCell ref="I967:I968"/>
    <mergeCell ref="J967:J968"/>
    <mergeCell ref="F969:F970"/>
    <mergeCell ref="H969:H970"/>
    <mergeCell ref="I969:I970"/>
    <mergeCell ref="J969:J970"/>
    <mergeCell ref="F963:F964"/>
    <mergeCell ref="H963:H964"/>
    <mergeCell ref="I963:I964"/>
    <mergeCell ref="J963:J964"/>
    <mergeCell ref="F965:F966"/>
    <mergeCell ref="H965:H966"/>
    <mergeCell ref="I965:I966"/>
    <mergeCell ref="J965:J966"/>
    <mergeCell ref="F959:F960"/>
    <mergeCell ref="H959:H960"/>
    <mergeCell ref="I959:I960"/>
    <mergeCell ref="J959:J960"/>
    <mergeCell ref="F961:F962"/>
    <mergeCell ref="H961:H962"/>
    <mergeCell ref="I961:I962"/>
    <mergeCell ref="J961:J962"/>
    <mergeCell ref="F979:F980"/>
    <mergeCell ref="H979:H980"/>
    <mergeCell ref="I979:I980"/>
    <mergeCell ref="J979:J980"/>
    <mergeCell ref="F981:F982"/>
    <mergeCell ref="H981:H982"/>
    <mergeCell ref="I981:I982"/>
    <mergeCell ref="J981:J982"/>
    <mergeCell ref="F975:F976"/>
    <mergeCell ref="H975:H976"/>
    <mergeCell ref="I975:I976"/>
    <mergeCell ref="J975:J976"/>
    <mergeCell ref="F977:F978"/>
    <mergeCell ref="H977:H978"/>
    <mergeCell ref="I977:I978"/>
    <mergeCell ref="J977:J978"/>
    <mergeCell ref="F971:F972"/>
    <mergeCell ref="H971:H972"/>
    <mergeCell ref="I971:I972"/>
    <mergeCell ref="J971:J972"/>
    <mergeCell ref="F973:F974"/>
    <mergeCell ref="H973:H974"/>
    <mergeCell ref="I973:I974"/>
    <mergeCell ref="J973:J974"/>
    <mergeCell ref="H991:H992"/>
    <mergeCell ref="I991:I992"/>
    <mergeCell ref="J991:J992"/>
    <mergeCell ref="F993:F994"/>
    <mergeCell ref="H993:H994"/>
    <mergeCell ref="I993:I994"/>
    <mergeCell ref="J993:J994"/>
    <mergeCell ref="F987:F988"/>
    <mergeCell ref="H987:H988"/>
    <mergeCell ref="I987:I988"/>
    <mergeCell ref="J987:J988"/>
    <mergeCell ref="H989:H990"/>
    <mergeCell ref="I989:I990"/>
    <mergeCell ref="J989:J990"/>
    <mergeCell ref="F983:F984"/>
    <mergeCell ref="H983:H984"/>
    <mergeCell ref="I983:I984"/>
    <mergeCell ref="J983:J984"/>
    <mergeCell ref="F985:F986"/>
    <mergeCell ref="H985:H986"/>
    <mergeCell ref="I985:I986"/>
    <mergeCell ref="J985:J986"/>
    <mergeCell ref="F1003:F1004"/>
    <mergeCell ref="H1003:H1004"/>
    <mergeCell ref="I1003:I1004"/>
    <mergeCell ref="J1003:J1004"/>
    <mergeCell ref="F1005:F1006"/>
    <mergeCell ref="H1005:H1006"/>
    <mergeCell ref="I1005:I1006"/>
    <mergeCell ref="J1005:J1006"/>
    <mergeCell ref="F999:F1000"/>
    <mergeCell ref="H999:H1000"/>
    <mergeCell ref="I999:I1000"/>
    <mergeCell ref="J999:J1000"/>
    <mergeCell ref="F1001:F1002"/>
    <mergeCell ref="H1001:H1002"/>
    <mergeCell ref="I1001:I1002"/>
    <mergeCell ref="J1001:J1002"/>
    <mergeCell ref="F995:F996"/>
    <mergeCell ref="H995:H996"/>
    <mergeCell ref="I995:I996"/>
    <mergeCell ref="J995:J996"/>
    <mergeCell ref="F997:F998"/>
    <mergeCell ref="H997:H998"/>
    <mergeCell ref="I997:I998"/>
    <mergeCell ref="J997:J998"/>
    <mergeCell ref="F1015:F1016"/>
    <mergeCell ref="H1015:H1016"/>
    <mergeCell ref="I1015:I1016"/>
    <mergeCell ref="J1015:J1016"/>
    <mergeCell ref="F1017:F1018"/>
    <mergeCell ref="H1017:H1018"/>
    <mergeCell ref="I1017:I1018"/>
    <mergeCell ref="J1017:J1018"/>
    <mergeCell ref="F1011:F1012"/>
    <mergeCell ref="H1011:H1012"/>
    <mergeCell ref="I1011:I1012"/>
    <mergeCell ref="J1011:J1012"/>
    <mergeCell ref="F1013:F1014"/>
    <mergeCell ref="H1013:H1014"/>
    <mergeCell ref="I1013:I1014"/>
    <mergeCell ref="J1013:J1014"/>
    <mergeCell ref="F1007:F1008"/>
    <mergeCell ref="H1007:H1008"/>
    <mergeCell ref="I1007:I1008"/>
    <mergeCell ref="J1007:J1008"/>
    <mergeCell ref="F1009:F1010"/>
    <mergeCell ref="H1009:H1010"/>
    <mergeCell ref="I1009:I1010"/>
    <mergeCell ref="J1009:J1010"/>
    <mergeCell ref="F1027:F1028"/>
    <mergeCell ref="H1027:H1028"/>
    <mergeCell ref="I1027:I1028"/>
    <mergeCell ref="J1027:J1028"/>
    <mergeCell ref="F1029:F1030"/>
    <mergeCell ref="H1029:H1030"/>
    <mergeCell ref="I1029:I1030"/>
    <mergeCell ref="J1029:J1030"/>
    <mergeCell ref="F1023:F1024"/>
    <mergeCell ref="H1023:H1024"/>
    <mergeCell ref="I1023:I1024"/>
    <mergeCell ref="J1023:J1024"/>
    <mergeCell ref="F1025:F1026"/>
    <mergeCell ref="H1025:H1026"/>
    <mergeCell ref="I1025:I1026"/>
    <mergeCell ref="J1025:J1026"/>
    <mergeCell ref="F1019:F1020"/>
    <mergeCell ref="H1019:H1020"/>
    <mergeCell ref="I1019:I1020"/>
    <mergeCell ref="J1019:J1020"/>
    <mergeCell ref="F1021:F1022"/>
    <mergeCell ref="H1021:H1022"/>
    <mergeCell ref="I1021:I1022"/>
    <mergeCell ref="J1021:J1022"/>
    <mergeCell ref="F1039:F1040"/>
    <mergeCell ref="H1039:H1040"/>
    <mergeCell ref="I1039:I1040"/>
    <mergeCell ref="J1039:J1040"/>
    <mergeCell ref="F1041:F1042"/>
    <mergeCell ref="H1041:H1042"/>
    <mergeCell ref="I1041:I1042"/>
    <mergeCell ref="J1041:J1042"/>
    <mergeCell ref="F1035:F1036"/>
    <mergeCell ref="H1035:H1036"/>
    <mergeCell ref="I1035:I1036"/>
    <mergeCell ref="J1035:J1036"/>
    <mergeCell ref="F1037:F1038"/>
    <mergeCell ref="H1037:H1038"/>
    <mergeCell ref="I1037:I1038"/>
    <mergeCell ref="J1037:J1038"/>
    <mergeCell ref="F1031:F1032"/>
    <mergeCell ref="H1031:H1032"/>
    <mergeCell ref="I1031:I1032"/>
    <mergeCell ref="J1031:J1032"/>
    <mergeCell ref="F1033:F1034"/>
    <mergeCell ref="H1033:H1034"/>
    <mergeCell ref="I1033:I1034"/>
    <mergeCell ref="J1033:J1034"/>
    <mergeCell ref="F1051:F1052"/>
    <mergeCell ref="H1051:H1052"/>
    <mergeCell ref="I1051:I1052"/>
    <mergeCell ref="J1051:J1052"/>
    <mergeCell ref="F1053:F1054"/>
    <mergeCell ref="H1053:H1054"/>
    <mergeCell ref="I1053:I1054"/>
    <mergeCell ref="J1053:J1054"/>
    <mergeCell ref="F1047:F1048"/>
    <mergeCell ref="H1047:H1048"/>
    <mergeCell ref="I1047:I1048"/>
    <mergeCell ref="J1047:J1048"/>
    <mergeCell ref="F1049:F1050"/>
    <mergeCell ref="H1049:H1050"/>
    <mergeCell ref="I1049:I1050"/>
    <mergeCell ref="J1049:J1050"/>
    <mergeCell ref="F1043:F1044"/>
    <mergeCell ref="H1043:H1044"/>
    <mergeCell ref="I1043:I1044"/>
    <mergeCell ref="J1043:J1044"/>
    <mergeCell ref="F1045:F1046"/>
    <mergeCell ref="H1045:H1046"/>
    <mergeCell ref="I1045:I1046"/>
    <mergeCell ref="J1045:J1046"/>
    <mergeCell ref="F1063:F1064"/>
    <mergeCell ref="H1063:H1064"/>
    <mergeCell ref="I1063:I1064"/>
    <mergeCell ref="J1063:J1064"/>
    <mergeCell ref="F1065:F1066"/>
    <mergeCell ref="H1065:H1066"/>
    <mergeCell ref="I1065:I1066"/>
    <mergeCell ref="J1065:J1066"/>
    <mergeCell ref="F1059:F1060"/>
    <mergeCell ref="H1059:H1060"/>
    <mergeCell ref="I1059:I1060"/>
    <mergeCell ref="J1059:J1060"/>
    <mergeCell ref="F1061:F1062"/>
    <mergeCell ref="H1061:H1062"/>
    <mergeCell ref="I1061:I1062"/>
    <mergeCell ref="J1061:J1062"/>
    <mergeCell ref="F1055:F1056"/>
    <mergeCell ref="H1055:H1056"/>
    <mergeCell ref="I1055:I1056"/>
    <mergeCell ref="J1055:J1056"/>
    <mergeCell ref="F1057:F1058"/>
    <mergeCell ref="H1057:H1058"/>
    <mergeCell ref="I1057:I1058"/>
    <mergeCell ref="J1057:J1058"/>
    <mergeCell ref="F1075:F1076"/>
    <mergeCell ref="H1075:H1076"/>
    <mergeCell ref="I1075:I1076"/>
    <mergeCell ref="J1075:J1076"/>
    <mergeCell ref="F1077:F1078"/>
    <mergeCell ref="H1077:H1078"/>
    <mergeCell ref="I1077:I1078"/>
    <mergeCell ref="J1077:J1078"/>
    <mergeCell ref="F1071:F1072"/>
    <mergeCell ref="H1071:H1072"/>
    <mergeCell ref="I1071:I1072"/>
    <mergeCell ref="J1071:J1072"/>
    <mergeCell ref="F1073:F1074"/>
    <mergeCell ref="H1073:H1074"/>
    <mergeCell ref="I1073:I1074"/>
    <mergeCell ref="J1073:J1074"/>
    <mergeCell ref="F1067:F1068"/>
    <mergeCell ref="H1067:H1068"/>
    <mergeCell ref="I1067:I1068"/>
    <mergeCell ref="J1067:J1068"/>
    <mergeCell ref="F1069:F1070"/>
    <mergeCell ref="H1069:H1070"/>
    <mergeCell ref="I1069:I1070"/>
    <mergeCell ref="J1069:J1070"/>
    <mergeCell ref="F1087:F1088"/>
    <mergeCell ref="H1087:H1088"/>
    <mergeCell ref="I1087:I1088"/>
    <mergeCell ref="J1087:J1088"/>
    <mergeCell ref="F1089:F1090"/>
    <mergeCell ref="H1089:H1090"/>
    <mergeCell ref="I1089:I1090"/>
    <mergeCell ref="J1089:J1090"/>
    <mergeCell ref="F1083:F1084"/>
    <mergeCell ref="H1083:H1084"/>
    <mergeCell ref="I1083:I1084"/>
    <mergeCell ref="J1083:J1084"/>
    <mergeCell ref="F1085:F1086"/>
    <mergeCell ref="H1085:H1086"/>
    <mergeCell ref="I1085:I1086"/>
    <mergeCell ref="J1085:J1086"/>
    <mergeCell ref="F1079:F1080"/>
    <mergeCell ref="H1079:H1080"/>
    <mergeCell ref="I1079:I1080"/>
    <mergeCell ref="J1079:J1080"/>
    <mergeCell ref="F1081:F1082"/>
    <mergeCell ref="H1081:H1082"/>
    <mergeCell ref="I1081:I1082"/>
    <mergeCell ref="J1081:J1082"/>
    <mergeCell ref="F1099:F1100"/>
    <mergeCell ref="H1099:H1100"/>
    <mergeCell ref="I1099:I1100"/>
    <mergeCell ref="J1099:J1100"/>
    <mergeCell ref="F1101:F1102"/>
    <mergeCell ref="H1101:H1102"/>
    <mergeCell ref="I1101:I1102"/>
    <mergeCell ref="J1101:J1102"/>
    <mergeCell ref="F1095:F1096"/>
    <mergeCell ref="H1095:H1096"/>
    <mergeCell ref="I1095:I1096"/>
    <mergeCell ref="J1095:J1096"/>
    <mergeCell ref="F1097:F1098"/>
    <mergeCell ref="H1097:H1098"/>
    <mergeCell ref="I1097:I1098"/>
    <mergeCell ref="J1097:J1098"/>
    <mergeCell ref="F1091:F1092"/>
    <mergeCell ref="H1091:H1092"/>
    <mergeCell ref="I1091:I1092"/>
    <mergeCell ref="J1091:J1092"/>
    <mergeCell ref="F1093:F1094"/>
    <mergeCell ref="H1093:H1094"/>
    <mergeCell ref="I1093:I1094"/>
    <mergeCell ref="J1093:J1094"/>
    <mergeCell ref="F1111:F1112"/>
    <mergeCell ref="H1111:H1112"/>
    <mergeCell ref="I1111:I1112"/>
    <mergeCell ref="J1111:J1112"/>
    <mergeCell ref="F1113:F1114"/>
    <mergeCell ref="H1113:H1114"/>
    <mergeCell ref="I1113:I1114"/>
    <mergeCell ref="J1113:J1114"/>
    <mergeCell ref="F1107:F1108"/>
    <mergeCell ref="H1107:H1108"/>
    <mergeCell ref="I1107:I1108"/>
    <mergeCell ref="J1107:J1108"/>
    <mergeCell ref="F1109:F1110"/>
    <mergeCell ref="H1109:H1110"/>
    <mergeCell ref="I1109:I1110"/>
    <mergeCell ref="J1109:J1110"/>
    <mergeCell ref="F1103:F1104"/>
    <mergeCell ref="H1103:H1104"/>
    <mergeCell ref="I1103:I1104"/>
    <mergeCell ref="J1103:J1104"/>
    <mergeCell ref="F1105:F1106"/>
    <mergeCell ref="H1105:H1106"/>
    <mergeCell ref="I1105:I1106"/>
    <mergeCell ref="J1105:J1106"/>
    <mergeCell ref="F1123:F1124"/>
    <mergeCell ref="H1123:H1124"/>
    <mergeCell ref="I1123:I1124"/>
    <mergeCell ref="J1123:J1124"/>
    <mergeCell ref="F1125:F1126"/>
    <mergeCell ref="H1125:H1126"/>
    <mergeCell ref="I1125:I1126"/>
    <mergeCell ref="J1125:J1126"/>
    <mergeCell ref="F1119:F1120"/>
    <mergeCell ref="H1119:H1120"/>
    <mergeCell ref="I1119:I1120"/>
    <mergeCell ref="J1119:J1120"/>
    <mergeCell ref="F1121:F1122"/>
    <mergeCell ref="H1121:H1122"/>
    <mergeCell ref="I1121:I1122"/>
    <mergeCell ref="J1121:J1122"/>
    <mergeCell ref="F1115:F1116"/>
    <mergeCell ref="H1115:H1116"/>
    <mergeCell ref="I1115:I1116"/>
    <mergeCell ref="J1115:J1116"/>
    <mergeCell ref="F1117:F1118"/>
    <mergeCell ref="H1117:H1118"/>
    <mergeCell ref="I1117:I1118"/>
    <mergeCell ref="J1117:J1118"/>
    <mergeCell ref="F1135:F1136"/>
    <mergeCell ref="H1135:H1136"/>
    <mergeCell ref="I1135:I1136"/>
    <mergeCell ref="J1135:J1136"/>
    <mergeCell ref="F1137:F1138"/>
    <mergeCell ref="H1137:H1138"/>
    <mergeCell ref="I1137:I1138"/>
    <mergeCell ref="J1137:J1138"/>
    <mergeCell ref="F1131:F1132"/>
    <mergeCell ref="H1131:H1132"/>
    <mergeCell ref="I1131:I1132"/>
    <mergeCell ref="J1131:J1132"/>
    <mergeCell ref="F1133:F1134"/>
    <mergeCell ref="H1133:H1134"/>
    <mergeCell ref="I1133:I1134"/>
    <mergeCell ref="J1133:J1134"/>
    <mergeCell ref="F1127:F1128"/>
    <mergeCell ref="H1127:H1128"/>
    <mergeCell ref="I1127:I1128"/>
    <mergeCell ref="J1127:J1128"/>
    <mergeCell ref="F1129:F1130"/>
    <mergeCell ref="H1129:H1130"/>
    <mergeCell ref="I1129:I1130"/>
    <mergeCell ref="J1129:J1130"/>
    <mergeCell ref="F1147:F1148"/>
    <mergeCell ref="H1147:H1148"/>
    <mergeCell ref="I1147:I1148"/>
    <mergeCell ref="J1147:J1148"/>
    <mergeCell ref="F1149:F1150"/>
    <mergeCell ref="H1149:H1150"/>
    <mergeCell ref="I1149:I1150"/>
    <mergeCell ref="J1149:J1150"/>
    <mergeCell ref="F1143:F1144"/>
    <mergeCell ref="H1143:H1144"/>
    <mergeCell ref="I1143:I1144"/>
    <mergeCell ref="J1143:J1144"/>
    <mergeCell ref="F1145:F1146"/>
    <mergeCell ref="H1145:H1146"/>
    <mergeCell ref="I1145:I1146"/>
    <mergeCell ref="J1145:J1146"/>
    <mergeCell ref="F1139:F1140"/>
    <mergeCell ref="H1139:H1140"/>
    <mergeCell ref="I1139:I1140"/>
    <mergeCell ref="J1139:J1140"/>
    <mergeCell ref="F1141:F1142"/>
    <mergeCell ref="H1141:H1142"/>
    <mergeCell ref="I1141:I1142"/>
    <mergeCell ref="J1141:J1142"/>
    <mergeCell ref="F1159:F1160"/>
    <mergeCell ref="H1159:H1160"/>
    <mergeCell ref="I1159:I1160"/>
    <mergeCell ref="J1159:J1160"/>
    <mergeCell ref="F1161:F1162"/>
    <mergeCell ref="H1161:H1162"/>
    <mergeCell ref="I1161:I1162"/>
    <mergeCell ref="J1161:J1162"/>
    <mergeCell ref="F1155:F1156"/>
    <mergeCell ref="H1155:H1156"/>
    <mergeCell ref="I1155:I1156"/>
    <mergeCell ref="J1155:J1156"/>
    <mergeCell ref="F1157:F1158"/>
    <mergeCell ref="H1157:H1158"/>
    <mergeCell ref="I1157:I1158"/>
    <mergeCell ref="J1157:J1158"/>
    <mergeCell ref="F1151:F1152"/>
    <mergeCell ref="H1151:H1152"/>
    <mergeCell ref="I1151:I1152"/>
    <mergeCell ref="J1151:J1152"/>
    <mergeCell ref="F1153:F1154"/>
    <mergeCell ref="H1153:H1154"/>
    <mergeCell ref="I1153:I1154"/>
    <mergeCell ref="J1153:J1154"/>
    <mergeCell ref="F1172:F1173"/>
    <mergeCell ref="H1172:H1173"/>
    <mergeCell ref="I1172:I1173"/>
    <mergeCell ref="J1172:J1173"/>
    <mergeCell ref="F1174:F1175"/>
    <mergeCell ref="H1174:H1175"/>
    <mergeCell ref="I1174:I1175"/>
    <mergeCell ref="J1174:J1175"/>
    <mergeCell ref="F1168:F1169"/>
    <mergeCell ref="H1168:H1169"/>
    <mergeCell ref="I1168:I1169"/>
    <mergeCell ref="J1168:J1169"/>
    <mergeCell ref="F1170:F1171"/>
    <mergeCell ref="H1170:H1171"/>
    <mergeCell ref="I1170:I1171"/>
    <mergeCell ref="J1170:J1171"/>
    <mergeCell ref="F1163:F1164"/>
    <mergeCell ref="H1163:H1164"/>
    <mergeCell ref="I1163:I1164"/>
    <mergeCell ref="J1163:J1164"/>
    <mergeCell ref="F1165:F1166"/>
    <mergeCell ref="H1165:H1166"/>
    <mergeCell ref="I1165:I1166"/>
    <mergeCell ref="J1165:J1166"/>
    <mergeCell ref="F1184:F1185"/>
    <mergeCell ref="H1184:H1185"/>
    <mergeCell ref="I1184:I1185"/>
    <mergeCell ref="J1184:J1185"/>
    <mergeCell ref="F1186:F1187"/>
    <mergeCell ref="H1186:H1187"/>
    <mergeCell ref="I1186:I1187"/>
    <mergeCell ref="J1186:J1187"/>
    <mergeCell ref="F1180:F1181"/>
    <mergeCell ref="H1180:H1181"/>
    <mergeCell ref="I1180:I1181"/>
    <mergeCell ref="J1180:J1181"/>
    <mergeCell ref="F1182:F1183"/>
    <mergeCell ref="H1182:H1183"/>
    <mergeCell ref="I1182:I1183"/>
    <mergeCell ref="J1182:J1183"/>
    <mergeCell ref="F1176:F1177"/>
    <mergeCell ref="H1176:H1177"/>
    <mergeCell ref="I1176:I1177"/>
    <mergeCell ref="J1176:J1177"/>
    <mergeCell ref="F1178:F1179"/>
    <mergeCell ref="H1178:H1179"/>
    <mergeCell ref="I1178:I1179"/>
    <mergeCell ref="J1178:J1179"/>
    <mergeCell ref="F1196:F1197"/>
    <mergeCell ref="H1196:H1197"/>
    <mergeCell ref="I1196:I1197"/>
    <mergeCell ref="J1196:J1197"/>
    <mergeCell ref="F1198:F1199"/>
    <mergeCell ref="H1198:H1199"/>
    <mergeCell ref="I1198:I1199"/>
    <mergeCell ref="J1198:J1199"/>
    <mergeCell ref="F1192:F1193"/>
    <mergeCell ref="H1192:H1193"/>
    <mergeCell ref="I1192:I1193"/>
    <mergeCell ref="J1192:J1193"/>
    <mergeCell ref="F1194:F1195"/>
    <mergeCell ref="H1194:H1195"/>
    <mergeCell ref="I1194:I1195"/>
    <mergeCell ref="J1194:J1195"/>
    <mergeCell ref="F1188:F1189"/>
    <mergeCell ref="H1188:H1189"/>
    <mergeCell ref="I1188:I1189"/>
    <mergeCell ref="J1188:J1189"/>
    <mergeCell ref="F1190:F1191"/>
    <mergeCell ref="H1190:H1191"/>
    <mergeCell ref="I1190:I1191"/>
    <mergeCell ref="J1190:J1191"/>
    <mergeCell ref="F1208:F1209"/>
    <mergeCell ref="H1208:H1209"/>
    <mergeCell ref="I1208:I1209"/>
    <mergeCell ref="J1208:J1209"/>
    <mergeCell ref="F1210:F1211"/>
    <mergeCell ref="H1210:H1211"/>
    <mergeCell ref="I1210:I1211"/>
    <mergeCell ref="J1210:J1211"/>
    <mergeCell ref="F1204:F1205"/>
    <mergeCell ref="H1204:H1205"/>
    <mergeCell ref="I1204:I1205"/>
    <mergeCell ref="J1204:J1205"/>
    <mergeCell ref="F1206:F1207"/>
    <mergeCell ref="H1206:H1207"/>
    <mergeCell ref="I1206:I1207"/>
    <mergeCell ref="J1206:J1207"/>
    <mergeCell ref="F1200:F1201"/>
    <mergeCell ref="H1200:H1201"/>
    <mergeCell ref="I1200:I1201"/>
    <mergeCell ref="J1200:J1201"/>
    <mergeCell ref="F1202:F1203"/>
    <mergeCell ref="H1202:H1203"/>
    <mergeCell ref="I1202:I1203"/>
    <mergeCell ref="J1202:J1203"/>
    <mergeCell ref="F1220:F1221"/>
    <mergeCell ref="H1220:H1221"/>
    <mergeCell ref="I1220:I1221"/>
    <mergeCell ref="J1220:J1221"/>
    <mergeCell ref="F1222:F1223"/>
    <mergeCell ref="H1222:H1223"/>
    <mergeCell ref="I1222:I1223"/>
    <mergeCell ref="J1222:J1223"/>
    <mergeCell ref="F1216:F1217"/>
    <mergeCell ref="H1216:H1217"/>
    <mergeCell ref="I1216:I1217"/>
    <mergeCell ref="J1216:J1217"/>
    <mergeCell ref="F1218:F1219"/>
    <mergeCell ref="H1218:H1219"/>
    <mergeCell ref="I1218:I1219"/>
    <mergeCell ref="J1218:J1219"/>
    <mergeCell ref="F1212:F1213"/>
    <mergeCell ref="H1212:H1213"/>
    <mergeCell ref="I1212:I1213"/>
    <mergeCell ref="J1212:J1213"/>
    <mergeCell ref="F1214:F1215"/>
    <mergeCell ref="H1214:H1215"/>
    <mergeCell ref="I1214:I1215"/>
    <mergeCell ref="J1214:J1215"/>
    <mergeCell ref="F1232:F1233"/>
    <mergeCell ref="H1232:H1233"/>
    <mergeCell ref="I1232:I1233"/>
    <mergeCell ref="J1232:J1233"/>
    <mergeCell ref="F1234:F1235"/>
    <mergeCell ref="H1234:H1235"/>
    <mergeCell ref="I1234:I1235"/>
    <mergeCell ref="J1234:J1235"/>
    <mergeCell ref="F1228:F1229"/>
    <mergeCell ref="H1228:H1229"/>
    <mergeCell ref="I1228:I1229"/>
    <mergeCell ref="J1228:J1229"/>
    <mergeCell ref="F1230:F1231"/>
    <mergeCell ref="H1230:H1231"/>
    <mergeCell ref="I1230:I1231"/>
    <mergeCell ref="J1230:J1231"/>
    <mergeCell ref="F1224:F1225"/>
    <mergeCell ref="H1224:H1225"/>
    <mergeCell ref="I1224:I1225"/>
    <mergeCell ref="J1224:J1225"/>
    <mergeCell ref="F1226:F1227"/>
    <mergeCell ref="H1226:H1227"/>
    <mergeCell ref="I1226:I1227"/>
    <mergeCell ref="J1226:J1227"/>
    <mergeCell ref="F1244:F1245"/>
    <mergeCell ref="H1244:H1245"/>
    <mergeCell ref="I1244:I1245"/>
    <mergeCell ref="J1244:J1245"/>
    <mergeCell ref="F1246:F1247"/>
    <mergeCell ref="H1246:H1247"/>
    <mergeCell ref="I1246:I1247"/>
    <mergeCell ref="J1246:J1247"/>
    <mergeCell ref="F1240:F1241"/>
    <mergeCell ref="H1240:H1241"/>
    <mergeCell ref="I1240:I1241"/>
    <mergeCell ref="J1240:J1241"/>
    <mergeCell ref="F1242:F1243"/>
    <mergeCell ref="H1242:H1243"/>
    <mergeCell ref="I1242:I1243"/>
    <mergeCell ref="J1242:J1243"/>
    <mergeCell ref="F1236:F1237"/>
    <mergeCell ref="H1236:H1237"/>
    <mergeCell ref="I1236:I1237"/>
    <mergeCell ref="J1236:J1237"/>
    <mergeCell ref="F1238:F1239"/>
    <mergeCell ref="H1238:H1239"/>
    <mergeCell ref="I1238:I1239"/>
    <mergeCell ref="J1238:J1239"/>
    <mergeCell ref="F1256:F1257"/>
    <mergeCell ref="H1256:H1257"/>
    <mergeCell ref="I1256:I1257"/>
    <mergeCell ref="J1256:J1257"/>
    <mergeCell ref="F1258:F1259"/>
    <mergeCell ref="H1258:H1259"/>
    <mergeCell ref="I1258:I1259"/>
    <mergeCell ref="J1258:J1259"/>
    <mergeCell ref="F1252:F1253"/>
    <mergeCell ref="H1252:H1253"/>
    <mergeCell ref="I1252:I1253"/>
    <mergeCell ref="J1252:J1253"/>
    <mergeCell ref="F1254:F1255"/>
    <mergeCell ref="H1254:H1255"/>
    <mergeCell ref="I1254:I1255"/>
    <mergeCell ref="J1254:J1255"/>
    <mergeCell ref="F1248:F1249"/>
    <mergeCell ref="H1248:H1249"/>
    <mergeCell ref="I1248:I1249"/>
    <mergeCell ref="J1248:J1249"/>
    <mergeCell ref="F1250:F1251"/>
    <mergeCell ref="H1250:H1251"/>
    <mergeCell ref="I1250:I1251"/>
    <mergeCell ref="J1250:J1251"/>
    <mergeCell ref="F1268:F1269"/>
    <mergeCell ref="H1268:H1269"/>
    <mergeCell ref="I1268:I1269"/>
    <mergeCell ref="J1268:J1269"/>
    <mergeCell ref="F1270:F1271"/>
    <mergeCell ref="H1270:H1271"/>
    <mergeCell ref="I1270:I1271"/>
    <mergeCell ref="J1270:J1271"/>
    <mergeCell ref="F1264:F1265"/>
    <mergeCell ref="H1264:H1265"/>
    <mergeCell ref="I1264:I1265"/>
    <mergeCell ref="J1264:J1265"/>
    <mergeCell ref="F1266:F1267"/>
    <mergeCell ref="H1266:H1267"/>
    <mergeCell ref="I1266:I1267"/>
    <mergeCell ref="J1266:J1267"/>
    <mergeCell ref="F1260:F1261"/>
    <mergeCell ref="H1260:H1261"/>
    <mergeCell ref="I1260:I1261"/>
    <mergeCell ref="J1260:J1261"/>
    <mergeCell ref="F1262:F1263"/>
    <mergeCell ref="H1262:H1263"/>
    <mergeCell ref="I1262:I1263"/>
    <mergeCell ref="J1262:J1263"/>
    <mergeCell ref="F1280:F1281"/>
    <mergeCell ref="H1280:H1281"/>
    <mergeCell ref="I1280:I1281"/>
    <mergeCell ref="J1280:J1281"/>
    <mergeCell ref="F1282:F1283"/>
    <mergeCell ref="H1282:H1283"/>
    <mergeCell ref="I1282:I1283"/>
    <mergeCell ref="J1282:J1283"/>
    <mergeCell ref="F1276:F1277"/>
    <mergeCell ref="H1276:H1277"/>
    <mergeCell ref="I1276:I1277"/>
    <mergeCell ref="J1276:J1277"/>
    <mergeCell ref="F1278:F1279"/>
    <mergeCell ref="H1278:H1279"/>
    <mergeCell ref="I1278:I1279"/>
    <mergeCell ref="J1278:J1279"/>
    <mergeCell ref="F1272:F1273"/>
    <mergeCell ref="H1272:H1273"/>
    <mergeCell ref="I1272:I1273"/>
    <mergeCell ref="J1272:J1273"/>
    <mergeCell ref="F1274:F1275"/>
    <mergeCell ref="H1274:H1275"/>
    <mergeCell ref="I1274:I1275"/>
    <mergeCell ref="J1274:J1275"/>
  </mergeCells>
  <dataValidations count="2">
    <dataValidation type="list" allowBlank="1" showInputMessage="1" showErrorMessage="1" sqref="I1:I1048576" xr:uid="{94666F9B-899B-4F41-914A-10C43187F55E}">
      <formula1>"Faible, Moyenne, Elevée"</formula1>
    </dataValidation>
    <dataValidation type="list" allowBlank="1" showInputMessage="1" showErrorMessage="1" sqref="F1:F1048576" xr:uid="{A0BF50CD-77C2-43FA-A722-B63BB201BFB3}">
      <formula1>"OUI, NON, PAS"</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AA40-B82D-4A1C-83A2-9C5522A0694A}">
  <dimension ref="A1:K1283"/>
  <sheetViews>
    <sheetView topLeftCell="E38" zoomScale="80" zoomScaleNormal="80" workbookViewId="0">
      <selection activeCell="F48" sqref="F48:F49"/>
    </sheetView>
  </sheetViews>
  <sheetFormatPr baseColWidth="10" defaultRowHeight="14.5"/>
  <cols>
    <col min="1" max="1" width="34.453125" style="28" customWidth="1"/>
    <col min="2" max="2" width="53.26953125" customWidth="1"/>
    <col min="3" max="3" width="69.26953125" customWidth="1"/>
    <col min="4" max="4" width="103.26953125" customWidth="1"/>
    <col min="5" max="5" width="111.453125" style="173" customWidth="1"/>
    <col min="6" max="6" width="13.7265625" customWidth="1"/>
    <col min="7" max="7" width="36.1796875" customWidth="1"/>
    <col min="8" max="8" width="34.81640625" customWidth="1"/>
    <col min="9" max="9" width="14.54296875" customWidth="1"/>
    <col min="10" max="10" width="34.81640625" customWidth="1"/>
    <col min="11" max="11" width="44.54296875" customWidth="1"/>
  </cols>
  <sheetData>
    <row r="1" spans="1:11" s="11" customFormat="1" ht="15.5">
      <c r="A1" s="10" t="s">
        <v>0</v>
      </c>
      <c r="B1" s="11" t="s">
        <v>1</v>
      </c>
      <c r="C1" s="11" t="s">
        <v>8527</v>
      </c>
      <c r="D1" s="11" t="s">
        <v>9982</v>
      </c>
      <c r="E1" s="32" t="s">
        <v>4</v>
      </c>
      <c r="F1" s="11" t="s">
        <v>5</v>
      </c>
      <c r="G1" s="11" t="s">
        <v>6</v>
      </c>
      <c r="H1" s="11" t="s">
        <v>7</v>
      </c>
      <c r="I1" s="11" t="s">
        <v>8</v>
      </c>
      <c r="J1" s="11" t="s">
        <v>9</v>
      </c>
      <c r="K1" s="11" t="s">
        <v>10</v>
      </c>
    </row>
    <row r="2" spans="1:11" s="22" customFormat="1" ht="15.75" customHeight="1">
      <c r="A2" s="33"/>
      <c r="B2" s="49" t="s">
        <v>14858</v>
      </c>
      <c r="C2" s="82" t="s">
        <v>14857</v>
      </c>
      <c r="D2" s="180" t="s">
        <v>14856</v>
      </c>
      <c r="E2" s="84" t="s">
        <v>14855</v>
      </c>
      <c r="F2" s="76" t="s">
        <v>16</v>
      </c>
      <c r="G2" t="s">
        <v>10753</v>
      </c>
      <c r="H2" s="76" t="s">
        <v>14854</v>
      </c>
      <c r="I2" s="55" t="s">
        <v>33</v>
      </c>
      <c r="J2" s="76" t="s">
        <v>14853</v>
      </c>
      <c r="K2" t="s">
        <v>14852</v>
      </c>
    </row>
    <row r="3" spans="1:11" s="22" customFormat="1" ht="15.5">
      <c r="A3" s="33"/>
      <c r="B3" s="87"/>
      <c r="C3" s="86"/>
      <c r="D3" s="180"/>
      <c r="E3" s="85"/>
      <c r="F3" s="77"/>
      <c r="G3" t="s">
        <v>14851</v>
      </c>
      <c r="H3" s="77"/>
      <c r="I3" s="56"/>
      <c r="J3" s="77"/>
      <c r="K3" t="s">
        <v>14850</v>
      </c>
    </row>
    <row r="4" spans="1:11" s="22" customFormat="1" ht="15.5">
      <c r="A4" s="33"/>
      <c r="B4" s="87"/>
      <c r="C4" s="86"/>
      <c r="D4" s="180" t="s">
        <v>14849</v>
      </c>
      <c r="E4" s="84" t="s">
        <v>14848</v>
      </c>
      <c r="F4" s="49" t="s">
        <v>16</v>
      </c>
      <c r="G4" t="s">
        <v>14847</v>
      </c>
      <c r="H4" s="55" t="s">
        <v>14846</v>
      </c>
      <c r="I4" s="49" t="s">
        <v>19</v>
      </c>
      <c r="J4" s="49" t="s">
        <v>14845</v>
      </c>
      <c r="K4" t="s">
        <v>14844</v>
      </c>
    </row>
    <row r="5" spans="1:11" s="22" customFormat="1" ht="15.5">
      <c r="A5" s="33"/>
      <c r="B5" s="87"/>
      <c r="C5" s="86"/>
      <c r="D5" s="180"/>
      <c r="E5" s="85"/>
      <c r="F5" s="50"/>
      <c r="G5" t="s">
        <v>14843</v>
      </c>
      <c r="H5" s="56"/>
      <c r="I5" s="50"/>
      <c r="J5" s="50"/>
      <c r="K5" t="s">
        <v>14842</v>
      </c>
    </row>
    <row r="6" spans="1:11" s="22" customFormat="1" ht="15.5">
      <c r="A6" s="33"/>
      <c r="B6" s="87"/>
      <c r="C6" s="86"/>
      <c r="D6" s="49" t="s">
        <v>14841</v>
      </c>
      <c r="E6" s="84" t="s">
        <v>14840</v>
      </c>
      <c r="F6" s="49" t="s">
        <v>16</v>
      </c>
      <c r="G6" t="s">
        <v>14758</v>
      </c>
      <c r="H6" s="49" t="s">
        <v>14839</v>
      </c>
      <c r="I6" s="49" t="s">
        <v>41</v>
      </c>
      <c r="J6" s="49" t="s">
        <v>14838</v>
      </c>
      <c r="K6" t="s">
        <v>14837</v>
      </c>
    </row>
    <row r="7" spans="1:11" s="22" customFormat="1" ht="15.5">
      <c r="A7" s="33"/>
      <c r="B7" s="87"/>
      <c r="C7" s="86"/>
      <c r="D7" s="50"/>
      <c r="E7" s="85"/>
      <c r="F7" s="50"/>
      <c r="G7" t="s">
        <v>14836</v>
      </c>
      <c r="H7" s="50"/>
      <c r="I7" s="50"/>
      <c r="J7" s="50"/>
      <c r="K7" t="s">
        <v>14835</v>
      </c>
    </row>
    <row r="8" spans="1:11" s="22" customFormat="1" ht="15.5">
      <c r="A8" s="33"/>
      <c r="B8" s="87"/>
      <c r="C8" s="86"/>
      <c r="D8" s="49" t="s">
        <v>14834</v>
      </c>
      <c r="E8" s="84" t="s">
        <v>14833</v>
      </c>
      <c r="F8" s="49" t="s">
        <v>38</v>
      </c>
      <c r="G8" t="s">
        <v>14698</v>
      </c>
      <c r="H8" s="49" t="s">
        <v>14832</v>
      </c>
      <c r="I8" s="49" t="s">
        <v>19</v>
      </c>
      <c r="J8" s="49" t="s">
        <v>14831</v>
      </c>
      <c r="K8" t="s">
        <v>14830</v>
      </c>
    </row>
    <row r="9" spans="1:11" s="22" customFormat="1" ht="15.5">
      <c r="A9" s="33"/>
      <c r="B9" s="87"/>
      <c r="C9" s="86"/>
      <c r="D9" s="50"/>
      <c r="E9" s="85"/>
      <c r="F9" s="50"/>
      <c r="G9" t="s">
        <v>14711</v>
      </c>
      <c r="H9" s="50"/>
      <c r="I9" s="50"/>
      <c r="J9" s="50"/>
      <c r="K9" t="s">
        <v>14829</v>
      </c>
    </row>
    <row r="10" spans="1:11" s="22" customFormat="1" ht="15.5">
      <c r="A10" s="33"/>
      <c r="B10" s="87"/>
      <c r="C10" s="86"/>
      <c r="D10" s="49" t="s">
        <v>14828</v>
      </c>
      <c r="E10" s="84" t="s">
        <v>14827</v>
      </c>
      <c r="F10" s="49" t="s">
        <v>16</v>
      </c>
      <c r="G10" t="s">
        <v>14826</v>
      </c>
      <c r="H10" s="49" t="s">
        <v>14825</v>
      </c>
      <c r="I10" s="49" t="s">
        <v>19</v>
      </c>
      <c r="J10" s="49" t="s">
        <v>14824</v>
      </c>
      <c r="K10" t="s">
        <v>14823</v>
      </c>
    </row>
    <row r="11" spans="1:11" s="22" customFormat="1" ht="15.5">
      <c r="A11" s="33"/>
      <c r="B11" s="87"/>
      <c r="C11" s="83"/>
      <c r="D11" s="50"/>
      <c r="E11" s="85"/>
      <c r="F11" s="50"/>
      <c r="G11" t="s">
        <v>14822</v>
      </c>
      <c r="H11" s="50"/>
      <c r="I11" s="50"/>
      <c r="J11" s="50"/>
      <c r="K11" t="s">
        <v>14821</v>
      </c>
    </row>
    <row r="12" spans="1:11" s="22" customFormat="1" ht="15.75" customHeight="1">
      <c r="A12" s="33"/>
      <c r="B12" s="87"/>
      <c r="C12" s="82" t="s">
        <v>14820</v>
      </c>
      <c r="D12" s="49" t="s">
        <v>14819</v>
      </c>
      <c r="E12" s="84" t="s">
        <v>14818</v>
      </c>
      <c r="F12" s="49" t="s">
        <v>16</v>
      </c>
      <c r="G12" t="s">
        <v>8737</v>
      </c>
      <c r="H12" s="49" t="s">
        <v>14817</v>
      </c>
      <c r="I12" s="49" t="s">
        <v>19</v>
      </c>
      <c r="J12" s="49" t="s">
        <v>14816</v>
      </c>
      <c r="K12" t="s">
        <v>14815</v>
      </c>
    </row>
    <row r="13" spans="1:11" s="22" customFormat="1" ht="15.5">
      <c r="A13" s="33"/>
      <c r="B13" s="87"/>
      <c r="C13" s="86"/>
      <c r="D13" s="50"/>
      <c r="E13" s="85"/>
      <c r="F13" s="50"/>
      <c r="G13" t="s">
        <v>14814</v>
      </c>
      <c r="H13" s="50"/>
      <c r="I13" s="50"/>
      <c r="J13" s="50"/>
      <c r="K13" t="s">
        <v>14813</v>
      </c>
    </row>
    <row r="14" spans="1:11" s="22" customFormat="1" ht="15.5">
      <c r="A14" s="33"/>
      <c r="B14" s="87"/>
      <c r="C14" s="86"/>
      <c r="D14" s="49" t="s">
        <v>14812</v>
      </c>
      <c r="E14" s="84" t="s">
        <v>14811</v>
      </c>
      <c r="F14" s="55" t="s">
        <v>16</v>
      </c>
      <c r="G14" t="s">
        <v>14810</v>
      </c>
      <c r="H14" s="55" t="s">
        <v>14809</v>
      </c>
      <c r="I14" s="55" t="s">
        <v>41</v>
      </c>
      <c r="J14" s="55" t="s">
        <v>14808</v>
      </c>
      <c r="K14" t="s">
        <v>14807</v>
      </c>
    </row>
    <row r="15" spans="1:11" s="22" customFormat="1" ht="15.5">
      <c r="A15" s="33"/>
      <c r="B15" s="87"/>
      <c r="C15" s="86"/>
      <c r="D15" s="50"/>
      <c r="E15" s="85"/>
      <c r="F15" s="56"/>
      <c r="G15" t="s">
        <v>14806</v>
      </c>
      <c r="H15" s="73"/>
      <c r="I15" s="73"/>
      <c r="J15" s="73"/>
      <c r="K15" t="s">
        <v>14805</v>
      </c>
    </row>
    <row r="16" spans="1:11" s="22" customFormat="1" ht="15.5">
      <c r="A16" s="33"/>
      <c r="B16" s="87"/>
      <c r="C16" s="86"/>
      <c r="D16" s="49" t="s">
        <v>14804</v>
      </c>
      <c r="E16" s="84" t="s">
        <v>14803</v>
      </c>
      <c r="F16" s="73" t="s">
        <v>200</v>
      </c>
      <c r="G16" t="s">
        <v>14802</v>
      </c>
      <c r="H16" s="73" t="s">
        <v>14801</v>
      </c>
      <c r="I16" s="73" t="s">
        <v>41</v>
      </c>
      <c r="J16" s="73" t="s">
        <v>14800</v>
      </c>
      <c r="K16" t="s">
        <v>14799</v>
      </c>
    </row>
    <row r="17" spans="1:11" s="22" customFormat="1" ht="15.5">
      <c r="A17" s="33"/>
      <c r="B17" s="87"/>
      <c r="C17" s="86"/>
      <c r="D17" s="50"/>
      <c r="E17" s="85"/>
      <c r="F17" s="56"/>
      <c r="G17" t="s">
        <v>14798</v>
      </c>
      <c r="H17" s="56"/>
      <c r="I17" s="56"/>
      <c r="J17" s="56"/>
      <c r="K17" t="s">
        <v>14797</v>
      </c>
    </row>
    <row r="18" spans="1:11" s="22" customFormat="1" ht="15.5">
      <c r="A18" s="33"/>
      <c r="B18" s="87"/>
      <c r="C18" s="86"/>
      <c r="D18" s="49" t="s">
        <v>14796</v>
      </c>
      <c r="E18" s="84" t="s">
        <v>14795</v>
      </c>
      <c r="F18" s="55" t="s">
        <v>200</v>
      </c>
      <c r="G18" t="s">
        <v>14794</v>
      </c>
      <c r="H18" s="55" t="s">
        <v>14793</v>
      </c>
      <c r="I18" s="55" t="s">
        <v>41</v>
      </c>
      <c r="J18" s="55" t="s">
        <v>14792</v>
      </c>
      <c r="K18" t="s">
        <v>14791</v>
      </c>
    </row>
    <row r="19" spans="1:11" s="22" customFormat="1" ht="15.5">
      <c r="A19" s="33"/>
      <c r="B19" s="87"/>
      <c r="C19" s="86"/>
      <c r="D19" s="50"/>
      <c r="E19" s="85"/>
      <c r="F19" s="56"/>
      <c r="G19" t="s">
        <v>14790</v>
      </c>
      <c r="H19" s="56"/>
      <c r="I19" s="56"/>
      <c r="J19" s="56"/>
      <c r="K19" t="s">
        <v>14789</v>
      </c>
    </row>
    <row r="20" spans="1:11" s="22" customFormat="1" ht="15.5">
      <c r="A20" s="33"/>
      <c r="B20" s="87"/>
      <c r="C20" s="86"/>
      <c r="D20" s="49" t="s">
        <v>14788</v>
      </c>
      <c r="E20" s="84" t="s">
        <v>14787</v>
      </c>
      <c r="F20" s="55" t="s">
        <v>200</v>
      </c>
      <c r="G20" t="s">
        <v>14786</v>
      </c>
      <c r="H20" s="55" t="s">
        <v>14785</v>
      </c>
      <c r="I20" s="55" t="s">
        <v>41</v>
      </c>
      <c r="J20" s="55" t="s">
        <v>14784</v>
      </c>
      <c r="K20" t="s">
        <v>14783</v>
      </c>
    </row>
    <row r="21" spans="1:11" s="22" customFormat="1" ht="15.5">
      <c r="A21" s="33"/>
      <c r="B21" s="87"/>
      <c r="C21" s="83"/>
      <c r="D21" s="50"/>
      <c r="E21" s="85"/>
      <c r="F21" s="56"/>
      <c r="G21" t="s">
        <v>10753</v>
      </c>
      <c r="H21" s="56"/>
      <c r="I21" s="56"/>
      <c r="J21" s="56"/>
      <c r="K21" t="s">
        <v>14782</v>
      </c>
    </row>
    <row r="22" spans="1:11" s="22" customFormat="1" ht="15.75" customHeight="1">
      <c r="A22" s="33"/>
      <c r="B22" s="87"/>
      <c r="C22" s="82" t="s">
        <v>14781</v>
      </c>
      <c r="D22" s="49" t="s">
        <v>14780</v>
      </c>
      <c r="E22" s="84" t="s">
        <v>14779</v>
      </c>
      <c r="F22" s="55" t="s">
        <v>16</v>
      </c>
      <c r="G22" t="s">
        <v>14778</v>
      </c>
      <c r="H22" s="55" t="s">
        <v>14777</v>
      </c>
      <c r="I22" s="55" t="s">
        <v>19</v>
      </c>
      <c r="J22" s="55" t="s">
        <v>14776</v>
      </c>
      <c r="K22" t="s">
        <v>14775</v>
      </c>
    </row>
    <row r="23" spans="1:11" s="22" customFormat="1" ht="15.5">
      <c r="A23" s="33"/>
      <c r="B23" s="87"/>
      <c r="C23" s="86"/>
      <c r="D23" s="50"/>
      <c r="E23" s="85"/>
      <c r="F23" s="56"/>
      <c r="G23" t="s">
        <v>14774</v>
      </c>
      <c r="H23" s="56"/>
      <c r="I23" s="56"/>
      <c r="J23" s="56"/>
      <c r="K23" t="s">
        <v>14773</v>
      </c>
    </row>
    <row r="24" spans="1:11" s="22" customFormat="1" ht="15.5">
      <c r="A24" s="33"/>
      <c r="B24" s="87"/>
      <c r="C24" s="86"/>
      <c r="D24" s="49" t="s">
        <v>14772</v>
      </c>
      <c r="E24" s="84" t="s">
        <v>14771</v>
      </c>
      <c r="F24" s="49" t="s">
        <v>16</v>
      </c>
      <c r="G24" t="s">
        <v>14770</v>
      </c>
      <c r="H24" s="49" t="s">
        <v>14769</v>
      </c>
      <c r="I24" s="49" t="s">
        <v>19</v>
      </c>
      <c r="J24" s="49" t="s">
        <v>14768</v>
      </c>
      <c r="K24" t="s">
        <v>14767</v>
      </c>
    </row>
    <row r="25" spans="1:11" s="22" customFormat="1" ht="15.5">
      <c r="A25" s="33"/>
      <c r="B25" s="87"/>
      <c r="C25" s="86"/>
      <c r="D25" s="50"/>
      <c r="E25" s="85"/>
      <c r="F25" s="50"/>
      <c r="G25" t="s">
        <v>14766</v>
      </c>
      <c r="H25" s="50"/>
      <c r="I25" s="50"/>
      <c r="J25" s="50"/>
      <c r="K25" t="s">
        <v>14765</v>
      </c>
    </row>
    <row r="26" spans="1:11" s="22" customFormat="1" ht="15.5">
      <c r="A26" s="33"/>
      <c r="B26" s="87"/>
      <c r="C26" s="86"/>
      <c r="D26" s="49" t="s">
        <v>14764</v>
      </c>
      <c r="E26" s="84" t="s">
        <v>14763</v>
      </c>
      <c r="F26" s="49" t="s">
        <v>38</v>
      </c>
      <c r="G26" t="s">
        <v>14762</v>
      </c>
      <c r="H26" s="49" t="s">
        <v>14761</v>
      </c>
      <c r="I26" s="49" t="s">
        <v>19</v>
      </c>
      <c r="J26" s="49" t="s">
        <v>14760</v>
      </c>
      <c r="K26" t="s">
        <v>14759</v>
      </c>
    </row>
    <row r="27" spans="1:11" s="22" customFormat="1" ht="15.5">
      <c r="A27" s="33"/>
      <c r="B27" s="87"/>
      <c r="C27" s="86"/>
      <c r="D27" s="50"/>
      <c r="E27" s="85"/>
      <c r="F27" s="50"/>
      <c r="G27" t="s">
        <v>14758</v>
      </c>
      <c r="H27" s="50"/>
      <c r="I27" s="50"/>
      <c r="J27" s="50"/>
      <c r="K27" t="s">
        <v>14757</v>
      </c>
    </row>
    <row r="28" spans="1:11" s="22" customFormat="1" ht="15.5">
      <c r="A28" s="33"/>
      <c r="B28" s="87"/>
      <c r="C28" s="86"/>
      <c r="D28" s="49" t="s">
        <v>14756</v>
      </c>
      <c r="E28" s="84" t="s">
        <v>14755</v>
      </c>
      <c r="F28" s="49" t="s">
        <v>38</v>
      </c>
      <c r="G28" t="s">
        <v>14754</v>
      </c>
      <c r="H28" s="49" t="s">
        <v>14753</v>
      </c>
      <c r="I28" s="49" t="s">
        <v>41</v>
      </c>
      <c r="J28" s="49" t="s">
        <v>14752</v>
      </c>
      <c r="K28" t="s">
        <v>14751</v>
      </c>
    </row>
    <row r="29" spans="1:11" s="22" customFormat="1" ht="15.5">
      <c r="A29" s="33"/>
      <c r="B29" s="87"/>
      <c r="C29" s="86"/>
      <c r="D29" s="50"/>
      <c r="E29" s="85"/>
      <c r="F29" s="50"/>
      <c r="G29" t="s">
        <v>14750</v>
      </c>
      <c r="H29" s="50"/>
      <c r="I29" s="50"/>
      <c r="J29" s="50"/>
      <c r="K29" t="s">
        <v>14749</v>
      </c>
    </row>
    <row r="30" spans="1:11" s="22" customFormat="1" ht="15.5">
      <c r="A30" s="33"/>
      <c r="B30" s="87"/>
      <c r="C30" s="86"/>
      <c r="D30" s="49" t="s">
        <v>14748</v>
      </c>
      <c r="E30" s="84" t="s">
        <v>14747</v>
      </c>
      <c r="F30" s="49" t="s">
        <v>38</v>
      </c>
      <c r="G30" t="s">
        <v>14746</v>
      </c>
      <c r="H30" s="49" t="s">
        <v>14745</v>
      </c>
      <c r="I30" s="49" t="s">
        <v>41</v>
      </c>
      <c r="J30" s="49" t="s">
        <v>14744</v>
      </c>
      <c r="K30" t="s">
        <v>14743</v>
      </c>
    </row>
    <row r="31" spans="1:11" s="22" customFormat="1" ht="15.5">
      <c r="A31" s="33"/>
      <c r="B31" s="87"/>
      <c r="C31" s="83"/>
      <c r="D31" s="50"/>
      <c r="E31" s="85"/>
      <c r="F31" s="50"/>
      <c r="G31" t="s">
        <v>14742</v>
      </c>
      <c r="H31" s="50"/>
      <c r="I31" s="50"/>
      <c r="J31" s="50"/>
      <c r="K31" t="s">
        <v>14741</v>
      </c>
    </row>
    <row r="32" spans="1:11" s="22" customFormat="1" ht="15.75" customHeight="1">
      <c r="A32" s="33"/>
      <c r="B32" s="87"/>
      <c r="C32" s="82" t="s">
        <v>14740</v>
      </c>
      <c r="D32" s="49" t="s">
        <v>14739</v>
      </c>
      <c r="E32" s="84" t="s">
        <v>14738</v>
      </c>
      <c r="F32" s="49" t="s">
        <v>16</v>
      </c>
      <c r="G32" t="s">
        <v>14737</v>
      </c>
      <c r="H32" s="49" t="s">
        <v>14736</v>
      </c>
      <c r="I32" s="49" t="s">
        <v>41</v>
      </c>
      <c r="J32" s="49" t="s">
        <v>14735</v>
      </c>
      <c r="K32" t="s">
        <v>14734</v>
      </c>
    </row>
    <row r="33" spans="1:11" s="22" customFormat="1" ht="15.5">
      <c r="A33" s="33"/>
      <c r="B33" s="87"/>
      <c r="C33" s="86"/>
      <c r="D33" s="50"/>
      <c r="E33" s="85"/>
      <c r="F33" s="50"/>
      <c r="G33" t="s">
        <v>14733</v>
      </c>
      <c r="H33" s="50"/>
      <c r="I33" s="50"/>
      <c r="J33" s="50"/>
      <c r="K33" t="s">
        <v>14732</v>
      </c>
    </row>
    <row r="34" spans="1:11" s="22" customFormat="1" ht="15.5">
      <c r="A34" s="33"/>
      <c r="B34" s="87"/>
      <c r="C34" s="86"/>
      <c r="D34" s="49" t="s">
        <v>14731</v>
      </c>
      <c r="E34" s="84" t="s">
        <v>14730</v>
      </c>
      <c r="F34" s="49" t="s">
        <v>38</v>
      </c>
      <c r="G34" t="s">
        <v>14729</v>
      </c>
      <c r="H34" s="49" t="s">
        <v>14728</v>
      </c>
      <c r="I34" s="49" t="s">
        <v>33</v>
      </c>
      <c r="J34" s="49" t="s">
        <v>14727</v>
      </c>
      <c r="K34" t="s">
        <v>14726</v>
      </c>
    </row>
    <row r="35" spans="1:11" s="22" customFormat="1" ht="15.5">
      <c r="A35" s="33"/>
      <c r="B35" s="87"/>
      <c r="C35" s="86"/>
      <c r="D35" s="50"/>
      <c r="E35" s="85"/>
      <c r="F35" s="50"/>
      <c r="G35" t="s">
        <v>14725</v>
      </c>
      <c r="H35" s="50"/>
      <c r="I35" s="50"/>
      <c r="J35" s="50"/>
      <c r="K35" t="s">
        <v>14724</v>
      </c>
    </row>
    <row r="36" spans="1:11" s="22" customFormat="1" ht="15.5">
      <c r="A36" s="33"/>
      <c r="B36" s="87"/>
      <c r="C36" s="86"/>
      <c r="D36" s="49" t="s">
        <v>14723</v>
      </c>
      <c r="E36" s="84" t="s">
        <v>14722</v>
      </c>
      <c r="F36" s="49" t="s">
        <v>16</v>
      </c>
      <c r="G36" t="s">
        <v>14721</v>
      </c>
      <c r="H36" s="49" t="s">
        <v>14720</v>
      </c>
      <c r="I36" s="49" t="s">
        <v>33</v>
      </c>
      <c r="J36" s="49" t="s">
        <v>14719</v>
      </c>
      <c r="K36" t="s">
        <v>14718</v>
      </c>
    </row>
    <row r="37" spans="1:11" s="22" customFormat="1" ht="15.5">
      <c r="A37" s="33"/>
      <c r="B37" s="87"/>
      <c r="C37" s="86"/>
      <c r="D37" s="50"/>
      <c r="E37" s="85"/>
      <c r="F37" s="50"/>
      <c r="G37" t="s">
        <v>10791</v>
      </c>
      <c r="H37" s="50"/>
      <c r="I37" s="50"/>
      <c r="J37" s="50"/>
      <c r="K37" t="s">
        <v>14717</v>
      </c>
    </row>
    <row r="38" spans="1:11" s="22" customFormat="1" ht="15.5">
      <c r="A38" s="33"/>
      <c r="B38" s="87"/>
      <c r="C38" s="86"/>
      <c r="D38" s="49" t="s">
        <v>14716</v>
      </c>
      <c r="E38" s="84" t="s">
        <v>14715</v>
      </c>
      <c r="F38" s="49" t="s">
        <v>38</v>
      </c>
      <c r="G38" t="s">
        <v>10611</v>
      </c>
      <c r="H38" s="49" t="s">
        <v>14714</v>
      </c>
      <c r="I38" s="49" t="s">
        <v>19</v>
      </c>
      <c r="J38" s="49" t="s">
        <v>14713</v>
      </c>
      <c r="K38" t="s">
        <v>14712</v>
      </c>
    </row>
    <row r="39" spans="1:11" s="22" customFormat="1" ht="15.5">
      <c r="A39" s="33"/>
      <c r="B39" s="87"/>
      <c r="C39" s="86"/>
      <c r="D39" s="50"/>
      <c r="E39" s="85"/>
      <c r="F39" s="50"/>
      <c r="G39" t="s">
        <v>14711</v>
      </c>
      <c r="H39" s="50"/>
      <c r="I39" s="50"/>
      <c r="J39" s="50"/>
      <c r="K39" t="s">
        <v>14710</v>
      </c>
    </row>
    <row r="40" spans="1:11" s="22" customFormat="1" ht="15.5">
      <c r="A40" s="33"/>
      <c r="B40" s="87"/>
      <c r="C40" s="86"/>
      <c r="D40" s="49" t="s">
        <v>14709</v>
      </c>
      <c r="E40" s="84" t="s">
        <v>14708</v>
      </c>
      <c r="F40" s="49" t="s">
        <v>16</v>
      </c>
      <c r="G40" t="s">
        <v>14707</v>
      </c>
      <c r="H40" s="49" t="s">
        <v>14706</v>
      </c>
      <c r="I40" s="49" t="s">
        <v>19</v>
      </c>
      <c r="J40" s="49" t="s">
        <v>14705</v>
      </c>
      <c r="K40" t="s">
        <v>14704</v>
      </c>
    </row>
    <row r="41" spans="1:11" s="22" customFormat="1" ht="15.5">
      <c r="A41" s="33"/>
      <c r="B41" s="87"/>
      <c r="C41" s="83"/>
      <c r="D41" s="50"/>
      <c r="E41" s="85"/>
      <c r="F41" s="50"/>
      <c r="G41" t="s">
        <v>14703</v>
      </c>
      <c r="H41" s="50"/>
      <c r="I41" s="50"/>
      <c r="J41" s="50"/>
      <c r="K41" t="s">
        <v>14702</v>
      </c>
    </row>
    <row r="42" spans="1:11" s="22" customFormat="1" ht="15.75" customHeight="1">
      <c r="A42" s="33"/>
      <c r="B42" s="87"/>
      <c r="C42" s="82" t="s">
        <v>14701</v>
      </c>
      <c r="D42" s="49" t="s">
        <v>14700</v>
      </c>
      <c r="E42" s="84" t="s">
        <v>14699</v>
      </c>
      <c r="F42" s="49" t="s">
        <v>38</v>
      </c>
      <c r="G42" t="s">
        <v>14698</v>
      </c>
      <c r="H42" s="49" t="s">
        <v>14697</v>
      </c>
      <c r="I42" s="49" t="s">
        <v>41</v>
      </c>
      <c r="J42" s="49" t="s">
        <v>14696</v>
      </c>
      <c r="K42" t="s">
        <v>14695</v>
      </c>
    </row>
    <row r="43" spans="1:11" s="22" customFormat="1" ht="15.5">
      <c r="A43" s="33"/>
      <c r="B43" s="87"/>
      <c r="C43" s="86"/>
      <c r="D43" s="50"/>
      <c r="E43" s="85"/>
      <c r="F43" s="50"/>
      <c r="G43" t="s">
        <v>14694</v>
      </c>
      <c r="H43" s="50"/>
      <c r="I43" s="50"/>
      <c r="J43" s="50"/>
      <c r="K43" t="s">
        <v>14693</v>
      </c>
    </row>
    <row r="44" spans="1:11" s="22" customFormat="1" ht="15.5">
      <c r="A44" s="33"/>
      <c r="B44" s="87"/>
      <c r="C44" s="86"/>
      <c r="D44" s="49" t="s">
        <v>14692</v>
      </c>
      <c r="E44" s="84" t="s">
        <v>14691</v>
      </c>
      <c r="F44" s="49" t="s">
        <v>16</v>
      </c>
      <c r="G44" t="s">
        <v>14690</v>
      </c>
      <c r="H44" s="49" t="s">
        <v>14689</v>
      </c>
      <c r="I44" s="49" t="s">
        <v>41</v>
      </c>
      <c r="J44" s="49" t="s">
        <v>14688</v>
      </c>
      <c r="K44" t="s">
        <v>14687</v>
      </c>
    </row>
    <row r="45" spans="1:11" s="22" customFormat="1" ht="15.5">
      <c r="A45" s="33"/>
      <c r="B45" s="87"/>
      <c r="C45" s="86"/>
      <c r="D45" s="50"/>
      <c r="E45" s="85"/>
      <c r="F45" s="50"/>
      <c r="G45" t="s">
        <v>14686</v>
      </c>
      <c r="H45" s="50"/>
      <c r="I45" s="50"/>
      <c r="J45" s="50"/>
      <c r="K45" t="s">
        <v>14685</v>
      </c>
    </row>
    <row r="46" spans="1:11" s="22" customFormat="1" ht="15.5">
      <c r="A46" s="33"/>
      <c r="B46" s="87"/>
      <c r="C46" s="86"/>
      <c r="D46" s="49" t="s">
        <v>14684</v>
      </c>
      <c r="E46" s="84"/>
      <c r="F46" s="55"/>
      <c r="H46" s="55"/>
      <c r="I46" s="55"/>
    </row>
    <row r="47" spans="1:11" s="22" customFormat="1" ht="15.5">
      <c r="A47" s="33"/>
      <c r="B47" s="87"/>
      <c r="C47" s="86"/>
      <c r="D47" s="50"/>
      <c r="E47" s="85"/>
      <c r="F47" s="56"/>
      <c r="H47" s="56"/>
      <c r="I47" s="56"/>
    </row>
    <row r="48" spans="1:11" s="22" customFormat="1" ht="15.5">
      <c r="A48" s="33"/>
      <c r="B48" s="87"/>
      <c r="C48" s="86"/>
      <c r="D48" s="49" t="s">
        <v>14683</v>
      </c>
      <c r="E48" s="84"/>
      <c r="F48" s="55"/>
      <c r="H48" s="55"/>
      <c r="I48" s="55"/>
    </row>
    <row r="49" spans="1:10" s="22" customFormat="1" ht="15.5">
      <c r="A49" s="33"/>
      <c r="B49" s="87"/>
      <c r="C49" s="86"/>
      <c r="D49" s="50"/>
      <c r="E49" s="85"/>
      <c r="F49" s="56"/>
      <c r="H49" s="56"/>
      <c r="I49" s="56"/>
    </row>
    <row r="50" spans="1:10" s="22" customFormat="1" ht="15.5">
      <c r="A50" s="33"/>
      <c r="B50" s="87"/>
      <c r="C50" s="86"/>
      <c r="D50" s="49" t="s">
        <v>14682</v>
      </c>
      <c r="E50" s="84"/>
      <c r="F50" s="49"/>
      <c r="H50" s="49"/>
      <c r="I50" s="49"/>
      <c r="J50" s="49"/>
    </row>
    <row r="51" spans="1:10" s="22" customFormat="1" ht="15.5">
      <c r="A51" s="33"/>
      <c r="B51" s="87"/>
      <c r="C51" s="83"/>
      <c r="D51" s="50"/>
      <c r="E51" s="85"/>
      <c r="F51" s="50"/>
      <c r="H51" s="50"/>
      <c r="I51" s="50"/>
      <c r="J51" s="50"/>
    </row>
    <row r="52" spans="1:10" s="22" customFormat="1" ht="15.75" customHeight="1">
      <c r="A52" s="33"/>
      <c r="B52" s="87"/>
      <c r="C52" s="82" t="s">
        <v>14681</v>
      </c>
      <c r="D52" s="49" t="s">
        <v>14680</v>
      </c>
      <c r="E52" s="84"/>
      <c r="F52" s="76"/>
      <c r="H52" s="76"/>
      <c r="I52" s="76"/>
      <c r="J52" s="76"/>
    </row>
    <row r="53" spans="1:10" s="22" customFormat="1" ht="15.5">
      <c r="A53" s="33"/>
      <c r="B53" s="87"/>
      <c r="C53" s="86"/>
      <c r="D53" s="50"/>
      <c r="E53" s="85"/>
      <c r="F53" s="77"/>
      <c r="H53" s="77"/>
      <c r="I53" s="77"/>
      <c r="J53" s="77"/>
    </row>
    <row r="54" spans="1:10" s="22" customFormat="1" ht="15.5">
      <c r="A54" s="33"/>
      <c r="B54" s="87"/>
      <c r="C54" s="86"/>
      <c r="D54" s="49" t="s">
        <v>14679</v>
      </c>
      <c r="E54" s="84"/>
      <c r="F54" s="49"/>
      <c r="H54" s="49"/>
      <c r="I54" s="49"/>
      <c r="J54" s="49"/>
    </row>
    <row r="55" spans="1:10" s="22" customFormat="1" ht="15.5">
      <c r="A55" s="33"/>
      <c r="B55" s="87"/>
      <c r="C55" s="86"/>
      <c r="D55" s="50"/>
      <c r="E55" s="85"/>
      <c r="F55" s="50"/>
      <c r="H55" s="50"/>
      <c r="I55" s="50"/>
      <c r="J55" s="50"/>
    </row>
    <row r="56" spans="1:10" s="22" customFormat="1" ht="15.5">
      <c r="A56" s="33"/>
      <c r="B56" s="87"/>
      <c r="C56" s="86"/>
      <c r="D56" s="49" t="s">
        <v>14678</v>
      </c>
      <c r="E56" s="84"/>
      <c r="F56" s="49"/>
      <c r="H56" s="49"/>
      <c r="I56" s="49"/>
      <c r="J56" s="49"/>
    </row>
    <row r="57" spans="1:10" s="22" customFormat="1" ht="15.5">
      <c r="A57" s="33"/>
      <c r="B57" s="87"/>
      <c r="C57" s="86"/>
      <c r="D57" s="50"/>
      <c r="E57" s="85"/>
      <c r="F57" s="50"/>
      <c r="H57" s="50"/>
      <c r="I57" s="50"/>
      <c r="J57" s="50"/>
    </row>
    <row r="58" spans="1:10" s="22" customFormat="1" ht="15.5">
      <c r="A58" s="33"/>
      <c r="B58" s="87"/>
      <c r="C58" s="86"/>
      <c r="D58" s="49" t="s">
        <v>14677</v>
      </c>
      <c r="E58" s="84"/>
      <c r="F58" s="49"/>
      <c r="H58" s="49"/>
      <c r="I58" s="49"/>
      <c r="J58" s="49"/>
    </row>
    <row r="59" spans="1:10" s="22" customFormat="1" ht="15.5">
      <c r="A59" s="33"/>
      <c r="B59" s="87"/>
      <c r="C59" s="86"/>
      <c r="D59" s="50"/>
      <c r="E59" s="85"/>
      <c r="F59" s="50"/>
      <c r="H59" s="50"/>
      <c r="I59" s="50"/>
      <c r="J59" s="50"/>
    </row>
    <row r="60" spans="1:10" s="22" customFormat="1" ht="15.5">
      <c r="A60" s="33"/>
      <c r="B60" s="87"/>
      <c r="C60" s="86"/>
      <c r="D60" s="49" t="s">
        <v>14676</v>
      </c>
      <c r="E60" s="84"/>
      <c r="F60" s="49"/>
      <c r="H60" s="49"/>
      <c r="I60" s="49"/>
      <c r="J60" s="49"/>
    </row>
    <row r="61" spans="1:10" s="22" customFormat="1" ht="15.5">
      <c r="A61" s="33"/>
      <c r="B61" s="87"/>
      <c r="C61" s="83"/>
      <c r="D61" s="50"/>
      <c r="E61" s="85"/>
      <c r="F61" s="50"/>
      <c r="H61" s="50"/>
      <c r="I61" s="50"/>
      <c r="J61" s="50"/>
    </row>
    <row r="62" spans="1:10" s="22" customFormat="1" ht="15.75" customHeight="1">
      <c r="A62" s="33"/>
      <c r="B62" s="87"/>
      <c r="C62" s="82" t="s">
        <v>14675</v>
      </c>
      <c r="D62" s="49" t="s">
        <v>14674</v>
      </c>
      <c r="E62" s="84"/>
      <c r="F62" s="49"/>
      <c r="H62" s="49"/>
      <c r="I62" s="49"/>
      <c r="J62" s="49"/>
    </row>
    <row r="63" spans="1:10" s="22" customFormat="1" ht="15.5">
      <c r="A63" s="33"/>
      <c r="B63" s="87"/>
      <c r="C63" s="86"/>
      <c r="D63" s="50"/>
      <c r="E63" s="85"/>
      <c r="F63" s="50"/>
      <c r="H63" s="50"/>
      <c r="I63" s="50"/>
      <c r="J63" s="50"/>
    </row>
    <row r="64" spans="1:10" s="22" customFormat="1" ht="15.5">
      <c r="A64" s="33"/>
      <c r="B64" s="87"/>
      <c r="C64" s="86"/>
      <c r="D64" s="49" t="s">
        <v>14673</v>
      </c>
      <c r="E64" s="84"/>
      <c r="F64" s="55"/>
      <c r="H64" s="55"/>
      <c r="I64" s="55"/>
      <c r="J64" s="55"/>
    </row>
    <row r="65" spans="1:10" s="22" customFormat="1" ht="15.5">
      <c r="A65" s="33"/>
      <c r="B65" s="87"/>
      <c r="C65" s="86"/>
      <c r="D65" s="50"/>
      <c r="E65" s="85"/>
      <c r="F65" s="73"/>
      <c r="H65" s="73"/>
      <c r="I65" s="73"/>
      <c r="J65" s="73"/>
    </row>
    <row r="66" spans="1:10" s="22" customFormat="1" ht="15.5">
      <c r="A66" s="33"/>
      <c r="B66" s="87"/>
      <c r="C66" s="86"/>
      <c r="D66" s="49" t="s">
        <v>14672</v>
      </c>
      <c r="E66" s="84"/>
      <c r="F66" s="73"/>
      <c r="H66" s="73"/>
      <c r="I66" s="73"/>
      <c r="J66" s="73"/>
    </row>
    <row r="67" spans="1:10" s="22" customFormat="1" ht="15.5">
      <c r="A67" s="33"/>
      <c r="B67" s="87"/>
      <c r="C67" s="86"/>
      <c r="D67" s="50"/>
      <c r="E67" s="85"/>
      <c r="F67" s="56"/>
      <c r="H67" s="56"/>
      <c r="I67" s="56"/>
      <c r="J67" s="56"/>
    </row>
    <row r="68" spans="1:10" s="22" customFormat="1" ht="15.5">
      <c r="A68" s="33"/>
      <c r="B68" s="87"/>
      <c r="C68" s="86"/>
      <c r="D68" s="49" t="s">
        <v>14671</v>
      </c>
      <c r="E68" s="84"/>
      <c r="F68" s="55"/>
      <c r="H68" s="55"/>
      <c r="I68" s="55"/>
      <c r="J68" s="55"/>
    </row>
    <row r="69" spans="1:10" s="22" customFormat="1" ht="15.5">
      <c r="A69" s="33"/>
      <c r="B69" s="87"/>
      <c r="C69" s="86"/>
      <c r="D69" s="50"/>
      <c r="E69" s="85"/>
      <c r="F69" s="56"/>
      <c r="H69" s="56"/>
      <c r="I69" s="56"/>
      <c r="J69" s="56"/>
    </row>
    <row r="70" spans="1:10" s="22" customFormat="1" ht="15.5">
      <c r="A70" s="33"/>
      <c r="B70" s="87"/>
      <c r="C70" s="86"/>
      <c r="D70" s="49" t="s">
        <v>14670</v>
      </c>
      <c r="E70" s="84"/>
      <c r="F70" s="55"/>
      <c r="H70" s="55"/>
      <c r="I70" s="55"/>
      <c r="J70" s="55"/>
    </row>
    <row r="71" spans="1:10" s="22" customFormat="1" ht="15.5">
      <c r="A71" s="33"/>
      <c r="B71" s="50"/>
      <c r="C71" s="83"/>
      <c r="D71" s="50"/>
      <c r="E71" s="85"/>
      <c r="F71" s="56"/>
      <c r="H71" s="56"/>
      <c r="I71" s="56"/>
      <c r="J71" s="56"/>
    </row>
    <row r="72" spans="1:10" s="22" customFormat="1" ht="15.5" customHeight="1">
      <c r="A72" s="33"/>
      <c r="B72" s="49" t="s">
        <v>14669</v>
      </c>
      <c r="C72" s="90" t="s">
        <v>14668</v>
      </c>
      <c r="D72" s="49" t="s">
        <v>14667</v>
      </c>
      <c r="E72" s="84"/>
      <c r="F72" s="49"/>
      <c r="H72" s="49"/>
      <c r="I72" s="49"/>
      <c r="J72" s="49"/>
    </row>
    <row r="73" spans="1:10" s="22" customFormat="1" ht="15.5">
      <c r="A73" s="33"/>
      <c r="B73" s="87"/>
      <c r="C73" s="91"/>
      <c r="D73" s="50"/>
      <c r="E73" s="85"/>
      <c r="F73" s="50"/>
      <c r="H73" s="50"/>
      <c r="I73" s="50"/>
      <c r="J73" s="50"/>
    </row>
    <row r="74" spans="1:10" s="22" customFormat="1" ht="15.5">
      <c r="A74" s="33"/>
      <c r="B74" s="87"/>
      <c r="C74" s="91"/>
      <c r="D74" s="49" t="s">
        <v>14666</v>
      </c>
      <c r="E74" s="84"/>
      <c r="F74" s="49"/>
      <c r="H74" s="49"/>
      <c r="I74" s="49"/>
      <c r="J74" s="49"/>
    </row>
    <row r="75" spans="1:10" s="22" customFormat="1" ht="15.5">
      <c r="A75" s="33"/>
      <c r="B75" s="87"/>
      <c r="C75" s="91"/>
      <c r="D75" s="50"/>
      <c r="E75" s="85"/>
      <c r="F75" s="50"/>
      <c r="H75" s="50"/>
      <c r="I75" s="50"/>
      <c r="J75" s="50"/>
    </row>
    <row r="76" spans="1:10" s="22" customFormat="1" ht="15.5">
      <c r="A76" s="33"/>
      <c r="B76" s="87"/>
      <c r="C76" s="91"/>
      <c r="D76" s="49" t="s">
        <v>14665</v>
      </c>
      <c r="E76" s="84"/>
      <c r="F76" s="49"/>
      <c r="H76" s="49"/>
      <c r="I76" s="49"/>
      <c r="J76" s="49"/>
    </row>
    <row r="77" spans="1:10" s="22" customFormat="1" ht="15.5">
      <c r="A77" s="33"/>
      <c r="B77" s="87"/>
      <c r="C77" s="91"/>
      <c r="D77" s="50"/>
      <c r="E77" s="85"/>
      <c r="F77" s="50"/>
      <c r="H77" s="50"/>
      <c r="I77" s="50"/>
      <c r="J77" s="50"/>
    </row>
    <row r="78" spans="1:10" s="22" customFormat="1" ht="15.5">
      <c r="A78" s="33"/>
      <c r="B78" s="87"/>
      <c r="C78" s="91"/>
      <c r="D78" s="49" t="s">
        <v>14664</v>
      </c>
      <c r="E78" s="84"/>
      <c r="F78" s="49"/>
      <c r="H78" s="49"/>
      <c r="I78" s="49"/>
      <c r="J78" s="49"/>
    </row>
    <row r="79" spans="1:10" s="22" customFormat="1" ht="15.5">
      <c r="A79" s="33"/>
      <c r="B79" s="87"/>
      <c r="C79" s="91"/>
      <c r="D79" s="50"/>
      <c r="E79" s="85"/>
      <c r="F79" s="50"/>
      <c r="H79" s="50"/>
      <c r="I79" s="50"/>
      <c r="J79" s="50"/>
    </row>
    <row r="80" spans="1:10" s="22" customFormat="1" ht="15.5">
      <c r="A80" s="33"/>
      <c r="B80" s="87"/>
      <c r="C80" s="91"/>
      <c r="D80" s="49" t="s">
        <v>14663</v>
      </c>
      <c r="E80" s="84"/>
      <c r="F80" s="49"/>
      <c r="H80" s="49"/>
      <c r="I80" s="49"/>
      <c r="J80" s="49"/>
    </row>
    <row r="81" spans="1:10" s="22" customFormat="1" ht="15.5">
      <c r="A81" s="33"/>
      <c r="B81" s="87"/>
      <c r="C81" s="92"/>
      <c r="D81" s="50"/>
      <c r="E81" s="85"/>
      <c r="F81" s="50"/>
      <c r="H81" s="50"/>
      <c r="I81" s="50"/>
      <c r="J81" s="50"/>
    </row>
    <row r="82" spans="1:10" s="22" customFormat="1" ht="15.5" customHeight="1">
      <c r="A82" s="33"/>
      <c r="B82" s="87"/>
      <c r="C82" s="82" t="s">
        <v>14662</v>
      </c>
      <c r="D82" s="49" t="s">
        <v>14661</v>
      </c>
      <c r="E82" s="84"/>
      <c r="F82" s="49"/>
      <c r="H82" s="49"/>
      <c r="I82" s="49"/>
      <c r="J82" s="49"/>
    </row>
    <row r="83" spans="1:10" s="22" customFormat="1" ht="15.5">
      <c r="A83" s="33"/>
      <c r="B83" s="87"/>
      <c r="C83" s="86"/>
      <c r="D83" s="50"/>
      <c r="E83" s="85"/>
      <c r="F83" s="50"/>
      <c r="H83" s="50"/>
      <c r="I83" s="50"/>
      <c r="J83" s="50"/>
    </row>
    <row r="84" spans="1:10" s="22" customFormat="1" ht="15.5">
      <c r="A84" s="33"/>
      <c r="B84" s="87"/>
      <c r="C84" s="86"/>
      <c r="D84" s="49" t="s">
        <v>14660</v>
      </c>
      <c r="E84" s="84"/>
      <c r="F84" s="49"/>
      <c r="H84" s="49"/>
      <c r="I84" s="49"/>
      <c r="J84" s="49"/>
    </row>
    <row r="85" spans="1:10" s="22" customFormat="1" ht="15.5">
      <c r="A85" s="33"/>
      <c r="B85" s="87"/>
      <c r="C85" s="86"/>
      <c r="D85" s="50"/>
      <c r="E85" s="85"/>
      <c r="F85" s="50"/>
      <c r="H85" s="50"/>
      <c r="I85" s="50"/>
      <c r="J85" s="50"/>
    </row>
    <row r="86" spans="1:10" s="22" customFormat="1" ht="15.5">
      <c r="A86" s="33"/>
      <c r="B86" s="87"/>
      <c r="C86" s="86"/>
      <c r="D86" s="49" t="s">
        <v>14659</v>
      </c>
      <c r="E86" s="84"/>
      <c r="F86" s="49"/>
      <c r="H86" s="49"/>
      <c r="I86" s="49"/>
      <c r="J86" s="49"/>
    </row>
    <row r="87" spans="1:10" s="22" customFormat="1" ht="15.5">
      <c r="A87" s="33"/>
      <c r="B87" s="87"/>
      <c r="C87" s="86"/>
      <c r="D87" s="50"/>
      <c r="E87" s="85"/>
      <c r="F87" s="50"/>
      <c r="H87" s="50"/>
      <c r="I87" s="50"/>
      <c r="J87" s="50"/>
    </row>
    <row r="88" spans="1:10" s="22" customFormat="1" ht="15.5">
      <c r="A88" s="33"/>
      <c r="B88" s="87"/>
      <c r="C88" s="86"/>
      <c r="D88" s="49" t="s">
        <v>14658</v>
      </c>
      <c r="E88" s="84"/>
      <c r="F88" s="49"/>
      <c r="H88" s="49"/>
      <c r="I88" s="49"/>
      <c r="J88" s="49"/>
    </row>
    <row r="89" spans="1:10" s="22" customFormat="1" ht="15.5">
      <c r="A89" s="33"/>
      <c r="B89" s="87"/>
      <c r="C89" s="86"/>
      <c r="D89" s="50"/>
      <c r="E89" s="85"/>
      <c r="F89" s="50"/>
      <c r="H89" s="50"/>
      <c r="I89" s="50"/>
      <c r="J89" s="50"/>
    </row>
    <row r="90" spans="1:10" s="22" customFormat="1" ht="15.5">
      <c r="A90" s="33"/>
      <c r="B90" s="87"/>
      <c r="C90" s="86"/>
      <c r="D90" s="49" t="s">
        <v>14657</v>
      </c>
      <c r="E90" s="84"/>
      <c r="F90" s="49"/>
      <c r="H90" s="49"/>
      <c r="I90" s="49"/>
      <c r="J90" s="49"/>
    </row>
    <row r="91" spans="1:10" s="22" customFormat="1" ht="15.5">
      <c r="A91" s="33"/>
      <c r="B91" s="87"/>
      <c r="C91" s="83"/>
      <c r="D91" s="50"/>
      <c r="E91" s="85"/>
      <c r="F91" s="50"/>
      <c r="H91" s="50"/>
      <c r="I91" s="50"/>
      <c r="J91" s="50"/>
    </row>
    <row r="92" spans="1:10" s="22" customFormat="1" ht="15.75" customHeight="1">
      <c r="A92" s="33"/>
      <c r="B92" s="87"/>
      <c r="C92" s="82" t="s">
        <v>14656</v>
      </c>
      <c r="D92" s="49" t="s">
        <v>14655</v>
      </c>
      <c r="E92" s="84"/>
      <c r="F92" s="49"/>
      <c r="H92" s="49"/>
      <c r="I92" s="49"/>
      <c r="J92" s="49"/>
    </row>
    <row r="93" spans="1:10" s="22" customFormat="1" ht="15.5">
      <c r="A93" s="33"/>
      <c r="B93" s="87"/>
      <c r="C93" s="86"/>
      <c r="D93" s="50"/>
      <c r="E93" s="85"/>
      <c r="F93" s="50"/>
      <c r="H93" s="50"/>
      <c r="I93" s="50"/>
      <c r="J93" s="50"/>
    </row>
    <row r="94" spans="1:10" s="22" customFormat="1" ht="15.5">
      <c r="A94" s="33"/>
      <c r="B94" s="87"/>
      <c r="C94" s="86"/>
      <c r="D94" s="49" t="s">
        <v>14654</v>
      </c>
      <c r="E94" s="84"/>
      <c r="F94" s="49"/>
      <c r="H94" s="49"/>
      <c r="I94" s="49"/>
      <c r="J94" s="49"/>
    </row>
    <row r="95" spans="1:10" s="22" customFormat="1" ht="15.5">
      <c r="A95" s="33"/>
      <c r="B95" s="87"/>
      <c r="C95" s="86"/>
      <c r="D95" s="50"/>
      <c r="E95" s="85"/>
      <c r="F95" s="50"/>
      <c r="H95" s="50"/>
      <c r="I95" s="50"/>
      <c r="J95" s="50"/>
    </row>
    <row r="96" spans="1:10" s="22" customFormat="1" ht="15.5">
      <c r="A96" s="33"/>
      <c r="B96" s="87"/>
      <c r="C96" s="86"/>
      <c r="D96" s="49" t="s">
        <v>14653</v>
      </c>
      <c r="E96" s="84"/>
      <c r="F96" s="49"/>
      <c r="H96" s="49"/>
      <c r="I96" s="49"/>
      <c r="J96" s="49"/>
    </row>
    <row r="97" spans="1:10" s="22" customFormat="1" ht="15.5">
      <c r="A97" s="33"/>
      <c r="B97" s="87"/>
      <c r="C97" s="86"/>
      <c r="D97" s="50"/>
      <c r="E97" s="85"/>
      <c r="F97" s="50"/>
      <c r="H97" s="50"/>
      <c r="I97" s="50"/>
      <c r="J97" s="50"/>
    </row>
    <row r="98" spans="1:10" s="22" customFormat="1" ht="15.5">
      <c r="A98" s="33"/>
      <c r="B98" s="87"/>
      <c r="C98" s="86"/>
      <c r="D98" s="49" t="s">
        <v>14652</v>
      </c>
      <c r="E98" s="84"/>
      <c r="F98" s="72"/>
      <c r="H98" s="72"/>
      <c r="I98" s="72"/>
      <c r="J98" s="72"/>
    </row>
    <row r="99" spans="1:10" s="22" customFormat="1" ht="15.5">
      <c r="A99" s="33"/>
      <c r="B99" s="87"/>
      <c r="C99" s="86"/>
      <c r="D99" s="50"/>
      <c r="E99" s="85"/>
      <c r="F99" s="72"/>
      <c r="H99" s="72"/>
      <c r="I99" s="72"/>
      <c r="J99" s="72"/>
    </row>
    <row r="100" spans="1:10" s="22" customFormat="1" ht="15.5">
      <c r="A100" s="33"/>
      <c r="B100" s="87"/>
      <c r="C100" s="86"/>
      <c r="D100" s="49" t="s">
        <v>14651</v>
      </c>
      <c r="E100" s="84"/>
      <c r="F100" s="49"/>
      <c r="H100" s="72"/>
      <c r="I100" s="72"/>
      <c r="J100" s="72"/>
    </row>
    <row r="101" spans="1:10" s="22" customFormat="1" ht="15.5">
      <c r="A101" s="33"/>
      <c r="B101" s="87"/>
      <c r="C101" s="83"/>
      <c r="D101" s="50"/>
      <c r="E101" s="85"/>
      <c r="F101" s="50"/>
      <c r="H101" s="72"/>
      <c r="I101" s="72"/>
      <c r="J101" s="72"/>
    </row>
    <row r="102" spans="1:10" s="22" customFormat="1" ht="15.75" customHeight="1">
      <c r="A102" s="33"/>
      <c r="B102" s="87"/>
      <c r="C102" s="82" t="s">
        <v>14650</v>
      </c>
      <c r="D102" s="49" t="s">
        <v>14649</v>
      </c>
      <c r="E102" s="84"/>
      <c r="F102" s="49"/>
      <c r="H102" s="49"/>
      <c r="I102" s="49"/>
      <c r="J102" s="49"/>
    </row>
    <row r="103" spans="1:10" s="22" customFormat="1" ht="15.5">
      <c r="A103" s="33"/>
      <c r="B103" s="87"/>
      <c r="C103" s="86"/>
      <c r="D103" s="50"/>
      <c r="E103" s="85"/>
      <c r="F103" s="50"/>
      <c r="H103" s="50"/>
      <c r="I103" s="50"/>
      <c r="J103" s="50"/>
    </row>
    <row r="104" spans="1:10" s="22" customFormat="1" ht="15.5">
      <c r="A104" s="33"/>
      <c r="B104" s="87"/>
      <c r="C104" s="86"/>
      <c r="D104" s="49" t="s">
        <v>14648</v>
      </c>
      <c r="E104" s="84"/>
      <c r="F104" s="49"/>
      <c r="H104" s="49"/>
      <c r="I104" s="49"/>
      <c r="J104" s="49"/>
    </row>
    <row r="105" spans="1:10" s="22" customFormat="1" ht="15.5">
      <c r="A105" s="33"/>
      <c r="B105" s="87"/>
      <c r="C105" s="86"/>
      <c r="D105" s="50"/>
      <c r="E105" s="85"/>
      <c r="F105" s="50"/>
      <c r="H105" s="50"/>
      <c r="I105" s="50"/>
      <c r="J105" s="50"/>
    </row>
    <row r="106" spans="1:10" s="22" customFormat="1" ht="15.5">
      <c r="A106" s="33"/>
      <c r="B106" s="87"/>
      <c r="C106" s="86"/>
      <c r="D106" s="49" t="s">
        <v>14647</v>
      </c>
      <c r="E106" s="84"/>
      <c r="F106" s="49"/>
      <c r="H106" s="49"/>
      <c r="I106" s="49"/>
      <c r="J106" s="49"/>
    </row>
    <row r="107" spans="1:10" s="22" customFormat="1" ht="15.5">
      <c r="A107" s="33"/>
      <c r="B107" s="87"/>
      <c r="C107" s="86"/>
      <c r="D107" s="50"/>
      <c r="E107" s="85"/>
      <c r="F107" s="50"/>
      <c r="H107" s="50"/>
      <c r="I107" s="50"/>
      <c r="J107" s="50"/>
    </row>
    <row r="108" spans="1:10" s="22" customFormat="1" ht="15.5">
      <c r="A108" s="33"/>
      <c r="B108" s="87"/>
      <c r="C108" s="86"/>
      <c r="D108" s="49" t="s">
        <v>14646</v>
      </c>
      <c r="E108" s="84"/>
      <c r="F108" s="49"/>
      <c r="H108" s="49"/>
      <c r="I108" s="49"/>
      <c r="J108" s="49"/>
    </row>
    <row r="109" spans="1:10" s="22" customFormat="1" ht="15.5">
      <c r="A109" s="33"/>
      <c r="B109" s="87"/>
      <c r="C109" s="86"/>
      <c r="D109" s="50"/>
      <c r="E109" s="85"/>
      <c r="F109" s="50"/>
      <c r="H109" s="50"/>
      <c r="I109" s="50"/>
      <c r="J109" s="50"/>
    </row>
    <row r="110" spans="1:10" s="22" customFormat="1" ht="15.5">
      <c r="A110" s="33"/>
      <c r="B110" s="87"/>
      <c r="C110" s="86"/>
      <c r="D110" s="49" t="s">
        <v>14645</v>
      </c>
      <c r="E110" s="84"/>
      <c r="F110" s="49"/>
      <c r="H110" s="49"/>
      <c r="I110" s="49"/>
      <c r="J110" s="49"/>
    </row>
    <row r="111" spans="1:10" s="22" customFormat="1" ht="15.5">
      <c r="A111" s="33"/>
      <c r="B111" s="87"/>
      <c r="C111" s="83"/>
      <c r="D111" s="50"/>
      <c r="E111" s="85"/>
      <c r="F111" s="50"/>
      <c r="H111" s="50"/>
      <c r="I111" s="50"/>
      <c r="J111" s="50"/>
    </row>
    <row r="112" spans="1:10" s="22" customFormat="1" ht="15.75" customHeight="1">
      <c r="A112" s="33"/>
      <c r="B112" s="87"/>
      <c r="C112" s="82" t="s">
        <v>14644</v>
      </c>
      <c r="D112" s="49" t="s">
        <v>14643</v>
      </c>
      <c r="E112" s="84"/>
      <c r="F112" s="49"/>
      <c r="H112" s="49"/>
      <c r="I112" s="49"/>
      <c r="J112" s="49"/>
    </row>
    <row r="113" spans="1:10" s="22" customFormat="1" ht="15.5">
      <c r="A113" s="33"/>
      <c r="B113" s="87"/>
      <c r="C113" s="86"/>
      <c r="D113" s="50"/>
      <c r="E113" s="85"/>
      <c r="F113" s="50"/>
      <c r="H113" s="50"/>
      <c r="I113" s="50"/>
      <c r="J113" s="50"/>
    </row>
    <row r="114" spans="1:10" s="22" customFormat="1" ht="15.5">
      <c r="A114" s="33"/>
      <c r="B114" s="87"/>
      <c r="C114" s="86"/>
      <c r="D114" s="49" t="s">
        <v>14642</v>
      </c>
      <c r="E114" s="84"/>
      <c r="F114" s="49"/>
      <c r="H114" s="49"/>
      <c r="I114" s="49"/>
      <c r="J114" s="49"/>
    </row>
    <row r="115" spans="1:10" s="22" customFormat="1" ht="15.5">
      <c r="A115" s="33"/>
      <c r="B115" s="87"/>
      <c r="C115" s="86"/>
      <c r="D115" s="50"/>
      <c r="E115" s="85"/>
      <c r="F115" s="50"/>
      <c r="H115" s="50"/>
      <c r="I115" s="50"/>
      <c r="J115" s="50"/>
    </row>
    <row r="116" spans="1:10" s="22" customFormat="1" ht="15.5">
      <c r="A116" s="33"/>
      <c r="B116" s="87"/>
      <c r="C116" s="86"/>
      <c r="D116" s="49" t="s">
        <v>14641</v>
      </c>
      <c r="E116" s="84"/>
      <c r="F116" s="49"/>
      <c r="H116" s="49"/>
      <c r="I116" s="49"/>
      <c r="J116" s="49"/>
    </row>
    <row r="117" spans="1:10" s="22" customFormat="1" ht="15.5">
      <c r="A117" s="33"/>
      <c r="B117" s="87"/>
      <c r="C117" s="86"/>
      <c r="D117" s="50"/>
      <c r="E117" s="85"/>
      <c r="F117" s="50"/>
      <c r="H117" s="50"/>
      <c r="I117" s="50"/>
      <c r="J117" s="50"/>
    </row>
    <row r="118" spans="1:10" s="22" customFormat="1" ht="15.5">
      <c r="A118" s="33"/>
      <c r="B118" s="87"/>
      <c r="C118" s="86"/>
      <c r="D118" s="49" t="s">
        <v>14640</v>
      </c>
      <c r="E118" s="84"/>
      <c r="F118" s="49"/>
      <c r="H118" s="49"/>
      <c r="I118" s="49"/>
      <c r="J118" s="49"/>
    </row>
    <row r="119" spans="1:10" s="22" customFormat="1" ht="15.5">
      <c r="A119" s="33"/>
      <c r="B119" s="87"/>
      <c r="C119" s="86"/>
      <c r="D119" s="50"/>
      <c r="E119" s="85"/>
      <c r="F119" s="50"/>
      <c r="H119" s="50"/>
      <c r="I119" s="50"/>
      <c r="J119" s="50"/>
    </row>
    <row r="120" spans="1:10" s="22" customFormat="1" ht="15.5">
      <c r="A120" s="33"/>
      <c r="B120" s="87"/>
      <c r="C120" s="86"/>
      <c r="D120" s="49" t="s">
        <v>14639</v>
      </c>
      <c r="E120" s="84"/>
      <c r="F120" s="49"/>
      <c r="H120" s="49"/>
      <c r="I120" s="49"/>
      <c r="J120" s="49"/>
    </row>
    <row r="121" spans="1:10" s="22" customFormat="1" ht="15.5">
      <c r="A121" s="33"/>
      <c r="B121" s="87"/>
      <c r="C121" s="83"/>
      <c r="D121" s="50"/>
      <c r="E121" s="85"/>
      <c r="F121" s="50"/>
      <c r="H121" s="50"/>
      <c r="I121" s="50"/>
      <c r="J121" s="50"/>
    </row>
    <row r="122" spans="1:10" s="22" customFormat="1" ht="15.75" customHeight="1">
      <c r="A122" s="33"/>
      <c r="B122" s="87"/>
      <c r="C122" s="82" t="s">
        <v>14638</v>
      </c>
      <c r="D122" s="49" t="s">
        <v>14637</v>
      </c>
      <c r="E122" s="84"/>
      <c r="F122" s="49"/>
      <c r="H122" s="49"/>
      <c r="I122" s="49"/>
      <c r="J122" s="49"/>
    </row>
    <row r="123" spans="1:10" s="22" customFormat="1" ht="15.5">
      <c r="A123" s="33"/>
      <c r="B123" s="87"/>
      <c r="C123" s="86"/>
      <c r="D123" s="50"/>
      <c r="E123" s="85"/>
      <c r="F123" s="50"/>
      <c r="H123" s="50"/>
      <c r="I123" s="50"/>
      <c r="J123" s="50"/>
    </row>
    <row r="124" spans="1:10" s="22" customFormat="1" ht="15.5">
      <c r="A124" s="33"/>
      <c r="B124" s="87"/>
      <c r="C124" s="86"/>
      <c r="D124" s="49" t="s">
        <v>14636</v>
      </c>
      <c r="E124" s="84"/>
      <c r="F124" s="49"/>
      <c r="H124" s="49"/>
      <c r="I124" s="49"/>
      <c r="J124" s="49"/>
    </row>
    <row r="125" spans="1:10" s="22" customFormat="1" ht="15.5">
      <c r="A125" s="33"/>
      <c r="B125" s="87"/>
      <c r="C125" s="86"/>
      <c r="D125" s="50"/>
      <c r="E125" s="85"/>
      <c r="F125" s="50"/>
      <c r="H125" s="50"/>
      <c r="I125" s="50"/>
      <c r="J125" s="50"/>
    </row>
    <row r="126" spans="1:10" s="22" customFormat="1" ht="15.5">
      <c r="A126" s="33"/>
      <c r="B126" s="87"/>
      <c r="C126" s="86"/>
      <c r="D126" s="49" t="s">
        <v>14635</v>
      </c>
      <c r="E126" s="84"/>
      <c r="F126" s="49"/>
      <c r="H126" s="49"/>
      <c r="I126" s="49"/>
      <c r="J126" s="49"/>
    </row>
    <row r="127" spans="1:10" s="22" customFormat="1" ht="15.5">
      <c r="A127" s="33"/>
      <c r="B127" s="87"/>
      <c r="C127" s="86"/>
      <c r="D127" s="50"/>
      <c r="E127" s="85"/>
      <c r="F127" s="50"/>
      <c r="H127" s="50"/>
      <c r="I127" s="50"/>
      <c r="J127" s="50"/>
    </row>
    <row r="128" spans="1:10" s="22" customFormat="1" ht="15.5">
      <c r="A128" s="33"/>
      <c r="B128" s="87"/>
      <c r="C128" s="86"/>
      <c r="D128" s="49" t="s">
        <v>14634</v>
      </c>
      <c r="E128" s="84"/>
      <c r="F128" s="49"/>
      <c r="H128" s="49"/>
      <c r="I128" s="49"/>
      <c r="J128" s="49"/>
    </row>
    <row r="129" spans="1:10" s="22" customFormat="1" ht="15.5">
      <c r="A129" s="33"/>
      <c r="B129" s="87"/>
      <c r="C129" s="86"/>
      <c r="D129" s="50"/>
      <c r="E129" s="85"/>
      <c r="F129" s="50"/>
      <c r="H129" s="50"/>
      <c r="I129" s="50"/>
      <c r="J129" s="50"/>
    </row>
    <row r="130" spans="1:10" s="22" customFormat="1" ht="15.5">
      <c r="A130" s="33"/>
      <c r="B130" s="87"/>
      <c r="C130" s="86"/>
      <c r="D130" s="49" t="s">
        <v>14633</v>
      </c>
      <c r="E130" s="84"/>
      <c r="F130" s="49"/>
      <c r="H130" s="49"/>
      <c r="I130" s="49"/>
      <c r="J130" s="49"/>
    </row>
    <row r="131" spans="1:10" s="22" customFormat="1" ht="15.5">
      <c r="A131" s="33"/>
      <c r="B131" s="87"/>
      <c r="C131" s="83"/>
      <c r="D131" s="50"/>
      <c r="E131" s="85"/>
      <c r="F131" s="50"/>
      <c r="H131" s="50"/>
      <c r="I131" s="50"/>
      <c r="J131" s="50"/>
    </row>
    <row r="132" spans="1:10" s="22" customFormat="1" ht="15.75" customHeight="1">
      <c r="A132" s="33"/>
      <c r="B132" s="87"/>
      <c r="C132" s="82" t="s">
        <v>14632</v>
      </c>
      <c r="D132" s="49" t="s">
        <v>14631</v>
      </c>
      <c r="E132" s="84"/>
      <c r="F132" s="49"/>
      <c r="H132" s="49"/>
      <c r="I132" s="49"/>
      <c r="J132" s="49"/>
    </row>
    <row r="133" spans="1:10" s="22" customFormat="1" ht="15.5">
      <c r="A133" s="33"/>
      <c r="B133" s="87"/>
      <c r="C133" s="86"/>
      <c r="D133" s="50"/>
      <c r="E133" s="85"/>
      <c r="F133" s="50"/>
      <c r="H133" s="50"/>
      <c r="I133" s="50"/>
      <c r="J133" s="50"/>
    </row>
    <row r="134" spans="1:10" s="22" customFormat="1" ht="15.5">
      <c r="A134" s="33"/>
      <c r="B134" s="87"/>
      <c r="C134" s="86"/>
      <c r="D134" s="49" t="s">
        <v>14630</v>
      </c>
      <c r="E134" s="84"/>
      <c r="F134" s="49"/>
      <c r="H134" s="49"/>
      <c r="I134" s="49"/>
      <c r="J134" s="49"/>
    </row>
    <row r="135" spans="1:10" s="22" customFormat="1" ht="15.5">
      <c r="A135" s="33"/>
      <c r="B135" s="87"/>
      <c r="C135" s="86"/>
      <c r="D135" s="50"/>
      <c r="E135" s="85"/>
      <c r="F135" s="50"/>
      <c r="H135" s="50"/>
      <c r="I135" s="50"/>
      <c r="J135" s="50"/>
    </row>
    <row r="136" spans="1:10" s="22" customFormat="1" ht="15.5">
      <c r="A136" s="33"/>
      <c r="B136" s="87"/>
      <c r="C136" s="86"/>
      <c r="D136" s="49" t="s">
        <v>14629</v>
      </c>
      <c r="E136" s="84"/>
      <c r="F136" s="49"/>
      <c r="H136" s="49"/>
      <c r="I136" s="49"/>
      <c r="J136" s="49"/>
    </row>
    <row r="137" spans="1:10" s="22" customFormat="1" ht="15.5">
      <c r="A137" s="33"/>
      <c r="B137" s="87"/>
      <c r="C137" s="86"/>
      <c r="D137" s="50"/>
      <c r="E137" s="85"/>
      <c r="F137" s="50"/>
      <c r="H137" s="50"/>
      <c r="I137" s="50"/>
      <c r="J137" s="50"/>
    </row>
    <row r="138" spans="1:10" s="22" customFormat="1" ht="15.5">
      <c r="A138" s="33"/>
      <c r="B138" s="87"/>
      <c r="C138" s="86"/>
      <c r="D138" s="49" t="s">
        <v>14628</v>
      </c>
      <c r="E138" s="84"/>
      <c r="F138" s="49"/>
      <c r="H138" s="49"/>
      <c r="I138" s="49"/>
      <c r="J138" s="49"/>
    </row>
    <row r="139" spans="1:10" s="22" customFormat="1" ht="15.5">
      <c r="A139" s="33"/>
      <c r="B139" s="87"/>
      <c r="C139" s="86"/>
      <c r="D139" s="50"/>
      <c r="E139" s="85"/>
      <c r="F139" s="50"/>
      <c r="H139" s="50"/>
      <c r="I139" s="50"/>
      <c r="J139" s="50"/>
    </row>
    <row r="140" spans="1:10" s="22" customFormat="1" ht="15.5">
      <c r="A140" s="33"/>
      <c r="B140" s="87"/>
      <c r="C140" s="86"/>
      <c r="D140" s="49" t="s">
        <v>14627</v>
      </c>
      <c r="E140" s="84"/>
      <c r="F140" s="49"/>
      <c r="H140" s="49"/>
      <c r="I140" s="49"/>
      <c r="J140" s="49"/>
    </row>
    <row r="141" spans="1:10" s="22" customFormat="1" ht="15.5">
      <c r="A141" s="33"/>
      <c r="B141" s="87"/>
      <c r="C141" s="83"/>
      <c r="D141" s="50"/>
      <c r="E141" s="85"/>
      <c r="F141" s="50"/>
      <c r="H141" s="50"/>
      <c r="I141" s="50"/>
      <c r="J141" s="50"/>
    </row>
    <row r="142" spans="1:10" s="22" customFormat="1" ht="15.75" customHeight="1">
      <c r="A142" s="33"/>
      <c r="B142" s="87"/>
      <c r="C142" s="82" t="s">
        <v>14626</v>
      </c>
      <c r="D142" s="49" t="s">
        <v>14625</v>
      </c>
      <c r="E142" s="84"/>
      <c r="F142" s="49"/>
      <c r="H142" s="49"/>
      <c r="I142" s="49"/>
      <c r="J142" s="49"/>
    </row>
    <row r="143" spans="1:10" s="22" customFormat="1" ht="15.5">
      <c r="A143" s="33"/>
      <c r="B143" s="87"/>
      <c r="C143" s="86"/>
      <c r="D143" s="50"/>
      <c r="E143" s="85"/>
      <c r="F143" s="50"/>
      <c r="H143" s="50"/>
      <c r="I143" s="50"/>
      <c r="J143" s="50"/>
    </row>
    <row r="144" spans="1:10" s="22" customFormat="1" ht="15.5">
      <c r="A144" s="33"/>
      <c r="B144" s="87"/>
      <c r="C144" s="86"/>
      <c r="D144" s="49" t="s">
        <v>14624</v>
      </c>
      <c r="E144" s="84"/>
      <c r="F144" s="49"/>
      <c r="H144" s="49"/>
      <c r="I144" s="49"/>
      <c r="J144" s="49"/>
    </row>
    <row r="145" spans="1:10" s="22" customFormat="1" ht="15.5">
      <c r="A145" s="33"/>
      <c r="B145" s="87"/>
      <c r="C145" s="86"/>
      <c r="D145" s="50"/>
      <c r="E145" s="85"/>
      <c r="F145" s="50"/>
      <c r="H145" s="50"/>
      <c r="I145" s="50"/>
      <c r="J145" s="50"/>
    </row>
    <row r="146" spans="1:10" s="22" customFormat="1" ht="15.5">
      <c r="A146" s="33"/>
      <c r="B146" s="87"/>
      <c r="C146" s="86"/>
      <c r="D146" s="49" t="s">
        <v>14623</v>
      </c>
      <c r="E146" s="84"/>
      <c r="F146" s="49"/>
      <c r="H146" s="49"/>
      <c r="I146" s="49"/>
      <c r="J146" s="49"/>
    </row>
    <row r="147" spans="1:10" s="22" customFormat="1" ht="15.5">
      <c r="A147" s="33"/>
      <c r="B147" s="87"/>
      <c r="C147" s="86"/>
      <c r="D147" s="50"/>
      <c r="E147" s="85"/>
      <c r="F147" s="50"/>
      <c r="H147" s="50"/>
      <c r="I147" s="50"/>
      <c r="J147" s="50"/>
    </row>
    <row r="148" spans="1:10" s="22" customFormat="1" ht="15.5">
      <c r="A148" s="33"/>
      <c r="B148" s="87"/>
      <c r="C148" s="86"/>
      <c r="D148" s="49" t="s">
        <v>14622</v>
      </c>
      <c r="E148" s="84"/>
      <c r="F148" s="49"/>
      <c r="H148" s="49"/>
      <c r="I148" s="49"/>
      <c r="J148" s="49"/>
    </row>
    <row r="149" spans="1:10" s="22" customFormat="1" ht="15.5">
      <c r="A149" s="33"/>
      <c r="B149" s="87"/>
      <c r="C149" s="86"/>
      <c r="D149" s="50"/>
      <c r="E149" s="85"/>
      <c r="F149" s="50"/>
      <c r="H149" s="50"/>
      <c r="I149" s="50"/>
      <c r="J149" s="50"/>
    </row>
    <row r="150" spans="1:10" s="22" customFormat="1" ht="15.5">
      <c r="A150" s="33"/>
      <c r="B150" s="87"/>
      <c r="C150" s="86"/>
      <c r="D150" s="49" t="s">
        <v>14621</v>
      </c>
      <c r="E150" s="84"/>
      <c r="F150" s="49"/>
      <c r="H150" s="49"/>
      <c r="I150" s="49"/>
      <c r="J150" s="49"/>
    </row>
    <row r="151" spans="1:10" s="22" customFormat="1" ht="15.5">
      <c r="A151" s="33"/>
      <c r="B151" s="87"/>
      <c r="C151" s="83"/>
      <c r="D151" s="50"/>
      <c r="E151" s="85"/>
      <c r="F151" s="50"/>
      <c r="H151" s="50"/>
      <c r="I151" s="50"/>
      <c r="J151" s="50"/>
    </row>
    <row r="152" spans="1:10" s="22" customFormat="1" ht="15.75" customHeight="1">
      <c r="A152" s="33"/>
      <c r="B152" s="87"/>
      <c r="C152" s="82" t="s">
        <v>14620</v>
      </c>
      <c r="D152" s="49" t="s">
        <v>14619</v>
      </c>
      <c r="E152" s="84"/>
      <c r="F152" s="49"/>
      <c r="H152" s="49"/>
      <c r="I152" s="49"/>
      <c r="J152" s="49"/>
    </row>
    <row r="153" spans="1:10" s="22" customFormat="1" ht="15.5">
      <c r="A153" s="33"/>
      <c r="B153" s="87"/>
      <c r="C153" s="86"/>
      <c r="D153" s="50"/>
      <c r="E153" s="85"/>
      <c r="F153" s="50"/>
      <c r="H153" s="50"/>
      <c r="I153" s="50"/>
      <c r="J153" s="50"/>
    </row>
    <row r="154" spans="1:10" s="22" customFormat="1" ht="15.5">
      <c r="A154" s="33"/>
      <c r="B154" s="87"/>
      <c r="C154" s="86"/>
      <c r="D154" s="49" t="s">
        <v>14618</v>
      </c>
      <c r="E154" s="84"/>
      <c r="F154" s="49"/>
      <c r="H154" s="49"/>
      <c r="I154" s="49"/>
      <c r="J154" s="49"/>
    </row>
    <row r="155" spans="1:10" s="22" customFormat="1" ht="15.5">
      <c r="A155" s="33"/>
      <c r="B155" s="87"/>
      <c r="C155" s="86"/>
      <c r="D155" s="50"/>
      <c r="E155" s="85"/>
      <c r="F155" s="50"/>
      <c r="H155" s="50"/>
      <c r="I155" s="50"/>
      <c r="J155" s="50"/>
    </row>
    <row r="156" spans="1:10" s="22" customFormat="1" ht="15.5">
      <c r="A156" s="33"/>
      <c r="B156" s="87"/>
      <c r="C156" s="86"/>
      <c r="D156" s="49" t="s">
        <v>14617</v>
      </c>
      <c r="E156" s="84"/>
      <c r="F156" s="49"/>
      <c r="H156" s="49"/>
      <c r="I156" s="49"/>
      <c r="J156" s="49"/>
    </row>
    <row r="157" spans="1:10" s="22" customFormat="1" ht="15.5">
      <c r="A157" s="33"/>
      <c r="B157" s="87"/>
      <c r="C157" s="86"/>
      <c r="D157" s="50"/>
      <c r="E157" s="85"/>
      <c r="F157" s="50"/>
      <c r="H157" s="50"/>
      <c r="I157" s="50"/>
      <c r="J157" s="50"/>
    </row>
    <row r="158" spans="1:10" s="22" customFormat="1" ht="15.5">
      <c r="A158" s="33"/>
      <c r="B158" s="87"/>
      <c r="C158" s="86"/>
      <c r="D158" s="49" t="s">
        <v>14616</v>
      </c>
      <c r="E158" s="84"/>
      <c r="F158" s="49"/>
      <c r="H158" s="49"/>
      <c r="I158" s="49"/>
      <c r="J158" s="49"/>
    </row>
    <row r="159" spans="1:10" s="22" customFormat="1" ht="15.5">
      <c r="A159" s="33"/>
      <c r="B159" s="87"/>
      <c r="C159" s="86"/>
      <c r="D159" s="50"/>
      <c r="E159" s="85"/>
      <c r="F159" s="50"/>
      <c r="H159" s="50"/>
      <c r="I159" s="50"/>
      <c r="J159" s="50"/>
    </row>
    <row r="160" spans="1:10" s="22" customFormat="1" ht="15.5">
      <c r="A160" s="33"/>
      <c r="B160" s="87"/>
      <c r="C160" s="86"/>
      <c r="D160" s="49" t="s">
        <v>14615</v>
      </c>
      <c r="E160" s="84"/>
      <c r="F160" s="49"/>
      <c r="H160" s="49"/>
      <c r="I160" s="49"/>
      <c r="J160" s="49"/>
    </row>
    <row r="161" spans="1:10" s="22" customFormat="1" ht="15.5">
      <c r="A161" s="33"/>
      <c r="B161" s="50"/>
      <c r="C161" s="83"/>
      <c r="D161" s="50"/>
      <c r="E161" s="85"/>
      <c r="F161" s="50"/>
      <c r="H161" s="50"/>
      <c r="I161" s="50"/>
      <c r="J161" s="50"/>
    </row>
    <row r="162" spans="1:10" s="22" customFormat="1" ht="15.75" customHeight="1">
      <c r="A162" s="33"/>
      <c r="B162" s="49" t="s">
        <v>14614</v>
      </c>
      <c r="C162" s="82" t="s">
        <v>14613</v>
      </c>
      <c r="D162" s="49" t="s">
        <v>14612</v>
      </c>
      <c r="E162" s="84"/>
      <c r="F162" s="49"/>
      <c r="H162" s="49"/>
      <c r="I162" s="49"/>
      <c r="J162" s="49"/>
    </row>
    <row r="163" spans="1:10" s="22" customFormat="1" ht="15.5">
      <c r="A163" s="33"/>
      <c r="B163" s="87"/>
      <c r="C163" s="86"/>
      <c r="D163" s="50"/>
      <c r="E163" s="85"/>
      <c r="F163" s="50"/>
      <c r="H163" s="50"/>
      <c r="I163" s="50"/>
      <c r="J163" s="50"/>
    </row>
    <row r="164" spans="1:10" s="22" customFormat="1" ht="15.5">
      <c r="A164" s="33"/>
      <c r="B164" s="87"/>
      <c r="C164" s="86"/>
      <c r="D164" s="49" t="s">
        <v>14611</v>
      </c>
      <c r="E164" s="84"/>
      <c r="F164" s="49"/>
      <c r="H164" s="49"/>
      <c r="I164" s="49"/>
      <c r="J164" s="49"/>
    </row>
    <row r="165" spans="1:10" s="22" customFormat="1" ht="15.5">
      <c r="A165" s="33"/>
      <c r="B165" s="87"/>
      <c r="C165" s="86"/>
      <c r="D165" s="50"/>
      <c r="E165" s="85"/>
      <c r="F165" s="50"/>
      <c r="H165" s="50"/>
      <c r="I165" s="50"/>
      <c r="J165" s="50"/>
    </row>
    <row r="166" spans="1:10" s="22" customFormat="1" ht="15.5">
      <c r="A166" s="33"/>
      <c r="B166" s="87"/>
      <c r="C166" s="86"/>
      <c r="D166" s="49" t="s">
        <v>14610</v>
      </c>
      <c r="E166" s="84"/>
      <c r="F166" s="49"/>
      <c r="H166" s="49"/>
      <c r="I166" s="49"/>
      <c r="J166" s="49"/>
    </row>
    <row r="167" spans="1:10" s="22" customFormat="1" ht="15.5">
      <c r="A167" s="33"/>
      <c r="B167" s="87"/>
      <c r="C167" s="86"/>
      <c r="D167" s="50"/>
      <c r="E167" s="85"/>
      <c r="F167" s="50"/>
      <c r="H167" s="50"/>
      <c r="I167" s="50"/>
      <c r="J167" s="50"/>
    </row>
    <row r="168" spans="1:10" s="22" customFormat="1" ht="15.5">
      <c r="A168" s="33"/>
      <c r="B168" s="87"/>
      <c r="C168" s="86"/>
      <c r="D168" s="49" t="s">
        <v>14609</v>
      </c>
      <c r="E168" s="84"/>
      <c r="F168" s="49"/>
      <c r="H168" s="49"/>
      <c r="I168" s="49"/>
      <c r="J168" s="49"/>
    </row>
    <row r="169" spans="1:10" s="22" customFormat="1" ht="15.5">
      <c r="A169" s="33"/>
      <c r="B169" s="87"/>
      <c r="C169" s="86"/>
      <c r="D169" s="50"/>
      <c r="E169" s="85"/>
      <c r="F169" s="50"/>
      <c r="H169" s="50"/>
      <c r="I169" s="50"/>
      <c r="J169" s="50"/>
    </row>
    <row r="170" spans="1:10" s="22" customFormat="1" ht="15.5">
      <c r="A170" s="33"/>
      <c r="B170" s="87"/>
      <c r="C170" s="86"/>
      <c r="D170" s="49" t="s">
        <v>14608</v>
      </c>
      <c r="E170" s="84"/>
      <c r="F170" s="49"/>
      <c r="H170" s="49"/>
      <c r="I170" s="49"/>
      <c r="J170" s="49"/>
    </row>
    <row r="171" spans="1:10" s="22" customFormat="1" ht="15.5">
      <c r="A171" s="33"/>
      <c r="B171" s="87"/>
      <c r="C171" s="83"/>
      <c r="D171" s="50"/>
      <c r="E171" s="85"/>
      <c r="F171" s="50"/>
      <c r="H171" s="50"/>
      <c r="I171" s="50"/>
      <c r="J171" s="50"/>
    </row>
    <row r="172" spans="1:10" s="22" customFormat="1" ht="15.75" customHeight="1">
      <c r="A172" s="33"/>
      <c r="B172" s="87"/>
      <c r="C172" s="82" t="s">
        <v>14607</v>
      </c>
      <c r="D172" s="49" t="s">
        <v>14606</v>
      </c>
      <c r="E172" s="84"/>
      <c r="F172" s="49"/>
      <c r="H172" s="49"/>
      <c r="I172" s="49"/>
      <c r="J172" s="49"/>
    </row>
    <row r="173" spans="1:10" s="22" customFormat="1" ht="15.5">
      <c r="A173" s="33"/>
      <c r="B173" s="87"/>
      <c r="C173" s="86"/>
      <c r="D173" s="50"/>
      <c r="E173" s="85"/>
      <c r="F173" s="50"/>
      <c r="H173" s="50"/>
      <c r="I173" s="50"/>
      <c r="J173" s="50"/>
    </row>
    <row r="174" spans="1:10" s="22" customFormat="1" ht="15.5">
      <c r="A174" s="33"/>
      <c r="B174" s="87"/>
      <c r="C174" s="86"/>
      <c r="D174" s="49" t="s">
        <v>14605</v>
      </c>
      <c r="E174" s="84"/>
      <c r="F174" s="49"/>
      <c r="H174" s="49"/>
      <c r="I174" s="49"/>
      <c r="J174" s="49"/>
    </row>
    <row r="175" spans="1:10" s="22" customFormat="1" ht="15.5">
      <c r="A175" s="33"/>
      <c r="B175" s="87"/>
      <c r="C175" s="86"/>
      <c r="D175" s="50"/>
      <c r="E175" s="85"/>
      <c r="F175" s="50"/>
      <c r="H175" s="50"/>
      <c r="I175" s="50"/>
      <c r="J175" s="50"/>
    </row>
    <row r="176" spans="1:10" s="22" customFormat="1" ht="15.5">
      <c r="A176" s="33"/>
      <c r="B176" s="87"/>
      <c r="C176" s="86"/>
      <c r="D176" s="49" t="s">
        <v>14604</v>
      </c>
      <c r="E176" s="84"/>
      <c r="F176" s="49"/>
      <c r="H176" s="49"/>
      <c r="I176" s="49"/>
      <c r="J176" s="49"/>
    </row>
    <row r="177" spans="1:10" s="22" customFormat="1" ht="15.5">
      <c r="A177" s="33"/>
      <c r="B177" s="87"/>
      <c r="C177" s="86"/>
      <c r="D177" s="50"/>
      <c r="E177" s="85"/>
      <c r="F177" s="50"/>
      <c r="H177" s="50"/>
      <c r="I177" s="50"/>
      <c r="J177" s="50"/>
    </row>
    <row r="178" spans="1:10" s="22" customFormat="1" ht="15.5">
      <c r="A178" s="33"/>
      <c r="B178" s="87"/>
      <c r="C178" s="86"/>
      <c r="D178" s="49" t="s">
        <v>14603</v>
      </c>
      <c r="E178" s="84"/>
      <c r="F178" s="49"/>
      <c r="H178" s="49"/>
      <c r="I178" s="49"/>
      <c r="J178" s="49"/>
    </row>
    <row r="179" spans="1:10" s="22" customFormat="1" ht="15.5">
      <c r="A179" s="33"/>
      <c r="B179" s="87"/>
      <c r="C179" s="86"/>
      <c r="D179" s="50"/>
      <c r="E179" s="85"/>
      <c r="F179" s="50"/>
      <c r="H179" s="50"/>
      <c r="I179" s="50"/>
      <c r="J179" s="50"/>
    </row>
    <row r="180" spans="1:10" s="22" customFormat="1" ht="15.5">
      <c r="A180" s="33"/>
      <c r="B180" s="87"/>
      <c r="C180" s="86"/>
      <c r="D180" s="49" t="s">
        <v>14602</v>
      </c>
      <c r="E180" s="84"/>
      <c r="F180" s="49"/>
      <c r="H180" s="49"/>
      <c r="I180" s="49"/>
      <c r="J180" s="49"/>
    </row>
    <row r="181" spans="1:10" s="22" customFormat="1" ht="15.5">
      <c r="A181" s="33"/>
      <c r="B181" s="87"/>
      <c r="C181" s="83"/>
      <c r="D181" s="50"/>
      <c r="E181" s="85"/>
      <c r="F181" s="50"/>
      <c r="H181" s="50"/>
      <c r="I181" s="50"/>
      <c r="J181" s="50"/>
    </row>
    <row r="182" spans="1:10" s="22" customFormat="1" ht="15.75" customHeight="1">
      <c r="A182" s="33"/>
      <c r="B182" s="87"/>
      <c r="C182" s="82" t="s">
        <v>14601</v>
      </c>
      <c r="D182" s="49" t="s">
        <v>14600</v>
      </c>
      <c r="E182" s="84"/>
      <c r="F182" s="49"/>
      <c r="H182" s="49"/>
      <c r="I182" s="49"/>
      <c r="J182" s="49"/>
    </row>
    <row r="183" spans="1:10" s="22" customFormat="1" ht="15.5">
      <c r="A183" s="33"/>
      <c r="B183" s="87"/>
      <c r="C183" s="86"/>
      <c r="D183" s="50"/>
      <c r="E183" s="85"/>
      <c r="F183" s="50"/>
      <c r="H183" s="50"/>
      <c r="I183" s="50"/>
      <c r="J183" s="50"/>
    </row>
    <row r="184" spans="1:10" s="22" customFormat="1" ht="15.5">
      <c r="A184" s="33"/>
      <c r="B184" s="87"/>
      <c r="C184" s="86"/>
      <c r="D184" s="49" t="s">
        <v>14599</v>
      </c>
      <c r="E184" s="84"/>
      <c r="F184" s="49"/>
      <c r="H184" s="49"/>
      <c r="I184" s="49"/>
      <c r="J184" s="49"/>
    </row>
    <row r="185" spans="1:10" s="22" customFormat="1" ht="15.5">
      <c r="A185" s="33"/>
      <c r="B185" s="87"/>
      <c r="C185" s="86"/>
      <c r="D185" s="50"/>
      <c r="E185" s="85"/>
      <c r="F185" s="50"/>
      <c r="H185" s="50"/>
      <c r="I185" s="50"/>
      <c r="J185" s="50"/>
    </row>
    <row r="186" spans="1:10" s="22" customFormat="1" ht="15.5">
      <c r="A186" s="33"/>
      <c r="B186" s="87"/>
      <c r="C186" s="86"/>
      <c r="D186" s="49" t="s">
        <v>14598</v>
      </c>
      <c r="E186" s="84"/>
      <c r="F186" s="49"/>
      <c r="H186" s="49"/>
      <c r="I186" s="49"/>
      <c r="J186" s="49"/>
    </row>
    <row r="187" spans="1:10" s="22" customFormat="1" ht="15.5">
      <c r="A187" s="33"/>
      <c r="B187" s="87"/>
      <c r="C187" s="86"/>
      <c r="D187" s="50"/>
      <c r="E187" s="85"/>
      <c r="F187" s="50"/>
      <c r="H187" s="50"/>
      <c r="I187" s="50"/>
      <c r="J187" s="50"/>
    </row>
    <row r="188" spans="1:10" s="22" customFormat="1" ht="15.5">
      <c r="A188" s="33"/>
      <c r="B188" s="87"/>
      <c r="C188" s="86"/>
      <c r="D188" s="49" t="s">
        <v>14597</v>
      </c>
      <c r="E188" s="84"/>
      <c r="F188" s="49"/>
      <c r="H188" s="49"/>
      <c r="I188" s="49"/>
      <c r="J188" s="49"/>
    </row>
    <row r="189" spans="1:10" s="22" customFormat="1" ht="15.5">
      <c r="A189" s="33"/>
      <c r="B189" s="87"/>
      <c r="C189" s="86"/>
      <c r="D189" s="50"/>
      <c r="E189" s="85"/>
      <c r="F189" s="50"/>
      <c r="H189" s="50"/>
      <c r="I189" s="50"/>
      <c r="J189" s="50"/>
    </row>
    <row r="190" spans="1:10" s="22" customFormat="1" ht="15.5">
      <c r="A190" s="33"/>
      <c r="B190" s="87"/>
      <c r="C190" s="86"/>
      <c r="D190" s="49" t="s">
        <v>14596</v>
      </c>
      <c r="E190" s="84"/>
      <c r="F190" s="49"/>
      <c r="H190" s="49"/>
      <c r="I190" s="49"/>
      <c r="J190" s="49"/>
    </row>
    <row r="191" spans="1:10" s="22" customFormat="1" ht="15.5">
      <c r="A191" s="33"/>
      <c r="B191" s="87"/>
      <c r="C191" s="83"/>
      <c r="D191" s="50"/>
      <c r="E191" s="85"/>
      <c r="F191" s="50"/>
      <c r="H191" s="50"/>
      <c r="I191" s="50"/>
      <c r="J191" s="50"/>
    </row>
    <row r="192" spans="1:10" s="22" customFormat="1" ht="15.75" customHeight="1">
      <c r="A192" s="33"/>
      <c r="B192" s="87"/>
      <c r="C192" s="82" t="s">
        <v>14595</v>
      </c>
      <c r="D192" s="49" t="s">
        <v>14594</v>
      </c>
      <c r="E192" s="84"/>
      <c r="F192" s="49"/>
      <c r="H192" s="49"/>
      <c r="I192" s="49"/>
      <c r="J192" s="49"/>
    </row>
    <row r="193" spans="1:10" s="22" customFormat="1" ht="15.5">
      <c r="A193" s="33"/>
      <c r="B193" s="87"/>
      <c r="C193" s="86"/>
      <c r="D193" s="50"/>
      <c r="E193" s="85"/>
      <c r="F193" s="50"/>
      <c r="H193" s="50"/>
      <c r="I193" s="50"/>
      <c r="J193" s="50"/>
    </row>
    <row r="194" spans="1:10" s="22" customFormat="1" ht="15.5">
      <c r="A194" s="33"/>
      <c r="B194" s="87"/>
      <c r="C194" s="86"/>
      <c r="D194" s="49" t="s">
        <v>14593</v>
      </c>
      <c r="E194" s="84"/>
      <c r="F194" s="49"/>
      <c r="H194" s="49"/>
      <c r="I194" s="49"/>
      <c r="J194" s="49"/>
    </row>
    <row r="195" spans="1:10" s="22" customFormat="1" ht="15.5">
      <c r="A195" s="33"/>
      <c r="B195" s="87"/>
      <c r="C195" s="86"/>
      <c r="D195" s="50"/>
      <c r="E195" s="85"/>
      <c r="F195" s="50"/>
      <c r="H195" s="50"/>
      <c r="I195" s="50"/>
      <c r="J195" s="50"/>
    </row>
    <row r="196" spans="1:10" s="22" customFormat="1" ht="15.5">
      <c r="A196" s="33"/>
      <c r="B196" s="87"/>
      <c r="C196" s="86"/>
      <c r="D196" s="49" t="s">
        <v>14592</v>
      </c>
      <c r="E196" s="84"/>
      <c r="F196" s="49"/>
      <c r="H196" s="49"/>
      <c r="I196" s="49"/>
      <c r="J196" s="49"/>
    </row>
    <row r="197" spans="1:10" s="22" customFormat="1" ht="15.5">
      <c r="A197" s="33"/>
      <c r="B197" s="87"/>
      <c r="C197" s="86"/>
      <c r="D197" s="50"/>
      <c r="E197" s="85"/>
      <c r="F197" s="50"/>
      <c r="H197" s="50"/>
      <c r="I197" s="50"/>
      <c r="J197" s="50"/>
    </row>
    <row r="198" spans="1:10" s="22" customFormat="1" ht="15.5">
      <c r="A198" s="33"/>
      <c r="B198" s="87"/>
      <c r="C198" s="86"/>
      <c r="D198" s="49" t="s">
        <v>14591</v>
      </c>
      <c r="E198" s="84"/>
      <c r="F198" s="49"/>
      <c r="H198" s="49"/>
      <c r="I198" s="49"/>
      <c r="J198" s="49"/>
    </row>
    <row r="199" spans="1:10" s="22" customFormat="1" ht="15.5">
      <c r="A199" s="33"/>
      <c r="B199" s="87"/>
      <c r="C199" s="86"/>
      <c r="D199" s="50"/>
      <c r="E199" s="85"/>
      <c r="F199" s="50"/>
      <c r="H199" s="50"/>
      <c r="I199" s="50"/>
      <c r="J199" s="50"/>
    </row>
    <row r="200" spans="1:10" s="22" customFormat="1" ht="15.5">
      <c r="A200" s="33"/>
      <c r="B200" s="87"/>
      <c r="C200" s="86"/>
      <c r="D200" s="49" t="s">
        <v>14590</v>
      </c>
      <c r="E200" s="84"/>
      <c r="F200" s="49"/>
      <c r="H200" s="49"/>
      <c r="I200" s="49"/>
      <c r="J200" s="49"/>
    </row>
    <row r="201" spans="1:10" s="22" customFormat="1" ht="15.5">
      <c r="A201" s="33"/>
      <c r="B201" s="87"/>
      <c r="C201" s="83"/>
      <c r="D201" s="50"/>
      <c r="E201" s="85"/>
      <c r="F201" s="50"/>
      <c r="H201" s="50"/>
      <c r="I201" s="50"/>
      <c r="J201" s="50"/>
    </row>
    <row r="202" spans="1:10" s="22" customFormat="1" ht="15.75" customHeight="1">
      <c r="A202" s="33"/>
      <c r="B202" s="87"/>
      <c r="C202" s="82" t="s">
        <v>14589</v>
      </c>
      <c r="D202" s="82" t="s">
        <v>14588</v>
      </c>
      <c r="E202" s="84"/>
      <c r="F202" s="49"/>
      <c r="H202" s="49"/>
      <c r="I202" s="49"/>
      <c r="J202" s="49"/>
    </row>
    <row r="203" spans="1:10" s="22" customFormat="1" ht="15.5">
      <c r="A203" s="33"/>
      <c r="B203" s="87"/>
      <c r="C203" s="86"/>
      <c r="D203" s="83"/>
      <c r="E203" s="85"/>
      <c r="F203" s="50"/>
      <c r="H203" s="50"/>
      <c r="I203" s="50"/>
      <c r="J203" s="50"/>
    </row>
    <row r="204" spans="1:10" s="22" customFormat="1" ht="15.5">
      <c r="A204" s="33"/>
      <c r="B204" s="87"/>
      <c r="C204" s="86"/>
      <c r="D204" s="49" t="s">
        <v>14587</v>
      </c>
      <c r="E204" s="84"/>
      <c r="F204" s="49"/>
      <c r="H204" s="49"/>
      <c r="I204" s="49"/>
      <c r="J204" s="49"/>
    </row>
    <row r="205" spans="1:10" s="22" customFormat="1" ht="15.5">
      <c r="A205" s="33"/>
      <c r="B205" s="87"/>
      <c r="C205" s="86"/>
      <c r="D205" s="50"/>
      <c r="E205" s="85"/>
      <c r="F205" s="50"/>
      <c r="H205" s="50"/>
      <c r="I205" s="50"/>
      <c r="J205" s="50"/>
    </row>
    <row r="206" spans="1:10" s="22" customFormat="1" ht="15.5">
      <c r="A206" s="33"/>
      <c r="B206" s="87"/>
      <c r="C206" s="86"/>
      <c r="D206" s="49" t="s">
        <v>14586</v>
      </c>
      <c r="E206" s="84"/>
      <c r="F206" s="49"/>
      <c r="H206" s="49"/>
      <c r="I206" s="49"/>
      <c r="J206" s="49"/>
    </row>
    <row r="207" spans="1:10" s="22" customFormat="1" ht="15.5">
      <c r="A207" s="33"/>
      <c r="B207" s="87"/>
      <c r="C207" s="86"/>
      <c r="D207" s="50"/>
      <c r="E207" s="85"/>
      <c r="F207" s="50"/>
      <c r="H207" s="50"/>
      <c r="I207" s="50"/>
      <c r="J207" s="50"/>
    </row>
    <row r="208" spans="1:10" s="22" customFormat="1" ht="15.5">
      <c r="A208" s="33"/>
      <c r="B208" s="87"/>
      <c r="C208" s="86"/>
      <c r="D208" s="49" t="s">
        <v>14585</v>
      </c>
      <c r="E208" s="84"/>
      <c r="F208" s="49"/>
      <c r="H208" s="49"/>
      <c r="I208" s="49"/>
      <c r="J208" s="49"/>
    </row>
    <row r="209" spans="1:10" s="22" customFormat="1" ht="15.5">
      <c r="A209" s="33"/>
      <c r="B209" s="87"/>
      <c r="C209" s="86"/>
      <c r="D209" s="50"/>
      <c r="E209" s="85"/>
      <c r="F209" s="50"/>
      <c r="H209" s="50"/>
      <c r="I209" s="50"/>
      <c r="J209" s="50"/>
    </row>
    <row r="210" spans="1:10" s="22" customFormat="1" ht="15.5">
      <c r="A210" s="33"/>
      <c r="B210" s="87"/>
      <c r="C210" s="86"/>
      <c r="D210" s="49" t="s">
        <v>14584</v>
      </c>
      <c r="E210" s="84"/>
      <c r="F210" s="49"/>
      <c r="H210" s="49"/>
      <c r="I210" s="49"/>
      <c r="J210" s="49"/>
    </row>
    <row r="211" spans="1:10" s="22" customFormat="1" ht="15.5">
      <c r="A211" s="33"/>
      <c r="B211" s="87"/>
      <c r="C211" s="83"/>
      <c r="D211" s="50"/>
      <c r="E211" s="85"/>
      <c r="F211" s="50"/>
      <c r="H211" s="50"/>
      <c r="I211" s="50"/>
      <c r="J211" s="50"/>
    </row>
    <row r="212" spans="1:10" s="22" customFormat="1" ht="15.75" customHeight="1">
      <c r="A212" s="33"/>
      <c r="B212" s="87"/>
      <c r="C212" s="82" t="s">
        <v>14583</v>
      </c>
      <c r="D212" s="49" t="s">
        <v>14582</v>
      </c>
      <c r="E212" s="84"/>
      <c r="F212" s="49"/>
      <c r="H212" s="49"/>
      <c r="I212" s="49"/>
      <c r="J212" s="49"/>
    </row>
    <row r="213" spans="1:10" s="22" customFormat="1" ht="15.5">
      <c r="A213" s="33"/>
      <c r="B213" s="87"/>
      <c r="C213" s="86"/>
      <c r="D213" s="50"/>
      <c r="E213" s="85"/>
      <c r="F213" s="50"/>
      <c r="H213" s="50"/>
      <c r="I213" s="50"/>
      <c r="J213" s="50"/>
    </row>
    <row r="214" spans="1:10" s="22" customFormat="1" ht="15.5">
      <c r="A214" s="33"/>
      <c r="B214" s="87"/>
      <c r="C214" s="86"/>
      <c r="D214" s="49" t="s">
        <v>14581</v>
      </c>
      <c r="E214" s="84"/>
      <c r="F214" s="49"/>
      <c r="H214" s="49"/>
      <c r="I214" s="49"/>
      <c r="J214" s="49"/>
    </row>
    <row r="215" spans="1:10" s="22" customFormat="1" ht="15.5">
      <c r="A215" s="33"/>
      <c r="B215" s="87"/>
      <c r="C215" s="86"/>
      <c r="D215" s="50"/>
      <c r="E215" s="85"/>
      <c r="F215" s="50"/>
      <c r="H215" s="50"/>
      <c r="I215" s="50"/>
      <c r="J215" s="50"/>
    </row>
    <row r="216" spans="1:10" s="22" customFormat="1" ht="15.5">
      <c r="A216" s="33"/>
      <c r="B216" s="87"/>
      <c r="C216" s="86"/>
      <c r="D216" s="49" t="s">
        <v>14580</v>
      </c>
      <c r="E216" s="84"/>
      <c r="F216" s="49"/>
      <c r="H216" s="49"/>
      <c r="I216" s="49"/>
      <c r="J216" s="49"/>
    </row>
    <row r="217" spans="1:10" s="22" customFormat="1" ht="15.5">
      <c r="A217" s="33"/>
      <c r="B217" s="87"/>
      <c r="C217" s="86"/>
      <c r="D217" s="50"/>
      <c r="E217" s="85"/>
      <c r="F217" s="50"/>
      <c r="H217" s="50"/>
      <c r="I217" s="50"/>
      <c r="J217" s="50"/>
    </row>
    <row r="218" spans="1:10" s="22" customFormat="1" ht="15.5">
      <c r="A218" s="33"/>
      <c r="B218" s="87"/>
      <c r="C218" s="86"/>
      <c r="D218" s="49" t="s">
        <v>14579</v>
      </c>
      <c r="E218" s="84"/>
      <c r="F218" s="49"/>
      <c r="H218" s="49"/>
      <c r="I218" s="49"/>
      <c r="J218" s="49"/>
    </row>
    <row r="219" spans="1:10" s="22" customFormat="1" ht="15.5">
      <c r="A219" s="33"/>
      <c r="B219" s="87"/>
      <c r="C219" s="86"/>
      <c r="D219" s="50"/>
      <c r="E219" s="85"/>
      <c r="F219" s="50"/>
      <c r="H219" s="50"/>
      <c r="I219" s="50"/>
      <c r="J219" s="50"/>
    </row>
    <row r="220" spans="1:10" s="22" customFormat="1" ht="15.5">
      <c r="A220" s="33"/>
      <c r="B220" s="87"/>
      <c r="C220" s="86"/>
      <c r="D220" s="49" t="s">
        <v>14578</v>
      </c>
      <c r="E220" s="84"/>
      <c r="F220" s="49"/>
      <c r="H220" s="49"/>
      <c r="I220" s="49"/>
      <c r="J220" s="49"/>
    </row>
    <row r="221" spans="1:10" s="22" customFormat="1" ht="15.5">
      <c r="A221" s="33"/>
      <c r="B221" s="87"/>
      <c r="C221" s="83"/>
      <c r="D221" s="50"/>
      <c r="E221" s="85"/>
      <c r="F221" s="50"/>
      <c r="H221" s="50"/>
      <c r="I221" s="50"/>
      <c r="J221" s="50"/>
    </row>
    <row r="222" spans="1:10" s="22" customFormat="1" ht="15.75" customHeight="1">
      <c r="A222" s="33"/>
      <c r="B222" s="87"/>
      <c r="C222" s="82" t="s">
        <v>14577</v>
      </c>
      <c r="D222" s="82" t="s">
        <v>14576</v>
      </c>
      <c r="E222" s="84"/>
      <c r="F222" s="49"/>
      <c r="H222" s="49"/>
      <c r="I222" s="49"/>
      <c r="J222" s="49"/>
    </row>
    <row r="223" spans="1:10" s="22" customFormat="1" ht="15.5">
      <c r="A223" s="33"/>
      <c r="B223" s="87"/>
      <c r="C223" s="86"/>
      <c r="D223" s="83"/>
      <c r="E223" s="85"/>
      <c r="F223" s="50"/>
      <c r="H223" s="50"/>
      <c r="I223" s="50"/>
      <c r="J223" s="50"/>
    </row>
    <row r="224" spans="1:10" s="22" customFormat="1" ht="15.5">
      <c r="A224" s="33"/>
      <c r="B224" s="87"/>
      <c r="C224" s="86"/>
      <c r="D224" s="82" t="s">
        <v>14575</v>
      </c>
      <c r="E224" s="84"/>
      <c r="F224" s="49"/>
      <c r="H224" s="49"/>
      <c r="I224" s="49"/>
      <c r="J224" s="49"/>
    </row>
    <row r="225" spans="1:10" s="22" customFormat="1" ht="15.5">
      <c r="A225" s="33"/>
      <c r="B225" s="87"/>
      <c r="C225" s="86"/>
      <c r="D225" s="83"/>
      <c r="E225" s="85"/>
      <c r="F225" s="50"/>
      <c r="H225" s="50"/>
      <c r="I225" s="50"/>
      <c r="J225" s="50"/>
    </row>
    <row r="226" spans="1:10" s="22" customFormat="1" ht="15.5">
      <c r="A226" s="33"/>
      <c r="B226" s="87"/>
      <c r="C226" s="86"/>
      <c r="D226" s="82" t="s">
        <v>14574</v>
      </c>
      <c r="E226" s="84"/>
      <c r="F226" s="49"/>
      <c r="H226" s="49"/>
      <c r="I226" s="49"/>
      <c r="J226" s="49"/>
    </row>
    <row r="227" spans="1:10" s="22" customFormat="1" ht="15.5">
      <c r="A227" s="33"/>
      <c r="B227" s="87"/>
      <c r="C227" s="86"/>
      <c r="D227" s="83"/>
      <c r="E227" s="85"/>
      <c r="F227" s="50"/>
      <c r="H227" s="50"/>
      <c r="I227" s="50"/>
      <c r="J227" s="50"/>
    </row>
    <row r="228" spans="1:10" s="22" customFormat="1" ht="15.5">
      <c r="A228" s="33"/>
      <c r="B228" s="87"/>
      <c r="C228" s="86"/>
      <c r="D228" s="82" t="s">
        <v>14573</v>
      </c>
      <c r="E228" s="84"/>
      <c r="F228" s="49"/>
      <c r="H228" s="49"/>
      <c r="I228" s="49"/>
      <c r="J228" s="49"/>
    </row>
    <row r="229" spans="1:10" s="22" customFormat="1" ht="15.5">
      <c r="A229" s="33"/>
      <c r="B229" s="87"/>
      <c r="C229" s="86"/>
      <c r="D229" s="83"/>
      <c r="E229" s="85"/>
      <c r="F229" s="50"/>
      <c r="H229" s="50"/>
      <c r="I229" s="50"/>
      <c r="J229" s="50"/>
    </row>
    <row r="230" spans="1:10" s="22" customFormat="1" ht="15.5">
      <c r="A230" s="33"/>
      <c r="B230" s="87"/>
      <c r="C230" s="86"/>
      <c r="D230" s="82" t="s">
        <v>14572</v>
      </c>
      <c r="E230" s="84"/>
      <c r="F230" s="49"/>
      <c r="H230" s="49"/>
      <c r="I230" s="49"/>
      <c r="J230" s="49"/>
    </row>
    <row r="231" spans="1:10" s="22" customFormat="1" ht="15.5">
      <c r="A231" s="33"/>
      <c r="B231" s="87"/>
      <c r="C231" s="83"/>
      <c r="D231" s="83"/>
      <c r="E231" s="85"/>
      <c r="F231" s="50"/>
      <c r="H231" s="50"/>
      <c r="I231" s="50"/>
      <c r="J231" s="50"/>
    </row>
    <row r="232" spans="1:10" s="22" customFormat="1" ht="15.75" customHeight="1">
      <c r="A232" s="33"/>
      <c r="B232" s="87"/>
      <c r="C232" s="82" t="s">
        <v>14571</v>
      </c>
      <c r="D232" s="49" t="s">
        <v>14570</v>
      </c>
      <c r="E232" s="84"/>
      <c r="F232" s="49"/>
      <c r="H232" s="49"/>
      <c r="I232" s="49"/>
      <c r="J232" s="49"/>
    </row>
    <row r="233" spans="1:10" s="22" customFormat="1" ht="15.5">
      <c r="A233" s="33"/>
      <c r="B233" s="87"/>
      <c r="C233" s="86"/>
      <c r="D233" s="50"/>
      <c r="E233" s="85"/>
      <c r="F233" s="50"/>
      <c r="H233" s="50"/>
      <c r="I233" s="50"/>
      <c r="J233" s="50"/>
    </row>
    <row r="234" spans="1:10" s="22" customFormat="1" ht="15.5">
      <c r="A234" s="33"/>
      <c r="B234" s="87"/>
      <c r="C234" s="86"/>
      <c r="D234" s="49" t="s">
        <v>14569</v>
      </c>
      <c r="E234" s="84"/>
      <c r="F234" s="49"/>
      <c r="H234" s="49"/>
      <c r="I234" s="49"/>
      <c r="J234" s="49"/>
    </row>
    <row r="235" spans="1:10" s="22" customFormat="1" ht="15.5">
      <c r="A235" s="33"/>
      <c r="B235" s="87"/>
      <c r="C235" s="86"/>
      <c r="D235" s="50"/>
      <c r="E235" s="85"/>
      <c r="F235" s="50"/>
      <c r="H235" s="50"/>
      <c r="I235" s="50"/>
      <c r="J235" s="50"/>
    </row>
    <row r="236" spans="1:10" s="22" customFormat="1" ht="15.5">
      <c r="A236" s="33"/>
      <c r="B236" s="87"/>
      <c r="C236" s="86"/>
      <c r="D236" s="82" t="s">
        <v>14568</v>
      </c>
      <c r="E236" s="84"/>
      <c r="F236" s="49"/>
      <c r="H236" s="49"/>
      <c r="I236" s="49"/>
      <c r="J236" s="49"/>
    </row>
    <row r="237" spans="1:10" s="22" customFormat="1" ht="15.5">
      <c r="A237" s="33"/>
      <c r="B237" s="87"/>
      <c r="C237" s="86"/>
      <c r="D237" s="83"/>
      <c r="E237" s="85"/>
      <c r="F237" s="50"/>
      <c r="H237" s="50"/>
      <c r="I237" s="50"/>
      <c r="J237" s="50"/>
    </row>
    <row r="238" spans="1:10" s="22" customFormat="1" ht="15.5">
      <c r="A238" s="33"/>
      <c r="B238" s="87"/>
      <c r="C238" s="86"/>
      <c r="D238" s="82" t="s">
        <v>14567</v>
      </c>
      <c r="E238" s="84"/>
      <c r="F238" s="49"/>
      <c r="H238" s="49"/>
      <c r="I238" s="49"/>
      <c r="J238" s="49"/>
    </row>
    <row r="239" spans="1:10" s="22" customFormat="1" ht="15.5">
      <c r="A239" s="33"/>
      <c r="B239" s="87"/>
      <c r="C239" s="86"/>
      <c r="D239" s="83"/>
      <c r="E239" s="85"/>
      <c r="F239" s="50"/>
      <c r="H239" s="50"/>
      <c r="I239" s="50"/>
      <c r="J239" s="50"/>
    </row>
    <row r="240" spans="1:10" s="22" customFormat="1" ht="15.5">
      <c r="A240" s="33"/>
      <c r="B240" s="87"/>
      <c r="C240" s="86"/>
      <c r="D240" s="88" t="s">
        <v>14566</v>
      </c>
      <c r="E240" s="84"/>
      <c r="F240" s="49"/>
      <c r="H240" s="49"/>
      <c r="I240" s="49"/>
      <c r="J240" s="49"/>
    </row>
    <row r="241" spans="1:10" s="22" customFormat="1" ht="15.5">
      <c r="A241" s="33"/>
      <c r="B241" s="87"/>
      <c r="C241" s="83"/>
      <c r="D241" s="89"/>
      <c r="E241" s="85"/>
      <c r="F241" s="50"/>
      <c r="H241" s="50"/>
      <c r="I241" s="50"/>
      <c r="J241" s="50"/>
    </row>
    <row r="242" spans="1:10" s="22" customFormat="1" ht="15.75" customHeight="1">
      <c r="A242" s="33"/>
      <c r="B242" s="87"/>
      <c r="C242" s="82" t="s">
        <v>14565</v>
      </c>
      <c r="D242" s="49" t="s">
        <v>14564</v>
      </c>
      <c r="E242" s="84"/>
      <c r="F242" s="49"/>
      <c r="H242" s="49"/>
      <c r="I242" s="49"/>
      <c r="J242" s="49"/>
    </row>
    <row r="243" spans="1:10" s="22" customFormat="1" ht="15.5">
      <c r="A243" s="33"/>
      <c r="B243" s="87"/>
      <c r="C243" s="86"/>
      <c r="D243" s="50"/>
      <c r="E243" s="85"/>
      <c r="F243" s="50"/>
      <c r="H243" s="50"/>
      <c r="I243" s="50"/>
      <c r="J243" s="50"/>
    </row>
    <row r="244" spans="1:10" s="22" customFormat="1" ht="15.5">
      <c r="A244" s="33"/>
      <c r="B244" s="87"/>
      <c r="C244" s="86"/>
      <c r="D244" s="49" t="s">
        <v>14563</v>
      </c>
      <c r="E244" s="84"/>
      <c r="F244" s="49"/>
      <c r="H244" s="49"/>
      <c r="I244" s="49"/>
      <c r="J244" s="49"/>
    </row>
    <row r="245" spans="1:10" s="22" customFormat="1" ht="15.5">
      <c r="A245" s="33"/>
      <c r="B245" s="87"/>
      <c r="C245" s="86"/>
      <c r="D245" s="50"/>
      <c r="E245" s="85"/>
      <c r="F245" s="50"/>
      <c r="H245" s="50"/>
      <c r="I245" s="50"/>
      <c r="J245" s="50"/>
    </row>
    <row r="246" spans="1:10" s="22" customFormat="1" ht="15.5">
      <c r="A246" s="33"/>
      <c r="B246" s="87"/>
      <c r="C246" s="86"/>
      <c r="D246" s="49" t="s">
        <v>14562</v>
      </c>
      <c r="E246" s="84"/>
      <c r="F246" s="49"/>
      <c r="H246" s="49"/>
      <c r="I246" s="49"/>
      <c r="J246" s="49"/>
    </row>
    <row r="247" spans="1:10" s="22" customFormat="1" ht="15.5">
      <c r="A247" s="33"/>
      <c r="B247" s="87"/>
      <c r="C247" s="86"/>
      <c r="D247" s="50"/>
      <c r="E247" s="85"/>
      <c r="F247" s="50"/>
      <c r="H247" s="50"/>
      <c r="I247" s="50"/>
      <c r="J247" s="50"/>
    </row>
    <row r="248" spans="1:10" s="22" customFormat="1" ht="15.5">
      <c r="A248" s="33"/>
      <c r="B248" s="87"/>
      <c r="C248" s="86"/>
      <c r="D248" s="49" t="s">
        <v>14561</v>
      </c>
      <c r="E248" s="84"/>
      <c r="F248" s="49"/>
      <c r="H248" s="49"/>
      <c r="I248" s="49"/>
      <c r="J248" s="49"/>
    </row>
    <row r="249" spans="1:10" s="22" customFormat="1" ht="15.5">
      <c r="A249" s="33"/>
      <c r="B249" s="87"/>
      <c r="C249" s="86"/>
      <c r="D249" s="50"/>
      <c r="E249" s="85"/>
      <c r="F249" s="50"/>
      <c r="H249" s="50"/>
      <c r="I249" s="50"/>
      <c r="J249" s="50"/>
    </row>
    <row r="250" spans="1:10" s="22" customFormat="1" ht="15.5">
      <c r="A250" s="33"/>
      <c r="B250" s="87"/>
      <c r="C250" s="86"/>
      <c r="D250" s="55" t="s">
        <v>14560</v>
      </c>
      <c r="E250" s="84"/>
      <c r="F250" s="49"/>
      <c r="H250" s="49"/>
      <c r="I250" s="49"/>
      <c r="J250" s="49"/>
    </row>
    <row r="251" spans="1:10" s="22" customFormat="1" ht="15.5">
      <c r="A251" s="33"/>
      <c r="B251" s="50"/>
      <c r="C251" s="83"/>
      <c r="D251" s="56"/>
      <c r="E251" s="85"/>
      <c r="F251" s="50"/>
      <c r="H251" s="50"/>
      <c r="I251" s="50"/>
      <c r="J251" s="50"/>
    </row>
    <row r="252" spans="1:10" s="22" customFormat="1" ht="15.75" customHeight="1">
      <c r="A252" s="33"/>
      <c r="B252" s="49" t="s">
        <v>14559</v>
      </c>
      <c r="C252" s="82" t="s">
        <v>14558</v>
      </c>
      <c r="D252" s="49" t="s">
        <v>14557</v>
      </c>
      <c r="E252" s="84"/>
      <c r="F252" s="49"/>
      <c r="H252" s="49"/>
      <c r="I252" s="49"/>
      <c r="J252" s="49"/>
    </row>
    <row r="253" spans="1:10" s="22" customFormat="1" ht="15.5">
      <c r="A253" s="33"/>
      <c r="B253" s="87"/>
      <c r="C253" s="86"/>
      <c r="D253" s="50"/>
      <c r="E253" s="85"/>
      <c r="F253" s="50"/>
      <c r="H253" s="50"/>
      <c r="I253" s="50"/>
      <c r="J253" s="50"/>
    </row>
    <row r="254" spans="1:10" s="22" customFormat="1" ht="15.5">
      <c r="A254" s="33"/>
      <c r="B254" s="87"/>
      <c r="C254" s="86"/>
      <c r="D254" s="49" t="s">
        <v>14556</v>
      </c>
      <c r="E254" s="84"/>
      <c r="F254" s="49"/>
      <c r="H254" s="49"/>
      <c r="I254" s="49"/>
      <c r="J254" s="49"/>
    </row>
    <row r="255" spans="1:10" s="22" customFormat="1" ht="15.5">
      <c r="A255" s="33"/>
      <c r="B255" s="87"/>
      <c r="C255" s="86"/>
      <c r="D255" s="50"/>
      <c r="E255" s="85"/>
      <c r="F255" s="50"/>
      <c r="H255" s="50"/>
      <c r="I255" s="50"/>
      <c r="J255" s="50"/>
    </row>
    <row r="256" spans="1:10" s="22" customFormat="1" ht="15.5">
      <c r="A256" s="33"/>
      <c r="B256" s="87"/>
      <c r="C256" s="86"/>
      <c r="D256" s="82" t="s">
        <v>14555</v>
      </c>
      <c r="E256" s="84"/>
      <c r="F256" s="49"/>
      <c r="H256" s="49"/>
      <c r="I256" s="49"/>
      <c r="J256" s="49"/>
    </row>
    <row r="257" spans="1:10" s="22" customFormat="1" ht="15.5">
      <c r="A257" s="33"/>
      <c r="B257" s="87"/>
      <c r="C257" s="86"/>
      <c r="D257" s="83"/>
      <c r="E257" s="85"/>
      <c r="F257" s="50"/>
      <c r="H257" s="50"/>
      <c r="I257" s="50"/>
      <c r="J257" s="50"/>
    </row>
    <row r="258" spans="1:10" s="22" customFormat="1" ht="15.5">
      <c r="A258" s="33"/>
      <c r="B258" s="87"/>
      <c r="C258" s="86"/>
      <c r="D258" s="49" t="s">
        <v>14554</v>
      </c>
      <c r="E258" s="84"/>
      <c r="F258" s="49"/>
      <c r="H258" s="49"/>
      <c r="I258" s="49"/>
      <c r="J258" s="49"/>
    </row>
    <row r="259" spans="1:10" s="22" customFormat="1" ht="15.5">
      <c r="A259" s="33"/>
      <c r="B259" s="87"/>
      <c r="C259" s="86"/>
      <c r="D259" s="50"/>
      <c r="E259" s="85"/>
      <c r="F259" s="50"/>
      <c r="H259" s="50"/>
      <c r="I259" s="50"/>
      <c r="J259" s="50"/>
    </row>
    <row r="260" spans="1:10" s="22" customFormat="1" ht="15.5">
      <c r="A260" s="33"/>
      <c r="B260" s="87"/>
      <c r="C260" s="86"/>
      <c r="D260" s="49" t="s">
        <v>14553</v>
      </c>
      <c r="E260" s="84"/>
      <c r="F260" s="49"/>
      <c r="H260" s="49"/>
      <c r="I260" s="49"/>
      <c r="J260" s="49"/>
    </row>
    <row r="261" spans="1:10" s="22" customFormat="1" ht="15.5">
      <c r="A261" s="33"/>
      <c r="B261" s="87"/>
      <c r="C261" s="83"/>
      <c r="D261" s="50"/>
      <c r="E261" s="85"/>
      <c r="F261" s="50"/>
      <c r="H261" s="50"/>
      <c r="I261" s="50"/>
      <c r="J261" s="50"/>
    </row>
    <row r="262" spans="1:10" s="22" customFormat="1" ht="15.75" customHeight="1">
      <c r="A262" s="33"/>
      <c r="B262" s="87"/>
      <c r="C262" s="82" t="s">
        <v>14552</v>
      </c>
      <c r="D262" s="49" t="s">
        <v>14551</v>
      </c>
      <c r="E262" s="84"/>
      <c r="F262" s="49"/>
      <c r="H262" s="49"/>
      <c r="I262" s="49"/>
      <c r="J262" s="49"/>
    </row>
    <row r="263" spans="1:10" s="22" customFormat="1" ht="15.5">
      <c r="A263" s="33"/>
      <c r="B263" s="87"/>
      <c r="C263" s="86"/>
      <c r="D263" s="50"/>
      <c r="E263" s="85"/>
      <c r="F263" s="50"/>
      <c r="H263" s="50"/>
      <c r="I263" s="50"/>
      <c r="J263" s="50"/>
    </row>
    <row r="264" spans="1:10" s="22" customFormat="1" ht="15.5">
      <c r="A264" s="33"/>
      <c r="B264" s="87"/>
      <c r="C264" s="86"/>
      <c r="D264" s="49" t="s">
        <v>14550</v>
      </c>
      <c r="E264" s="84"/>
      <c r="F264" s="49"/>
      <c r="H264" s="49"/>
      <c r="I264" s="49"/>
      <c r="J264" s="49"/>
    </row>
    <row r="265" spans="1:10" s="22" customFormat="1" ht="15.5">
      <c r="A265" s="33"/>
      <c r="B265" s="87"/>
      <c r="C265" s="86"/>
      <c r="D265" s="50"/>
      <c r="E265" s="85"/>
      <c r="F265" s="50"/>
      <c r="H265" s="50"/>
      <c r="I265" s="50"/>
      <c r="J265" s="50"/>
    </row>
    <row r="266" spans="1:10" s="22" customFormat="1" ht="15.5">
      <c r="A266" s="33"/>
      <c r="B266" s="87"/>
      <c r="C266" s="86"/>
      <c r="D266" s="82" t="s">
        <v>14549</v>
      </c>
      <c r="E266" s="84"/>
      <c r="F266" s="49"/>
      <c r="H266" s="49"/>
      <c r="I266" s="49"/>
      <c r="J266" s="49"/>
    </row>
    <row r="267" spans="1:10" s="22" customFormat="1" ht="15.5">
      <c r="A267" s="33"/>
      <c r="B267" s="87"/>
      <c r="C267" s="86"/>
      <c r="D267" s="83"/>
      <c r="E267" s="85"/>
      <c r="F267" s="50"/>
      <c r="H267" s="50"/>
      <c r="I267" s="50"/>
      <c r="J267" s="50"/>
    </row>
    <row r="268" spans="1:10" s="22" customFormat="1" ht="15.5">
      <c r="A268" s="33"/>
      <c r="B268" s="87"/>
      <c r="C268" s="86"/>
      <c r="D268" s="49" t="s">
        <v>14548</v>
      </c>
      <c r="E268" s="84"/>
      <c r="F268" s="49"/>
      <c r="H268" s="49"/>
      <c r="I268" s="49"/>
      <c r="J268" s="49"/>
    </row>
    <row r="269" spans="1:10" s="22" customFormat="1" ht="15.5">
      <c r="A269" s="33"/>
      <c r="B269" s="87"/>
      <c r="C269" s="86"/>
      <c r="D269" s="50"/>
      <c r="E269" s="85"/>
      <c r="F269" s="50"/>
      <c r="H269" s="50"/>
      <c r="I269" s="50"/>
      <c r="J269" s="50"/>
    </row>
    <row r="270" spans="1:10" s="22" customFormat="1" ht="15.5">
      <c r="A270" s="33"/>
      <c r="B270" s="87"/>
      <c r="C270" s="86"/>
      <c r="D270" s="49" t="s">
        <v>14547</v>
      </c>
      <c r="E270" s="84"/>
      <c r="F270" s="49"/>
      <c r="H270" s="49"/>
      <c r="I270" s="49"/>
      <c r="J270" s="49"/>
    </row>
    <row r="271" spans="1:10" s="22" customFormat="1" ht="15.5">
      <c r="A271" s="35"/>
      <c r="B271" s="87"/>
      <c r="C271" s="83"/>
      <c r="D271" s="50"/>
      <c r="E271" s="85"/>
      <c r="F271" s="50"/>
      <c r="H271" s="50"/>
      <c r="I271" s="50"/>
      <c r="J271" s="50"/>
    </row>
    <row r="272" spans="1:10" s="22" customFormat="1" ht="15.75" customHeight="1">
      <c r="A272" s="33"/>
      <c r="B272" s="87"/>
      <c r="C272" s="82" t="s">
        <v>14546</v>
      </c>
      <c r="D272" s="82" t="s">
        <v>14545</v>
      </c>
      <c r="E272" s="84"/>
      <c r="F272" s="49"/>
      <c r="H272" s="49"/>
      <c r="I272" s="49"/>
      <c r="J272" s="49"/>
    </row>
    <row r="273" spans="1:10" s="22" customFormat="1" ht="15.5">
      <c r="A273" s="33"/>
      <c r="B273" s="87"/>
      <c r="C273" s="86"/>
      <c r="D273" s="83"/>
      <c r="E273" s="85"/>
      <c r="F273" s="50"/>
      <c r="H273" s="50"/>
      <c r="I273" s="50"/>
      <c r="J273" s="50"/>
    </row>
    <row r="274" spans="1:10" s="22" customFormat="1" ht="15.5">
      <c r="A274" s="33"/>
      <c r="B274" s="87"/>
      <c r="C274" s="86"/>
      <c r="D274" s="82" t="s">
        <v>14544</v>
      </c>
      <c r="E274" s="84"/>
      <c r="F274" s="49"/>
      <c r="H274" s="49"/>
      <c r="I274" s="49"/>
      <c r="J274" s="49"/>
    </row>
    <row r="275" spans="1:10" s="22" customFormat="1" ht="15.5">
      <c r="A275" s="33"/>
      <c r="B275" s="87"/>
      <c r="C275" s="86"/>
      <c r="D275" s="83"/>
      <c r="E275" s="85"/>
      <c r="F275" s="50"/>
      <c r="H275" s="50"/>
      <c r="I275" s="50"/>
      <c r="J275" s="50"/>
    </row>
    <row r="276" spans="1:10" s="22" customFormat="1" ht="15.5">
      <c r="A276" s="33"/>
      <c r="B276" s="87"/>
      <c r="C276" s="86"/>
      <c r="D276" s="82" t="s">
        <v>14543</v>
      </c>
      <c r="E276" s="84"/>
      <c r="F276" s="49"/>
      <c r="H276" s="49"/>
      <c r="I276" s="49"/>
      <c r="J276" s="49"/>
    </row>
    <row r="277" spans="1:10" s="22" customFormat="1" ht="15.5">
      <c r="A277" s="33"/>
      <c r="B277" s="87"/>
      <c r="C277" s="86"/>
      <c r="D277" s="83"/>
      <c r="E277" s="85"/>
      <c r="F277" s="50"/>
      <c r="H277" s="50"/>
      <c r="I277" s="50"/>
      <c r="J277" s="50"/>
    </row>
    <row r="278" spans="1:10" s="22" customFormat="1" ht="15.5">
      <c r="A278" s="33"/>
      <c r="B278" s="87"/>
      <c r="C278" s="86"/>
      <c r="D278" s="82" t="s">
        <v>14542</v>
      </c>
      <c r="E278" s="84"/>
      <c r="F278" s="49"/>
      <c r="H278" s="49"/>
      <c r="I278" s="49"/>
      <c r="J278" s="49"/>
    </row>
    <row r="279" spans="1:10" s="22" customFormat="1" ht="15.5">
      <c r="A279" s="33"/>
      <c r="B279" s="87"/>
      <c r="C279" s="86"/>
      <c r="D279" s="83"/>
      <c r="E279" s="85"/>
      <c r="F279" s="50"/>
      <c r="H279" s="50"/>
      <c r="I279" s="50"/>
      <c r="J279" s="50"/>
    </row>
    <row r="280" spans="1:10" s="22" customFormat="1" ht="15.5" customHeight="1">
      <c r="A280" s="33"/>
      <c r="B280" s="87"/>
      <c r="C280" s="86"/>
      <c r="D280" s="82" t="s">
        <v>14541</v>
      </c>
      <c r="E280" s="84"/>
      <c r="F280" s="49"/>
      <c r="H280" s="49"/>
      <c r="I280" s="49"/>
      <c r="J280" s="49"/>
    </row>
    <row r="281" spans="1:10" s="22" customFormat="1" ht="15.5">
      <c r="A281" s="33"/>
      <c r="B281" s="87"/>
      <c r="C281" s="83"/>
      <c r="D281" s="83"/>
      <c r="E281" s="85"/>
      <c r="F281" s="50"/>
      <c r="H281" s="50"/>
      <c r="I281" s="50"/>
      <c r="J281" s="50"/>
    </row>
    <row r="282" spans="1:10" s="22" customFormat="1" ht="15.75" customHeight="1">
      <c r="A282" s="33"/>
      <c r="B282" s="87"/>
      <c r="C282" s="82" t="s">
        <v>14540</v>
      </c>
      <c r="D282" s="49" t="s">
        <v>14539</v>
      </c>
      <c r="E282" s="84"/>
      <c r="F282" s="49"/>
      <c r="H282" s="49"/>
      <c r="I282" s="49"/>
      <c r="J282" s="49"/>
    </row>
    <row r="283" spans="1:10" s="22" customFormat="1" ht="15.5">
      <c r="A283" s="33"/>
      <c r="B283" s="87"/>
      <c r="C283" s="86"/>
      <c r="D283" s="50"/>
      <c r="E283" s="85"/>
      <c r="F283" s="50"/>
      <c r="H283" s="50"/>
      <c r="I283" s="50"/>
      <c r="J283" s="50"/>
    </row>
    <row r="284" spans="1:10" s="22" customFormat="1" ht="15.5" customHeight="1">
      <c r="A284" s="33"/>
      <c r="B284" s="87"/>
      <c r="C284" s="86"/>
      <c r="D284" s="82" t="s">
        <v>14538</v>
      </c>
      <c r="E284" s="84"/>
      <c r="F284" s="49"/>
      <c r="H284" s="49"/>
      <c r="I284" s="49"/>
      <c r="J284" s="49"/>
    </row>
    <row r="285" spans="1:10" s="22" customFormat="1" ht="15.5">
      <c r="A285" s="33"/>
      <c r="B285" s="87"/>
      <c r="C285" s="86"/>
      <c r="D285" s="83"/>
      <c r="E285" s="85"/>
      <c r="F285" s="50"/>
      <c r="H285" s="50"/>
      <c r="I285" s="50"/>
      <c r="J285" s="50"/>
    </row>
    <row r="286" spans="1:10" s="22" customFormat="1" ht="15.5" customHeight="1">
      <c r="A286" s="33"/>
      <c r="B286" s="87"/>
      <c r="C286" s="86"/>
      <c r="D286" s="82" t="s">
        <v>14537</v>
      </c>
      <c r="E286" s="84"/>
      <c r="F286" s="49"/>
      <c r="H286" s="49"/>
      <c r="I286" s="49"/>
      <c r="J286" s="49"/>
    </row>
    <row r="287" spans="1:10" s="22" customFormat="1" ht="15.5">
      <c r="A287" s="33"/>
      <c r="B287" s="87"/>
      <c r="C287" s="86"/>
      <c r="D287" s="83"/>
      <c r="E287" s="85"/>
      <c r="F287" s="50"/>
      <c r="H287" s="50"/>
      <c r="I287" s="50"/>
      <c r="J287" s="50"/>
    </row>
    <row r="288" spans="1:10" s="22" customFormat="1" ht="15.5" customHeight="1">
      <c r="A288" s="33"/>
      <c r="B288" s="87"/>
      <c r="C288" s="86"/>
      <c r="D288" s="82" t="s">
        <v>14536</v>
      </c>
      <c r="E288" s="84"/>
      <c r="F288" s="49"/>
      <c r="H288" s="49"/>
      <c r="I288" s="49"/>
      <c r="J288" s="49"/>
    </row>
    <row r="289" spans="1:10" s="22" customFormat="1" ht="15.5">
      <c r="A289" s="33"/>
      <c r="B289" s="87"/>
      <c r="C289" s="86"/>
      <c r="D289" s="83"/>
      <c r="E289" s="85"/>
      <c r="F289" s="50"/>
      <c r="H289" s="50"/>
      <c r="I289" s="50"/>
      <c r="J289" s="50"/>
    </row>
    <row r="290" spans="1:10" s="22" customFormat="1" ht="15.5" customHeight="1">
      <c r="A290" s="33"/>
      <c r="B290" s="87"/>
      <c r="C290" s="86"/>
      <c r="D290" s="82" t="s">
        <v>14535</v>
      </c>
      <c r="E290" s="84"/>
      <c r="F290" s="49"/>
      <c r="H290" s="49"/>
      <c r="I290" s="49"/>
      <c r="J290" s="49"/>
    </row>
    <row r="291" spans="1:10" s="22" customFormat="1" ht="15.5">
      <c r="A291" s="33"/>
      <c r="B291" s="87"/>
      <c r="C291" s="83"/>
      <c r="D291" s="83"/>
      <c r="E291" s="85"/>
      <c r="F291" s="50"/>
      <c r="H291" s="50"/>
      <c r="I291" s="50"/>
      <c r="J291" s="50"/>
    </row>
    <row r="292" spans="1:10" s="22" customFormat="1" ht="15.75" customHeight="1">
      <c r="A292" s="33"/>
      <c r="B292" s="87"/>
      <c r="C292" s="82" t="s">
        <v>14534</v>
      </c>
      <c r="D292" s="82" t="s">
        <v>14533</v>
      </c>
      <c r="E292" s="84"/>
      <c r="F292" s="49"/>
      <c r="H292" s="49"/>
      <c r="I292" s="49"/>
      <c r="J292" s="49"/>
    </row>
    <row r="293" spans="1:10" s="22" customFormat="1" ht="15.5">
      <c r="A293" s="33"/>
      <c r="B293" s="87"/>
      <c r="C293" s="86"/>
      <c r="D293" s="83"/>
      <c r="E293" s="85"/>
      <c r="F293" s="50"/>
      <c r="H293" s="50"/>
      <c r="I293" s="50"/>
      <c r="J293" s="50"/>
    </row>
    <row r="294" spans="1:10" s="22" customFormat="1" ht="15.5">
      <c r="A294" s="33"/>
      <c r="B294" s="87"/>
      <c r="C294" s="86"/>
      <c r="D294" s="82" t="s">
        <v>14532</v>
      </c>
      <c r="E294" s="84"/>
      <c r="F294" s="49"/>
      <c r="H294" s="49"/>
      <c r="I294" s="49"/>
      <c r="J294" s="49"/>
    </row>
    <row r="295" spans="1:10" s="22" customFormat="1" ht="15.5">
      <c r="A295" s="33"/>
      <c r="B295" s="87"/>
      <c r="C295" s="86"/>
      <c r="D295" s="83"/>
      <c r="E295" s="85"/>
      <c r="F295" s="50"/>
      <c r="H295" s="50"/>
      <c r="I295" s="50"/>
      <c r="J295" s="50"/>
    </row>
    <row r="296" spans="1:10" s="22" customFormat="1" ht="15.5">
      <c r="A296" s="33"/>
      <c r="B296" s="87"/>
      <c r="C296" s="86"/>
      <c r="D296" s="82" t="s">
        <v>14531</v>
      </c>
      <c r="E296" s="84"/>
      <c r="F296" s="49"/>
      <c r="H296" s="49"/>
      <c r="I296" s="49"/>
      <c r="J296" s="49"/>
    </row>
    <row r="297" spans="1:10" s="22" customFormat="1" ht="15.5">
      <c r="A297" s="33"/>
      <c r="B297" s="87"/>
      <c r="C297" s="86"/>
      <c r="D297" s="83"/>
      <c r="E297" s="85"/>
      <c r="F297" s="50"/>
      <c r="H297" s="50"/>
      <c r="I297" s="50"/>
      <c r="J297" s="50"/>
    </row>
    <row r="298" spans="1:10" s="22" customFormat="1" ht="15.5">
      <c r="A298" s="33"/>
      <c r="B298" s="87"/>
      <c r="C298" s="86"/>
      <c r="D298" s="49" t="s">
        <v>14530</v>
      </c>
      <c r="E298" s="84"/>
      <c r="F298" s="49"/>
      <c r="H298" s="49"/>
      <c r="I298" s="49"/>
      <c r="J298" s="49"/>
    </row>
    <row r="299" spans="1:10" s="22" customFormat="1" ht="15.5">
      <c r="A299" s="33"/>
      <c r="B299" s="87"/>
      <c r="C299" s="86"/>
      <c r="D299" s="50"/>
      <c r="E299" s="85"/>
      <c r="F299" s="50"/>
      <c r="H299" s="50"/>
      <c r="I299" s="50"/>
      <c r="J299" s="50"/>
    </row>
    <row r="300" spans="1:10" s="22" customFormat="1" ht="15.5">
      <c r="A300" s="33"/>
      <c r="B300" s="87"/>
      <c r="C300" s="86"/>
      <c r="D300" s="82" t="s">
        <v>14529</v>
      </c>
      <c r="E300" s="84"/>
      <c r="F300" s="49"/>
      <c r="H300" s="49"/>
      <c r="I300" s="49"/>
      <c r="J300" s="49"/>
    </row>
    <row r="301" spans="1:10" s="22" customFormat="1" ht="15.5">
      <c r="A301" s="33"/>
      <c r="B301" s="87"/>
      <c r="C301" s="83"/>
      <c r="D301" s="83"/>
      <c r="E301" s="85"/>
      <c r="F301" s="50"/>
      <c r="H301" s="50"/>
      <c r="I301" s="50"/>
      <c r="J301" s="50"/>
    </row>
    <row r="302" spans="1:10" s="22" customFormat="1" ht="15.75" customHeight="1">
      <c r="A302" s="33"/>
      <c r="B302" s="87"/>
      <c r="C302" s="82" t="s">
        <v>14528</v>
      </c>
      <c r="D302" s="49" t="s">
        <v>14527</v>
      </c>
      <c r="E302" s="84"/>
      <c r="F302" s="49"/>
      <c r="H302" s="49"/>
      <c r="I302" s="49"/>
      <c r="J302" s="49"/>
    </row>
    <row r="303" spans="1:10" s="22" customFormat="1" ht="15.5">
      <c r="A303" s="33"/>
      <c r="B303" s="87"/>
      <c r="C303" s="86"/>
      <c r="D303" s="50"/>
      <c r="E303" s="85"/>
      <c r="F303" s="50"/>
      <c r="H303" s="50"/>
      <c r="I303" s="50"/>
      <c r="J303" s="50"/>
    </row>
    <row r="304" spans="1:10" s="22" customFormat="1" ht="15.5">
      <c r="A304" s="33"/>
      <c r="B304" s="87"/>
      <c r="C304" s="86"/>
      <c r="D304" s="82" t="s">
        <v>14526</v>
      </c>
      <c r="E304" s="84"/>
      <c r="F304" s="49"/>
      <c r="H304" s="49"/>
      <c r="I304" s="49"/>
      <c r="J304" s="49"/>
    </row>
    <row r="305" spans="1:10" s="22" customFormat="1" ht="15.5">
      <c r="A305" s="33"/>
      <c r="B305" s="87"/>
      <c r="C305" s="86"/>
      <c r="D305" s="83"/>
      <c r="E305" s="85"/>
      <c r="F305" s="50"/>
      <c r="H305" s="50"/>
      <c r="I305" s="50"/>
      <c r="J305" s="50"/>
    </row>
    <row r="306" spans="1:10" s="22" customFormat="1" ht="15.5">
      <c r="A306" s="33"/>
      <c r="B306" s="87"/>
      <c r="C306" s="86"/>
      <c r="D306" s="49" t="s">
        <v>14525</v>
      </c>
      <c r="E306" s="84"/>
      <c r="F306" s="49"/>
      <c r="H306" s="49"/>
      <c r="I306" s="49"/>
      <c r="J306" s="49"/>
    </row>
    <row r="307" spans="1:10" s="22" customFormat="1" ht="15.5">
      <c r="A307" s="33"/>
      <c r="B307" s="87"/>
      <c r="C307" s="86"/>
      <c r="D307" s="50"/>
      <c r="E307" s="85"/>
      <c r="F307" s="50"/>
      <c r="H307" s="50"/>
      <c r="I307" s="50"/>
      <c r="J307" s="50"/>
    </row>
    <row r="308" spans="1:10" s="22" customFormat="1" ht="15.5">
      <c r="A308" s="33"/>
      <c r="B308" s="87"/>
      <c r="C308" s="86"/>
      <c r="D308" s="49" t="s">
        <v>14524</v>
      </c>
      <c r="E308" s="84"/>
      <c r="F308" s="55"/>
      <c r="H308" s="55"/>
      <c r="I308" s="55"/>
      <c r="J308" s="55"/>
    </row>
    <row r="309" spans="1:10" s="22" customFormat="1" ht="15.5">
      <c r="A309" s="33"/>
      <c r="B309" s="87"/>
      <c r="C309" s="86"/>
      <c r="D309" s="50"/>
      <c r="E309" s="85"/>
      <c r="F309" s="56"/>
      <c r="H309" s="56"/>
      <c r="I309" s="56"/>
      <c r="J309" s="56"/>
    </row>
    <row r="310" spans="1:10" s="22" customFormat="1" ht="15.5">
      <c r="A310" s="33"/>
      <c r="B310" s="87"/>
      <c r="C310" s="86"/>
      <c r="D310" s="49" t="s">
        <v>14523</v>
      </c>
      <c r="E310" s="84"/>
      <c r="F310" s="49"/>
      <c r="H310" s="49"/>
      <c r="I310" s="49"/>
      <c r="J310" s="49"/>
    </row>
    <row r="311" spans="1:10" s="22" customFormat="1" ht="15.5">
      <c r="A311" s="33"/>
      <c r="B311" s="87"/>
      <c r="C311" s="83"/>
      <c r="D311" s="50"/>
      <c r="E311" s="85"/>
      <c r="F311" s="50"/>
      <c r="H311" s="50"/>
      <c r="I311" s="50"/>
      <c r="J311" s="50"/>
    </row>
    <row r="312" spans="1:10" s="22" customFormat="1" ht="15.75" customHeight="1">
      <c r="A312" s="33"/>
      <c r="B312" s="87"/>
      <c r="C312" s="82" t="s">
        <v>14522</v>
      </c>
      <c r="D312" s="49" t="s">
        <v>14521</v>
      </c>
      <c r="E312" s="84"/>
      <c r="F312" s="49"/>
      <c r="H312" s="49"/>
      <c r="I312" s="49"/>
      <c r="J312" s="49"/>
    </row>
    <row r="313" spans="1:10" s="22" customFormat="1" ht="15.5">
      <c r="A313" s="33"/>
      <c r="B313" s="87"/>
      <c r="C313" s="86"/>
      <c r="D313" s="50"/>
      <c r="E313" s="85"/>
      <c r="F313" s="50"/>
      <c r="H313" s="50"/>
      <c r="I313" s="50"/>
      <c r="J313" s="50"/>
    </row>
    <row r="314" spans="1:10" s="22" customFormat="1" ht="15.5">
      <c r="A314" s="33"/>
      <c r="B314" s="87"/>
      <c r="C314" s="86"/>
      <c r="D314" s="49" t="s">
        <v>14520</v>
      </c>
      <c r="E314" s="84"/>
      <c r="F314" s="49"/>
      <c r="H314" s="49"/>
      <c r="I314" s="49"/>
      <c r="J314" s="49"/>
    </row>
    <row r="315" spans="1:10" s="22" customFormat="1" ht="15.5">
      <c r="A315" s="33"/>
      <c r="B315" s="87"/>
      <c r="C315" s="86"/>
      <c r="D315" s="50"/>
      <c r="E315" s="85"/>
      <c r="F315" s="50"/>
      <c r="H315" s="50"/>
      <c r="I315" s="50"/>
      <c r="J315" s="50"/>
    </row>
    <row r="316" spans="1:10" s="22" customFormat="1" ht="15.5" customHeight="1">
      <c r="A316" s="33"/>
      <c r="B316" s="87"/>
      <c r="C316" s="86"/>
      <c r="D316" s="82" t="s">
        <v>14519</v>
      </c>
      <c r="E316" s="84"/>
      <c r="F316" s="49"/>
      <c r="H316" s="49"/>
      <c r="I316" s="49"/>
      <c r="J316" s="49"/>
    </row>
    <row r="317" spans="1:10" s="22" customFormat="1" ht="15.5">
      <c r="A317" s="33"/>
      <c r="B317" s="87"/>
      <c r="C317" s="86"/>
      <c r="D317" s="83"/>
      <c r="E317" s="85"/>
      <c r="F317" s="50"/>
      <c r="H317" s="50"/>
      <c r="I317" s="50"/>
      <c r="J317" s="50"/>
    </row>
    <row r="318" spans="1:10" s="22" customFormat="1" ht="15.5" customHeight="1">
      <c r="A318" s="33"/>
      <c r="B318" s="87"/>
      <c r="C318" s="86"/>
      <c r="D318" s="82" t="s">
        <v>14518</v>
      </c>
      <c r="E318" s="84"/>
      <c r="F318" s="49"/>
      <c r="H318" s="49"/>
      <c r="I318" s="49"/>
      <c r="J318" s="49"/>
    </row>
    <row r="319" spans="1:10" s="22" customFormat="1" ht="15.5">
      <c r="A319" s="33"/>
      <c r="B319" s="87"/>
      <c r="C319" s="86"/>
      <c r="D319" s="83"/>
      <c r="E319" s="85"/>
      <c r="F319" s="50"/>
      <c r="H319" s="50"/>
      <c r="I319" s="50"/>
      <c r="J319" s="50"/>
    </row>
    <row r="320" spans="1:10" s="22" customFormat="1" ht="15.5">
      <c r="A320" s="33"/>
      <c r="B320" s="87"/>
      <c r="C320" s="86"/>
      <c r="D320" s="82" t="s">
        <v>14517</v>
      </c>
      <c r="E320" s="84"/>
      <c r="F320" s="49"/>
      <c r="H320" s="49"/>
      <c r="I320" s="49"/>
      <c r="J320" s="49"/>
    </row>
    <row r="321" spans="1:10" s="22" customFormat="1" ht="15.5">
      <c r="A321" s="33"/>
      <c r="B321" s="87"/>
      <c r="C321" s="83"/>
      <c r="D321" s="83"/>
      <c r="E321" s="85"/>
      <c r="F321" s="50"/>
      <c r="H321" s="50"/>
      <c r="I321" s="50"/>
      <c r="J321" s="50"/>
    </row>
    <row r="322" spans="1:10" s="22" customFormat="1" ht="15.75" customHeight="1">
      <c r="A322" s="33"/>
      <c r="B322" s="87"/>
      <c r="C322" s="82" t="s">
        <v>14516</v>
      </c>
      <c r="D322" s="82" t="s">
        <v>14515</v>
      </c>
      <c r="E322" s="84"/>
      <c r="F322" s="49"/>
      <c r="H322" s="49"/>
      <c r="I322" s="49"/>
      <c r="J322" s="49"/>
    </row>
    <row r="323" spans="1:10" s="22" customFormat="1" ht="15.5">
      <c r="A323" s="33"/>
      <c r="B323" s="87"/>
      <c r="C323" s="86"/>
      <c r="D323" s="83"/>
      <c r="E323" s="85"/>
      <c r="F323" s="50"/>
      <c r="H323" s="50"/>
      <c r="I323" s="50"/>
      <c r="J323" s="50"/>
    </row>
    <row r="324" spans="1:10" s="22" customFormat="1" ht="15.5" customHeight="1">
      <c r="A324" s="33"/>
      <c r="B324" s="87"/>
      <c r="C324" s="86"/>
      <c r="D324" s="82" t="s">
        <v>14514</v>
      </c>
      <c r="E324" s="84"/>
      <c r="F324" s="49"/>
      <c r="H324" s="49"/>
      <c r="I324" s="49"/>
      <c r="J324" s="49"/>
    </row>
    <row r="325" spans="1:10" s="22" customFormat="1" ht="15.5">
      <c r="A325" s="33"/>
      <c r="B325" s="87"/>
      <c r="C325" s="86"/>
      <c r="D325" s="83"/>
      <c r="E325" s="85"/>
      <c r="F325" s="50"/>
      <c r="H325" s="50"/>
      <c r="I325" s="50"/>
      <c r="J325" s="50"/>
    </row>
    <row r="326" spans="1:10" s="22" customFormat="1" ht="15.5">
      <c r="A326" s="33"/>
      <c r="B326" s="87"/>
      <c r="C326" s="86"/>
      <c r="D326" s="49" t="s">
        <v>14513</v>
      </c>
      <c r="E326" s="84"/>
      <c r="F326" s="49"/>
      <c r="H326" s="49"/>
      <c r="I326" s="49"/>
      <c r="J326" s="49"/>
    </row>
    <row r="327" spans="1:10" s="22" customFormat="1" ht="15.5">
      <c r="A327" s="33"/>
      <c r="B327" s="87"/>
      <c r="C327" s="86"/>
      <c r="D327" s="50"/>
      <c r="E327" s="85"/>
      <c r="F327" s="50"/>
      <c r="H327" s="50"/>
      <c r="I327" s="50"/>
      <c r="J327" s="50"/>
    </row>
    <row r="328" spans="1:10" s="22" customFormat="1" ht="15.5">
      <c r="A328" s="33"/>
      <c r="B328" s="87"/>
      <c r="C328" s="86"/>
      <c r="D328" s="82" t="s">
        <v>14512</v>
      </c>
      <c r="E328" s="84"/>
      <c r="F328" s="49"/>
      <c r="H328" s="49"/>
      <c r="I328" s="49"/>
      <c r="J328" s="49"/>
    </row>
    <row r="329" spans="1:10" s="22" customFormat="1" ht="15.5">
      <c r="A329" s="33"/>
      <c r="B329" s="87"/>
      <c r="C329" s="86"/>
      <c r="D329" s="83"/>
      <c r="E329" s="85"/>
      <c r="F329" s="50"/>
      <c r="H329" s="50"/>
      <c r="I329" s="50"/>
      <c r="J329" s="50"/>
    </row>
    <row r="330" spans="1:10" s="22" customFormat="1" ht="15.5" customHeight="1">
      <c r="A330" s="33"/>
      <c r="B330" s="87"/>
      <c r="C330" s="86"/>
      <c r="D330" s="82" t="s">
        <v>14511</v>
      </c>
      <c r="E330" s="97"/>
      <c r="F330" s="49"/>
      <c r="H330" s="49"/>
      <c r="I330" s="49"/>
      <c r="J330" s="49"/>
    </row>
    <row r="331" spans="1:10" s="22" customFormat="1" ht="15.5">
      <c r="A331" s="33"/>
      <c r="B331" s="87"/>
      <c r="C331" s="83"/>
      <c r="D331" s="83"/>
      <c r="E331" s="98"/>
      <c r="F331" s="50"/>
      <c r="H331" s="50"/>
      <c r="I331" s="50"/>
      <c r="J331" s="50"/>
    </row>
    <row r="332" spans="1:10" s="22" customFormat="1" ht="15.75" customHeight="1">
      <c r="A332" s="33"/>
      <c r="B332" s="87"/>
      <c r="C332" s="82" t="s">
        <v>14510</v>
      </c>
      <c r="D332" s="82" t="s">
        <v>14509</v>
      </c>
      <c r="E332" s="97"/>
      <c r="F332" s="49"/>
      <c r="H332" s="49"/>
      <c r="I332" s="49"/>
      <c r="J332" s="49"/>
    </row>
    <row r="333" spans="1:10" s="22" customFormat="1" ht="15.5">
      <c r="A333" s="33"/>
      <c r="B333" s="87"/>
      <c r="C333" s="86"/>
      <c r="D333" s="83"/>
      <c r="E333" s="98"/>
      <c r="F333" s="50"/>
      <c r="H333" s="50"/>
      <c r="I333" s="50"/>
      <c r="J333" s="50"/>
    </row>
    <row r="334" spans="1:10" s="22" customFormat="1" ht="15.5" customHeight="1">
      <c r="A334" s="33"/>
      <c r="B334" s="87"/>
      <c r="C334" s="86"/>
      <c r="D334" s="82" t="s">
        <v>14508</v>
      </c>
      <c r="E334" s="97"/>
      <c r="F334" s="49"/>
      <c r="H334" s="49"/>
      <c r="I334" s="49"/>
      <c r="J334" s="49"/>
    </row>
    <row r="335" spans="1:10" s="22" customFormat="1" ht="15.5">
      <c r="A335" s="33"/>
      <c r="B335" s="87"/>
      <c r="C335" s="86"/>
      <c r="D335" s="83"/>
      <c r="E335" s="98"/>
      <c r="F335" s="50"/>
      <c r="H335" s="50"/>
      <c r="I335" s="50"/>
      <c r="J335" s="50"/>
    </row>
    <row r="336" spans="1:10" s="22" customFormat="1" ht="15.5" customHeight="1">
      <c r="A336" s="33"/>
      <c r="B336" s="87"/>
      <c r="C336" s="86"/>
      <c r="D336" s="82" t="s">
        <v>14507</v>
      </c>
      <c r="E336" s="97"/>
      <c r="F336" s="49"/>
      <c r="H336" s="49"/>
      <c r="I336" s="49"/>
      <c r="J336" s="49"/>
    </row>
    <row r="337" spans="1:10" s="22" customFormat="1" ht="15.5">
      <c r="A337" s="33"/>
      <c r="B337" s="87"/>
      <c r="C337" s="86"/>
      <c r="D337" s="83"/>
      <c r="E337" s="98"/>
      <c r="F337" s="50"/>
      <c r="H337" s="50"/>
      <c r="I337" s="50"/>
      <c r="J337" s="50"/>
    </row>
    <row r="338" spans="1:10" s="22" customFormat="1" ht="15.5" customHeight="1">
      <c r="A338" s="33"/>
      <c r="B338" s="87"/>
      <c r="C338" s="86"/>
      <c r="D338" s="82" t="s">
        <v>14506</v>
      </c>
      <c r="E338" s="97"/>
      <c r="F338" s="49"/>
      <c r="H338" s="49"/>
      <c r="I338" s="49"/>
      <c r="J338" s="49"/>
    </row>
    <row r="339" spans="1:10" s="22" customFormat="1" ht="15.5">
      <c r="A339" s="33"/>
      <c r="B339" s="87"/>
      <c r="C339" s="86"/>
      <c r="D339" s="83"/>
      <c r="E339" s="98"/>
      <c r="F339" s="50"/>
      <c r="H339" s="50"/>
      <c r="I339" s="50"/>
      <c r="J339" s="50"/>
    </row>
    <row r="340" spans="1:10" s="22" customFormat="1" ht="15.5" customHeight="1">
      <c r="A340" s="33"/>
      <c r="B340" s="87"/>
      <c r="C340" s="86"/>
      <c r="D340" s="82" t="s">
        <v>14505</v>
      </c>
      <c r="E340" s="97"/>
      <c r="F340" s="49"/>
      <c r="H340" s="49"/>
      <c r="I340" s="49"/>
      <c r="J340" s="49"/>
    </row>
    <row r="341" spans="1:10" s="22" customFormat="1" ht="15.5">
      <c r="A341" s="33"/>
      <c r="B341" s="50"/>
      <c r="C341" s="83"/>
      <c r="D341" s="83"/>
      <c r="E341" s="98"/>
      <c r="F341" s="50"/>
      <c r="H341" s="50"/>
      <c r="I341" s="50"/>
      <c r="J341" s="50"/>
    </row>
    <row r="342" spans="1:10" s="22" customFormat="1" ht="15.75" customHeight="1">
      <c r="A342" s="33"/>
      <c r="B342" s="49" t="s">
        <v>14504</v>
      </c>
      <c r="C342" s="82" t="s">
        <v>14503</v>
      </c>
      <c r="D342" s="82" t="s">
        <v>14502</v>
      </c>
      <c r="E342" s="97"/>
      <c r="F342" s="49"/>
      <c r="H342" s="49"/>
      <c r="I342" s="49"/>
      <c r="J342" s="49"/>
    </row>
    <row r="343" spans="1:10" s="22" customFormat="1" ht="15.5">
      <c r="A343" s="33"/>
      <c r="B343" s="87"/>
      <c r="C343" s="86"/>
      <c r="D343" s="83"/>
      <c r="E343" s="98"/>
      <c r="F343" s="50"/>
      <c r="H343" s="50"/>
      <c r="I343" s="50"/>
      <c r="J343" s="50"/>
    </row>
    <row r="344" spans="1:10" s="22" customFormat="1" ht="15.5" customHeight="1">
      <c r="A344" s="33"/>
      <c r="B344" s="87"/>
      <c r="C344" s="86"/>
      <c r="D344" s="82" t="s">
        <v>14502</v>
      </c>
      <c r="E344" s="97"/>
      <c r="F344" s="49"/>
      <c r="H344" s="49"/>
      <c r="I344" s="49"/>
      <c r="J344" s="49"/>
    </row>
    <row r="345" spans="1:10" s="22" customFormat="1" ht="15.5">
      <c r="A345" s="33"/>
      <c r="B345" s="87"/>
      <c r="C345" s="86"/>
      <c r="D345" s="83"/>
      <c r="E345" s="98"/>
      <c r="F345" s="50"/>
      <c r="H345" s="50"/>
      <c r="I345" s="50"/>
      <c r="J345" s="50"/>
    </row>
    <row r="346" spans="1:10" s="22" customFormat="1" ht="15.5" customHeight="1">
      <c r="A346" s="33"/>
      <c r="B346" s="87"/>
      <c r="C346" s="86"/>
      <c r="D346" s="82" t="s">
        <v>14501</v>
      </c>
      <c r="E346" s="97"/>
      <c r="F346" s="49"/>
      <c r="H346" s="49"/>
      <c r="I346" s="49"/>
      <c r="J346" s="49"/>
    </row>
    <row r="347" spans="1:10" s="22" customFormat="1" ht="15.5">
      <c r="A347" s="33"/>
      <c r="B347" s="87"/>
      <c r="C347" s="86"/>
      <c r="D347" s="83"/>
      <c r="E347" s="98"/>
      <c r="F347" s="50"/>
      <c r="H347" s="50"/>
      <c r="I347" s="50"/>
      <c r="J347" s="50"/>
    </row>
    <row r="348" spans="1:10" s="22" customFormat="1" ht="15.5" customHeight="1">
      <c r="A348" s="33"/>
      <c r="B348" s="87"/>
      <c r="C348" s="86"/>
      <c r="D348" s="82" t="s">
        <v>14500</v>
      </c>
      <c r="E348" s="97"/>
      <c r="F348" s="49"/>
      <c r="H348" s="49"/>
      <c r="I348" s="49"/>
      <c r="J348" s="49"/>
    </row>
    <row r="349" spans="1:10" s="22" customFormat="1" ht="15.5">
      <c r="A349" s="33"/>
      <c r="B349" s="87"/>
      <c r="C349" s="86"/>
      <c r="D349" s="83"/>
      <c r="E349" s="98"/>
      <c r="F349" s="50"/>
      <c r="H349" s="50"/>
      <c r="I349" s="50"/>
      <c r="J349" s="50"/>
    </row>
    <row r="350" spans="1:10" s="22" customFormat="1" ht="15.5">
      <c r="A350" s="33"/>
      <c r="B350" s="87"/>
      <c r="C350" s="86"/>
      <c r="D350" s="82" t="s">
        <v>14499</v>
      </c>
      <c r="E350" s="97"/>
      <c r="F350" s="49"/>
      <c r="H350" s="49"/>
      <c r="I350" s="49"/>
      <c r="J350" s="49"/>
    </row>
    <row r="351" spans="1:10" s="22" customFormat="1" ht="15.5">
      <c r="A351" s="33"/>
      <c r="B351" s="87"/>
      <c r="C351" s="83"/>
      <c r="D351" s="83"/>
      <c r="E351" s="98"/>
      <c r="F351" s="50"/>
      <c r="H351" s="50"/>
      <c r="I351" s="50"/>
      <c r="J351" s="50"/>
    </row>
    <row r="352" spans="1:10" s="22" customFormat="1" ht="15.75" customHeight="1">
      <c r="A352" s="33"/>
      <c r="B352" s="87"/>
      <c r="C352" s="82" t="s">
        <v>14498</v>
      </c>
      <c r="D352" s="82" t="s">
        <v>14497</v>
      </c>
      <c r="E352" s="97"/>
      <c r="F352" s="49"/>
      <c r="H352" s="49"/>
      <c r="I352" s="49"/>
      <c r="J352" s="49"/>
    </row>
    <row r="353" spans="1:10" s="22" customFormat="1" ht="15.5">
      <c r="A353" s="33"/>
      <c r="B353" s="87"/>
      <c r="C353" s="86"/>
      <c r="D353" s="83"/>
      <c r="E353" s="98"/>
      <c r="F353" s="50"/>
      <c r="H353" s="50"/>
      <c r="I353" s="50"/>
      <c r="J353" s="50"/>
    </row>
    <row r="354" spans="1:10" s="22" customFormat="1" ht="15.5" customHeight="1">
      <c r="A354" s="33"/>
      <c r="B354" s="87"/>
      <c r="C354" s="86"/>
      <c r="D354" s="82" t="s">
        <v>14496</v>
      </c>
      <c r="E354" s="97"/>
      <c r="F354" s="49"/>
      <c r="H354" s="49"/>
      <c r="I354" s="49"/>
      <c r="J354" s="49"/>
    </row>
    <row r="355" spans="1:10" s="22" customFormat="1" ht="15.5">
      <c r="A355" s="33"/>
      <c r="B355" s="87"/>
      <c r="C355" s="86"/>
      <c r="D355" s="83"/>
      <c r="E355" s="98"/>
      <c r="F355" s="50"/>
      <c r="H355" s="50"/>
      <c r="I355" s="50"/>
      <c r="J355" s="50"/>
    </row>
    <row r="356" spans="1:10" s="22" customFormat="1" ht="15.5" customHeight="1">
      <c r="A356" s="33"/>
      <c r="B356" s="87"/>
      <c r="C356" s="86"/>
      <c r="D356" s="82" t="s">
        <v>14495</v>
      </c>
      <c r="E356" s="97"/>
      <c r="F356" s="49"/>
      <c r="H356" s="49"/>
      <c r="I356" s="49"/>
      <c r="J356" s="49"/>
    </row>
    <row r="357" spans="1:10" s="22" customFormat="1" ht="15.5">
      <c r="A357" s="33"/>
      <c r="B357" s="87"/>
      <c r="C357" s="86"/>
      <c r="D357" s="83"/>
      <c r="E357" s="98"/>
      <c r="F357" s="50"/>
      <c r="H357" s="50"/>
      <c r="I357" s="50"/>
      <c r="J357" s="50"/>
    </row>
    <row r="358" spans="1:10" s="22" customFormat="1" ht="15.5" customHeight="1">
      <c r="A358" s="33"/>
      <c r="B358" s="87"/>
      <c r="C358" s="86"/>
      <c r="D358" s="82" t="s">
        <v>14494</v>
      </c>
      <c r="E358" s="97"/>
      <c r="F358" s="49"/>
      <c r="H358" s="49"/>
      <c r="I358" s="49"/>
      <c r="J358" s="49"/>
    </row>
    <row r="359" spans="1:10" s="22" customFormat="1" ht="15.5">
      <c r="A359" s="33"/>
      <c r="B359" s="87"/>
      <c r="C359" s="86"/>
      <c r="D359" s="83"/>
      <c r="E359" s="98"/>
      <c r="F359" s="50"/>
      <c r="H359" s="50"/>
      <c r="I359" s="50"/>
      <c r="J359" s="50"/>
    </row>
    <row r="360" spans="1:10" s="22" customFormat="1" ht="15.5" customHeight="1">
      <c r="A360" s="33"/>
      <c r="B360" s="87"/>
      <c r="C360" s="86"/>
      <c r="D360" s="82" t="s">
        <v>14493</v>
      </c>
      <c r="E360" s="97"/>
      <c r="F360" s="49"/>
      <c r="H360" s="49"/>
      <c r="I360" s="49"/>
      <c r="J360" s="49"/>
    </row>
    <row r="361" spans="1:10" s="22" customFormat="1" ht="15.5">
      <c r="A361" s="33"/>
      <c r="B361" s="87"/>
      <c r="C361" s="83"/>
      <c r="D361" s="83"/>
      <c r="E361" s="98"/>
      <c r="F361" s="50"/>
      <c r="H361" s="50"/>
      <c r="I361" s="50"/>
      <c r="J361" s="50"/>
    </row>
    <row r="362" spans="1:10" s="22" customFormat="1" ht="15.75" customHeight="1">
      <c r="A362" s="33"/>
      <c r="B362" s="87"/>
      <c r="C362" s="82" t="s">
        <v>14492</v>
      </c>
      <c r="D362" s="82" t="s">
        <v>14491</v>
      </c>
      <c r="E362" s="97"/>
      <c r="F362" s="49"/>
      <c r="H362" s="49"/>
      <c r="I362" s="49"/>
      <c r="J362" s="49"/>
    </row>
    <row r="363" spans="1:10" s="22" customFormat="1" ht="15.5">
      <c r="A363" s="33"/>
      <c r="B363" s="87"/>
      <c r="C363" s="86"/>
      <c r="D363" s="83"/>
      <c r="E363" s="98"/>
      <c r="F363" s="50"/>
      <c r="H363" s="50"/>
      <c r="I363" s="50"/>
      <c r="J363" s="50"/>
    </row>
    <row r="364" spans="1:10" s="22" customFormat="1" ht="15.5" customHeight="1">
      <c r="A364" s="33"/>
      <c r="B364" s="87"/>
      <c r="C364" s="86"/>
      <c r="D364" s="82" t="s">
        <v>14490</v>
      </c>
      <c r="E364" s="97"/>
      <c r="F364" s="49"/>
      <c r="H364" s="49"/>
      <c r="I364" s="49"/>
      <c r="J364" s="49"/>
    </row>
    <row r="365" spans="1:10" s="22" customFormat="1" ht="20.5" customHeight="1">
      <c r="A365" s="33"/>
      <c r="B365" s="87"/>
      <c r="C365" s="86"/>
      <c r="D365" s="83"/>
      <c r="E365" s="98"/>
      <c r="F365" s="50"/>
      <c r="H365" s="50"/>
      <c r="I365" s="50"/>
      <c r="J365" s="50"/>
    </row>
    <row r="366" spans="1:10" s="22" customFormat="1" ht="15.5" hidden="1" customHeight="1">
      <c r="A366" s="33"/>
      <c r="B366" s="87"/>
      <c r="C366" s="86"/>
      <c r="D366" s="42"/>
      <c r="E366" s="43"/>
      <c r="F366" s="25"/>
      <c r="H366" s="25"/>
      <c r="I366" s="25"/>
      <c r="J366" s="25"/>
    </row>
    <row r="367" spans="1:10" s="22" customFormat="1" ht="15.5">
      <c r="A367" s="33"/>
      <c r="B367" s="87"/>
      <c r="C367" s="86"/>
      <c r="D367" s="82" t="s">
        <v>14489</v>
      </c>
      <c r="E367" s="97"/>
      <c r="F367" s="49"/>
      <c r="H367" s="49"/>
      <c r="I367" s="49"/>
      <c r="J367" s="49"/>
    </row>
    <row r="368" spans="1:10" s="22" customFormat="1" ht="15.5">
      <c r="A368" s="33"/>
      <c r="B368" s="87"/>
      <c r="C368" s="86"/>
      <c r="D368" s="83"/>
      <c r="E368" s="98"/>
      <c r="F368" s="50"/>
      <c r="H368" s="50"/>
      <c r="I368" s="50"/>
      <c r="J368" s="50"/>
    </row>
    <row r="369" spans="1:10" s="22" customFormat="1" ht="15.5">
      <c r="A369" s="33"/>
      <c r="B369" s="87"/>
      <c r="C369" s="86"/>
      <c r="D369" s="82" t="s">
        <v>14488</v>
      </c>
      <c r="E369" s="97"/>
      <c r="F369" s="49"/>
      <c r="H369" s="49"/>
      <c r="I369" s="49"/>
      <c r="J369" s="49"/>
    </row>
    <row r="370" spans="1:10" s="22" customFormat="1" ht="15.5">
      <c r="A370" s="33"/>
      <c r="B370" s="87"/>
      <c r="C370" s="86"/>
      <c r="D370" s="83"/>
      <c r="E370" s="98"/>
      <c r="F370" s="50"/>
      <c r="H370" s="50"/>
      <c r="I370" s="50"/>
      <c r="J370" s="50"/>
    </row>
    <row r="371" spans="1:10" s="22" customFormat="1" ht="15.5" customHeight="1">
      <c r="A371" s="33"/>
      <c r="B371" s="87"/>
      <c r="C371" s="86"/>
      <c r="D371" s="82" t="s">
        <v>14487</v>
      </c>
      <c r="E371" s="97"/>
      <c r="F371" s="49"/>
      <c r="H371" s="49"/>
      <c r="I371" s="49"/>
      <c r="J371" s="49"/>
    </row>
    <row r="372" spans="1:10" s="22" customFormat="1" ht="15.5">
      <c r="A372" s="33"/>
      <c r="B372" s="87"/>
      <c r="C372" s="83"/>
      <c r="D372" s="83"/>
      <c r="E372" s="98"/>
      <c r="F372" s="50"/>
      <c r="H372" s="50"/>
      <c r="I372" s="50"/>
      <c r="J372" s="50"/>
    </row>
    <row r="373" spans="1:10" s="22" customFormat="1" ht="15.75" customHeight="1">
      <c r="A373" s="33"/>
      <c r="B373" s="87"/>
      <c r="C373" s="82" t="s">
        <v>14486</v>
      </c>
      <c r="D373" s="82" t="s">
        <v>14485</v>
      </c>
      <c r="E373" s="97"/>
      <c r="F373" s="49"/>
      <c r="H373" s="49"/>
      <c r="I373" s="49"/>
      <c r="J373" s="49"/>
    </row>
    <row r="374" spans="1:10" s="22" customFormat="1" ht="15.5">
      <c r="A374" s="33"/>
      <c r="B374" s="87"/>
      <c r="C374" s="86"/>
      <c r="D374" s="83"/>
      <c r="E374" s="98"/>
      <c r="F374" s="50"/>
      <c r="H374" s="50"/>
      <c r="I374" s="50"/>
      <c r="J374" s="50"/>
    </row>
    <row r="375" spans="1:10" s="22" customFormat="1" ht="15.5">
      <c r="A375" s="33"/>
      <c r="B375" s="87"/>
      <c r="C375" s="86"/>
      <c r="D375" s="82" t="s">
        <v>14484</v>
      </c>
      <c r="E375" s="97"/>
      <c r="F375" s="49"/>
      <c r="H375" s="49"/>
      <c r="I375" s="49"/>
      <c r="J375" s="49"/>
    </row>
    <row r="376" spans="1:10" s="22" customFormat="1" ht="15.5">
      <c r="A376" s="33"/>
      <c r="B376" s="87"/>
      <c r="C376" s="86"/>
      <c r="D376" s="83"/>
      <c r="E376" s="98"/>
      <c r="F376" s="50"/>
      <c r="H376" s="50"/>
      <c r="I376" s="50"/>
      <c r="J376" s="50"/>
    </row>
    <row r="377" spans="1:10" s="22" customFormat="1" ht="15.5" customHeight="1">
      <c r="A377" s="33"/>
      <c r="B377" s="87"/>
      <c r="C377" s="86"/>
      <c r="D377" s="82" t="s">
        <v>14483</v>
      </c>
      <c r="E377" s="97"/>
      <c r="F377" s="49"/>
      <c r="H377" s="49"/>
      <c r="I377" s="49"/>
      <c r="J377" s="49"/>
    </row>
    <row r="378" spans="1:10" s="22" customFormat="1" ht="15.5">
      <c r="A378" s="33"/>
      <c r="B378" s="87"/>
      <c r="C378" s="86"/>
      <c r="D378" s="83"/>
      <c r="E378" s="98"/>
      <c r="F378" s="50"/>
      <c r="H378" s="50"/>
      <c r="I378" s="50"/>
      <c r="J378" s="50"/>
    </row>
    <row r="379" spans="1:10" s="22" customFormat="1" ht="15.5">
      <c r="A379" s="33"/>
      <c r="B379" s="87"/>
      <c r="C379" s="86"/>
      <c r="D379" s="82" t="s">
        <v>14482</v>
      </c>
      <c r="E379" s="97"/>
      <c r="F379" s="49"/>
      <c r="H379" s="49"/>
      <c r="I379" s="49"/>
      <c r="J379" s="49"/>
    </row>
    <row r="380" spans="1:10" s="22" customFormat="1" ht="15.5">
      <c r="A380" s="33"/>
      <c r="B380" s="87"/>
      <c r="C380" s="86"/>
      <c r="D380" s="83"/>
      <c r="E380" s="98"/>
      <c r="F380" s="50"/>
      <c r="H380" s="50"/>
      <c r="I380" s="50"/>
      <c r="J380" s="50"/>
    </row>
    <row r="381" spans="1:10" s="22" customFormat="1" ht="15.5" customHeight="1">
      <c r="A381" s="33"/>
      <c r="B381" s="87"/>
      <c r="C381" s="86"/>
      <c r="D381" s="82" t="s">
        <v>14481</v>
      </c>
      <c r="E381" s="97"/>
      <c r="F381" s="49"/>
      <c r="H381" s="49"/>
      <c r="I381" s="49"/>
      <c r="J381" s="49"/>
    </row>
    <row r="382" spans="1:10" s="22" customFormat="1" ht="15.5">
      <c r="A382" s="33"/>
      <c r="B382" s="87"/>
      <c r="C382" s="83"/>
      <c r="D382" s="83"/>
      <c r="E382" s="98"/>
      <c r="F382" s="50"/>
      <c r="H382" s="50"/>
      <c r="I382" s="50"/>
      <c r="J382" s="50"/>
    </row>
    <row r="383" spans="1:10" s="22" customFormat="1" ht="15.75" customHeight="1">
      <c r="A383" s="33"/>
      <c r="B383" s="87"/>
      <c r="C383" s="82" t="s">
        <v>14480</v>
      </c>
      <c r="D383" s="49" t="s">
        <v>14479</v>
      </c>
      <c r="E383" s="97"/>
      <c r="F383" s="49"/>
      <c r="H383" s="49"/>
      <c r="I383" s="49"/>
      <c r="J383" s="49"/>
    </row>
    <row r="384" spans="1:10" s="22" customFormat="1" ht="15.5">
      <c r="A384" s="33"/>
      <c r="B384" s="87"/>
      <c r="C384" s="86"/>
      <c r="D384" s="50"/>
      <c r="E384" s="98"/>
      <c r="F384" s="50"/>
      <c r="H384" s="50"/>
      <c r="I384" s="50"/>
      <c r="J384" s="50"/>
    </row>
    <row r="385" spans="1:10" s="22" customFormat="1" ht="15.5">
      <c r="A385" s="33"/>
      <c r="B385" s="87"/>
      <c r="C385" s="86"/>
      <c r="D385" s="49" t="s">
        <v>14478</v>
      </c>
      <c r="E385" s="97"/>
      <c r="F385" s="49"/>
      <c r="H385" s="49"/>
      <c r="I385" s="49"/>
      <c r="J385" s="49"/>
    </row>
    <row r="386" spans="1:10" s="22" customFormat="1" ht="15.5">
      <c r="A386" s="33"/>
      <c r="B386" s="87"/>
      <c r="C386" s="86"/>
      <c r="D386" s="50"/>
      <c r="E386" s="98"/>
      <c r="F386" s="50"/>
      <c r="H386" s="50"/>
      <c r="I386" s="50"/>
      <c r="J386" s="50"/>
    </row>
    <row r="387" spans="1:10" s="22" customFormat="1" ht="15.5">
      <c r="A387" s="33"/>
      <c r="B387" s="87"/>
      <c r="C387" s="86"/>
      <c r="D387" s="49" t="s">
        <v>14477</v>
      </c>
      <c r="E387" s="97"/>
      <c r="F387" s="49"/>
      <c r="H387" s="49"/>
      <c r="I387" s="49"/>
      <c r="J387" s="49"/>
    </row>
    <row r="388" spans="1:10" s="22" customFormat="1" ht="15.5">
      <c r="A388" s="33"/>
      <c r="B388" s="87"/>
      <c r="C388" s="86"/>
      <c r="D388" s="50"/>
      <c r="E388" s="98"/>
      <c r="F388" s="50"/>
      <c r="H388" s="50"/>
      <c r="I388" s="50"/>
      <c r="J388" s="50"/>
    </row>
    <row r="389" spans="1:10" s="22" customFormat="1" ht="15.5" customHeight="1">
      <c r="A389" s="33"/>
      <c r="B389" s="87"/>
      <c r="C389" s="86"/>
      <c r="D389" s="82" t="s">
        <v>14476</v>
      </c>
      <c r="E389" s="97"/>
      <c r="F389" s="49"/>
      <c r="H389" s="49"/>
      <c r="I389" s="49"/>
      <c r="J389" s="49"/>
    </row>
    <row r="390" spans="1:10" s="22" customFormat="1" ht="15.5">
      <c r="A390" s="33"/>
      <c r="B390" s="87"/>
      <c r="C390" s="86"/>
      <c r="D390" s="83"/>
      <c r="E390" s="98"/>
      <c r="F390" s="50"/>
      <c r="H390" s="50"/>
      <c r="I390" s="50"/>
      <c r="J390" s="50"/>
    </row>
    <row r="391" spans="1:10" s="22" customFormat="1" ht="15.5" customHeight="1">
      <c r="A391" s="33"/>
      <c r="B391" s="87"/>
      <c r="C391" s="86"/>
      <c r="D391" s="82" t="s">
        <v>14475</v>
      </c>
      <c r="E391" s="84"/>
      <c r="F391" s="49"/>
      <c r="H391" s="49"/>
      <c r="I391" s="49"/>
      <c r="J391" s="49"/>
    </row>
    <row r="392" spans="1:10" s="22" customFormat="1" ht="15.5">
      <c r="A392" s="33"/>
      <c r="B392" s="87"/>
      <c r="C392" s="83"/>
      <c r="D392" s="83"/>
      <c r="E392" s="85"/>
      <c r="F392" s="50"/>
      <c r="H392" s="50"/>
      <c r="I392" s="50"/>
      <c r="J392" s="50"/>
    </row>
    <row r="393" spans="1:10" s="22" customFormat="1" ht="15.75" customHeight="1">
      <c r="A393" s="33"/>
      <c r="B393" s="87"/>
      <c r="C393" s="82" t="s">
        <v>14474</v>
      </c>
      <c r="D393" s="82" t="s">
        <v>14473</v>
      </c>
      <c r="E393" s="84"/>
      <c r="F393" s="49"/>
      <c r="H393" s="49"/>
      <c r="I393" s="49"/>
      <c r="J393" s="49"/>
    </row>
    <row r="394" spans="1:10" s="22" customFormat="1" ht="15.5">
      <c r="A394" s="33"/>
      <c r="B394" s="87"/>
      <c r="C394" s="86"/>
      <c r="D394" s="83"/>
      <c r="E394" s="85"/>
      <c r="F394" s="50"/>
      <c r="H394" s="50"/>
      <c r="I394" s="50"/>
      <c r="J394" s="50"/>
    </row>
    <row r="395" spans="1:10" s="22" customFormat="1" ht="15.5">
      <c r="A395" s="33"/>
      <c r="B395" s="87"/>
      <c r="C395" s="86"/>
      <c r="D395" s="82" t="s">
        <v>14472</v>
      </c>
      <c r="E395" s="84"/>
      <c r="F395" s="49"/>
      <c r="H395" s="49"/>
      <c r="I395" s="49"/>
      <c r="J395" s="49"/>
    </row>
    <row r="396" spans="1:10" s="22" customFormat="1" ht="15.5">
      <c r="A396" s="33"/>
      <c r="B396" s="87"/>
      <c r="C396" s="86"/>
      <c r="D396" s="83"/>
      <c r="E396" s="85"/>
      <c r="F396" s="50"/>
      <c r="H396" s="50"/>
      <c r="I396" s="50"/>
      <c r="J396" s="50"/>
    </row>
    <row r="397" spans="1:10" s="22" customFormat="1" ht="15.5" customHeight="1">
      <c r="A397" s="33"/>
      <c r="B397" s="87"/>
      <c r="C397" s="86"/>
      <c r="D397" s="82" t="s">
        <v>14471</v>
      </c>
      <c r="E397" s="84"/>
      <c r="F397" s="49"/>
      <c r="H397" s="49"/>
      <c r="I397" s="49"/>
      <c r="J397" s="49"/>
    </row>
    <row r="398" spans="1:10" s="22" customFormat="1" ht="15.5">
      <c r="A398" s="33"/>
      <c r="B398" s="87"/>
      <c r="C398" s="86"/>
      <c r="D398" s="83"/>
      <c r="E398" s="85"/>
      <c r="F398" s="50"/>
      <c r="H398" s="50"/>
      <c r="I398" s="50"/>
      <c r="J398" s="50"/>
    </row>
    <row r="399" spans="1:10" s="22" customFormat="1" ht="15.5">
      <c r="A399" s="33"/>
      <c r="B399" s="87"/>
      <c r="C399" s="86"/>
      <c r="D399" s="82" t="s">
        <v>14470</v>
      </c>
      <c r="E399" s="84"/>
      <c r="F399" s="49"/>
      <c r="H399" s="49"/>
      <c r="I399" s="49"/>
      <c r="J399" s="49"/>
    </row>
    <row r="400" spans="1:10" s="22" customFormat="1" ht="15.5">
      <c r="A400" s="33"/>
      <c r="B400" s="87"/>
      <c r="C400" s="86"/>
      <c r="D400" s="83"/>
      <c r="E400" s="85"/>
      <c r="F400" s="50"/>
      <c r="H400" s="50"/>
      <c r="I400" s="50"/>
      <c r="J400" s="50"/>
    </row>
    <row r="401" spans="1:10" s="22" customFormat="1" ht="15.5" customHeight="1">
      <c r="A401" s="33"/>
      <c r="B401" s="87"/>
      <c r="C401" s="86"/>
      <c r="D401" s="82" t="s">
        <v>14469</v>
      </c>
      <c r="E401" s="84"/>
      <c r="F401" s="49"/>
      <c r="H401" s="49"/>
      <c r="I401" s="49"/>
      <c r="J401" s="49"/>
    </row>
    <row r="402" spans="1:10" s="22" customFormat="1" ht="15.5">
      <c r="A402" s="33"/>
      <c r="B402" s="87"/>
      <c r="C402" s="83"/>
      <c r="D402" s="83"/>
      <c r="E402" s="85"/>
      <c r="F402" s="50"/>
      <c r="H402" s="50"/>
      <c r="I402" s="50"/>
      <c r="J402" s="50"/>
    </row>
    <row r="403" spans="1:10" s="22" customFormat="1" ht="15.75" customHeight="1">
      <c r="A403" s="33"/>
      <c r="B403" s="87"/>
      <c r="C403" s="82" t="s">
        <v>14468</v>
      </c>
      <c r="D403" s="82" t="s">
        <v>14467</v>
      </c>
      <c r="E403" s="84"/>
      <c r="F403" s="49"/>
      <c r="H403" s="49"/>
      <c r="I403" s="49"/>
      <c r="J403" s="49"/>
    </row>
    <row r="404" spans="1:10" s="22" customFormat="1" ht="15.5">
      <c r="A404" s="33"/>
      <c r="B404" s="87"/>
      <c r="C404" s="86"/>
      <c r="D404" s="83"/>
      <c r="E404" s="85"/>
      <c r="F404" s="50"/>
      <c r="H404" s="50"/>
      <c r="I404" s="50"/>
      <c r="J404" s="50"/>
    </row>
    <row r="405" spans="1:10" s="22" customFormat="1" ht="15.5" customHeight="1">
      <c r="A405" s="33"/>
      <c r="B405" s="87"/>
      <c r="C405" s="86"/>
      <c r="D405" s="82" t="s">
        <v>14466</v>
      </c>
      <c r="E405" s="84"/>
      <c r="F405" s="49"/>
      <c r="H405" s="49"/>
      <c r="I405" s="49"/>
      <c r="J405" s="49"/>
    </row>
    <row r="406" spans="1:10" s="22" customFormat="1" ht="15.5">
      <c r="A406" s="33"/>
      <c r="B406" s="87"/>
      <c r="C406" s="86"/>
      <c r="D406" s="83"/>
      <c r="E406" s="85"/>
      <c r="F406" s="50"/>
      <c r="H406" s="50"/>
      <c r="I406" s="50"/>
      <c r="J406" s="50"/>
    </row>
    <row r="407" spans="1:10" s="22" customFormat="1" ht="15.5" customHeight="1">
      <c r="A407" s="33"/>
      <c r="B407" s="87"/>
      <c r="C407" s="86"/>
      <c r="D407" s="82" t="s">
        <v>14465</v>
      </c>
      <c r="E407" s="84"/>
      <c r="F407" s="49"/>
      <c r="H407" s="49"/>
      <c r="I407" s="49"/>
      <c r="J407" s="49"/>
    </row>
    <row r="408" spans="1:10" s="22" customFormat="1" ht="15.5">
      <c r="A408" s="33"/>
      <c r="B408" s="87"/>
      <c r="C408" s="86"/>
      <c r="D408" s="83"/>
      <c r="E408" s="85"/>
      <c r="F408" s="50"/>
      <c r="H408" s="50"/>
      <c r="I408" s="50"/>
      <c r="J408" s="50"/>
    </row>
    <row r="409" spans="1:10" s="22" customFormat="1" ht="15.5">
      <c r="A409" s="33"/>
      <c r="B409" s="87"/>
      <c r="C409" s="86"/>
      <c r="D409" s="82" t="s">
        <v>14464</v>
      </c>
      <c r="E409" s="84"/>
      <c r="F409" s="49"/>
      <c r="H409" s="49"/>
      <c r="I409" s="49"/>
      <c r="J409" s="49"/>
    </row>
    <row r="410" spans="1:10" s="22" customFormat="1" ht="15.5">
      <c r="A410" s="33"/>
      <c r="B410" s="87"/>
      <c r="C410" s="86"/>
      <c r="D410" s="83"/>
      <c r="E410" s="85"/>
      <c r="F410" s="50"/>
      <c r="H410" s="50"/>
      <c r="I410" s="50"/>
      <c r="J410" s="50"/>
    </row>
    <row r="411" spans="1:10" s="22" customFormat="1" ht="15.5">
      <c r="A411" s="33"/>
      <c r="B411" s="87"/>
      <c r="C411" s="86"/>
      <c r="D411" s="82" t="s">
        <v>14463</v>
      </c>
      <c r="E411" s="84"/>
      <c r="F411" s="49"/>
      <c r="H411" s="49"/>
      <c r="I411" s="49"/>
      <c r="J411" s="49"/>
    </row>
    <row r="412" spans="1:10" s="22" customFormat="1" ht="15.5">
      <c r="A412" s="33"/>
      <c r="B412" s="87"/>
      <c r="C412" s="83"/>
      <c r="D412" s="83"/>
      <c r="E412" s="85"/>
      <c r="F412" s="50"/>
      <c r="H412" s="50"/>
      <c r="I412" s="50"/>
      <c r="J412" s="50"/>
    </row>
    <row r="413" spans="1:10" s="22" customFormat="1" ht="15.75" customHeight="1">
      <c r="A413" s="33"/>
      <c r="B413" s="87"/>
      <c r="C413" s="82" t="s">
        <v>14462</v>
      </c>
      <c r="D413" s="82" t="s">
        <v>14461</v>
      </c>
      <c r="E413" s="84"/>
      <c r="F413" s="49"/>
      <c r="H413" s="49"/>
      <c r="I413" s="49"/>
      <c r="J413" s="49"/>
    </row>
    <row r="414" spans="1:10" s="22" customFormat="1" ht="15.5">
      <c r="A414" s="33"/>
      <c r="B414" s="87"/>
      <c r="C414" s="86"/>
      <c r="D414" s="83"/>
      <c r="E414" s="85"/>
      <c r="F414" s="50"/>
      <c r="H414" s="50"/>
      <c r="I414" s="50"/>
      <c r="J414" s="50"/>
    </row>
    <row r="415" spans="1:10" s="22" customFormat="1" ht="15.5" customHeight="1">
      <c r="A415" s="33"/>
      <c r="B415" s="87"/>
      <c r="C415" s="86"/>
      <c r="D415" s="82" t="s">
        <v>14460</v>
      </c>
      <c r="E415" s="84"/>
      <c r="F415" s="49"/>
      <c r="H415" s="49"/>
      <c r="I415" s="49"/>
      <c r="J415" s="49"/>
    </row>
    <row r="416" spans="1:10" s="22" customFormat="1" ht="15.5">
      <c r="A416" s="33"/>
      <c r="B416" s="87"/>
      <c r="C416" s="86"/>
      <c r="D416" s="83"/>
      <c r="E416" s="85"/>
      <c r="F416" s="50"/>
      <c r="H416" s="50"/>
      <c r="I416" s="50"/>
      <c r="J416" s="50"/>
    </row>
    <row r="417" spans="1:10" s="22" customFormat="1" ht="15.5">
      <c r="A417" s="33"/>
      <c r="B417" s="87"/>
      <c r="C417" s="86"/>
      <c r="D417" s="82" t="s">
        <v>14459</v>
      </c>
      <c r="E417" s="84"/>
      <c r="F417" s="49"/>
      <c r="H417" s="49"/>
      <c r="I417" s="49"/>
      <c r="J417" s="49"/>
    </row>
    <row r="418" spans="1:10" s="22" customFormat="1" ht="15.5">
      <c r="A418" s="33"/>
      <c r="B418" s="87"/>
      <c r="C418" s="86"/>
      <c r="D418" s="83"/>
      <c r="E418" s="85"/>
      <c r="F418" s="50"/>
      <c r="H418" s="50"/>
      <c r="I418" s="50"/>
      <c r="J418" s="50"/>
    </row>
    <row r="419" spans="1:10" s="22" customFormat="1" ht="15.5" customHeight="1">
      <c r="A419" s="33"/>
      <c r="B419" s="87"/>
      <c r="C419" s="86"/>
      <c r="D419" s="82" t="s">
        <v>14458</v>
      </c>
      <c r="E419" s="84"/>
      <c r="F419" s="49"/>
      <c r="H419" s="49"/>
      <c r="I419" s="49"/>
      <c r="J419" s="49"/>
    </row>
    <row r="420" spans="1:10" s="22" customFormat="1" ht="15.5">
      <c r="A420" s="33"/>
      <c r="B420" s="87"/>
      <c r="C420" s="86"/>
      <c r="D420" s="83"/>
      <c r="E420" s="85"/>
      <c r="F420" s="50"/>
      <c r="H420" s="50"/>
      <c r="I420" s="50"/>
      <c r="J420" s="50"/>
    </row>
    <row r="421" spans="1:10" s="22" customFormat="1" ht="15.5" customHeight="1">
      <c r="A421" s="33"/>
      <c r="B421" s="87"/>
      <c r="C421" s="86"/>
      <c r="D421" s="82" t="s">
        <v>14457</v>
      </c>
      <c r="E421" s="84"/>
      <c r="F421" s="49"/>
      <c r="H421" s="49"/>
      <c r="I421" s="49"/>
      <c r="J421" s="49"/>
    </row>
    <row r="422" spans="1:10" s="22" customFormat="1" ht="15.5">
      <c r="A422" s="33"/>
      <c r="B422" s="87"/>
      <c r="C422" s="83"/>
      <c r="D422" s="83"/>
      <c r="E422" s="85"/>
      <c r="F422" s="50"/>
      <c r="H422" s="50"/>
      <c r="I422" s="50"/>
      <c r="J422" s="50"/>
    </row>
    <row r="423" spans="1:10" s="22" customFormat="1" ht="15.75" customHeight="1">
      <c r="A423" s="33"/>
      <c r="B423" s="87"/>
      <c r="C423" s="82" t="s">
        <v>14456</v>
      </c>
      <c r="D423" s="82" t="s">
        <v>14455</v>
      </c>
      <c r="E423" s="84"/>
      <c r="F423" s="49"/>
      <c r="H423" s="49"/>
      <c r="I423" s="49"/>
      <c r="J423" s="49"/>
    </row>
    <row r="424" spans="1:10" s="22" customFormat="1" ht="15.5">
      <c r="A424" s="33"/>
      <c r="B424" s="87"/>
      <c r="C424" s="86"/>
      <c r="D424" s="83"/>
      <c r="E424" s="85"/>
      <c r="F424" s="50"/>
      <c r="H424" s="50"/>
      <c r="I424" s="50"/>
      <c r="J424" s="50"/>
    </row>
    <row r="425" spans="1:10" s="22" customFormat="1" ht="15.5" customHeight="1">
      <c r="A425" s="33"/>
      <c r="B425" s="87"/>
      <c r="C425" s="86"/>
      <c r="D425" s="82" t="s">
        <v>14454</v>
      </c>
      <c r="E425" s="84"/>
      <c r="F425" s="49"/>
      <c r="H425" s="49"/>
      <c r="I425" s="49"/>
      <c r="J425" s="49"/>
    </row>
    <row r="426" spans="1:10" s="22" customFormat="1" ht="15.5">
      <c r="A426" s="33"/>
      <c r="B426" s="87"/>
      <c r="C426" s="86"/>
      <c r="D426" s="83"/>
      <c r="E426" s="85"/>
      <c r="F426" s="50"/>
      <c r="H426" s="50"/>
      <c r="I426" s="50"/>
      <c r="J426" s="50"/>
    </row>
    <row r="427" spans="1:10" s="22" customFormat="1" ht="15.5">
      <c r="A427" s="33"/>
      <c r="B427" s="87"/>
      <c r="C427" s="86"/>
      <c r="D427" s="82" t="s">
        <v>14453</v>
      </c>
      <c r="E427" s="84"/>
      <c r="F427" s="49"/>
      <c r="H427" s="49"/>
      <c r="I427" s="49"/>
      <c r="J427" s="49"/>
    </row>
    <row r="428" spans="1:10" s="22" customFormat="1" ht="15.5">
      <c r="A428" s="33"/>
      <c r="B428" s="87"/>
      <c r="C428" s="86"/>
      <c r="D428" s="83"/>
      <c r="E428" s="85"/>
      <c r="F428" s="50"/>
      <c r="H428" s="50"/>
      <c r="I428" s="50"/>
      <c r="J428" s="50"/>
    </row>
    <row r="429" spans="1:10" s="22" customFormat="1" ht="15.5" customHeight="1">
      <c r="A429" s="33"/>
      <c r="B429" s="87"/>
      <c r="C429" s="86"/>
      <c r="D429" s="82" t="s">
        <v>14452</v>
      </c>
      <c r="E429" s="84"/>
      <c r="F429" s="49"/>
      <c r="H429" s="49"/>
      <c r="I429" s="49"/>
      <c r="J429" s="49"/>
    </row>
    <row r="430" spans="1:10" s="22" customFormat="1" ht="15.5">
      <c r="A430" s="33"/>
      <c r="B430" s="87"/>
      <c r="C430" s="86"/>
      <c r="D430" s="83"/>
      <c r="E430" s="85"/>
      <c r="F430" s="50"/>
      <c r="H430" s="50"/>
      <c r="I430" s="50"/>
      <c r="J430" s="50"/>
    </row>
    <row r="431" spans="1:10" s="22" customFormat="1" ht="15.5">
      <c r="A431" s="33"/>
      <c r="B431" s="87"/>
      <c r="C431" s="86"/>
      <c r="D431" s="88" t="s">
        <v>14451</v>
      </c>
      <c r="E431" s="84"/>
      <c r="F431" s="49"/>
      <c r="H431" s="49"/>
      <c r="I431" s="49"/>
      <c r="J431" s="49"/>
    </row>
    <row r="432" spans="1:10" s="22" customFormat="1" ht="15.5">
      <c r="A432" s="33"/>
      <c r="B432" s="50"/>
      <c r="C432" s="83"/>
      <c r="D432" s="89"/>
      <c r="E432" s="85"/>
      <c r="F432" s="50"/>
      <c r="H432" s="50"/>
      <c r="I432" s="50"/>
      <c r="J432" s="50"/>
    </row>
    <row r="433" spans="1:10" s="22" customFormat="1" ht="15.75" customHeight="1">
      <c r="A433" s="33"/>
      <c r="B433" s="49" t="s">
        <v>14450</v>
      </c>
      <c r="C433" s="82" t="s">
        <v>14449</v>
      </c>
      <c r="D433" s="82" t="s">
        <v>14448</v>
      </c>
      <c r="E433" s="84"/>
      <c r="F433" s="49"/>
      <c r="H433" s="49"/>
      <c r="I433" s="49"/>
      <c r="J433" s="49"/>
    </row>
    <row r="434" spans="1:10" s="22" customFormat="1" ht="15.5">
      <c r="A434" s="33"/>
      <c r="B434" s="87"/>
      <c r="C434" s="86"/>
      <c r="D434" s="83"/>
      <c r="E434" s="85"/>
      <c r="F434" s="50"/>
      <c r="H434" s="50"/>
      <c r="I434" s="50"/>
      <c r="J434" s="50"/>
    </row>
    <row r="435" spans="1:10" s="22" customFormat="1" ht="15.5">
      <c r="A435" s="33"/>
      <c r="B435" s="87"/>
      <c r="C435" s="86"/>
      <c r="D435" s="49" t="s">
        <v>14447</v>
      </c>
      <c r="E435" s="84"/>
      <c r="F435" s="49"/>
      <c r="H435" s="49"/>
      <c r="I435" s="49"/>
      <c r="J435" s="49"/>
    </row>
    <row r="436" spans="1:10" s="22" customFormat="1" ht="15.5">
      <c r="A436" s="33"/>
      <c r="B436" s="87"/>
      <c r="C436" s="86"/>
      <c r="D436" s="50"/>
      <c r="E436" s="85"/>
      <c r="F436" s="50"/>
      <c r="H436" s="50"/>
      <c r="I436" s="50"/>
      <c r="J436" s="50"/>
    </row>
    <row r="437" spans="1:10" s="22" customFormat="1" ht="15.5" customHeight="1">
      <c r="A437" s="33"/>
      <c r="B437" s="87"/>
      <c r="C437" s="86"/>
      <c r="D437" s="82" t="s">
        <v>14446</v>
      </c>
      <c r="E437" s="84"/>
      <c r="F437" s="49"/>
      <c r="H437" s="49"/>
      <c r="I437" s="49"/>
      <c r="J437" s="49"/>
    </row>
    <row r="438" spans="1:10" s="22" customFormat="1" ht="15.5">
      <c r="A438" s="33"/>
      <c r="B438" s="87"/>
      <c r="C438" s="86"/>
      <c r="D438" s="83"/>
      <c r="E438" s="85"/>
      <c r="F438" s="50"/>
      <c r="H438" s="50"/>
      <c r="I438" s="50"/>
      <c r="J438" s="50"/>
    </row>
    <row r="439" spans="1:10" s="22" customFormat="1" ht="15.5" customHeight="1">
      <c r="A439" s="33"/>
      <c r="B439" s="87"/>
      <c r="C439" s="86"/>
      <c r="D439" s="82" t="s">
        <v>14445</v>
      </c>
      <c r="E439" s="84"/>
      <c r="F439" s="49"/>
      <c r="H439" s="49"/>
      <c r="I439" s="49"/>
      <c r="J439" s="49"/>
    </row>
    <row r="440" spans="1:10" s="22" customFormat="1" ht="15.5">
      <c r="A440" s="33"/>
      <c r="B440" s="87"/>
      <c r="C440" s="86"/>
      <c r="D440" s="83"/>
      <c r="E440" s="85"/>
      <c r="F440" s="50"/>
      <c r="H440" s="50"/>
      <c r="I440" s="50"/>
      <c r="J440" s="50"/>
    </row>
    <row r="441" spans="1:10" s="22" customFormat="1" ht="15.75" customHeight="1">
      <c r="A441" s="33"/>
      <c r="B441" s="87"/>
      <c r="C441" s="86"/>
      <c r="D441" s="82" t="s">
        <v>14444</v>
      </c>
      <c r="E441" s="84"/>
      <c r="F441" s="49"/>
      <c r="H441" s="49"/>
      <c r="I441" s="49"/>
      <c r="J441" s="49"/>
    </row>
    <row r="442" spans="1:10" s="22" customFormat="1" ht="15.5">
      <c r="A442" s="33"/>
      <c r="B442" s="87"/>
      <c r="C442" s="83"/>
      <c r="D442" s="83"/>
      <c r="E442" s="85"/>
      <c r="F442" s="50"/>
      <c r="H442" s="50"/>
      <c r="I442" s="50"/>
      <c r="J442" s="50"/>
    </row>
    <row r="443" spans="1:10" s="22" customFormat="1" ht="15" customHeight="1">
      <c r="A443" s="33"/>
      <c r="B443" s="87"/>
      <c r="C443" s="82" t="s">
        <v>14443</v>
      </c>
      <c r="D443" s="49" t="s">
        <v>14442</v>
      </c>
      <c r="E443" s="84"/>
      <c r="F443" s="49"/>
      <c r="H443" s="49"/>
      <c r="I443" s="49"/>
      <c r="J443" s="49"/>
    </row>
    <row r="444" spans="1:10" s="22" customFormat="1" ht="15" customHeight="1">
      <c r="A444" s="33"/>
      <c r="B444" s="87"/>
      <c r="C444" s="86"/>
      <c r="D444" s="50"/>
      <c r="E444" s="85"/>
      <c r="F444" s="50"/>
      <c r="H444" s="50"/>
      <c r="I444" s="50"/>
      <c r="J444" s="50"/>
    </row>
    <row r="445" spans="1:10" s="22" customFormat="1" ht="15.5" customHeight="1">
      <c r="A445" s="33"/>
      <c r="B445" s="87"/>
      <c r="C445" s="86"/>
      <c r="D445" s="82" t="s">
        <v>14441</v>
      </c>
      <c r="E445" s="84"/>
      <c r="F445" s="49"/>
      <c r="H445" s="49"/>
      <c r="I445" s="49"/>
      <c r="J445" s="49"/>
    </row>
    <row r="446" spans="1:10" s="22" customFormat="1" ht="15.5">
      <c r="A446" s="33"/>
      <c r="B446" s="87"/>
      <c r="C446" s="86"/>
      <c r="D446" s="83"/>
      <c r="E446" s="85"/>
      <c r="F446" s="50"/>
      <c r="H446" s="50"/>
      <c r="I446" s="50"/>
      <c r="J446" s="50"/>
    </row>
    <row r="447" spans="1:10" s="22" customFormat="1" ht="15.5" customHeight="1">
      <c r="A447" s="33"/>
      <c r="B447" s="87"/>
      <c r="C447" s="86"/>
      <c r="D447" s="82" t="s">
        <v>14440</v>
      </c>
      <c r="E447" s="84"/>
      <c r="F447" s="49"/>
      <c r="H447" s="49"/>
      <c r="I447" s="49"/>
      <c r="J447" s="49"/>
    </row>
    <row r="448" spans="1:10" s="22" customFormat="1" ht="15.5">
      <c r="A448" s="33"/>
      <c r="B448" s="87"/>
      <c r="C448" s="86"/>
      <c r="D448" s="83"/>
      <c r="E448" s="85"/>
      <c r="F448" s="50"/>
      <c r="H448" s="50"/>
      <c r="I448" s="50"/>
      <c r="J448" s="50"/>
    </row>
    <row r="449" spans="1:10" s="22" customFormat="1" ht="15.5">
      <c r="A449" s="33"/>
      <c r="B449" s="87"/>
      <c r="C449" s="86"/>
      <c r="D449" s="82" t="s">
        <v>14439</v>
      </c>
      <c r="E449" s="84"/>
      <c r="F449" s="49"/>
      <c r="H449" s="49"/>
      <c r="I449" s="49"/>
      <c r="J449" s="49"/>
    </row>
    <row r="450" spans="1:10" s="22" customFormat="1" ht="15.5">
      <c r="A450" s="33"/>
      <c r="B450" s="87"/>
      <c r="C450" s="86"/>
      <c r="D450" s="83"/>
      <c r="E450" s="85"/>
      <c r="F450" s="50"/>
      <c r="H450" s="50"/>
      <c r="I450" s="50"/>
      <c r="J450" s="50"/>
    </row>
    <row r="451" spans="1:10" s="22" customFormat="1" ht="15.5">
      <c r="A451" s="33"/>
      <c r="B451" s="87"/>
      <c r="C451" s="86"/>
      <c r="D451" s="49" t="s">
        <v>14438</v>
      </c>
      <c r="E451" s="84"/>
      <c r="F451" s="49"/>
      <c r="H451" s="49"/>
      <c r="I451" s="49"/>
      <c r="J451" s="49"/>
    </row>
    <row r="452" spans="1:10" s="22" customFormat="1" ht="15.5">
      <c r="A452" s="33"/>
      <c r="B452" s="87"/>
      <c r="C452" s="83"/>
      <c r="D452" s="50"/>
      <c r="E452" s="85"/>
      <c r="F452" s="50"/>
      <c r="H452" s="50"/>
      <c r="I452" s="50"/>
      <c r="J452" s="50"/>
    </row>
    <row r="453" spans="1:10" s="22" customFormat="1" ht="15.75" customHeight="1">
      <c r="A453" s="33"/>
      <c r="B453" s="87"/>
      <c r="C453" s="82" t="s">
        <v>14437</v>
      </c>
      <c r="D453" s="82" t="s">
        <v>14436</v>
      </c>
      <c r="E453" s="84"/>
      <c r="F453" s="49"/>
      <c r="H453" s="49"/>
      <c r="I453" s="49"/>
      <c r="J453" s="49"/>
    </row>
    <row r="454" spans="1:10" s="22" customFormat="1" ht="15.5">
      <c r="A454" s="33"/>
      <c r="B454" s="87"/>
      <c r="C454" s="86"/>
      <c r="D454" s="83"/>
      <c r="E454" s="85"/>
      <c r="F454" s="50"/>
      <c r="H454" s="50"/>
      <c r="I454" s="50"/>
      <c r="J454" s="50"/>
    </row>
    <row r="455" spans="1:10" s="22" customFormat="1" ht="15.5">
      <c r="A455" s="33"/>
      <c r="B455" s="87"/>
      <c r="C455" s="86"/>
      <c r="D455" s="82" t="s">
        <v>14435</v>
      </c>
      <c r="E455" s="84"/>
      <c r="F455" s="49"/>
      <c r="H455" s="49"/>
      <c r="I455" s="49"/>
      <c r="J455" s="49"/>
    </row>
    <row r="456" spans="1:10" s="22" customFormat="1" ht="15.5">
      <c r="A456" s="33"/>
      <c r="B456" s="87"/>
      <c r="C456" s="86"/>
      <c r="D456" s="83"/>
      <c r="E456" s="85"/>
      <c r="F456" s="50"/>
      <c r="H456" s="50"/>
      <c r="I456" s="50"/>
      <c r="J456" s="50"/>
    </row>
    <row r="457" spans="1:10" s="22" customFormat="1" ht="15.5" customHeight="1">
      <c r="A457" s="33"/>
      <c r="B457" s="87"/>
      <c r="C457" s="86"/>
      <c r="D457" s="82" t="s">
        <v>14434</v>
      </c>
      <c r="E457" s="84"/>
      <c r="F457" s="49"/>
      <c r="H457" s="49"/>
      <c r="I457" s="49"/>
      <c r="J457" s="49"/>
    </row>
    <row r="458" spans="1:10" s="22" customFormat="1" ht="15.5">
      <c r="A458" s="33"/>
      <c r="B458" s="87"/>
      <c r="C458" s="86"/>
      <c r="D458" s="83"/>
      <c r="E458" s="85"/>
      <c r="F458" s="50"/>
      <c r="H458" s="50"/>
      <c r="I458" s="50"/>
      <c r="J458" s="50"/>
    </row>
    <row r="459" spans="1:10" s="22" customFormat="1" ht="15.5">
      <c r="A459" s="33"/>
      <c r="B459" s="87"/>
      <c r="C459" s="86"/>
      <c r="D459" s="49" t="s">
        <v>14433</v>
      </c>
      <c r="E459" s="84"/>
      <c r="F459" s="49"/>
      <c r="H459" s="49"/>
      <c r="I459" s="49"/>
      <c r="J459" s="49"/>
    </row>
    <row r="460" spans="1:10" s="22" customFormat="1" ht="15.5">
      <c r="A460" s="33"/>
      <c r="B460" s="87"/>
      <c r="C460" s="86"/>
      <c r="D460" s="50"/>
      <c r="E460" s="85"/>
      <c r="F460" s="50"/>
      <c r="H460" s="50"/>
      <c r="I460" s="50"/>
      <c r="J460" s="50"/>
    </row>
    <row r="461" spans="1:10" s="22" customFormat="1" ht="15.5">
      <c r="A461" s="33"/>
      <c r="B461" s="87"/>
      <c r="C461" s="86"/>
      <c r="D461" s="49" t="s">
        <v>14432</v>
      </c>
      <c r="E461" s="84"/>
      <c r="F461" s="49"/>
      <c r="H461" s="49"/>
      <c r="I461" s="49"/>
      <c r="J461" s="49"/>
    </row>
    <row r="462" spans="1:10" s="22" customFormat="1" ht="15.5">
      <c r="A462" s="33"/>
      <c r="B462" s="87"/>
      <c r="C462" s="83"/>
      <c r="D462" s="50"/>
      <c r="E462" s="85"/>
      <c r="F462" s="50"/>
      <c r="H462" s="50"/>
      <c r="I462" s="50"/>
      <c r="J462" s="50"/>
    </row>
    <row r="463" spans="1:10" s="22" customFormat="1" ht="15.75" customHeight="1">
      <c r="A463" s="33"/>
      <c r="B463" s="87"/>
      <c r="C463" s="82" t="s">
        <v>14431</v>
      </c>
      <c r="D463" s="82" t="s">
        <v>14430</v>
      </c>
      <c r="E463" s="84"/>
      <c r="F463" s="49"/>
      <c r="H463" s="49"/>
      <c r="I463" s="49"/>
      <c r="J463" s="49"/>
    </row>
    <row r="464" spans="1:10" s="22" customFormat="1" ht="15.5">
      <c r="A464" s="33"/>
      <c r="B464" s="87"/>
      <c r="C464" s="86"/>
      <c r="D464" s="83"/>
      <c r="E464" s="85"/>
      <c r="F464" s="50"/>
      <c r="H464" s="50"/>
      <c r="I464" s="50"/>
      <c r="J464" s="50"/>
    </row>
    <row r="465" spans="1:10" s="22" customFormat="1" ht="15.5">
      <c r="A465" s="33"/>
      <c r="B465" s="87"/>
      <c r="C465" s="86"/>
      <c r="D465" s="49" t="s">
        <v>14429</v>
      </c>
      <c r="E465" s="84"/>
      <c r="F465" s="49"/>
      <c r="H465" s="49"/>
      <c r="I465" s="49"/>
      <c r="J465" s="49"/>
    </row>
    <row r="466" spans="1:10" s="22" customFormat="1" ht="15.5">
      <c r="A466" s="33"/>
      <c r="B466" s="87"/>
      <c r="C466" s="86"/>
      <c r="D466" s="50"/>
      <c r="E466" s="85"/>
      <c r="F466" s="50"/>
      <c r="H466" s="50"/>
      <c r="I466" s="50"/>
      <c r="J466" s="50"/>
    </row>
    <row r="467" spans="1:10" s="22" customFormat="1" ht="15.5" customHeight="1">
      <c r="A467" s="33"/>
      <c r="B467" s="87"/>
      <c r="C467" s="86"/>
      <c r="D467" s="82" t="s">
        <v>14428</v>
      </c>
      <c r="E467" s="84"/>
      <c r="F467" s="49"/>
      <c r="H467" s="49"/>
      <c r="I467" s="49"/>
      <c r="J467" s="49"/>
    </row>
    <row r="468" spans="1:10" s="22" customFormat="1" ht="15.5">
      <c r="A468" s="33"/>
      <c r="B468" s="87"/>
      <c r="C468" s="86"/>
      <c r="D468" s="83"/>
      <c r="E468" s="85"/>
      <c r="F468" s="50"/>
      <c r="H468" s="50"/>
      <c r="I468" s="50"/>
      <c r="J468" s="50"/>
    </row>
    <row r="469" spans="1:10" s="22" customFormat="1" ht="15.5" customHeight="1">
      <c r="A469" s="33"/>
      <c r="B469" s="87"/>
      <c r="C469" s="86"/>
      <c r="D469" s="82" t="s">
        <v>14427</v>
      </c>
      <c r="E469" s="84"/>
      <c r="F469" s="49"/>
      <c r="H469" s="49"/>
      <c r="I469" s="49"/>
      <c r="J469" s="49"/>
    </row>
    <row r="470" spans="1:10" s="22" customFormat="1" ht="15.5">
      <c r="A470" s="33"/>
      <c r="B470" s="87"/>
      <c r="C470" s="86"/>
      <c r="D470" s="83"/>
      <c r="E470" s="85"/>
      <c r="F470" s="50"/>
      <c r="H470" s="50"/>
      <c r="I470" s="50"/>
      <c r="J470" s="50"/>
    </row>
    <row r="471" spans="1:10" s="22" customFormat="1" ht="15.5">
      <c r="A471" s="33"/>
      <c r="B471" s="87"/>
      <c r="C471" s="86"/>
      <c r="D471" s="82" t="s">
        <v>14426</v>
      </c>
      <c r="E471" s="84"/>
      <c r="F471" s="49"/>
      <c r="H471" s="49"/>
      <c r="I471" s="49"/>
      <c r="J471" s="49"/>
    </row>
    <row r="472" spans="1:10" s="22" customFormat="1" ht="15.5">
      <c r="A472" s="33"/>
      <c r="B472" s="87"/>
      <c r="C472" s="83"/>
      <c r="D472" s="83"/>
      <c r="E472" s="85"/>
      <c r="F472" s="50"/>
      <c r="H472" s="50"/>
      <c r="I472" s="50"/>
      <c r="J472" s="50"/>
    </row>
    <row r="473" spans="1:10" s="22" customFormat="1" ht="15.75" customHeight="1">
      <c r="A473" s="33"/>
      <c r="B473" s="87"/>
      <c r="C473" s="82" t="s">
        <v>14425</v>
      </c>
      <c r="D473" s="49" t="s">
        <v>14424</v>
      </c>
      <c r="E473" s="84"/>
      <c r="F473" s="49"/>
      <c r="H473" s="49"/>
      <c r="I473" s="49"/>
      <c r="J473" s="49"/>
    </row>
    <row r="474" spans="1:10" s="22" customFormat="1" ht="15.5">
      <c r="A474" s="33"/>
      <c r="B474" s="87"/>
      <c r="C474" s="86"/>
      <c r="D474" s="50"/>
      <c r="E474" s="85"/>
      <c r="F474" s="50"/>
      <c r="H474" s="50"/>
      <c r="I474" s="50"/>
      <c r="J474" s="50"/>
    </row>
    <row r="475" spans="1:10" s="22" customFormat="1" ht="15.5">
      <c r="A475" s="33"/>
      <c r="B475" s="87"/>
      <c r="C475" s="86"/>
      <c r="D475" s="49" t="s">
        <v>14423</v>
      </c>
      <c r="E475" s="84"/>
      <c r="F475" s="49"/>
      <c r="H475" s="49"/>
      <c r="I475" s="49"/>
      <c r="J475" s="49"/>
    </row>
    <row r="476" spans="1:10" s="22" customFormat="1" ht="15.5">
      <c r="A476" s="33"/>
      <c r="B476" s="87"/>
      <c r="C476" s="86"/>
      <c r="D476" s="50"/>
      <c r="E476" s="85"/>
      <c r="F476" s="50"/>
      <c r="H476" s="50"/>
      <c r="I476" s="50"/>
      <c r="J476" s="50"/>
    </row>
    <row r="477" spans="1:10" s="22" customFormat="1" ht="15.5">
      <c r="A477" s="33"/>
      <c r="B477" s="87"/>
      <c r="C477" s="86"/>
      <c r="D477" s="82" t="s">
        <v>14422</v>
      </c>
      <c r="E477" s="84"/>
      <c r="F477" s="49"/>
      <c r="H477" s="49"/>
      <c r="I477" s="49"/>
      <c r="J477" s="49"/>
    </row>
    <row r="478" spans="1:10" s="22" customFormat="1" ht="15.5">
      <c r="A478" s="33"/>
      <c r="B478" s="87"/>
      <c r="C478" s="86"/>
      <c r="D478" s="83"/>
      <c r="E478" s="85"/>
      <c r="F478" s="50"/>
      <c r="H478" s="50"/>
      <c r="I478" s="50"/>
      <c r="J478" s="50"/>
    </row>
    <row r="479" spans="1:10" s="22" customFormat="1" ht="15.5" customHeight="1">
      <c r="A479" s="33"/>
      <c r="B479" s="87"/>
      <c r="C479" s="86"/>
      <c r="D479" s="82" t="s">
        <v>14421</v>
      </c>
      <c r="E479" s="84"/>
      <c r="F479" s="49"/>
      <c r="H479" s="49"/>
      <c r="I479" s="49"/>
      <c r="J479" s="49"/>
    </row>
    <row r="480" spans="1:10" s="22" customFormat="1" ht="15.5">
      <c r="A480" s="33"/>
      <c r="B480" s="87"/>
      <c r="C480" s="86"/>
      <c r="D480" s="83"/>
      <c r="E480" s="85"/>
      <c r="F480" s="50"/>
      <c r="H480" s="50"/>
      <c r="I480" s="50"/>
      <c r="J480" s="50"/>
    </row>
    <row r="481" spans="1:10" s="22" customFormat="1" ht="15.5" customHeight="1">
      <c r="A481" s="33"/>
      <c r="B481" s="87"/>
      <c r="C481" s="86"/>
      <c r="D481" s="82" t="s">
        <v>14420</v>
      </c>
      <c r="E481" s="84"/>
      <c r="F481" s="49"/>
      <c r="H481" s="49"/>
      <c r="I481" s="49"/>
      <c r="J481" s="49"/>
    </row>
    <row r="482" spans="1:10" s="22" customFormat="1" ht="15.5">
      <c r="A482" s="33"/>
      <c r="B482" s="87"/>
      <c r="C482" s="83"/>
      <c r="D482" s="83"/>
      <c r="E482" s="85"/>
      <c r="F482" s="50"/>
      <c r="H482" s="50"/>
      <c r="I482" s="50"/>
      <c r="J482" s="50"/>
    </row>
    <row r="483" spans="1:10" s="22" customFormat="1" ht="15.75" customHeight="1">
      <c r="A483" s="33"/>
      <c r="B483" s="87"/>
      <c r="C483" s="82" t="s">
        <v>14419</v>
      </c>
      <c r="D483" s="82" t="s">
        <v>14418</v>
      </c>
      <c r="E483" s="84"/>
      <c r="F483" s="49"/>
      <c r="H483" s="49"/>
      <c r="I483" s="49"/>
      <c r="J483" s="49"/>
    </row>
    <row r="484" spans="1:10" s="22" customFormat="1" ht="15.5">
      <c r="A484" s="33"/>
      <c r="B484" s="87"/>
      <c r="C484" s="86"/>
      <c r="D484" s="83"/>
      <c r="E484" s="85"/>
      <c r="F484" s="50"/>
      <c r="H484" s="50"/>
      <c r="I484" s="50"/>
      <c r="J484" s="50"/>
    </row>
    <row r="485" spans="1:10" s="22" customFormat="1" ht="15.5">
      <c r="A485" s="33"/>
      <c r="B485" s="87"/>
      <c r="C485" s="86"/>
      <c r="D485" s="82" t="s">
        <v>14417</v>
      </c>
      <c r="E485" s="84"/>
      <c r="F485" s="49"/>
      <c r="H485" s="49"/>
      <c r="I485" s="49"/>
      <c r="J485" s="49"/>
    </row>
    <row r="486" spans="1:10" s="22" customFormat="1" ht="15.5">
      <c r="A486" s="33"/>
      <c r="B486" s="87"/>
      <c r="C486" s="86"/>
      <c r="D486" s="83"/>
      <c r="E486" s="85"/>
      <c r="F486" s="50"/>
      <c r="H486" s="50"/>
      <c r="I486" s="50"/>
      <c r="J486" s="50"/>
    </row>
    <row r="487" spans="1:10" s="22" customFormat="1" ht="15.5" customHeight="1">
      <c r="A487" s="33"/>
      <c r="B487" s="87"/>
      <c r="C487" s="86"/>
      <c r="D487" s="82" t="s">
        <v>14416</v>
      </c>
      <c r="E487" s="84"/>
      <c r="F487" s="49"/>
      <c r="H487" s="49"/>
      <c r="I487" s="49"/>
      <c r="J487" s="49"/>
    </row>
    <row r="488" spans="1:10" s="22" customFormat="1" ht="15.5">
      <c r="A488" s="33"/>
      <c r="B488" s="87"/>
      <c r="C488" s="86"/>
      <c r="D488" s="83"/>
      <c r="E488" s="85"/>
      <c r="F488" s="50"/>
      <c r="H488" s="50"/>
      <c r="I488" s="50"/>
      <c r="J488" s="50"/>
    </row>
    <row r="489" spans="1:10" s="22" customFormat="1" ht="15.5">
      <c r="A489" s="33"/>
      <c r="B489" s="87"/>
      <c r="C489" s="86"/>
      <c r="D489" s="82" t="s">
        <v>14415</v>
      </c>
      <c r="E489" s="84"/>
      <c r="F489" s="49"/>
      <c r="H489" s="49"/>
      <c r="I489" s="49"/>
      <c r="J489" s="49"/>
    </row>
    <row r="490" spans="1:10" s="22" customFormat="1" ht="15.5">
      <c r="A490" s="33"/>
      <c r="B490" s="87"/>
      <c r="C490" s="86"/>
      <c r="D490" s="83"/>
      <c r="E490" s="85"/>
      <c r="F490" s="50"/>
      <c r="H490" s="50"/>
      <c r="I490" s="50"/>
      <c r="J490" s="50"/>
    </row>
    <row r="491" spans="1:10" s="22" customFormat="1" ht="15.5" customHeight="1">
      <c r="A491" s="33"/>
      <c r="B491" s="87"/>
      <c r="C491" s="86"/>
      <c r="D491" s="82" t="s">
        <v>14414</v>
      </c>
      <c r="E491" s="84"/>
      <c r="F491" s="49"/>
      <c r="H491" s="49"/>
      <c r="I491" s="49"/>
      <c r="J491" s="49"/>
    </row>
    <row r="492" spans="1:10" s="22" customFormat="1" ht="15.5">
      <c r="A492" s="33"/>
      <c r="B492" s="87"/>
      <c r="C492" s="83"/>
      <c r="D492" s="83"/>
      <c r="E492" s="85"/>
      <c r="F492" s="50"/>
      <c r="H492" s="50"/>
      <c r="I492" s="50"/>
      <c r="J492" s="50"/>
    </row>
    <row r="493" spans="1:10" s="22" customFormat="1" ht="15.75" customHeight="1">
      <c r="A493" s="33"/>
      <c r="B493" s="87"/>
      <c r="C493" s="82" t="s">
        <v>14413</v>
      </c>
      <c r="D493" s="88" t="s">
        <v>14412</v>
      </c>
      <c r="E493" s="84"/>
      <c r="F493" s="49"/>
      <c r="H493" s="49"/>
      <c r="I493" s="49"/>
      <c r="J493" s="49"/>
    </row>
    <row r="494" spans="1:10" s="22" customFormat="1" ht="15.5">
      <c r="A494" s="33"/>
      <c r="B494" s="87"/>
      <c r="C494" s="86"/>
      <c r="D494" s="89"/>
      <c r="E494" s="85"/>
      <c r="F494" s="50"/>
      <c r="H494" s="50"/>
      <c r="I494" s="50"/>
      <c r="J494" s="50"/>
    </row>
    <row r="495" spans="1:10" s="22" customFormat="1" ht="15.5">
      <c r="A495" s="33"/>
      <c r="B495" s="87"/>
      <c r="C495" s="86"/>
      <c r="D495" s="88" t="s">
        <v>14411</v>
      </c>
      <c r="E495" s="84"/>
      <c r="F495" s="49"/>
      <c r="H495" s="49"/>
      <c r="I495" s="49"/>
      <c r="J495" s="49"/>
    </row>
    <row r="496" spans="1:10" s="22" customFormat="1" ht="15.5">
      <c r="A496" s="33"/>
      <c r="B496" s="87"/>
      <c r="C496" s="86"/>
      <c r="D496" s="89"/>
      <c r="E496" s="85"/>
      <c r="F496" s="50"/>
      <c r="H496" s="50"/>
      <c r="I496" s="50"/>
      <c r="J496" s="50"/>
    </row>
    <row r="497" spans="1:10" s="22" customFormat="1" ht="15.5">
      <c r="A497" s="33"/>
      <c r="B497" s="87"/>
      <c r="C497" s="86"/>
      <c r="D497" s="49" t="s">
        <v>14410</v>
      </c>
      <c r="E497" s="84"/>
      <c r="F497" s="49"/>
      <c r="H497" s="49"/>
      <c r="I497" s="49"/>
      <c r="J497" s="49"/>
    </row>
    <row r="498" spans="1:10" s="44" customFormat="1" ht="15.5">
      <c r="A498" s="33"/>
      <c r="B498" s="87"/>
      <c r="C498" s="86"/>
      <c r="D498" s="50"/>
      <c r="E498" s="85"/>
      <c r="F498" s="50"/>
      <c r="H498" s="50"/>
      <c r="I498" s="50"/>
      <c r="J498" s="50"/>
    </row>
    <row r="499" spans="1:10" s="44" customFormat="1" ht="15.5" customHeight="1">
      <c r="A499" s="33"/>
      <c r="B499" s="87"/>
      <c r="C499" s="86"/>
      <c r="D499" s="88" t="s">
        <v>14409</v>
      </c>
      <c r="E499" s="84"/>
      <c r="F499" s="49"/>
      <c r="H499" s="49"/>
      <c r="I499" s="49"/>
      <c r="J499" s="49"/>
    </row>
    <row r="500" spans="1:10" s="44" customFormat="1" ht="15.5">
      <c r="A500" s="33"/>
      <c r="B500" s="87"/>
      <c r="C500" s="86"/>
      <c r="D500" s="89"/>
      <c r="E500" s="85"/>
      <c r="F500" s="50"/>
      <c r="H500" s="50"/>
      <c r="I500" s="50"/>
      <c r="J500" s="50"/>
    </row>
    <row r="501" spans="1:10" s="44" customFormat="1" ht="15.5" customHeight="1">
      <c r="A501" s="33"/>
      <c r="B501" s="87"/>
      <c r="C501" s="86"/>
      <c r="D501" s="88" t="s">
        <v>14408</v>
      </c>
      <c r="E501" s="84"/>
      <c r="F501" s="49"/>
      <c r="H501" s="49"/>
      <c r="I501" s="49"/>
      <c r="J501" s="49"/>
    </row>
    <row r="502" spans="1:10" s="44" customFormat="1" ht="15.5">
      <c r="A502" s="35"/>
      <c r="B502" s="87"/>
      <c r="C502" s="83"/>
      <c r="D502" s="89"/>
      <c r="E502" s="85"/>
      <c r="F502" s="50"/>
      <c r="H502" s="50"/>
      <c r="I502" s="50"/>
      <c r="J502" s="50"/>
    </row>
    <row r="503" spans="1:10" s="44" customFormat="1" ht="15.75" customHeight="1">
      <c r="A503" s="33"/>
      <c r="B503" s="87"/>
      <c r="C503" s="82" t="s">
        <v>14407</v>
      </c>
      <c r="D503" s="49" t="s">
        <v>14406</v>
      </c>
      <c r="E503" s="84"/>
      <c r="F503" s="49"/>
      <c r="H503" s="49"/>
      <c r="I503" s="49"/>
      <c r="J503" s="49"/>
    </row>
    <row r="504" spans="1:10" s="44" customFormat="1" ht="15.5">
      <c r="A504" s="33"/>
      <c r="B504" s="87"/>
      <c r="C504" s="86"/>
      <c r="D504" s="50"/>
      <c r="E504" s="85"/>
      <c r="F504" s="50"/>
      <c r="H504" s="50"/>
      <c r="I504" s="50"/>
      <c r="J504" s="50"/>
    </row>
    <row r="505" spans="1:10" s="44" customFormat="1" ht="15.5">
      <c r="A505" s="33"/>
      <c r="B505" s="87"/>
      <c r="C505" s="86"/>
      <c r="D505" s="82" t="s">
        <v>14405</v>
      </c>
      <c r="E505" s="84"/>
      <c r="F505" s="55"/>
      <c r="H505" s="49"/>
      <c r="I505" s="49"/>
      <c r="J505" s="49"/>
    </row>
    <row r="506" spans="1:10" s="44" customFormat="1" ht="15.5">
      <c r="A506" s="33"/>
      <c r="B506" s="87"/>
      <c r="C506" s="86"/>
      <c r="D506" s="83"/>
      <c r="E506" s="85"/>
      <c r="F506" s="56"/>
      <c r="H506" s="50"/>
      <c r="I506" s="50"/>
      <c r="J506" s="50"/>
    </row>
    <row r="507" spans="1:10" s="44" customFormat="1" ht="15.5">
      <c r="A507" s="33"/>
      <c r="B507" s="87"/>
      <c r="C507" s="86"/>
      <c r="D507" s="82" t="s">
        <v>14404</v>
      </c>
      <c r="E507" s="84"/>
      <c r="F507" s="49"/>
      <c r="H507" s="49"/>
      <c r="I507" s="49"/>
      <c r="J507" s="49"/>
    </row>
    <row r="508" spans="1:10" s="44" customFormat="1" ht="15.5">
      <c r="A508" s="33"/>
      <c r="B508" s="87"/>
      <c r="C508" s="86"/>
      <c r="D508" s="83"/>
      <c r="E508" s="85"/>
      <c r="F508" s="50"/>
      <c r="H508" s="50"/>
      <c r="I508" s="50"/>
      <c r="J508" s="50"/>
    </row>
    <row r="509" spans="1:10" s="44" customFormat="1" ht="15.5">
      <c r="A509" s="33"/>
      <c r="B509" s="87"/>
      <c r="C509" s="86"/>
      <c r="D509" s="88" t="s">
        <v>14403</v>
      </c>
      <c r="E509" s="84"/>
      <c r="F509" s="49"/>
      <c r="H509" s="55"/>
      <c r="I509" s="55"/>
      <c r="J509" s="55"/>
    </row>
    <row r="510" spans="1:10" s="44" customFormat="1" ht="15.5">
      <c r="A510" s="33"/>
      <c r="B510" s="87"/>
      <c r="C510" s="86"/>
      <c r="D510" s="89"/>
      <c r="E510" s="85"/>
      <c r="F510" s="50"/>
      <c r="H510" s="56"/>
      <c r="I510" s="56"/>
      <c r="J510" s="56"/>
    </row>
    <row r="511" spans="1:10" s="44" customFormat="1" ht="15.5">
      <c r="A511" s="33"/>
      <c r="B511" s="87"/>
      <c r="C511" s="86"/>
      <c r="D511" s="88" t="s">
        <v>14402</v>
      </c>
      <c r="E511" s="84"/>
      <c r="F511" s="49"/>
      <c r="H511" s="49"/>
      <c r="I511" s="49"/>
      <c r="J511" s="49"/>
    </row>
    <row r="512" spans="1:10" s="44" customFormat="1" ht="15.5">
      <c r="A512" s="33"/>
      <c r="B512" s="50"/>
      <c r="C512" s="83"/>
      <c r="D512" s="89"/>
      <c r="E512" s="85"/>
      <c r="F512" s="50"/>
      <c r="H512" s="50"/>
      <c r="I512" s="50"/>
      <c r="J512" s="50"/>
    </row>
    <row r="513" spans="1:10" s="44" customFormat="1" ht="15.5">
      <c r="A513" s="33"/>
      <c r="B513" s="82" t="s">
        <v>14401</v>
      </c>
      <c r="C513" s="82" t="s">
        <v>14400</v>
      </c>
      <c r="D513" s="49" t="s">
        <v>14399</v>
      </c>
      <c r="E513" s="84"/>
      <c r="F513" s="49"/>
      <c r="H513" s="49"/>
      <c r="I513" s="49"/>
      <c r="J513" s="49"/>
    </row>
    <row r="514" spans="1:10" s="44" customFormat="1" ht="15.5">
      <c r="A514" s="33"/>
      <c r="B514" s="86"/>
      <c r="C514" s="86"/>
      <c r="D514" s="50"/>
      <c r="E514" s="85"/>
      <c r="F514" s="50"/>
      <c r="H514" s="50"/>
      <c r="I514" s="50"/>
      <c r="J514" s="50"/>
    </row>
    <row r="515" spans="1:10" s="44" customFormat="1" ht="15.5">
      <c r="A515" s="33"/>
      <c r="B515" s="86"/>
      <c r="C515" s="86"/>
      <c r="D515" s="49" t="s">
        <v>14398</v>
      </c>
      <c r="E515" s="84"/>
      <c r="F515" s="49"/>
      <c r="H515" s="49"/>
      <c r="I515" s="49"/>
      <c r="J515" s="49"/>
    </row>
    <row r="516" spans="1:10" s="44" customFormat="1" ht="15.5">
      <c r="A516" s="33"/>
      <c r="B516" s="86"/>
      <c r="C516" s="86"/>
      <c r="D516" s="50"/>
      <c r="E516" s="85"/>
      <c r="F516" s="50"/>
      <c r="H516" s="50"/>
      <c r="I516" s="50"/>
      <c r="J516" s="50"/>
    </row>
    <row r="517" spans="1:10" s="44" customFormat="1" ht="15.5">
      <c r="A517" s="33"/>
      <c r="B517" s="86"/>
      <c r="C517" s="86"/>
      <c r="D517" s="49" t="s">
        <v>14397</v>
      </c>
      <c r="E517" s="84"/>
      <c r="F517" s="49"/>
      <c r="H517" s="49"/>
      <c r="I517" s="49"/>
      <c r="J517" s="49"/>
    </row>
    <row r="518" spans="1:10" s="44" customFormat="1" ht="15.5">
      <c r="A518" s="33"/>
      <c r="B518" s="86"/>
      <c r="C518" s="86"/>
      <c r="D518" s="50"/>
      <c r="E518" s="85"/>
      <c r="F518" s="50"/>
      <c r="H518" s="50"/>
      <c r="I518" s="50"/>
      <c r="J518" s="50"/>
    </row>
    <row r="519" spans="1:10" s="44" customFormat="1" ht="15.5">
      <c r="A519" s="33"/>
      <c r="B519" s="86"/>
      <c r="C519" s="86"/>
      <c r="D519" s="82" t="s">
        <v>14396</v>
      </c>
      <c r="E519" s="84"/>
      <c r="F519" s="49"/>
      <c r="H519" s="49"/>
      <c r="I519" s="49"/>
      <c r="J519" s="49"/>
    </row>
    <row r="520" spans="1:10" s="44" customFormat="1" ht="15.5">
      <c r="A520" s="33"/>
      <c r="B520" s="86"/>
      <c r="C520" s="86"/>
      <c r="D520" s="83"/>
      <c r="E520" s="85"/>
      <c r="F520" s="50"/>
      <c r="H520" s="50"/>
      <c r="I520" s="50"/>
      <c r="J520" s="50"/>
    </row>
    <row r="521" spans="1:10" s="44" customFormat="1" ht="15.5">
      <c r="A521" s="33"/>
      <c r="B521" s="86"/>
      <c r="C521" s="86"/>
      <c r="D521" s="82" t="s">
        <v>14395</v>
      </c>
      <c r="E521" s="84"/>
      <c r="F521" s="55"/>
      <c r="H521" s="49"/>
      <c r="I521" s="49"/>
      <c r="J521" s="49"/>
    </row>
    <row r="522" spans="1:10" s="44" customFormat="1" ht="15.5">
      <c r="A522" s="33"/>
      <c r="B522" s="86"/>
      <c r="C522" s="83"/>
      <c r="D522" s="83"/>
      <c r="E522" s="85"/>
      <c r="F522" s="56"/>
      <c r="H522" s="50"/>
      <c r="I522" s="50"/>
      <c r="J522" s="50"/>
    </row>
    <row r="523" spans="1:10" s="44" customFormat="1" ht="15.5" customHeight="1">
      <c r="A523" s="33"/>
      <c r="B523" s="86"/>
      <c r="C523" s="90" t="s">
        <v>14394</v>
      </c>
      <c r="D523" s="82" t="s">
        <v>14393</v>
      </c>
      <c r="E523" s="84"/>
      <c r="F523" s="55"/>
      <c r="H523" s="49"/>
      <c r="I523" s="49"/>
      <c r="J523" s="49"/>
    </row>
    <row r="524" spans="1:10" s="44" customFormat="1" ht="15.5">
      <c r="A524" s="33"/>
      <c r="B524" s="86"/>
      <c r="C524" s="91"/>
      <c r="D524" s="83"/>
      <c r="E524" s="85"/>
      <c r="F524" s="56"/>
      <c r="H524" s="50"/>
      <c r="I524" s="50"/>
      <c r="J524" s="50"/>
    </row>
    <row r="525" spans="1:10" s="44" customFormat="1" ht="15.5">
      <c r="A525" s="33"/>
      <c r="B525" s="86"/>
      <c r="C525" s="91"/>
      <c r="D525" s="88" t="s">
        <v>14392</v>
      </c>
      <c r="E525" s="84"/>
      <c r="F525" s="55"/>
      <c r="H525" s="55"/>
      <c r="I525" s="55"/>
      <c r="J525" s="55"/>
    </row>
    <row r="526" spans="1:10" s="44" customFormat="1" ht="15.5">
      <c r="A526" s="33"/>
      <c r="B526" s="86"/>
      <c r="C526" s="91"/>
      <c r="D526" s="89"/>
      <c r="E526" s="85"/>
      <c r="F526" s="56"/>
      <c r="H526" s="56"/>
      <c r="I526" s="56"/>
      <c r="J526" s="56"/>
    </row>
    <row r="527" spans="1:10" s="44" customFormat="1" ht="15.5">
      <c r="A527" s="33"/>
      <c r="B527" s="86"/>
      <c r="C527" s="91"/>
      <c r="D527" s="49" t="s">
        <v>14391</v>
      </c>
      <c r="E527" s="84"/>
      <c r="F527" s="55"/>
      <c r="H527" s="55"/>
      <c r="I527" s="55"/>
      <c r="J527" s="55"/>
    </row>
    <row r="528" spans="1:10" s="44" customFormat="1" ht="15.5">
      <c r="A528" s="33"/>
      <c r="B528" s="86"/>
      <c r="C528" s="91"/>
      <c r="D528" s="50"/>
      <c r="E528" s="85"/>
      <c r="F528" s="56"/>
      <c r="H528" s="56"/>
      <c r="I528" s="56"/>
      <c r="J528" s="56"/>
    </row>
    <row r="529" spans="1:10" s="44" customFormat="1" ht="15.5">
      <c r="A529" s="33"/>
      <c r="B529" s="86"/>
      <c r="C529" s="91"/>
      <c r="D529" s="49" t="s">
        <v>14390</v>
      </c>
      <c r="E529" s="93"/>
      <c r="F529" s="55"/>
      <c r="H529" s="55"/>
      <c r="I529" s="55"/>
      <c r="J529" s="55"/>
    </row>
    <row r="530" spans="1:10" s="44" customFormat="1" ht="15.5">
      <c r="A530" s="33"/>
      <c r="B530" s="86"/>
      <c r="C530" s="91"/>
      <c r="D530" s="50"/>
      <c r="E530" s="94"/>
      <c r="F530" s="56"/>
      <c r="H530" s="56"/>
      <c r="I530" s="56"/>
      <c r="J530" s="56"/>
    </row>
    <row r="531" spans="1:10" s="44" customFormat="1" ht="15.5">
      <c r="A531" s="33"/>
      <c r="B531" s="86"/>
      <c r="C531" s="91"/>
      <c r="D531" s="82" t="s">
        <v>14389</v>
      </c>
      <c r="E531" s="93"/>
      <c r="F531" s="55"/>
      <c r="H531" s="55"/>
      <c r="I531" s="55"/>
      <c r="J531" s="55"/>
    </row>
    <row r="532" spans="1:10" s="44" customFormat="1" ht="15.5">
      <c r="A532" s="33"/>
      <c r="B532" s="86"/>
      <c r="C532" s="92"/>
      <c r="D532" s="83"/>
      <c r="E532" s="94"/>
      <c r="F532" s="56"/>
      <c r="H532" s="56"/>
      <c r="I532" s="56"/>
      <c r="J532" s="56"/>
    </row>
    <row r="533" spans="1:10" s="44" customFormat="1" ht="15.75" customHeight="1">
      <c r="A533" s="33"/>
      <c r="B533" s="86"/>
      <c r="C533" s="82" t="s">
        <v>14388</v>
      </c>
      <c r="D533" s="88" t="s">
        <v>14387</v>
      </c>
      <c r="E533" s="93"/>
      <c r="F533" s="55"/>
      <c r="H533" s="55"/>
      <c r="I533" s="55"/>
      <c r="J533" s="55"/>
    </row>
    <row r="534" spans="1:10" s="44" customFormat="1" ht="15.5">
      <c r="A534" s="33"/>
      <c r="B534" s="86"/>
      <c r="C534" s="86"/>
      <c r="D534" s="89"/>
      <c r="E534" s="94"/>
      <c r="F534" s="56"/>
      <c r="H534" s="56"/>
      <c r="I534" s="56"/>
      <c r="J534" s="56"/>
    </row>
    <row r="535" spans="1:10" s="44" customFormat="1" ht="15.5">
      <c r="A535" s="33"/>
      <c r="B535" s="86"/>
      <c r="C535" s="86"/>
      <c r="D535" s="49" t="s">
        <v>14386</v>
      </c>
      <c r="E535" s="93"/>
      <c r="F535" s="55"/>
      <c r="H535" s="55"/>
      <c r="I535" s="55"/>
      <c r="J535" s="55"/>
    </row>
    <row r="536" spans="1:10" s="44" customFormat="1" ht="15.5">
      <c r="A536" s="33"/>
      <c r="B536" s="86"/>
      <c r="C536" s="86"/>
      <c r="D536" s="50"/>
      <c r="E536" s="94"/>
      <c r="F536" s="56"/>
      <c r="H536" s="56"/>
      <c r="I536" s="56"/>
      <c r="J536" s="56"/>
    </row>
    <row r="537" spans="1:10" s="44" customFormat="1" ht="15.5">
      <c r="A537" s="33"/>
      <c r="B537" s="86"/>
      <c r="C537" s="86"/>
      <c r="D537" s="49" t="s">
        <v>14385</v>
      </c>
      <c r="E537" s="93"/>
      <c r="F537" s="55"/>
      <c r="H537" s="55"/>
      <c r="I537" s="55"/>
      <c r="J537" s="55"/>
    </row>
    <row r="538" spans="1:10" s="44" customFormat="1" ht="15.5">
      <c r="A538" s="33"/>
      <c r="B538" s="86"/>
      <c r="C538" s="86"/>
      <c r="D538" s="50"/>
      <c r="E538" s="94"/>
      <c r="F538" s="56"/>
      <c r="H538" s="56"/>
      <c r="I538" s="56"/>
      <c r="J538" s="56"/>
    </row>
    <row r="539" spans="1:10" s="44" customFormat="1" ht="15.5">
      <c r="A539" s="33"/>
      <c r="B539" s="86"/>
      <c r="C539" s="86"/>
      <c r="D539" s="49" t="s">
        <v>14384</v>
      </c>
      <c r="E539" s="93"/>
      <c r="F539" s="55"/>
      <c r="H539" s="55"/>
      <c r="I539" s="55"/>
      <c r="J539" s="55"/>
    </row>
    <row r="540" spans="1:10" s="44" customFormat="1" ht="15.5">
      <c r="A540" s="33"/>
      <c r="B540" s="86"/>
      <c r="C540" s="86"/>
      <c r="D540" s="50"/>
      <c r="E540" s="94"/>
      <c r="F540" s="56"/>
      <c r="H540" s="56"/>
      <c r="I540" s="56"/>
      <c r="J540" s="56"/>
    </row>
    <row r="541" spans="1:10" s="44" customFormat="1" ht="15.5">
      <c r="A541" s="33"/>
      <c r="B541" s="86"/>
      <c r="C541" s="86"/>
      <c r="D541" s="88" t="s">
        <v>14383</v>
      </c>
      <c r="E541" s="93"/>
      <c r="F541" s="55"/>
      <c r="H541" s="55"/>
      <c r="I541" s="55"/>
      <c r="J541" s="55"/>
    </row>
    <row r="542" spans="1:10" s="44" customFormat="1" ht="15.5">
      <c r="A542" s="33"/>
      <c r="B542" s="86"/>
      <c r="C542" s="83"/>
      <c r="D542" s="89"/>
      <c r="E542" s="94"/>
      <c r="F542" s="56"/>
      <c r="H542" s="56"/>
      <c r="I542" s="56"/>
      <c r="J542" s="56"/>
    </row>
    <row r="543" spans="1:10" s="44" customFormat="1" ht="15.75" customHeight="1">
      <c r="A543" s="33"/>
      <c r="B543" s="86"/>
      <c r="C543" s="82" t="s">
        <v>14382</v>
      </c>
      <c r="D543" s="49" t="s">
        <v>14381</v>
      </c>
      <c r="E543" s="93"/>
      <c r="F543" s="55"/>
      <c r="H543" s="55"/>
      <c r="I543" s="55"/>
      <c r="J543" s="55"/>
    </row>
    <row r="544" spans="1:10" s="44" customFormat="1" ht="15.5">
      <c r="A544" s="33"/>
      <c r="B544" s="86"/>
      <c r="C544" s="86"/>
      <c r="D544" s="50"/>
      <c r="E544" s="94"/>
      <c r="F544" s="56"/>
      <c r="H544" s="56"/>
      <c r="I544" s="56"/>
      <c r="J544" s="56"/>
    </row>
    <row r="545" spans="1:10" s="44" customFormat="1" ht="15.5">
      <c r="A545" s="33"/>
      <c r="B545" s="86"/>
      <c r="C545" s="86"/>
      <c r="D545" s="88" t="s">
        <v>14380</v>
      </c>
      <c r="E545" s="93"/>
      <c r="F545" s="55"/>
      <c r="H545" s="55"/>
      <c r="I545" s="55"/>
      <c r="J545" s="55"/>
    </row>
    <row r="546" spans="1:10" s="44" customFormat="1" ht="15.5">
      <c r="A546" s="33"/>
      <c r="B546" s="86"/>
      <c r="C546" s="86"/>
      <c r="D546" s="89"/>
      <c r="E546" s="94"/>
      <c r="F546" s="56"/>
      <c r="H546" s="56"/>
      <c r="I546" s="56"/>
      <c r="J546" s="56"/>
    </row>
    <row r="547" spans="1:10" s="44" customFormat="1" ht="15.5">
      <c r="A547" s="33"/>
      <c r="B547" s="86"/>
      <c r="C547" s="86"/>
      <c r="D547" s="82" t="s">
        <v>14379</v>
      </c>
      <c r="E547" s="93"/>
      <c r="F547" s="55"/>
      <c r="H547" s="55"/>
      <c r="I547" s="55"/>
      <c r="J547" s="55"/>
    </row>
    <row r="548" spans="1:10" s="44" customFormat="1" ht="15.5">
      <c r="A548" s="33"/>
      <c r="B548" s="86"/>
      <c r="C548" s="86"/>
      <c r="D548" s="83"/>
      <c r="E548" s="94"/>
      <c r="F548" s="56"/>
      <c r="H548" s="56"/>
      <c r="I548" s="56"/>
      <c r="J548" s="56"/>
    </row>
    <row r="549" spans="1:10" s="44" customFormat="1" ht="15.5">
      <c r="A549" s="33"/>
      <c r="B549" s="86"/>
      <c r="C549" s="86"/>
      <c r="D549" s="88" t="s">
        <v>14378</v>
      </c>
      <c r="E549" s="93"/>
      <c r="F549" s="55"/>
      <c r="H549" s="55"/>
      <c r="I549" s="55"/>
      <c r="J549" s="55"/>
    </row>
    <row r="550" spans="1:10" s="44" customFormat="1" ht="15.5">
      <c r="A550" s="33"/>
      <c r="B550" s="86"/>
      <c r="C550" s="86"/>
      <c r="D550" s="89"/>
      <c r="E550" s="94"/>
      <c r="F550" s="56"/>
      <c r="H550" s="56"/>
      <c r="I550" s="56"/>
      <c r="J550" s="56"/>
    </row>
    <row r="551" spans="1:10" s="44" customFormat="1" ht="15.5">
      <c r="A551" s="33"/>
      <c r="B551" s="86"/>
      <c r="C551" s="86"/>
      <c r="D551" s="88" t="s">
        <v>14377</v>
      </c>
      <c r="E551" s="93"/>
      <c r="F551" s="55"/>
      <c r="H551" s="55"/>
      <c r="I551" s="55"/>
      <c r="J551" s="55"/>
    </row>
    <row r="552" spans="1:10" s="44" customFormat="1" ht="15.5">
      <c r="A552" s="33"/>
      <c r="B552" s="86"/>
      <c r="C552" s="83"/>
      <c r="D552" s="89"/>
      <c r="E552" s="94"/>
      <c r="F552" s="56"/>
      <c r="H552" s="56"/>
      <c r="I552" s="56"/>
      <c r="J552" s="56"/>
    </row>
    <row r="553" spans="1:10" s="44" customFormat="1" ht="15.5" customHeight="1">
      <c r="A553" s="33"/>
      <c r="B553" s="86"/>
      <c r="C553" s="90" t="s">
        <v>14376</v>
      </c>
      <c r="D553" s="49" t="s">
        <v>14375</v>
      </c>
      <c r="E553" s="93"/>
      <c r="F553" s="55"/>
      <c r="H553" s="55"/>
      <c r="I553" s="55"/>
      <c r="J553" s="55"/>
    </row>
    <row r="554" spans="1:10" s="44" customFormat="1" ht="15.5">
      <c r="A554" s="33"/>
      <c r="B554" s="86"/>
      <c r="C554" s="91"/>
      <c r="D554" s="50"/>
      <c r="E554" s="94"/>
      <c r="F554" s="56"/>
      <c r="H554" s="56"/>
      <c r="I554" s="56"/>
      <c r="J554" s="56"/>
    </row>
    <row r="555" spans="1:10" s="44" customFormat="1" ht="15.5">
      <c r="A555" s="33"/>
      <c r="B555" s="86"/>
      <c r="C555" s="91"/>
      <c r="D555" s="88" t="s">
        <v>14374</v>
      </c>
      <c r="E555" s="93"/>
      <c r="F555" s="55"/>
      <c r="H555" s="55"/>
      <c r="I555" s="55"/>
      <c r="J555" s="55"/>
    </row>
    <row r="556" spans="1:10" s="44" customFormat="1" ht="15.5">
      <c r="A556" s="33"/>
      <c r="B556" s="86"/>
      <c r="C556" s="91"/>
      <c r="D556" s="89"/>
      <c r="E556" s="94"/>
      <c r="F556" s="56"/>
      <c r="H556" s="56"/>
      <c r="I556" s="56"/>
      <c r="J556" s="56"/>
    </row>
    <row r="557" spans="1:10" s="44" customFormat="1" ht="15.5">
      <c r="A557" s="33"/>
      <c r="B557" s="86"/>
      <c r="C557" s="91"/>
      <c r="D557" s="82" t="s">
        <v>14373</v>
      </c>
      <c r="E557" s="93"/>
      <c r="F557" s="55"/>
      <c r="H557" s="55"/>
      <c r="I557" s="55"/>
      <c r="J557" s="55"/>
    </row>
    <row r="558" spans="1:10" s="44" customFormat="1" ht="15.5">
      <c r="A558" s="33"/>
      <c r="B558" s="86"/>
      <c r="C558" s="91"/>
      <c r="D558" s="83"/>
      <c r="E558" s="94"/>
      <c r="F558" s="56"/>
      <c r="H558" s="56"/>
      <c r="I558" s="56"/>
      <c r="J558" s="56"/>
    </row>
    <row r="559" spans="1:10" s="44" customFormat="1" ht="15.5">
      <c r="A559" s="33"/>
      <c r="B559" s="86"/>
      <c r="C559" s="91"/>
      <c r="D559" s="88" t="s">
        <v>14372</v>
      </c>
      <c r="E559" s="93"/>
      <c r="F559" s="55"/>
      <c r="H559" s="55"/>
      <c r="I559" s="55"/>
      <c r="J559" s="55"/>
    </row>
    <row r="560" spans="1:10" s="44" customFormat="1" ht="15.5">
      <c r="A560" s="33"/>
      <c r="B560" s="86"/>
      <c r="C560" s="91"/>
      <c r="D560" s="89"/>
      <c r="E560" s="94"/>
      <c r="F560" s="56"/>
      <c r="H560" s="56"/>
      <c r="I560" s="56"/>
      <c r="J560" s="56"/>
    </row>
    <row r="561" spans="1:10" s="44" customFormat="1" ht="15.5">
      <c r="A561" s="33"/>
      <c r="B561" s="86"/>
      <c r="C561" s="91"/>
      <c r="D561" s="88" t="s">
        <v>14371</v>
      </c>
      <c r="E561" s="93"/>
      <c r="F561" s="55"/>
      <c r="H561" s="55"/>
      <c r="I561" s="55"/>
      <c r="J561" s="55"/>
    </row>
    <row r="562" spans="1:10" s="44" customFormat="1" ht="15.5">
      <c r="A562" s="33"/>
      <c r="B562" s="86"/>
      <c r="C562" s="92"/>
      <c r="D562" s="89"/>
      <c r="E562" s="94"/>
      <c r="F562" s="56"/>
      <c r="H562" s="56"/>
      <c r="I562" s="56"/>
      <c r="J562" s="56"/>
    </row>
    <row r="563" spans="1:10" s="44" customFormat="1" ht="15.5" customHeight="1">
      <c r="A563" s="33"/>
      <c r="B563" s="86"/>
      <c r="C563" s="90" t="s">
        <v>14370</v>
      </c>
      <c r="D563" s="82" t="s">
        <v>14369</v>
      </c>
      <c r="E563" s="93"/>
      <c r="F563" s="55"/>
      <c r="H563" s="55"/>
      <c r="I563" s="55"/>
      <c r="J563" s="55"/>
    </row>
    <row r="564" spans="1:10" s="44" customFormat="1" ht="15.5">
      <c r="A564" s="33"/>
      <c r="B564" s="86"/>
      <c r="C564" s="91"/>
      <c r="D564" s="83"/>
      <c r="E564" s="94"/>
      <c r="F564" s="56"/>
      <c r="H564" s="56"/>
      <c r="I564" s="56"/>
      <c r="J564" s="56"/>
    </row>
    <row r="565" spans="1:10" s="44" customFormat="1" ht="15.5">
      <c r="A565" s="33"/>
      <c r="B565" s="86"/>
      <c r="C565" s="91"/>
      <c r="D565" s="49" t="s">
        <v>14368</v>
      </c>
      <c r="E565" s="93"/>
      <c r="F565" s="55"/>
      <c r="H565" s="55"/>
      <c r="I565" s="55"/>
      <c r="J565" s="55"/>
    </row>
    <row r="566" spans="1:10" s="44" customFormat="1" ht="15.5">
      <c r="A566" s="33"/>
      <c r="B566" s="86"/>
      <c r="C566" s="91"/>
      <c r="D566" s="50"/>
      <c r="E566" s="94"/>
      <c r="F566" s="56"/>
      <c r="H566" s="56"/>
      <c r="I566" s="56"/>
      <c r="J566" s="56"/>
    </row>
    <row r="567" spans="1:10" s="44" customFormat="1" ht="15.5">
      <c r="A567" s="33"/>
      <c r="B567" s="86"/>
      <c r="C567" s="91"/>
      <c r="D567" s="49" t="s">
        <v>14367</v>
      </c>
      <c r="E567" s="93"/>
      <c r="F567" s="55"/>
      <c r="H567" s="55"/>
      <c r="I567" s="55"/>
      <c r="J567" s="55"/>
    </row>
    <row r="568" spans="1:10" s="44" customFormat="1" ht="15.5">
      <c r="A568" s="33"/>
      <c r="B568" s="86"/>
      <c r="C568" s="91"/>
      <c r="D568" s="50"/>
      <c r="E568" s="94"/>
      <c r="F568" s="56"/>
      <c r="H568" s="56"/>
      <c r="I568" s="56"/>
      <c r="J568" s="56"/>
    </row>
    <row r="569" spans="1:10" s="44" customFormat="1" ht="15.5">
      <c r="A569" s="33"/>
      <c r="B569" s="86"/>
      <c r="C569" s="91"/>
      <c r="D569" s="88" t="s">
        <v>14366</v>
      </c>
      <c r="E569" s="93"/>
      <c r="F569" s="55"/>
      <c r="H569" s="55"/>
      <c r="I569" s="55"/>
      <c r="J569" s="55"/>
    </row>
    <row r="570" spans="1:10" s="44" customFormat="1" ht="15.5">
      <c r="A570" s="33"/>
      <c r="B570" s="86"/>
      <c r="C570" s="91"/>
      <c r="D570" s="89"/>
      <c r="E570" s="94"/>
      <c r="F570" s="56"/>
      <c r="H570" s="56"/>
      <c r="I570" s="56"/>
      <c r="J570" s="56"/>
    </row>
    <row r="571" spans="1:10" s="44" customFormat="1" ht="15.5">
      <c r="A571" s="33"/>
      <c r="B571" s="86"/>
      <c r="C571" s="91"/>
      <c r="D571" s="49" t="s">
        <v>14365</v>
      </c>
      <c r="E571" s="93"/>
      <c r="F571" s="55"/>
      <c r="H571" s="55"/>
      <c r="I571" s="55"/>
      <c r="J571" s="55"/>
    </row>
    <row r="572" spans="1:10" s="44" customFormat="1" ht="15.5">
      <c r="A572" s="33"/>
      <c r="B572" s="86"/>
      <c r="C572" s="92"/>
      <c r="D572" s="50"/>
      <c r="E572" s="94"/>
      <c r="F572" s="56"/>
      <c r="H572" s="56"/>
      <c r="I572" s="56"/>
      <c r="J572" s="56"/>
    </row>
    <row r="573" spans="1:10" s="44" customFormat="1" ht="15.5" customHeight="1">
      <c r="A573" s="33"/>
      <c r="B573" s="86"/>
      <c r="C573" s="90" t="s">
        <v>14364</v>
      </c>
      <c r="D573" s="88" t="s">
        <v>14363</v>
      </c>
      <c r="E573" s="93"/>
      <c r="F573" s="55"/>
      <c r="H573" s="55"/>
      <c r="I573" s="55"/>
      <c r="J573" s="55"/>
    </row>
    <row r="574" spans="1:10" s="44" customFormat="1" ht="15.5">
      <c r="A574" s="33"/>
      <c r="B574" s="86"/>
      <c r="C574" s="91"/>
      <c r="D574" s="89"/>
      <c r="E574" s="94"/>
      <c r="F574" s="56"/>
      <c r="H574" s="56"/>
      <c r="I574" s="56"/>
      <c r="J574" s="56"/>
    </row>
    <row r="575" spans="1:10" s="44" customFormat="1" ht="15.5">
      <c r="A575" s="33"/>
      <c r="B575" s="86"/>
      <c r="C575" s="91"/>
      <c r="D575" s="88" t="s">
        <v>14362</v>
      </c>
      <c r="E575" s="93"/>
      <c r="F575" s="55"/>
      <c r="H575" s="55"/>
      <c r="I575" s="55"/>
      <c r="J575" s="55"/>
    </row>
    <row r="576" spans="1:10" s="44" customFormat="1" ht="15.5">
      <c r="A576" s="33"/>
      <c r="B576" s="86"/>
      <c r="C576" s="91"/>
      <c r="D576" s="89"/>
      <c r="E576" s="94"/>
      <c r="F576" s="56"/>
      <c r="H576" s="56"/>
      <c r="I576" s="56"/>
      <c r="J576" s="56"/>
    </row>
    <row r="577" spans="1:10" s="44" customFormat="1" ht="15.5">
      <c r="A577" s="33"/>
      <c r="B577" s="86"/>
      <c r="C577" s="91"/>
      <c r="D577" s="49" t="s">
        <v>14361</v>
      </c>
      <c r="E577" s="93"/>
      <c r="F577" s="55"/>
      <c r="H577" s="55"/>
      <c r="I577" s="55"/>
      <c r="J577" s="55"/>
    </row>
    <row r="578" spans="1:10" s="44" customFormat="1" ht="15.5">
      <c r="A578" s="33"/>
      <c r="B578" s="86"/>
      <c r="C578" s="91"/>
      <c r="D578" s="50"/>
      <c r="E578" s="94"/>
      <c r="F578" s="56"/>
      <c r="H578" s="56"/>
      <c r="I578" s="56"/>
      <c r="J578" s="56"/>
    </row>
    <row r="579" spans="1:10" s="44" customFormat="1" ht="15.5">
      <c r="A579" s="33"/>
      <c r="B579" s="86"/>
      <c r="C579" s="91"/>
      <c r="D579" s="49" t="s">
        <v>14360</v>
      </c>
      <c r="E579" s="93"/>
      <c r="F579" s="55"/>
      <c r="H579" s="55"/>
      <c r="I579" s="55"/>
      <c r="J579" s="55"/>
    </row>
    <row r="580" spans="1:10" s="44" customFormat="1" ht="15.5">
      <c r="A580" s="33"/>
      <c r="B580" s="86"/>
      <c r="C580" s="91"/>
      <c r="D580" s="50"/>
      <c r="E580" s="94"/>
      <c r="F580" s="56"/>
      <c r="H580" s="56"/>
      <c r="I580" s="56"/>
      <c r="J580" s="56"/>
    </row>
    <row r="581" spans="1:10" s="44" customFormat="1" ht="15.5">
      <c r="A581" s="33"/>
      <c r="B581" s="86"/>
      <c r="C581" s="91"/>
      <c r="D581" s="88" t="s">
        <v>14359</v>
      </c>
      <c r="E581" s="93"/>
      <c r="F581" s="55"/>
      <c r="H581" s="55"/>
      <c r="I581" s="55"/>
      <c r="J581" s="55"/>
    </row>
    <row r="582" spans="1:10" s="44" customFormat="1" ht="15.5">
      <c r="A582" s="33"/>
      <c r="B582" s="86"/>
      <c r="C582" s="92"/>
      <c r="D582" s="89"/>
      <c r="E582" s="94"/>
      <c r="F582" s="56"/>
      <c r="H582" s="56"/>
      <c r="I582" s="56"/>
      <c r="J582" s="56"/>
    </row>
    <row r="583" spans="1:10" s="44" customFormat="1" ht="15.5" customHeight="1">
      <c r="A583" s="33"/>
      <c r="B583" s="86"/>
      <c r="C583" s="90" t="s">
        <v>14358</v>
      </c>
      <c r="D583" s="49" t="s">
        <v>14357</v>
      </c>
      <c r="E583" s="93"/>
      <c r="F583" s="55"/>
      <c r="H583" s="55"/>
      <c r="I583" s="55"/>
      <c r="J583" s="55"/>
    </row>
    <row r="584" spans="1:10" s="44" customFormat="1" ht="15.5">
      <c r="A584" s="33"/>
      <c r="B584" s="86"/>
      <c r="C584" s="91"/>
      <c r="D584" s="50"/>
      <c r="E584" s="94"/>
      <c r="F584" s="56"/>
      <c r="H584" s="56"/>
      <c r="I584" s="56"/>
      <c r="J584" s="56"/>
    </row>
    <row r="585" spans="1:10" s="44" customFormat="1" ht="15.5">
      <c r="A585" s="33"/>
      <c r="B585" s="86"/>
      <c r="C585" s="91"/>
      <c r="D585" s="49" t="s">
        <v>14356</v>
      </c>
      <c r="E585" s="93"/>
      <c r="F585" s="55"/>
      <c r="H585" s="55"/>
      <c r="I585" s="55"/>
      <c r="J585" s="55"/>
    </row>
    <row r="586" spans="1:10" s="44" customFormat="1" ht="15.5">
      <c r="A586" s="33"/>
      <c r="B586" s="86"/>
      <c r="C586" s="91"/>
      <c r="D586" s="50"/>
      <c r="E586" s="94"/>
      <c r="F586" s="56"/>
      <c r="H586" s="56"/>
      <c r="I586" s="56"/>
      <c r="J586" s="56"/>
    </row>
    <row r="587" spans="1:10" s="44" customFormat="1" ht="15.5">
      <c r="A587" s="33"/>
      <c r="B587" s="86"/>
      <c r="C587" s="91"/>
      <c r="D587" s="88" t="s">
        <v>14355</v>
      </c>
      <c r="E587" s="93"/>
      <c r="F587" s="55"/>
      <c r="H587" s="55"/>
      <c r="I587" s="55"/>
      <c r="J587" s="55"/>
    </row>
    <row r="588" spans="1:10" s="44" customFormat="1" ht="15.5">
      <c r="A588" s="33"/>
      <c r="B588" s="86"/>
      <c r="C588" s="91"/>
      <c r="D588" s="89"/>
      <c r="E588" s="94"/>
      <c r="F588" s="56"/>
      <c r="H588" s="56"/>
      <c r="I588" s="56"/>
      <c r="J588" s="56"/>
    </row>
    <row r="589" spans="1:10" s="44" customFormat="1" ht="15.5">
      <c r="A589" s="33"/>
      <c r="B589" s="86"/>
      <c r="C589" s="91"/>
      <c r="D589" s="82" t="s">
        <v>14354</v>
      </c>
      <c r="E589" s="93"/>
      <c r="F589" s="55"/>
      <c r="H589" s="55"/>
      <c r="I589" s="55"/>
      <c r="J589" s="55"/>
    </row>
    <row r="590" spans="1:10" s="44" customFormat="1" ht="15.5">
      <c r="A590" s="33"/>
      <c r="B590" s="86"/>
      <c r="C590" s="91"/>
      <c r="D590" s="83"/>
      <c r="E590" s="94"/>
      <c r="F590" s="56"/>
      <c r="H590" s="56"/>
      <c r="I590" s="56"/>
      <c r="J590" s="56"/>
    </row>
    <row r="591" spans="1:10" s="44" customFormat="1" ht="15.5">
      <c r="A591" s="33"/>
      <c r="B591" s="86"/>
      <c r="C591" s="91"/>
      <c r="D591" s="88" t="s">
        <v>14353</v>
      </c>
      <c r="E591" s="93"/>
      <c r="F591" s="55"/>
      <c r="H591" s="55"/>
      <c r="I591" s="55"/>
      <c r="J591" s="55"/>
    </row>
    <row r="592" spans="1:10" s="44" customFormat="1" ht="15.5">
      <c r="A592" s="33"/>
      <c r="B592" s="86"/>
      <c r="C592" s="92"/>
      <c r="D592" s="89"/>
      <c r="E592" s="94"/>
      <c r="F592" s="56"/>
      <c r="H592" s="56"/>
      <c r="I592" s="56"/>
      <c r="J592" s="56"/>
    </row>
    <row r="593" spans="1:10" s="44" customFormat="1" ht="15.75" customHeight="1">
      <c r="A593" s="33"/>
      <c r="B593" s="86"/>
      <c r="C593" s="82" t="s">
        <v>14298</v>
      </c>
      <c r="D593" s="49" t="s">
        <v>14352</v>
      </c>
      <c r="E593" s="93"/>
      <c r="F593" s="55"/>
      <c r="H593" s="55"/>
      <c r="I593" s="55"/>
      <c r="J593" s="55"/>
    </row>
    <row r="594" spans="1:10" s="44" customFormat="1" ht="15.5">
      <c r="A594" s="33"/>
      <c r="B594" s="86"/>
      <c r="C594" s="86"/>
      <c r="D594" s="50"/>
      <c r="E594" s="94"/>
      <c r="F594" s="56"/>
      <c r="H594" s="56"/>
      <c r="I594" s="56"/>
      <c r="J594" s="56"/>
    </row>
    <row r="595" spans="1:10" s="44" customFormat="1" ht="15.5">
      <c r="A595" s="33"/>
      <c r="B595" s="86"/>
      <c r="C595" s="86"/>
      <c r="D595" s="82" t="s">
        <v>14351</v>
      </c>
      <c r="E595" s="93"/>
      <c r="F595" s="55"/>
      <c r="H595" s="55"/>
      <c r="I595" s="55"/>
      <c r="J595" s="55"/>
    </row>
    <row r="596" spans="1:10" s="44" customFormat="1" ht="15.5">
      <c r="A596" s="33"/>
      <c r="B596" s="86"/>
      <c r="C596" s="86"/>
      <c r="D596" s="83"/>
      <c r="E596" s="94"/>
      <c r="F596" s="56"/>
      <c r="H596" s="56"/>
      <c r="I596" s="56"/>
      <c r="J596" s="56"/>
    </row>
    <row r="597" spans="1:10" s="44" customFormat="1" ht="15.5">
      <c r="A597" s="33"/>
      <c r="B597" s="86"/>
      <c r="C597" s="86"/>
      <c r="D597" s="88" t="s">
        <v>14350</v>
      </c>
      <c r="E597" s="95"/>
      <c r="F597" s="55"/>
      <c r="H597" s="55"/>
      <c r="I597" s="55"/>
      <c r="J597" s="55"/>
    </row>
    <row r="598" spans="1:10" s="44" customFormat="1" ht="15.5">
      <c r="A598" s="33"/>
      <c r="B598" s="86"/>
      <c r="C598" s="86"/>
      <c r="D598" s="89"/>
      <c r="E598" s="96"/>
      <c r="F598" s="56"/>
      <c r="H598" s="56"/>
      <c r="I598" s="56"/>
      <c r="J598" s="56"/>
    </row>
    <row r="599" spans="1:10" s="44" customFormat="1" ht="15.5">
      <c r="A599" s="33"/>
      <c r="B599" s="86"/>
      <c r="C599" s="86"/>
      <c r="D599" s="88" t="s">
        <v>14349</v>
      </c>
      <c r="E599" s="95"/>
      <c r="F599" s="55"/>
      <c r="H599" s="55"/>
      <c r="I599" s="55"/>
      <c r="J599" s="55"/>
    </row>
    <row r="600" spans="1:10" s="44" customFormat="1" ht="15.5">
      <c r="A600" s="33"/>
      <c r="B600" s="86"/>
      <c r="C600" s="86"/>
      <c r="D600" s="89"/>
      <c r="E600" s="96"/>
      <c r="F600" s="56"/>
      <c r="H600" s="56"/>
      <c r="I600" s="56"/>
      <c r="J600" s="56"/>
    </row>
    <row r="601" spans="1:10" s="44" customFormat="1" ht="15.5">
      <c r="A601" s="33"/>
      <c r="B601" s="86"/>
      <c r="C601" s="86"/>
      <c r="D601" s="88" t="s">
        <v>14348</v>
      </c>
      <c r="E601" s="95"/>
      <c r="F601" s="55"/>
      <c r="H601" s="55"/>
      <c r="I601" s="55"/>
      <c r="J601" s="55"/>
    </row>
    <row r="602" spans="1:10" s="44" customFormat="1" ht="15.5">
      <c r="A602" s="33"/>
      <c r="B602" s="83"/>
      <c r="C602" s="83"/>
      <c r="D602" s="89"/>
      <c r="E602" s="96"/>
      <c r="F602" s="56"/>
      <c r="H602" s="56"/>
      <c r="I602" s="56"/>
      <c r="J602" s="56"/>
    </row>
    <row r="603" spans="1:10" s="44" customFormat="1" ht="15.5">
      <c r="A603" s="33"/>
      <c r="B603" s="49" t="s">
        <v>14347</v>
      </c>
      <c r="C603" s="82" t="s">
        <v>14346</v>
      </c>
      <c r="D603" s="88" t="s">
        <v>14345</v>
      </c>
      <c r="E603" s="95"/>
      <c r="F603" s="55"/>
      <c r="H603" s="55"/>
      <c r="I603" s="55"/>
      <c r="J603" s="55"/>
    </row>
    <row r="604" spans="1:10" s="44" customFormat="1" ht="15.5">
      <c r="A604" s="33"/>
      <c r="B604" s="87"/>
      <c r="C604" s="86"/>
      <c r="D604" s="89"/>
      <c r="E604" s="96"/>
      <c r="F604" s="56"/>
      <c r="H604" s="56"/>
      <c r="I604" s="56"/>
      <c r="J604" s="56"/>
    </row>
    <row r="605" spans="1:10" s="44" customFormat="1" ht="15.5">
      <c r="A605" s="33"/>
      <c r="B605" s="87"/>
      <c r="C605" s="86"/>
      <c r="D605" s="49" t="s">
        <v>14344</v>
      </c>
      <c r="E605" s="95"/>
      <c r="F605" s="55"/>
      <c r="H605" s="55"/>
      <c r="I605" s="55"/>
      <c r="J605" s="55"/>
    </row>
    <row r="606" spans="1:10" s="44" customFormat="1" ht="15.5">
      <c r="A606" s="33"/>
      <c r="B606" s="87"/>
      <c r="C606" s="86"/>
      <c r="D606" s="50"/>
      <c r="E606" s="96"/>
      <c r="F606" s="56"/>
      <c r="H606" s="56"/>
      <c r="I606" s="56"/>
      <c r="J606" s="56"/>
    </row>
    <row r="607" spans="1:10" s="44" customFormat="1" ht="15.5">
      <c r="A607" s="33"/>
      <c r="B607" s="87"/>
      <c r="C607" s="86"/>
      <c r="D607" s="49" t="s">
        <v>14343</v>
      </c>
      <c r="E607" s="95"/>
      <c r="F607" s="55"/>
      <c r="H607" s="55"/>
      <c r="I607" s="55"/>
      <c r="J607" s="55"/>
    </row>
    <row r="608" spans="1:10" s="44" customFormat="1" ht="15.5">
      <c r="A608" s="33"/>
      <c r="B608" s="87"/>
      <c r="C608" s="86"/>
      <c r="D608" s="50"/>
      <c r="E608" s="96"/>
      <c r="F608" s="56"/>
      <c r="H608" s="56"/>
      <c r="I608" s="56"/>
      <c r="J608" s="56"/>
    </row>
    <row r="609" spans="1:10" s="44" customFormat="1" ht="15.5">
      <c r="A609" s="33"/>
      <c r="B609" s="87"/>
      <c r="C609" s="86"/>
      <c r="D609" s="49" t="s">
        <v>14342</v>
      </c>
      <c r="E609" s="95"/>
      <c r="F609" s="55"/>
      <c r="H609" s="55"/>
      <c r="I609" s="55"/>
      <c r="J609" s="55"/>
    </row>
    <row r="610" spans="1:10" s="44" customFormat="1" ht="15.5">
      <c r="A610" s="33"/>
      <c r="B610" s="87"/>
      <c r="C610" s="86"/>
      <c r="D610" s="50"/>
      <c r="E610" s="96"/>
      <c r="F610" s="56"/>
      <c r="H610" s="56"/>
      <c r="I610" s="56"/>
      <c r="J610" s="56"/>
    </row>
    <row r="611" spans="1:10" s="44" customFormat="1" ht="15.5">
      <c r="A611" s="33"/>
      <c r="B611" s="87"/>
      <c r="C611" s="86"/>
      <c r="D611" s="88" t="s">
        <v>14341</v>
      </c>
      <c r="E611" s="95"/>
      <c r="F611" s="55"/>
      <c r="H611" s="55"/>
      <c r="I611" s="55"/>
      <c r="J611" s="55"/>
    </row>
    <row r="612" spans="1:10" s="44" customFormat="1" ht="15.5">
      <c r="A612" s="33"/>
      <c r="B612" s="87"/>
      <c r="C612" s="83"/>
      <c r="D612" s="89"/>
      <c r="E612" s="96"/>
      <c r="F612" s="56"/>
      <c r="H612" s="56"/>
      <c r="I612" s="56"/>
      <c r="J612" s="56"/>
    </row>
    <row r="613" spans="1:10" s="44" customFormat="1" ht="15.5">
      <c r="A613" s="33"/>
      <c r="B613" s="87"/>
      <c r="C613" s="82" t="s">
        <v>14340</v>
      </c>
      <c r="D613" s="49" t="s">
        <v>14339</v>
      </c>
      <c r="E613" s="95"/>
      <c r="F613" s="55"/>
      <c r="H613" s="55"/>
      <c r="I613" s="55"/>
      <c r="J613" s="55"/>
    </row>
    <row r="614" spans="1:10" s="44" customFormat="1" ht="15.5">
      <c r="A614" s="33"/>
      <c r="B614" s="87"/>
      <c r="C614" s="86"/>
      <c r="D614" s="50"/>
      <c r="E614" s="96"/>
      <c r="F614" s="56"/>
      <c r="H614" s="56"/>
      <c r="I614" s="56"/>
      <c r="J614" s="56"/>
    </row>
    <row r="615" spans="1:10" s="44" customFormat="1" ht="15.5">
      <c r="A615" s="33"/>
      <c r="B615" s="87"/>
      <c r="C615" s="86"/>
      <c r="D615" s="88" t="s">
        <v>14338</v>
      </c>
      <c r="E615" s="95"/>
      <c r="F615" s="55"/>
      <c r="H615" s="55"/>
      <c r="I615" s="55"/>
      <c r="J615" s="55"/>
    </row>
    <row r="616" spans="1:10" s="44" customFormat="1" ht="15.5">
      <c r="A616" s="33"/>
      <c r="B616" s="87"/>
      <c r="C616" s="86"/>
      <c r="D616" s="89"/>
      <c r="E616" s="96"/>
      <c r="F616" s="56"/>
      <c r="H616" s="56"/>
      <c r="I616" s="56"/>
      <c r="J616" s="56"/>
    </row>
    <row r="617" spans="1:10" s="44" customFormat="1" ht="15.5">
      <c r="A617" s="33"/>
      <c r="B617" s="87"/>
      <c r="C617" s="86"/>
      <c r="D617" s="88" t="s">
        <v>14337</v>
      </c>
      <c r="E617" s="95"/>
      <c r="F617" s="55"/>
      <c r="H617" s="55"/>
      <c r="I617" s="55"/>
      <c r="J617" s="55"/>
    </row>
    <row r="618" spans="1:10" s="44" customFormat="1" ht="15.5">
      <c r="A618" s="33"/>
      <c r="B618" s="87"/>
      <c r="C618" s="86"/>
      <c r="D618" s="89"/>
      <c r="E618" s="96"/>
      <c r="F618" s="56"/>
      <c r="H618" s="56"/>
      <c r="I618" s="56"/>
      <c r="J618" s="56"/>
    </row>
    <row r="619" spans="1:10" s="44" customFormat="1" ht="15.5">
      <c r="A619" s="33"/>
      <c r="B619" s="87"/>
      <c r="C619" s="86"/>
      <c r="D619" s="88" t="s">
        <v>14336</v>
      </c>
      <c r="E619" s="95"/>
      <c r="F619" s="55"/>
      <c r="H619" s="55"/>
      <c r="I619" s="55"/>
      <c r="J619" s="55"/>
    </row>
    <row r="620" spans="1:10" s="44" customFormat="1" ht="15.5">
      <c r="A620" s="33"/>
      <c r="B620" s="87"/>
      <c r="C620" s="86"/>
      <c r="D620" s="89"/>
      <c r="E620" s="96"/>
      <c r="F620" s="56"/>
      <c r="H620" s="56"/>
      <c r="I620" s="56"/>
      <c r="J620" s="56"/>
    </row>
    <row r="621" spans="1:10" s="44" customFormat="1" ht="15.5">
      <c r="A621" s="33"/>
      <c r="B621" s="87"/>
      <c r="C621" s="86"/>
      <c r="D621" s="88" t="s">
        <v>14335</v>
      </c>
      <c r="E621" s="95"/>
      <c r="F621" s="55"/>
      <c r="H621" s="55"/>
      <c r="I621" s="55"/>
      <c r="J621" s="55"/>
    </row>
    <row r="622" spans="1:10" s="44" customFormat="1" ht="15.5">
      <c r="A622" s="33"/>
      <c r="B622" s="87"/>
      <c r="C622" s="83"/>
      <c r="D622" s="89"/>
      <c r="E622" s="96"/>
      <c r="F622" s="56"/>
      <c r="H622" s="56"/>
      <c r="I622" s="56"/>
      <c r="J622" s="56"/>
    </row>
    <row r="623" spans="1:10" s="44" customFormat="1" ht="15.75" customHeight="1">
      <c r="A623" s="33"/>
      <c r="B623" s="87"/>
      <c r="C623" s="82" t="s">
        <v>14334</v>
      </c>
      <c r="D623" s="82" t="s">
        <v>14333</v>
      </c>
      <c r="E623" s="95"/>
      <c r="F623" s="55"/>
      <c r="H623" s="55"/>
      <c r="I623" s="55"/>
      <c r="J623" s="55"/>
    </row>
    <row r="624" spans="1:10" s="44" customFormat="1" ht="15.5">
      <c r="A624" s="33"/>
      <c r="B624" s="87"/>
      <c r="C624" s="86"/>
      <c r="D624" s="83"/>
      <c r="E624" s="96"/>
      <c r="F624" s="56"/>
      <c r="H624" s="56"/>
      <c r="I624" s="56"/>
      <c r="J624" s="56"/>
    </row>
    <row r="625" spans="1:10" s="44" customFormat="1" ht="15.5">
      <c r="A625" s="33"/>
      <c r="B625" s="87"/>
      <c r="C625" s="86"/>
      <c r="D625" s="49" t="s">
        <v>14332</v>
      </c>
      <c r="E625" s="95"/>
      <c r="F625" s="55"/>
      <c r="H625" s="55"/>
      <c r="I625" s="55"/>
      <c r="J625" s="55"/>
    </row>
    <row r="626" spans="1:10" s="44" customFormat="1" ht="15.5">
      <c r="A626" s="33"/>
      <c r="B626" s="87"/>
      <c r="C626" s="86"/>
      <c r="D626" s="50"/>
      <c r="E626" s="96"/>
      <c r="F626" s="56"/>
      <c r="H626" s="56"/>
      <c r="I626" s="56"/>
      <c r="J626" s="56"/>
    </row>
    <row r="627" spans="1:10" s="44" customFormat="1" ht="15.5">
      <c r="A627" s="33"/>
      <c r="B627" s="87"/>
      <c r="C627" s="86"/>
      <c r="D627" s="49" t="s">
        <v>14331</v>
      </c>
      <c r="E627" s="95"/>
      <c r="F627" s="55"/>
      <c r="H627" s="55"/>
      <c r="I627" s="55"/>
      <c r="J627" s="55"/>
    </row>
    <row r="628" spans="1:10" s="44" customFormat="1" ht="15.5">
      <c r="A628" s="33"/>
      <c r="B628" s="87"/>
      <c r="C628" s="86"/>
      <c r="D628" s="50"/>
      <c r="E628" s="96"/>
      <c r="F628" s="56"/>
      <c r="H628" s="56"/>
      <c r="I628" s="56"/>
      <c r="J628" s="56"/>
    </row>
    <row r="629" spans="1:10" s="44" customFormat="1" ht="15.5">
      <c r="A629" s="33"/>
      <c r="B629" s="87"/>
      <c r="C629" s="86"/>
      <c r="D629" s="49" t="s">
        <v>14330</v>
      </c>
      <c r="E629" s="95"/>
      <c r="F629" s="55"/>
      <c r="H629" s="55"/>
      <c r="I629" s="55"/>
      <c r="J629" s="55"/>
    </row>
    <row r="630" spans="1:10" s="44" customFormat="1" ht="15.5">
      <c r="A630" s="33"/>
      <c r="B630" s="87"/>
      <c r="C630" s="86"/>
      <c r="D630" s="50"/>
      <c r="E630" s="96"/>
      <c r="F630" s="56"/>
      <c r="H630" s="56"/>
      <c r="I630" s="56"/>
      <c r="J630" s="56"/>
    </row>
    <row r="631" spans="1:10" s="44" customFormat="1" ht="15.5">
      <c r="A631" s="33"/>
      <c r="B631" s="87"/>
      <c r="C631" s="86"/>
      <c r="D631" s="49" t="s">
        <v>14329</v>
      </c>
      <c r="E631" s="95"/>
      <c r="F631" s="55"/>
      <c r="H631" s="55"/>
      <c r="I631" s="55"/>
      <c r="J631" s="55"/>
    </row>
    <row r="632" spans="1:10" s="44" customFormat="1" ht="15.5">
      <c r="A632" s="33"/>
      <c r="B632" s="87"/>
      <c r="C632" s="83"/>
      <c r="D632" s="50"/>
      <c r="E632" s="96"/>
      <c r="F632" s="56"/>
      <c r="H632" s="56"/>
      <c r="I632" s="56"/>
      <c r="J632" s="56"/>
    </row>
    <row r="633" spans="1:10" s="44" customFormat="1" ht="15.75" customHeight="1">
      <c r="A633" s="33"/>
      <c r="B633" s="87"/>
      <c r="C633" s="82" t="s">
        <v>14328</v>
      </c>
      <c r="D633" s="49" t="s">
        <v>14327</v>
      </c>
      <c r="E633" s="95"/>
      <c r="F633" s="55"/>
      <c r="H633" s="55"/>
      <c r="I633" s="55"/>
      <c r="J633" s="55"/>
    </row>
    <row r="634" spans="1:10" s="44" customFormat="1" ht="15.5">
      <c r="A634" s="33"/>
      <c r="B634" s="87"/>
      <c r="C634" s="86"/>
      <c r="D634" s="50"/>
      <c r="E634" s="96"/>
      <c r="F634" s="56"/>
      <c r="H634" s="56"/>
      <c r="I634" s="56"/>
      <c r="J634" s="56"/>
    </row>
    <row r="635" spans="1:10" s="44" customFormat="1" ht="15.5">
      <c r="A635" s="33"/>
      <c r="B635" s="87"/>
      <c r="C635" s="86"/>
      <c r="D635" s="49" t="s">
        <v>14326</v>
      </c>
      <c r="E635" s="95"/>
      <c r="F635" s="55"/>
      <c r="H635" s="55"/>
      <c r="I635" s="55"/>
      <c r="J635" s="55"/>
    </row>
    <row r="636" spans="1:10" s="44" customFormat="1" ht="15.5">
      <c r="A636" s="33"/>
      <c r="B636" s="87"/>
      <c r="C636" s="86"/>
      <c r="D636" s="50"/>
      <c r="E636" s="96"/>
      <c r="F636" s="56"/>
      <c r="H636" s="56"/>
      <c r="I636" s="56"/>
      <c r="J636" s="56"/>
    </row>
    <row r="637" spans="1:10" s="44" customFormat="1" ht="15.5">
      <c r="A637" s="33"/>
      <c r="B637" s="87"/>
      <c r="C637" s="86"/>
      <c r="D637" s="49" t="s">
        <v>14325</v>
      </c>
      <c r="E637" s="95"/>
      <c r="F637" s="55"/>
      <c r="H637" s="55"/>
      <c r="I637" s="55"/>
      <c r="J637" s="55"/>
    </row>
    <row r="638" spans="1:10" s="44" customFormat="1" ht="15.5">
      <c r="A638" s="33"/>
      <c r="B638" s="87"/>
      <c r="C638" s="86"/>
      <c r="D638" s="50"/>
      <c r="E638" s="96"/>
      <c r="F638" s="56"/>
      <c r="H638" s="56"/>
      <c r="I638" s="56"/>
      <c r="J638" s="56"/>
    </row>
    <row r="639" spans="1:10" s="44" customFormat="1" ht="15.5">
      <c r="A639" s="33"/>
      <c r="B639" s="87"/>
      <c r="C639" s="86"/>
      <c r="D639" s="88" t="s">
        <v>14324</v>
      </c>
      <c r="E639" s="95"/>
      <c r="F639" s="55"/>
      <c r="H639" s="55"/>
      <c r="I639" s="55"/>
      <c r="J639" s="55"/>
    </row>
    <row r="640" spans="1:10" s="44" customFormat="1" ht="15.5">
      <c r="A640" s="33"/>
      <c r="B640" s="87"/>
      <c r="C640" s="86"/>
      <c r="D640" s="89"/>
      <c r="E640" s="96"/>
      <c r="F640" s="56"/>
      <c r="H640" s="56"/>
      <c r="I640" s="56"/>
      <c r="J640" s="56"/>
    </row>
    <row r="641" spans="1:10" s="44" customFormat="1" ht="15.5">
      <c r="A641" s="33"/>
      <c r="B641" s="87"/>
      <c r="C641" s="86"/>
      <c r="D641" s="49" t="s">
        <v>14323</v>
      </c>
      <c r="E641" s="95"/>
      <c r="F641" s="55"/>
      <c r="H641" s="55"/>
      <c r="I641" s="55"/>
      <c r="J641" s="55"/>
    </row>
    <row r="642" spans="1:10" s="44" customFormat="1" ht="15.5">
      <c r="A642" s="33"/>
      <c r="B642" s="87"/>
      <c r="C642" s="83"/>
      <c r="D642" s="50"/>
      <c r="E642" s="96"/>
      <c r="F642" s="56"/>
      <c r="H642" s="56"/>
      <c r="I642" s="56"/>
      <c r="J642" s="56"/>
    </row>
    <row r="643" spans="1:10" s="44" customFormat="1" ht="15.75" customHeight="1">
      <c r="A643" s="33"/>
      <c r="B643" s="87"/>
      <c r="C643" s="82" t="s">
        <v>14322</v>
      </c>
      <c r="D643" s="88" t="s">
        <v>14321</v>
      </c>
      <c r="E643" s="95"/>
      <c r="F643" s="55"/>
      <c r="H643" s="55"/>
      <c r="I643" s="55"/>
      <c r="J643" s="55"/>
    </row>
    <row r="644" spans="1:10" s="44" customFormat="1" ht="15.5">
      <c r="A644" s="33"/>
      <c r="B644" s="87"/>
      <c r="C644" s="86"/>
      <c r="D644" s="89"/>
      <c r="E644" s="96"/>
      <c r="F644" s="56"/>
      <c r="H644" s="56"/>
      <c r="I644" s="56"/>
      <c r="J644" s="56"/>
    </row>
    <row r="645" spans="1:10" s="44" customFormat="1" ht="15.5">
      <c r="A645" s="33"/>
      <c r="B645" s="87"/>
      <c r="C645" s="86"/>
      <c r="D645" s="88" t="s">
        <v>14320</v>
      </c>
      <c r="E645" s="95"/>
      <c r="F645" s="55"/>
      <c r="H645" s="55"/>
      <c r="I645" s="55"/>
      <c r="J645" s="55"/>
    </row>
    <row r="646" spans="1:10" s="44" customFormat="1" ht="15.5">
      <c r="A646" s="33"/>
      <c r="B646" s="87"/>
      <c r="C646" s="86"/>
      <c r="D646" s="89"/>
      <c r="E646" s="96"/>
      <c r="F646" s="56"/>
      <c r="H646" s="56"/>
      <c r="I646" s="56"/>
      <c r="J646" s="56"/>
    </row>
    <row r="647" spans="1:10" s="44" customFormat="1" ht="15.5">
      <c r="A647" s="33"/>
      <c r="B647" s="87"/>
      <c r="C647" s="86"/>
      <c r="D647" s="82" t="s">
        <v>14319</v>
      </c>
      <c r="E647" s="95"/>
      <c r="F647" s="55"/>
      <c r="H647" s="55"/>
      <c r="I647" s="55"/>
      <c r="J647" s="55"/>
    </row>
    <row r="648" spans="1:10" s="44" customFormat="1" ht="15.5">
      <c r="A648" s="33"/>
      <c r="B648" s="87"/>
      <c r="C648" s="86"/>
      <c r="D648" s="83"/>
      <c r="E648" s="96"/>
      <c r="F648" s="56"/>
      <c r="H648" s="56"/>
      <c r="I648" s="56"/>
      <c r="J648" s="56"/>
    </row>
    <row r="649" spans="1:10" s="44" customFormat="1" ht="15.5">
      <c r="A649" s="33"/>
      <c r="B649" s="87"/>
      <c r="C649" s="86"/>
      <c r="D649" s="49" t="s">
        <v>14318</v>
      </c>
      <c r="E649" s="95"/>
      <c r="F649" s="55"/>
      <c r="H649" s="55"/>
      <c r="I649" s="55"/>
      <c r="J649" s="55"/>
    </row>
    <row r="650" spans="1:10" s="44" customFormat="1" ht="15.5">
      <c r="A650" s="33"/>
      <c r="B650" s="87"/>
      <c r="C650" s="86"/>
      <c r="D650" s="50"/>
      <c r="E650" s="96"/>
      <c r="F650" s="56"/>
      <c r="H650" s="56"/>
      <c r="I650" s="56"/>
      <c r="J650" s="56"/>
    </row>
    <row r="651" spans="1:10" s="44" customFormat="1" ht="15.5">
      <c r="A651" s="33"/>
      <c r="B651" s="87"/>
      <c r="C651" s="86"/>
      <c r="D651" s="49" t="s">
        <v>14317</v>
      </c>
      <c r="E651" s="95"/>
      <c r="F651" s="55"/>
      <c r="H651" s="55"/>
      <c r="I651" s="55"/>
      <c r="J651" s="55"/>
    </row>
    <row r="652" spans="1:10" s="44" customFormat="1" ht="15.5">
      <c r="A652" s="33"/>
      <c r="B652" s="87"/>
      <c r="C652" s="83"/>
      <c r="D652" s="50"/>
      <c r="E652" s="96"/>
      <c r="F652" s="56"/>
      <c r="H652" s="56"/>
      <c r="I652" s="56"/>
      <c r="J652" s="56"/>
    </row>
    <row r="653" spans="1:10" s="44" customFormat="1" ht="15.75" customHeight="1">
      <c r="A653" s="33"/>
      <c r="B653" s="87"/>
      <c r="C653" s="82" t="s">
        <v>14316</v>
      </c>
      <c r="D653" s="88" t="s">
        <v>14315</v>
      </c>
      <c r="E653" s="95"/>
      <c r="F653" s="55"/>
      <c r="H653" s="55"/>
      <c r="I653" s="55"/>
      <c r="J653" s="55"/>
    </row>
    <row r="654" spans="1:10" s="44" customFormat="1" ht="15.5">
      <c r="A654" s="33"/>
      <c r="B654" s="87"/>
      <c r="C654" s="86"/>
      <c r="D654" s="89"/>
      <c r="E654" s="96"/>
      <c r="F654" s="56"/>
      <c r="H654" s="56"/>
      <c r="I654" s="56"/>
      <c r="J654" s="56"/>
    </row>
    <row r="655" spans="1:10" s="44" customFormat="1" ht="15.5">
      <c r="A655" s="33"/>
      <c r="B655" s="87"/>
      <c r="C655" s="86"/>
      <c r="D655" s="88" t="s">
        <v>14314</v>
      </c>
      <c r="E655" s="95"/>
      <c r="F655" s="55"/>
      <c r="H655" s="55"/>
      <c r="I655" s="55"/>
      <c r="J655" s="55"/>
    </row>
    <row r="656" spans="1:10" s="44" customFormat="1" ht="15.5">
      <c r="A656" s="33"/>
      <c r="B656" s="87"/>
      <c r="C656" s="86"/>
      <c r="D656" s="89"/>
      <c r="E656" s="96"/>
      <c r="F656" s="56"/>
      <c r="H656" s="56"/>
      <c r="I656" s="56"/>
      <c r="J656" s="56"/>
    </row>
    <row r="657" spans="1:10" s="44" customFormat="1" ht="15.5">
      <c r="A657" s="33"/>
      <c r="B657" s="87"/>
      <c r="C657" s="86"/>
      <c r="D657" s="82" t="s">
        <v>14313</v>
      </c>
      <c r="E657" s="95"/>
      <c r="F657" s="55"/>
      <c r="H657" s="55"/>
      <c r="I657" s="55"/>
      <c r="J657" s="55"/>
    </row>
    <row r="658" spans="1:10" s="44" customFormat="1" ht="15.5">
      <c r="A658" s="33"/>
      <c r="B658" s="87"/>
      <c r="C658" s="86"/>
      <c r="D658" s="83"/>
      <c r="E658" s="96"/>
      <c r="F658" s="56"/>
      <c r="H658" s="56"/>
      <c r="I658" s="56"/>
      <c r="J658" s="56"/>
    </row>
    <row r="659" spans="1:10" s="44" customFormat="1" ht="15.5">
      <c r="A659" s="33"/>
      <c r="B659" s="87"/>
      <c r="C659" s="86"/>
      <c r="D659" s="88" t="s">
        <v>14312</v>
      </c>
      <c r="E659" s="95"/>
      <c r="F659" s="55"/>
      <c r="H659" s="55"/>
      <c r="I659" s="55"/>
      <c r="J659" s="55"/>
    </row>
    <row r="660" spans="1:10" s="44" customFormat="1" ht="15.5">
      <c r="A660" s="33"/>
      <c r="B660" s="87"/>
      <c r="C660" s="86"/>
      <c r="D660" s="89"/>
      <c r="E660" s="96"/>
      <c r="F660" s="56"/>
      <c r="H660" s="56"/>
      <c r="I660" s="56"/>
      <c r="J660" s="56"/>
    </row>
    <row r="661" spans="1:10" s="44" customFormat="1" ht="15.5">
      <c r="A661" s="33"/>
      <c r="B661" s="87"/>
      <c r="C661" s="86"/>
      <c r="D661" s="88" t="s">
        <v>14311</v>
      </c>
      <c r="E661" s="95"/>
      <c r="F661" s="55"/>
      <c r="H661" s="55"/>
      <c r="I661" s="55"/>
      <c r="J661" s="55"/>
    </row>
    <row r="662" spans="1:10" s="44" customFormat="1" ht="15.5">
      <c r="A662" s="33"/>
      <c r="B662" s="87"/>
      <c r="C662" s="83"/>
      <c r="D662" s="89"/>
      <c r="E662" s="96"/>
      <c r="F662" s="56"/>
      <c r="H662" s="56"/>
      <c r="I662" s="56"/>
      <c r="J662" s="56"/>
    </row>
    <row r="663" spans="1:10" s="44" customFormat="1" ht="15.75" customHeight="1">
      <c r="A663" s="33"/>
      <c r="B663" s="87"/>
      <c r="C663" s="82" t="s">
        <v>14310</v>
      </c>
      <c r="D663" s="88" t="s">
        <v>14309</v>
      </c>
      <c r="E663" s="95"/>
      <c r="F663" s="55"/>
      <c r="H663" s="55"/>
      <c r="I663" s="55"/>
      <c r="J663" s="55"/>
    </row>
    <row r="664" spans="1:10" s="44" customFormat="1" ht="15.5">
      <c r="A664" s="33"/>
      <c r="B664" s="87"/>
      <c r="C664" s="86"/>
      <c r="D664" s="89"/>
      <c r="E664" s="96"/>
      <c r="F664" s="56"/>
      <c r="H664" s="56"/>
      <c r="I664" s="56"/>
      <c r="J664" s="56"/>
    </row>
    <row r="665" spans="1:10" s="44" customFormat="1" ht="15.5">
      <c r="A665" s="33"/>
      <c r="B665" s="87"/>
      <c r="C665" s="86"/>
      <c r="D665" s="88" t="s">
        <v>14308</v>
      </c>
      <c r="E665" s="95"/>
      <c r="F665" s="55"/>
      <c r="H665" s="55"/>
      <c r="I665" s="55"/>
      <c r="J665" s="55"/>
    </row>
    <row r="666" spans="1:10" s="44" customFormat="1" ht="15.5">
      <c r="A666" s="33"/>
      <c r="B666" s="87"/>
      <c r="C666" s="86"/>
      <c r="D666" s="89"/>
      <c r="E666" s="96"/>
      <c r="F666" s="56"/>
      <c r="H666" s="56"/>
      <c r="I666" s="56"/>
      <c r="J666" s="56"/>
    </row>
    <row r="667" spans="1:10" s="44" customFormat="1" ht="15.5">
      <c r="A667" s="33"/>
      <c r="B667" s="87"/>
      <c r="C667" s="86"/>
      <c r="D667" s="88" t="s">
        <v>14307</v>
      </c>
      <c r="E667" s="95"/>
      <c r="F667" s="55"/>
      <c r="H667" s="55"/>
      <c r="I667" s="55"/>
      <c r="J667" s="55"/>
    </row>
    <row r="668" spans="1:10" s="44" customFormat="1" ht="15.5">
      <c r="A668" s="33"/>
      <c r="B668" s="87"/>
      <c r="C668" s="86"/>
      <c r="D668" s="89"/>
      <c r="E668" s="96"/>
      <c r="F668" s="56"/>
      <c r="H668" s="56"/>
      <c r="I668" s="56"/>
      <c r="J668" s="56"/>
    </row>
    <row r="669" spans="1:10" s="44" customFormat="1" ht="15.5">
      <c r="A669" s="33"/>
      <c r="B669" s="87"/>
      <c r="C669" s="86"/>
      <c r="D669" s="88" t="s">
        <v>14306</v>
      </c>
      <c r="E669" s="95"/>
      <c r="F669" s="55"/>
      <c r="H669" s="55"/>
      <c r="I669" s="55"/>
      <c r="J669" s="55"/>
    </row>
    <row r="670" spans="1:10" s="44" customFormat="1" ht="15.5">
      <c r="A670" s="33"/>
      <c r="B670" s="87"/>
      <c r="C670" s="86"/>
      <c r="D670" s="89"/>
      <c r="E670" s="96"/>
      <c r="F670" s="56"/>
      <c r="H670" s="56"/>
      <c r="I670" s="56"/>
      <c r="J670" s="56"/>
    </row>
    <row r="671" spans="1:10" s="44" customFormat="1" ht="15.5">
      <c r="A671" s="33"/>
      <c r="B671" s="87"/>
      <c r="C671" s="86"/>
      <c r="D671" s="88" t="s">
        <v>14305</v>
      </c>
      <c r="E671" s="95"/>
      <c r="F671" s="55"/>
      <c r="H671" s="55"/>
      <c r="I671" s="55"/>
      <c r="J671" s="55"/>
    </row>
    <row r="672" spans="1:10" s="44" customFormat="1" ht="15.5">
      <c r="A672" s="33"/>
      <c r="B672" s="87"/>
      <c r="C672" s="83"/>
      <c r="D672" s="89"/>
      <c r="E672" s="96"/>
      <c r="F672" s="56"/>
      <c r="H672" s="56"/>
      <c r="I672" s="56"/>
      <c r="J672" s="56"/>
    </row>
    <row r="673" spans="1:10" s="44" customFormat="1" ht="15.75" customHeight="1">
      <c r="A673" s="33"/>
      <c r="B673" s="87"/>
      <c r="C673" s="82" t="s">
        <v>14304</v>
      </c>
      <c r="D673" s="88" t="s">
        <v>14303</v>
      </c>
      <c r="E673" s="95"/>
      <c r="F673" s="55"/>
      <c r="H673" s="55"/>
      <c r="I673" s="55"/>
      <c r="J673" s="55"/>
    </row>
    <row r="674" spans="1:10" s="44" customFormat="1" ht="15.5">
      <c r="A674" s="33"/>
      <c r="B674" s="87"/>
      <c r="C674" s="86"/>
      <c r="D674" s="89"/>
      <c r="E674" s="96"/>
      <c r="F674" s="56"/>
      <c r="H674" s="56"/>
      <c r="I674" s="56"/>
      <c r="J674" s="56"/>
    </row>
    <row r="675" spans="1:10" s="44" customFormat="1" ht="15.5">
      <c r="A675" s="33"/>
      <c r="B675" s="87"/>
      <c r="C675" s="86"/>
      <c r="D675" s="82" t="s">
        <v>14302</v>
      </c>
      <c r="E675" s="95"/>
      <c r="F675" s="55"/>
      <c r="H675" s="55"/>
      <c r="I675" s="55"/>
      <c r="J675" s="55"/>
    </row>
    <row r="676" spans="1:10" s="44" customFormat="1" ht="15.5">
      <c r="A676" s="33"/>
      <c r="B676" s="87"/>
      <c r="C676" s="86"/>
      <c r="D676" s="83"/>
      <c r="E676" s="96"/>
      <c r="F676" s="56"/>
      <c r="H676" s="56"/>
      <c r="I676" s="56"/>
      <c r="J676" s="56"/>
    </row>
    <row r="677" spans="1:10" s="44" customFormat="1" ht="15.5">
      <c r="A677" s="33"/>
      <c r="B677" s="87"/>
      <c r="C677" s="86"/>
      <c r="D677" s="49" t="s">
        <v>14301</v>
      </c>
      <c r="E677" s="95"/>
      <c r="F677" s="55"/>
      <c r="H677" s="55"/>
      <c r="I677" s="55"/>
      <c r="J677" s="55"/>
    </row>
    <row r="678" spans="1:10" s="44" customFormat="1" ht="15.5">
      <c r="A678" s="33"/>
      <c r="B678" s="87"/>
      <c r="C678" s="86"/>
      <c r="D678" s="50"/>
      <c r="E678" s="96"/>
      <c r="F678" s="56"/>
      <c r="H678" s="56"/>
      <c r="I678" s="56"/>
      <c r="J678" s="56"/>
    </row>
    <row r="679" spans="1:10" s="44" customFormat="1" ht="15.5">
      <c r="A679" s="33"/>
      <c r="B679" s="87"/>
      <c r="C679" s="86"/>
      <c r="D679" s="88" t="s">
        <v>14300</v>
      </c>
      <c r="E679" s="95"/>
      <c r="F679" s="55"/>
      <c r="H679" s="55"/>
      <c r="I679" s="55"/>
      <c r="J679" s="55"/>
    </row>
    <row r="680" spans="1:10" s="44" customFormat="1" ht="15.5">
      <c r="A680" s="33"/>
      <c r="B680" s="87"/>
      <c r="C680" s="86"/>
      <c r="D680" s="89"/>
      <c r="E680" s="96"/>
      <c r="F680" s="56"/>
      <c r="H680" s="56"/>
      <c r="I680" s="56"/>
      <c r="J680" s="56"/>
    </row>
    <row r="681" spans="1:10" s="44" customFormat="1" ht="15.5">
      <c r="A681" s="33"/>
      <c r="B681" s="87"/>
      <c r="C681" s="86"/>
      <c r="D681" s="88" t="s">
        <v>14299</v>
      </c>
      <c r="E681" s="95"/>
      <c r="F681" s="55"/>
      <c r="H681" s="55"/>
      <c r="I681" s="55"/>
      <c r="J681" s="55"/>
    </row>
    <row r="682" spans="1:10" s="44" customFormat="1" ht="15.5">
      <c r="A682" s="33"/>
      <c r="B682" s="87"/>
      <c r="C682" s="83"/>
      <c r="D682" s="89"/>
      <c r="E682" s="96"/>
      <c r="F682" s="56"/>
      <c r="H682" s="56"/>
      <c r="I682" s="56"/>
      <c r="J682" s="56"/>
    </row>
    <row r="683" spans="1:10" s="22" customFormat="1" ht="15.75" customHeight="1">
      <c r="A683" s="33"/>
      <c r="B683" s="87"/>
      <c r="C683" s="82" t="s">
        <v>14298</v>
      </c>
      <c r="D683" s="49" t="s">
        <v>14297</v>
      </c>
      <c r="E683" s="95"/>
      <c r="F683" s="55"/>
      <c r="H683" s="55"/>
      <c r="I683" s="55"/>
      <c r="J683" s="55"/>
    </row>
    <row r="684" spans="1:10" s="22" customFormat="1" ht="15.5">
      <c r="A684" s="33"/>
      <c r="B684" s="87"/>
      <c r="C684" s="86"/>
      <c r="D684" s="50"/>
      <c r="E684" s="96"/>
      <c r="F684" s="56"/>
      <c r="H684" s="56"/>
      <c r="I684" s="56"/>
      <c r="J684" s="56"/>
    </row>
    <row r="685" spans="1:10" s="22" customFormat="1" ht="15.5">
      <c r="A685" s="33"/>
      <c r="B685" s="87"/>
      <c r="C685" s="86"/>
      <c r="D685" s="49" t="s">
        <v>14296</v>
      </c>
      <c r="E685" s="95"/>
      <c r="F685" s="55"/>
      <c r="H685" s="55"/>
      <c r="I685" s="55"/>
      <c r="J685" s="55"/>
    </row>
    <row r="686" spans="1:10" s="22" customFormat="1" ht="15.5">
      <c r="A686" s="33"/>
      <c r="B686" s="87"/>
      <c r="C686" s="86"/>
      <c r="D686" s="50"/>
      <c r="E686" s="96"/>
      <c r="F686" s="56"/>
      <c r="H686" s="56"/>
      <c r="I686" s="56"/>
      <c r="J686" s="56"/>
    </row>
    <row r="687" spans="1:10" s="22" customFormat="1" ht="15.5">
      <c r="A687" s="33"/>
      <c r="B687" s="87"/>
      <c r="C687" s="86"/>
      <c r="D687" s="49" t="s">
        <v>14295</v>
      </c>
      <c r="E687" s="95"/>
      <c r="F687" s="55"/>
      <c r="H687" s="55"/>
      <c r="I687" s="55"/>
      <c r="J687" s="55"/>
    </row>
    <row r="688" spans="1:10" s="22" customFormat="1" ht="15.5">
      <c r="A688" s="33"/>
      <c r="B688" s="87"/>
      <c r="C688" s="86"/>
      <c r="D688" s="50"/>
      <c r="E688" s="96"/>
      <c r="F688" s="56"/>
      <c r="H688" s="56"/>
      <c r="I688" s="56"/>
      <c r="J688" s="56"/>
    </row>
    <row r="689" spans="1:10" s="22" customFormat="1" ht="15.5">
      <c r="A689" s="33"/>
      <c r="B689" s="87"/>
      <c r="C689" s="86"/>
      <c r="D689" s="49" t="s">
        <v>14294</v>
      </c>
      <c r="E689" s="95"/>
      <c r="F689" s="55"/>
      <c r="H689" s="55"/>
      <c r="I689" s="55"/>
      <c r="J689" s="55"/>
    </row>
    <row r="690" spans="1:10" s="44" customFormat="1" ht="15.5">
      <c r="A690" s="33"/>
      <c r="B690" s="87"/>
      <c r="C690" s="86"/>
      <c r="D690" s="50"/>
      <c r="E690" s="96"/>
      <c r="F690" s="56"/>
      <c r="H690" s="56"/>
      <c r="I690" s="56"/>
      <c r="J690" s="56"/>
    </row>
    <row r="691" spans="1:10" s="44" customFormat="1" ht="15.5">
      <c r="A691" s="33"/>
      <c r="B691" s="87"/>
      <c r="C691" s="86"/>
      <c r="D691" s="49" t="s">
        <v>14293</v>
      </c>
      <c r="E691" s="95"/>
      <c r="F691" s="55"/>
      <c r="H691" s="55"/>
      <c r="I691" s="55"/>
      <c r="J691" s="55"/>
    </row>
    <row r="692" spans="1:10" s="44" customFormat="1" ht="15.5">
      <c r="A692" s="33"/>
      <c r="B692" s="50"/>
      <c r="C692" s="83"/>
      <c r="D692" s="50"/>
      <c r="E692" s="96"/>
      <c r="F692" s="56"/>
      <c r="H692" s="56"/>
      <c r="I692" s="56"/>
      <c r="J692" s="56"/>
    </row>
    <row r="693" spans="1:10" s="44" customFormat="1" ht="15.75" customHeight="1">
      <c r="A693" s="33"/>
      <c r="B693" s="49" t="s">
        <v>14292</v>
      </c>
      <c r="C693" s="82" t="s">
        <v>14291</v>
      </c>
      <c r="D693" s="88" t="s">
        <v>14290</v>
      </c>
      <c r="E693" s="95"/>
      <c r="F693" s="55"/>
      <c r="H693" s="55"/>
      <c r="I693" s="55"/>
      <c r="J693" s="55"/>
    </row>
    <row r="694" spans="1:10" s="44" customFormat="1" ht="15.5">
      <c r="A694" s="33"/>
      <c r="B694" s="87"/>
      <c r="C694" s="86"/>
      <c r="D694" s="89"/>
      <c r="E694" s="96"/>
      <c r="F694" s="56"/>
      <c r="H694" s="56"/>
      <c r="I694" s="56"/>
      <c r="J694" s="56"/>
    </row>
    <row r="695" spans="1:10" s="44" customFormat="1" ht="15.5">
      <c r="A695" s="33"/>
      <c r="B695" s="87"/>
      <c r="C695" s="86"/>
      <c r="D695" s="88" t="s">
        <v>14289</v>
      </c>
      <c r="E695" s="95"/>
      <c r="F695" s="55"/>
      <c r="H695" s="55"/>
      <c r="I695" s="55"/>
      <c r="J695" s="55"/>
    </row>
    <row r="696" spans="1:10" s="44" customFormat="1" ht="15.5">
      <c r="A696" s="33"/>
      <c r="B696" s="87"/>
      <c r="C696" s="86"/>
      <c r="D696" s="89"/>
      <c r="E696" s="96"/>
      <c r="F696" s="56"/>
      <c r="H696" s="56"/>
      <c r="I696" s="56"/>
      <c r="J696" s="56"/>
    </row>
    <row r="697" spans="1:10" s="44" customFormat="1" ht="15.5">
      <c r="A697" s="33"/>
      <c r="B697" s="87"/>
      <c r="C697" s="86"/>
      <c r="D697" s="88" t="s">
        <v>14288</v>
      </c>
      <c r="E697" s="95"/>
      <c r="F697" s="55"/>
      <c r="H697" s="55"/>
      <c r="I697" s="55"/>
      <c r="J697" s="55"/>
    </row>
    <row r="698" spans="1:10" s="44" customFormat="1" ht="15.5">
      <c r="A698" s="33"/>
      <c r="B698" s="87"/>
      <c r="C698" s="86"/>
      <c r="D698" s="89"/>
      <c r="E698" s="96"/>
      <c r="F698" s="56"/>
      <c r="H698" s="56"/>
      <c r="I698" s="56"/>
      <c r="J698" s="56"/>
    </row>
    <row r="699" spans="1:10" s="44" customFormat="1" ht="15.5">
      <c r="A699" s="33"/>
      <c r="B699" s="87"/>
      <c r="C699" s="86"/>
      <c r="D699" s="49" t="s">
        <v>14287</v>
      </c>
      <c r="E699" s="95"/>
      <c r="F699" s="55"/>
      <c r="H699" s="55"/>
      <c r="I699" s="55"/>
      <c r="J699" s="55"/>
    </row>
    <row r="700" spans="1:10" s="44" customFormat="1" ht="15.5">
      <c r="A700" s="33"/>
      <c r="B700" s="87"/>
      <c r="C700" s="86"/>
      <c r="D700" s="50"/>
      <c r="E700" s="96"/>
      <c r="F700" s="56"/>
      <c r="H700" s="56"/>
      <c r="I700" s="56"/>
      <c r="J700" s="56"/>
    </row>
    <row r="701" spans="1:10" s="44" customFormat="1" ht="15.5">
      <c r="A701" s="33"/>
      <c r="B701" s="87"/>
      <c r="C701" s="86"/>
      <c r="D701" s="49" t="s">
        <v>14286</v>
      </c>
      <c r="E701" s="95"/>
      <c r="F701" s="55"/>
      <c r="H701" s="55"/>
      <c r="I701" s="55"/>
      <c r="J701" s="55"/>
    </row>
    <row r="702" spans="1:10" s="44" customFormat="1" ht="15.5">
      <c r="A702" s="35"/>
      <c r="B702" s="87"/>
      <c r="C702" s="83"/>
      <c r="D702" s="50"/>
      <c r="E702" s="96"/>
      <c r="F702" s="56"/>
      <c r="H702" s="56"/>
      <c r="I702" s="56"/>
      <c r="J702" s="56"/>
    </row>
    <row r="703" spans="1:10" s="44" customFormat="1" ht="15.75" customHeight="1">
      <c r="A703" s="33"/>
      <c r="B703" s="87"/>
      <c r="C703" s="82" t="s">
        <v>14285</v>
      </c>
      <c r="D703" s="49" t="s">
        <v>14284</v>
      </c>
      <c r="E703" s="95"/>
      <c r="F703" s="55"/>
      <c r="H703" s="55"/>
      <c r="I703" s="55"/>
      <c r="J703" s="55"/>
    </row>
    <row r="704" spans="1:10" s="44" customFormat="1" ht="15.5">
      <c r="A704" s="33"/>
      <c r="B704" s="87"/>
      <c r="C704" s="86"/>
      <c r="D704" s="50"/>
      <c r="E704" s="96"/>
      <c r="F704" s="56"/>
      <c r="H704" s="56"/>
      <c r="I704" s="56"/>
      <c r="J704" s="56"/>
    </row>
    <row r="705" spans="1:10" s="44" customFormat="1" ht="15.5">
      <c r="A705" s="33"/>
      <c r="B705" s="87"/>
      <c r="C705" s="86"/>
      <c r="D705" s="88" t="s">
        <v>14283</v>
      </c>
      <c r="E705" s="95"/>
      <c r="F705" s="55"/>
      <c r="H705" s="55"/>
      <c r="I705" s="55"/>
      <c r="J705" s="55"/>
    </row>
    <row r="706" spans="1:10" s="44" customFormat="1" ht="15.5">
      <c r="A706" s="33"/>
      <c r="B706" s="87"/>
      <c r="C706" s="86"/>
      <c r="D706" s="89"/>
      <c r="E706" s="96"/>
      <c r="F706" s="56"/>
      <c r="H706" s="56"/>
      <c r="I706" s="56"/>
      <c r="J706" s="56"/>
    </row>
    <row r="707" spans="1:10" s="44" customFormat="1" ht="15.5">
      <c r="A707" s="33"/>
      <c r="B707" s="87"/>
      <c r="C707" s="86"/>
      <c r="D707" s="88" t="s">
        <v>14282</v>
      </c>
      <c r="E707" s="95"/>
      <c r="F707" s="55"/>
      <c r="H707" s="55"/>
      <c r="I707" s="55"/>
      <c r="J707" s="55"/>
    </row>
    <row r="708" spans="1:10" s="44" customFormat="1" ht="15.5">
      <c r="A708" s="33"/>
      <c r="B708" s="87"/>
      <c r="C708" s="86"/>
      <c r="D708" s="89"/>
      <c r="E708" s="96"/>
      <c r="F708" s="56"/>
      <c r="H708" s="56"/>
      <c r="I708" s="56"/>
      <c r="J708" s="56"/>
    </row>
    <row r="709" spans="1:10" s="44" customFormat="1" ht="15.5">
      <c r="A709" s="33"/>
      <c r="B709" s="87"/>
      <c r="C709" s="86"/>
      <c r="D709" s="82" t="s">
        <v>14281</v>
      </c>
      <c r="E709" s="95"/>
      <c r="F709" s="55"/>
      <c r="H709" s="55"/>
      <c r="I709" s="55"/>
      <c r="J709" s="55"/>
    </row>
    <row r="710" spans="1:10" s="44" customFormat="1" ht="15.5">
      <c r="A710" s="33"/>
      <c r="B710" s="87"/>
      <c r="C710" s="86"/>
      <c r="D710" s="83"/>
      <c r="E710" s="96"/>
      <c r="F710" s="56"/>
      <c r="H710" s="56"/>
      <c r="I710" s="56"/>
      <c r="J710" s="56"/>
    </row>
    <row r="711" spans="1:10" s="44" customFormat="1" ht="15.5">
      <c r="A711" s="33"/>
      <c r="B711" s="87"/>
      <c r="C711" s="86"/>
      <c r="D711" s="88" t="s">
        <v>14280</v>
      </c>
      <c r="E711" s="95"/>
      <c r="F711" s="55"/>
      <c r="H711" s="55"/>
      <c r="I711" s="55"/>
      <c r="J711" s="55"/>
    </row>
    <row r="712" spans="1:10" s="44" customFormat="1" ht="15.5">
      <c r="A712" s="33"/>
      <c r="B712" s="87"/>
      <c r="C712" s="83"/>
      <c r="D712" s="89"/>
      <c r="E712" s="96"/>
      <c r="F712" s="56"/>
      <c r="H712" s="56"/>
      <c r="I712" s="56"/>
      <c r="J712" s="56"/>
    </row>
    <row r="713" spans="1:10" s="44" customFormat="1" ht="15.75" customHeight="1">
      <c r="A713" s="33"/>
      <c r="B713" s="87"/>
      <c r="C713" s="82" t="s">
        <v>14279</v>
      </c>
      <c r="D713" s="88" t="s">
        <v>14278</v>
      </c>
      <c r="E713" s="95"/>
      <c r="F713" s="55"/>
      <c r="H713" s="55"/>
      <c r="I713" s="55"/>
      <c r="J713" s="55"/>
    </row>
    <row r="714" spans="1:10" s="44" customFormat="1" ht="15.5">
      <c r="A714" s="33"/>
      <c r="B714" s="87"/>
      <c r="C714" s="86"/>
      <c r="D714" s="89"/>
      <c r="E714" s="96"/>
      <c r="F714" s="56"/>
      <c r="H714" s="56"/>
      <c r="I714" s="56"/>
      <c r="J714" s="56"/>
    </row>
    <row r="715" spans="1:10" s="44" customFormat="1" ht="15.5">
      <c r="A715" s="33"/>
      <c r="B715" s="87"/>
      <c r="C715" s="86"/>
      <c r="D715" s="88" t="s">
        <v>14277</v>
      </c>
      <c r="E715" s="95"/>
      <c r="F715" s="55"/>
      <c r="H715" s="55"/>
      <c r="I715" s="55"/>
      <c r="J715" s="55"/>
    </row>
    <row r="716" spans="1:10" s="44" customFormat="1" ht="15.5">
      <c r="A716" s="33"/>
      <c r="B716" s="87"/>
      <c r="C716" s="86"/>
      <c r="D716" s="89"/>
      <c r="E716" s="96"/>
      <c r="F716" s="56"/>
      <c r="H716" s="56"/>
      <c r="I716" s="56"/>
      <c r="J716" s="56"/>
    </row>
    <row r="717" spans="1:10" s="44" customFormat="1" ht="15.5">
      <c r="A717" s="33"/>
      <c r="B717" s="87"/>
      <c r="C717" s="86"/>
      <c r="D717" s="49" t="s">
        <v>14276</v>
      </c>
      <c r="E717" s="95"/>
      <c r="F717" s="55"/>
      <c r="H717" s="55"/>
      <c r="I717" s="55"/>
      <c r="J717" s="55"/>
    </row>
    <row r="718" spans="1:10" s="44" customFormat="1" ht="15.5">
      <c r="A718" s="33"/>
      <c r="B718" s="87"/>
      <c r="C718" s="86"/>
      <c r="D718" s="50"/>
      <c r="E718" s="96"/>
      <c r="F718" s="56"/>
      <c r="H718" s="56"/>
      <c r="I718" s="56"/>
      <c r="J718" s="56"/>
    </row>
    <row r="719" spans="1:10" s="44" customFormat="1" ht="15.5">
      <c r="A719" s="33"/>
      <c r="B719" s="87"/>
      <c r="C719" s="86"/>
      <c r="D719" s="88" t="s">
        <v>14275</v>
      </c>
      <c r="E719" s="95"/>
      <c r="F719" s="55"/>
      <c r="H719" s="55"/>
      <c r="I719" s="55"/>
      <c r="J719" s="55"/>
    </row>
    <row r="720" spans="1:10" s="44" customFormat="1" ht="15.5">
      <c r="A720" s="33"/>
      <c r="B720" s="87"/>
      <c r="C720" s="86"/>
      <c r="D720" s="89"/>
      <c r="E720" s="96"/>
      <c r="F720" s="56"/>
      <c r="H720" s="56"/>
      <c r="I720" s="56"/>
      <c r="J720" s="56"/>
    </row>
    <row r="721" spans="1:10" s="44" customFormat="1" ht="15.5">
      <c r="A721" s="33"/>
      <c r="B721" s="87"/>
      <c r="C721" s="86"/>
      <c r="D721" s="49" t="s">
        <v>14274</v>
      </c>
      <c r="E721" s="95"/>
      <c r="F721" s="55"/>
      <c r="H721" s="55"/>
      <c r="I721" s="55"/>
      <c r="J721" s="55"/>
    </row>
    <row r="722" spans="1:10" s="44" customFormat="1" ht="15.5">
      <c r="A722" s="33"/>
      <c r="B722" s="87"/>
      <c r="C722" s="83"/>
      <c r="D722" s="50"/>
      <c r="E722" s="96"/>
      <c r="F722" s="56"/>
      <c r="H722" s="56"/>
      <c r="I722" s="56"/>
      <c r="J722" s="56"/>
    </row>
    <row r="723" spans="1:10" s="44" customFormat="1" ht="15.75" customHeight="1">
      <c r="A723" s="33"/>
      <c r="B723" s="87"/>
      <c r="C723" s="82" t="s">
        <v>14273</v>
      </c>
      <c r="D723" s="88" t="s">
        <v>14272</v>
      </c>
      <c r="E723" s="95"/>
      <c r="F723" s="55"/>
      <c r="H723" s="55"/>
      <c r="I723" s="55"/>
      <c r="J723" s="55"/>
    </row>
    <row r="724" spans="1:10" s="44" customFormat="1" ht="15.5">
      <c r="A724" s="33"/>
      <c r="B724" s="87"/>
      <c r="C724" s="86"/>
      <c r="D724" s="89"/>
      <c r="E724" s="96"/>
      <c r="F724" s="56"/>
      <c r="H724" s="56"/>
      <c r="I724" s="56"/>
      <c r="J724" s="56"/>
    </row>
    <row r="725" spans="1:10" s="44" customFormat="1" ht="15.5">
      <c r="A725" s="33"/>
      <c r="B725" s="87"/>
      <c r="C725" s="86"/>
      <c r="D725" s="88" t="s">
        <v>14271</v>
      </c>
      <c r="E725" s="95"/>
      <c r="F725" s="55"/>
      <c r="H725" s="55"/>
      <c r="I725" s="55"/>
      <c r="J725" s="55"/>
    </row>
    <row r="726" spans="1:10" s="44" customFormat="1" ht="15.5">
      <c r="A726" s="33"/>
      <c r="B726" s="87"/>
      <c r="C726" s="86"/>
      <c r="D726" s="89"/>
      <c r="E726" s="96"/>
      <c r="F726" s="56"/>
      <c r="H726" s="56"/>
      <c r="I726" s="56"/>
      <c r="J726" s="56"/>
    </row>
    <row r="727" spans="1:10" s="44" customFormat="1" ht="15.5">
      <c r="A727" s="33"/>
      <c r="B727" s="87"/>
      <c r="C727" s="86"/>
      <c r="D727" s="88" t="s">
        <v>14270</v>
      </c>
      <c r="E727" s="95"/>
      <c r="F727" s="55"/>
      <c r="H727" s="55"/>
      <c r="I727" s="55"/>
      <c r="J727" s="55"/>
    </row>
    <row r="728" spans="1:10" s="44" customFormat="1" ht="15.5">
      <c r="A728" s="33"/>
      <c r="B728" s="87"/>
      <c r="C728" s="86"/>
      <c r="D728" s="89"/>
      <c r="E728" s="96"/>
      <c r="F728" s="56"/>
      <c r="H728" s="56"/>
      <c r="I728" s="56"/>
      <c r="J728" s="56"/>
    </row>
    <row r="729" spans="1:10" s="44" customFormat="1" ht="15.5">
      <c r="A729" s="33"/>
      <c r="B729" s="87"/>
      <c r="C729" s="86"/>
      <c r="D729" s="88" t="s">
        <v>14269</v>
      </c>
      <c r="E729" s="95"/>
      <c r="F729" s="55"/>
      <c r="H729" s="55"/>
      <c r="I729" s="55"/>
      <c r="J729" s="55"/>
    </row>
    <row r="730" spans="1:10" s="44" customFormat="1" ht="15.5">
      <c r="A730" s="33"/>
      <c r="B730" s="87"/>
      <c r="C730" s="86"/>
      <c r="D730" s="89"/>
      <c r="E730" s="96"/>
      <c r="F730" s="56"/>
      <c r="H730" s="56"/>
      <c r="I730" s="56"/>
      <c r="J730" s="56"/>
    </row>
    <row r="731" spans="1:10" s="44" customFormat="1" ht="15.5">
      <c r="A731" s="33"/>
      <c r="B731" s="87"/>
      <c r="C731" s="86"/>
      <c r="D731" s="49" t="s">
        <v>14268</v>
      </c>
      <c r="E731" s="95"/>
      <c r="F731" s="55"/>
      <c r="H731" s="55"/>
      <c r="I731" s="55"/>
      <c r="J731" s="55"/>
    </row>
    <row r="732" spans="1:10" s="44" customFormat="1" ht="15.5">
      <c r="A732" s="33"/>
      <c r="B732" s="87"/>
      <c r="C732" s="83"/>
      <c r="D732" s="50"/>
      <c r="E732" s="96"/>
      <c r="F732" s="56"/>
      <c r="H732" s="56"/>
      <c r="I732" s="56"/>
      <c r="J732" s="56"/>
    </row>
    <row r="733" spans="1:10" s="44" customFormat="1" ht="15.75" customHeight="1">
      <c r="A733" s="33"/>
      <c r="B733" s="87"/>
      <c r="C733" s="82" t="s">
        <v>14267</v>
      </c>
      <c r="D733" s="88" t="s">
        <v>14266</v>
      </c>
      <c r="E733" s="95"/>
      <c r="F733" s="55"/>
      <c r="H733" s="55"/>
      <c r="I733" s="55"/>
      <c r="J733" s="55"/>
    </row>
    <row r="734" spans="1:10" s="44" customFormat="1" ht="15.5">
      <c r="A734" s="33"/>
      <c r="B734" s="87"/>
      <c r="C734" s="86"/>
      <c r="D734" s="89"/>
      <c r="E734" s="96"/>
      <c r="F734" s="56"/>
      <c r="H734" s="56"/>
      <c r="I734" s="56"/>
      <c r="J734" s="56"/>
    </row>
    <row r="735" spans="1:10" s="44" customFormat="1" ht="15.5">
      <c r="A735" s="33"/>
      <c r="B735" s="87"/>
      <c r="C735" s="86"/>
      <c r="D735" s="49" t="s">
        <v>14265</v>
      </c>
      <c r="E735" s="95"/>
      <c r="F735" s="55"/>
      <c r="H735" s="55"/>
      <c r="I735" s="55"/>
      <c r="J735" s="55"/>
    </row>
    <row r="736" spans="1:10" s="44" customFormat="1" ht="15.5">
      <c r="A736" s="33"/>
      <c r="B736" s="87"/>
      <c r="C736" s="86"/>
      <c r="D736" s="50"/>
      <c r="E736" s="96"/>
      <c r="F736" s="56"/>
      <c r="H736" s="56"/>
      <c r="I736" s="56"/>
      <c r="J736" s="56"/>
    </row>
    <row r="737" spans="1:10" s="44" customFormat="1" ht="15.5">
      <c r="A737" s="33"/>
      <c r="B737" s="87"/>
      <c r="C737" s="86"/>
      <c r="D737" s="49" t="s">
        <v>14264</v>
      </c>
      <c r="E737" s="95"/>
      <c r="F737" s="55"/>
      <c r="H737" s="55"/>
      <c r="I737" s="55"/>
      <c r="J737" s="55"/>
    </row>
    <row r="738" spans="1:10" s="44" customFormat="1" ht="15.5">
      <c r="A738" s="33"/>
      <c r="B738" s="87"/>
      <c r="C738" s="86"/>
      <c r="D738" s="50"/>
      <c r="E738" s="96"/>
      <c r="F738" s="56"/>
      <c r="H738" s="56"/>
      <c r="I738" s="56"/>
      <c r="J738" s="56"/>
    </row>
    <row r="739" spans="1:10" s="44" customFormat="1" ht="15.5">
      <c r="A739" s="33"/>
      <c r="B739" s="87"/>
      <c r="C739" s="86"/>
      <c r="D739" s="88" t="s">
        <v>14263</v>
      </c>
      <c r="E739" s="95"/>
      <c r="F739" s="55"/>
      <c r="H739" s="55"/>
      <c r="I739" s="55"/>
      <c r="J739" s="55"/>
    </row>
    <row r="740" spans="1:10" s="44" customFormat="1" ht="15.5">
      <c r="A740" s="33"/>
      <c r="B740" s="87"/>
      <c r="C740" s="86"/>
      <c r="D740" s="89"/>
      <c r="E740" s="96"/>
      <c r="F740" s="56"/>
      <c r="H740" s="56"/>
      <c r="I740" s="56"/>
      <c r="J740" s="56"/>
    </row>
    <row r="741" spans="1:10" s="44" customFormat="1" ht="15.5">
      <c r="A741" s="33"/>
      <c r="B741" s="87"/>
      <c r="C741" s="86"/>
      <c r="D741" s="88" t="s">
        <v>14262</v>
      </c>
      <c r="E741" s="95"/>
      <c r="F741" s="55"/>
      <c r="H741" s="55"/>
      <c r="I741" s="55"/>
      <c r="J741" s="55"/>
    </row>
    <row r="742" spans="1:10" s="44" customFormat="1" ht="15.5">
      <c r="A742" s="33"/>
      <c r="B742" s="87"/>
      <c r="C742" s="83"/>
      <c r="D742" s="89"/>
      <c r="E742" s="96"/>
      <c r="F742" s="56"/>
      <c r="H742" s="56"/>
      <c r="I742" s="56"/>
      <c r="J742" s="56"/>
    </row>
    <row r="743" spans="1:10" s="44" customFormat="1" ht="15.75" customHeight="1">
      <c r="A743" s="33"/>
      <c r="B743" s="87"/>
      <c r="C743" s="82" t="s">
        <v>14261</v>
      </c>
      <c r="D743" s="88" t="s">
        <v>14260</v>
      </c>
      <c r="E743" s="95"/>
      <c r="F743" s="55"/>
      <c r="H743" s="55"/>
      <c r="I743" s="55"/>
      <c r="J743" s="55"/>
    </row>
    <row r="744" spans="1:10" s="44" customFormat="1" ht="15.5">
      <c r="A744" s="33"/>
      <c r="B744" s="87"/>
      <c r="C744" s="86"/>
      <c r="D744" s="89"/>
      <c r="E744" s="96"/>
      <c r="F744" s="56"/>
      <c r="H744" s="56"/>
      <c r="I744" s="56"/>
      <c r="J744" s="56"/>
    </row>
    <row r="745" spans="1:10" s="44" customFormat="1" ht="15.5">
      <c r="A745" s="33"/>
      <c r="B745" s="87"/>
      <c r="C745" s="86"/>
      <c r="D745" s="88" t="s">
        <v>14259</v>
      </c>
      <c r="E745" s="95"/>
      <c r="F745" s="55"/>
      <c r="H745" s="55"/>
      <c r="I745" s="55"/>
      <c r="J745" s="55"/>
    </row>
    <row r="746" spans="1:10" s="44" customFormat="1" ht="15.5">
      <c r="A746" s="33"/>
      <c r="B746" s="87"/>
      <c r="C746" s="86"/>
      <c r="D746" s="89"/>
      <c r="E746" s="96"/>
      <c r="F746" s="56"/>
      <c r="H746" s="56"/>
      <c r="I746" s="56"/>
      <c r="J746" s="56"/>
    </row>
    <row r="747" spans="1:10" s="44" customFormat="1" ht="15.5">
      <c r="A747" s="33"/>
      <c r="B747" s="87"/>
      <c r="C747" s="86"/>
      <c r="D747" s="88" t="s">
        <v>14258</v>
      </c>
      <c r="E747" s="95"/>
      <c r="F747" s="55"/>
      <c r="H747" s="55"/>
      <c r="I747" s="55"/>
      <c r="J747" s="55"/>
    </row>
    <row r="748" spans="1:10" s="44" customFormat="1" ht="15.5">
      <c r="A748" s="33"/>
      <c r="B748" s="87"/>
      <c r="C748" s="86"/>
      <c r="D748" s="89"/>
      <c r="E748" s="96"/>
      <c r="F748" s="56"/>
      <c r="H748" s="56"/>
      <c r="I748" s="56"/>
      <c r="J748" s="56"/>
    </row>
    <row r="749" spans="1:10" s="44" customFormat="1" ht="15.5">
      <c r="A749" s="33"/>
      <c r="B749" s="87"/>
      <c r="C749" s="86"/>
      <c r="D749" s="88" t="s">
        <v>14257</v>
      </c>
      <c r="E749" s="95"/>
      <c r="F749" s="55"/>
      <c r="H749" s="55"/>
      <c r="I749" s="55"/>
      <c r="J749" s="55"/>
    </row>
    <row r="750" spans="1:10" s="44" customFormat="1" ht="15.5">
      <c r="A750" s="33"/>
      <c r="B750" s="87"/>
      <c r="C750" s="86"/>
      <c r="D750" s="89"/>
      <c r="E750" s="96"/>
      <c r="F750" s="56"/>
      <c r="H750" s="56"/>
      <c r="I750" s="56"/>
      <c r="J750" s="56"/>
    </row>
    <row r="751" spans="1:10" s="44" customFormat="1" ht="15.5">
      <c r="A751" s="33"/>
      <c r="B751" s="87"/>
      <c r="C751" s="86"/>
      <c r="D751" s="88" t="s">
        <v>14256</v>
      </c>
      <c r="E751" s="95"/>
      <c r="F751" s="55"/>
      <c r="H751" s="55"/>
      <c r="I751" s="55"/>
      <c r="J751" s="55"/>
    </row>
    <row r="752" spans="1:10" s="44" customFormat="1" ht="15.5">
      <c r="A752" s="33"/>
      <c r="B752" s="87"/>
      <c r="C752" s="83"/>
      <c r="D752" s="89"/>
      <c r="E752" s="96"/>
      <c r="F752" s="56"/>
      <c r="H752" s="56"/>
      <c r="I752" s="56"/>
      <c r="J752" s="56"/>
    </row>
    <row r="753" spans="1:10" s="44" customFormat="1" ht="15.75" customHeight="1">
      <c r="A753" s="33"/>
      <c r="B753" s="87"/>
      <c r="C753" s="82" t="s">
        <v>14255</v>
      </c>
      <c r="D753" s="88" t="s">
        <v>14254</v>
      </c>
      <c r="E753" s="95"/>
      <c r="F753" s="55"/>
      <c r="H753" s="55"/>
      <c r="I753" s="55"/>
      <c r="J753" s="55"/>
    </row>
    <row r="754" spans="1:10" s="44" customFormat="1" ht="15.5">
      <c r="A754" s="33"/>
      <c r="B754" s="87"/>
      <c r="C754" s="86"/>
      <c r="D754" s="89"/>
      <c r="E754" s="96"/>
      <c r="F754" s="56"/>
      <c r="H754" s="56"/>
      <c r="I754" s="56"/>
      <c r="J754" s="56"/>
    </row>
    <row r="755" spans="1:10" s="44" customFormat="1" ht="15.5">
      <c r="A755" s="33"/>
      <c r="B755" s="87"/>
      <c r="C755" s="86"/>
      <c r="D755" s="88" t="s">
        <v>14253</v>
      </c>
      <c r="E755" s="95"/>
      <c r="F755" s="55"/>
      <c r="H755" s="55"/>
      <c r="I755" s="55"/>
      <c r="J755" s="55"/>
    </row>
    <row r="756" spans="1:10" s="44" customFormat="1" ht="15.5">
      <c r="A756" s="33"/>
      <c r="B756" s="87"/>
      <c r="C756" s="86"/>
      <c r="D756" s="89"/>
      <c r="E756" s="96"/>
      <c r="F756" s="56"/>
      <c r="H756" s="56"/>
      <c r="I756" s="56"/>
      <c r="J756" s="56"/>
    </row>
    <row r="757" spans="1:10" s="44" customFormat="1" ht="15.5">
      <c r="A757" s="33"/>
      <c r="B757" s="87"/>
      <c r="C757" s="86"/>
      <c r="D757" s="88" t="s">
        <v>14252</v>
      </c>
      <c r="E757" s="95"/>
      <c r="F757" s="55"/>
      <c r="H757" s="55"/>
      <c r="I757" s="55"/>
      <c r="J757" s="55"/>
    </row>
    <row r="758" spans="1:10" s="44" customFormat="1" ht="15.5">
      <c r="A758" s="33"/>
      <c r="B758" s="87"/>
      <c r="C758" s="86"/>
      <c r="D758" s="89"/>
      <c r="E758" s="96"/>
      <c r="F758" s="56"/>
      <c r="H758" s="56"/>
      <c r="I758" s="56"/>
      <c r="J758" s="56"/>
    </row>
    <row r="759" spans="1:10" s="44" customFormat="1" ht="15.5">
      <c r="A759" s="33"/>
      <c r="B759" s="87"/>
      <c r="C759" s="86"/>
      <c r="D759" s="88" t="s">
        <v>14251</v>
      </c>
      <c r="E759" s="95"/>
      <c r="F759" s="55"/>
      <c r="H759" s="55"/>
      <c r="I759" s="55"/>
      <c r="J759" s="55"/>
    </row>
    <row r="760" spans="1:10" s="44" customFormat="1" ht="15.5">
      <c r="A760" s="33"/>
      <c r="B760" s="87"/>
      <c r="C760" s="86"/>
      <c r="D760" s="89"/>
      <c r="E760" s="96"/>
      <c r="F760" s="56"/>
      <c r="H760" s="56"/>
      <c r="I760" s="56"/>
      <c r="J760" s="56"/>
    </row>
    <row r="761" spans="1:10" s="44" customFormat="1" ht="15.5">
      <c r="A761" s="33"/>
      <c r="B761" s="87"/>
      <c r="C761" s="86"/>
      <c r="D761" s="88" t="s">
        <v>14250</v>
      </c>
      <c r="E761" s="95"/>
      <c r="F761" s="55"/>
      <c r="H761" s="55"/>
      <c r="I761" s="55"/>
      <c r="J761" s="55"/>
    </row>
    <row r="762" spans="1:10" s="44" customFormat="1" ht="15.5">
      <c r="A762" s="33"/>
      <c r="B762" s="87"/>
      <c r="C762" s="83"/>
      <c r="D762" s="89"/>
      <c r="E762" s="96"/>
      <c r="F762" s="56"/>
      <c r="H762" s="56"/>
      <c r="I762" s="56"/>
      <c r="J762" s="56"/>
    </row>
    <row r="763" spans="1:10" s="44" customFormat="1" ht="15.75" customHeight="1">
      <c r="A763" s="33"/>
      <c r="B763" s="87"/>
      <c r="C763" s="82" t="s">
        <v>14249</v>
      </c>
      <c r="D763" s="88" t="s">
        <v>14248</v>
      </c>
      <c r="E763" s="95"/>
      <c r="F763" s="55"/>
      <c r="H763" s="55"/>
      <c r="I763" s="55"/>
      <c r="J763" s="55"/>
    </row>
    <row r="764" spans="1:10" s="44" customFormat="1" ht="15.5">
      <c r="A764" s="33"/>
      <c r="B764" s="87"/>
      <c r="C764" s="86"/>
      <c r="D764" s="89"/>
      <c r="E764" s="96"/>
      <c r="F764" s="56"/>
      <c r="H764" s="56"/>
      <c r="I764" s="56"/>
      <c r="J764" s="56"/>
    </row>
    <row r="765" spans="1:10" s="44" customFormat="1" ht="15.5">
      <c r="A765" s="33"/>
      <c r="B765" s="87"/>
      <c r="C765" s="86"/>
      <c r="D765" s="82" t="s">
        <v>14247</v>
      </c>
      <c r="E765" s="95"/>
      <c r="F765" s="55"/>
      <c r="H765" s="55"/>
      <c r="I765" s="55"/>
      <c r="J765" s="55"/>
    </row>
    <row r="766" spans="1:10" s="44" customFormat="1" ht="15.5">
      <c r="A766" s="33"/>
      <c r="B766" s="87"/>
      <c r="C766" s="86"/>
      <c r="D766" s="83"/>
      <c r="E766" s="96"/>
      <c r="F766" s="56"/>
      <c r="H766" s="56"/>
      <c r="I766" s="56"/>
      <c r="J766" s="56"/>
    </row>
    <row r="767" spans="1:10" s="44" customFormat="1" ht="15.5">
      <c r="A767" s="33"/>
      <c r="B767" s="87"/>
      <c r="C767" s="86"/>
      <c r="D767" s="49" t="s">
        <v>14246</v>
      </c>
      <c r="E767" s="95"/>
      <c r="F767" s="55"/>
      <c r="H767" s="55"/>
      <c r="I767" s="55"/>
      <c r="J767" s="55"/>
    </row>
    <row r="768" spans="1:10" s="44" customFormat="1" ht="15.5">
      <c r="A768" s="33"/>
      <c r="B768" s="87"/>
      <c r="C768" s="86"/>
      <c r="D768" s="50"/>
      <c r="E768" s="96"/>
      <c r="F768" s="56"/>
      <c r="H768" s="56"/>
      <c r="I768" s="56"/>
      <c r="J768" s="56"/>
    </row>
    <row r="769" spans="1:10" s="44" customFormat="1" ht="15.5">
      <c r="A769" s="33"/>
      <c r="B769" s="87"/>
      <c r="C769" s="86"/>
      <c r="D769" s="88" t="s">
        <v>14245</v>
      </c>
      <c r="E769" s="95"/>
      <c r="F769" s="55"/>
      <c r="H769" s="55"/>
      <c r="I769" s="55"/>
      <c r="J769" s="55"/>
    </row>
    <row r="770" spans="1:10" s="44" customFormat="1" ht="15.5">
      <c r="A770" s="33"/>
      <c r="B770" s="87"/>
      <c r="C770" s="86"/>
      <c r="D770" s="89"/>
      <c r="E770" s="96"/>
      <c r="F770" s="56"/>
      <c r="H770" s="56"/>
      <c r="I770" s="56"/>
      <c r="J770" s="56"/>
    </row>
    <row r="771" spans="1:10" s="44" customFormat="1" ht="15.5">
      <c r="A771" s="33"/>
      <c r="B771" s="87"/>
      <c r="C771" s="86"/>
      <c r="D771" s="88" t="s">
        <v>14244</v>
      </c>
      <c r="E771" s="95"/>
      <c r="F771" s="55"/>
      <c r="H771" s="55"/>
      <c r="I771" s="55"/>
      <c r="J771" s="55"/>
    </row>
    <row r="772" spans="1:10" s="44" customFormat="1" ht="15.5">
      <c r="A772" s="33"/>
      <c r="B772" s="87"/>
      <c r="C772" s="83"/>
      <c r="D772" s="89"/>
      <c r="E772" s="96"/>
      <c r="F772" s="56"/>
      <c r="H772" s="56"/>
      <c r="I772" s="56"/>
      <c r="J772" s="56"/>
    </row>
    <row r="773" spans="1:10" s="44" customFormat="1" ht="15.75" customHeight="1">
      <c r="A773" s="33"/>
      <c r="B773" s="87"/>
      <c r="C773" s="82" t="s">
        <v>14243</v>
      </c>
      <c r="D773" s="88" t="s">
        <v>14242</v>
      </c>
      <c r="E773" s="95"/>
      <c r="F773" s="55"/>
      <c r="H773" s="55"/>
      <c r="I773" s="55"/>
      <c r="J773" s="55"/>
    </row>
    <row r="774" spans="1:10" s="44" customFormat="1" ht="15.5">
      <c r="A774" s="33"/>
      <c r="B774" s="87"/>
      <c r="C774" s="86"/>
      <c r="D774" s="89"/>
      <c r="E774" s="96"/>
      <c r="F774" s="56"/>
      <c r="H774" s="56"/>
      <c r="I774" s="56"/>
      <c r="J774" s="56"/>
    </row>
    <row r="775" spans="1:10" s="44" customFormat="1" ht="15.5">
      <c r="A775" s="33"/>
      <c r="B775" s="87"/>
      <c r="C775" s="86"/>
      <c r="D775" s="88" t="s">
        <v>14241</v>
      </c>
      <c r="E775" s="95"/>
      <c r="F775" s="55"/>
      <c r="H775" s="55"/>
      <c r="I775" s="55"/>
      <c r="J775" s="55"/>
    </row>
    <row r="776" spans="1:10" s="44" customFormat="1" ht="15.5">
      <c r="A776" s="33"/>
      <c r="B776" s="87"/>
      <c r="C776" s="86"/>
      <c r="D776" s="89"/>
      <c r="E776" s="96"/>
      <c r="F776" s="56"/>
      <c r="H776" s="56"/>
      <c r="I776" s="56"/>
      <c r="J776" s="56"/>
    </row>
    <row r="777" spans="1:10" s="44" customFormat="1" ht="15.5">
      <c r="A777" s="33"/>
      <c r="B777" s="87"/>
      <c r="C777" s="86"/>
      <c r="D777" s="88" t="s">
        <v>14240</v>
      </c>
      <c r="E777" s="95"/>
      <c r="F777" s="55"/>
      <c r="H777" s="55"/>
      <c r="I777" s="55"/>
      <c r="J777" s="55"/>
    </row>
    <row r="778" spans="1:10" s="44" customFormat="1" ht="15.5">
      <c r="A778" s="33"/>
      <c r="B778" s="87"/>
      <c r="C778" s="86"/>
      <c r="D778" s="89"/>
      <c r="E778" s="96"/>
      <c r="F778" s="56"/>
      <c r="H778" s="56"/>
      <c r="I778" s="56"/>
      <c r="J778" s="56"/>
    </row>
    <row r="779" spans="1:10" s="44" customFormat="1" ht="15.5">
      <c r="A779" s="33"/>
      <c r="B779" s="87"/>
      <c r="C779" s="86"/>
      <c r="D779" s="88" t="s">
        <v>14239</v>
      </c>
      <c r="E779" s="95"/>
      <c r="F779" s="55"/>
      <c r="H779" s="55"/>
      <c r="I779" s="55"/>
      <c r="J779" s="55"/>
    </row>
    <row r="780" spans="1:10" s="44" customFormat="1" ht="15.5">
      <c r="A780" s="33"/>
      <c r="B780" s="87"/>
      <c r="C780" s="86"/>
      <c r="D780" s="89"/>
      <c r="E780" s="96"/>
      <c r="F780" s="56"/>
      <c r="H780" s="56"/>
      <c r="I780" s="56"/>
      <c r="J780" s="56"/>
    </row>
    <row r="781" spans="1:10" s="44" customFormat="1" ht="15.5">
      <c r="A781" s="33"/>
      <c r="B781" s="87"/>
      <c r="C781" s="86"/>
      <c r="D781" s="88" t="s">
        <v>14238</v>
      </c>
      <c r="E781" s="95"/>
      <c r="F781" s="55"/>
      <c r="H781" s="55"/>
      <c r="I781" s="55"/>
      <c r="J781" s="55"/>
    </row>
    <row r="782" spans="1:10" s="44" customFormat="1" ht="15.5">
      <c r="A782" s="33"/>
      <c r="B782" s="87"/>
      <c r="C782" s="83"/>
      <c r="D782" s="89"/>
      <c r="E782" s="96"/>
      <c r="F782" s="56"/>
      <c r="H782" s="56"/>
      <c r="I782" s="56"/>
      <c r="J782" s="56"/>
    </row>
    <row r="783" spans="1:10" s="44" customFormat="1" ht="15.75" customHeight="1">
      <c r="A783" s="33"/>
      <c r="B783" s="49" t="s">
        <v>14237</v>
      </c>
      <c r="C783" s="82" t="s">
        <v>14236</v>
      </c>
      <c r="D783" s="88" t="s">
        <v>14235</v>
      </c>
      <c r="E783" s="95"/>
      <c r="F783" s="55"/>
      <c r="H783" s="55"/>
      <c r="I783" s="55"/>
      <c r="J783" s="55"/>
    </row>
    <row r="784" spans="1:10" s="44" customFormat="1" ht="15.5">
      <c r="A784" s="33"/>
      <c r="B784" s="87"/>
      <c r="C784" s="86"/>
      <c r="D784" s="89"/>
      <c r="E784" s="96"/>
      <c r="F784" s="56"/>
      <c r="H784" s="56"/>
      <c r="I784" s="56"/>
      <c r="J784" s="56"/>
    </row>
    <row r="785" spans="1:10" s="44" customFormat="1" ht="15.5">
      <c r="A785" s="33"/>
      <c r="B785" s="87"/>
      <c r="C785" s="86"/>
      <c r="D785" s="88" t="s">
        <v>14234</v>
      </c>
      <c r="E785" s="95"/>
      <c r="F785" s="55"/>
      <c r="H785" s="55"/>
      <c r="I785" s="55"/>
      <c r="J785" s="55"/>
    </row>
    <row r="786" spans="1:10" s="44" customFormat="1" ht="15.5">
      <c r="A786" s="33"/>
      <c r="B786" s="87"/>
      <c r="C786" s="86"/>
      <c r="D786" s="89"/>
      <c r="E786" s="96"/>
      <c r="F786" s="56"/>
      <c r="H786" s="56"/>
      <c r="I786" s="56"/>
      <c r="J786" s="56"/>
    </row>
    <row r="787" spans="1:10" s="44" customFormat="1" ht="15.5">
      <c r="A787" s="33"/>
      <c r="B787" s="87"/>
      <c r="C787" s="86"/>
      <c r="D787" s="88" t="s">
        <v>14233</v>
      </c>
      <c r="E787" s="95"/>
      <c r="F787" s="55"/>
      <c r="H787" s="55"/>
      <c r="I787" s="55"/>
      <c r="J787" s="55"/>
    </row>
    <row r="788" spans="1:10" s="44" customFormat="1" ht="15.5">
      <c r="A788" s="33"/>
      <c r="B788" s="87"/>
      <c r="C788" s="86"/>
      <c r="D788" s="89"/>
      <c r="E788" s="96"/>
      <c r="F788" s="56"/>
      <c r="H788" s="56"/>
      <c r="I788" s="56"/>
      <c r="J788" s="56"/>
    </row>
    <row r="789" spans="1:10" s="44" customFormat="1" ht="15.5">
      <c r="A789" s="33"/>
      <c r="B789" s="87"/>
      <c r="C789" s="86"/>
      <c r="D789" s="49" t="s">
        <v>14232</v>
      </c>
      <c r="E789" s="179"/>
      <c r="F789" s="55"/>
      <c r="H789" s="55"/>
      <c r="I789" s="55"/>
      <c r="J789" s="55"/>
    </row>
    <row r="790" spans="1:10" s="44" customFormat="1" ht="15.5">
      <c r="A790" s="33"/>
      <c r="B790" s="87"/>
      <c r="C790" s="86"/>
      <c r="D790" s="50"/>
      <c r="E790" s="178"/>
      <c r="F790" s="56"/>
      <c r="H790" s="56"/>
      <c r="I790" s="56"/>
      <c r="J790" s="56"/>
    </row>
    <row r="791" spans="1:10" s="44" customFormat="1" ht="15.5">
      <c r="A791" s="33"/>
      <c r="B791" s="87"/>
      <c r="C791" s="86"/>
      <c r="D791" s="82" t="s">
        <v>14231</v>
      </c>
      <c r="E791" s="95"/>
      <c r="F791" s="55"/>
      <c r="H791" s="55"/>
      <c r="I791" s="55"/>
      <c r="J791" s="55"/>
    </row>
    <row r="792" spans="1:10" s="44" customFormat="1" ht="15.5">
      <c r="A792" s="33"/>
      <c r="B792" s="87"/>
      <c r="C792" s="83"/>
      <c r="D792" s="83"/>
      <c r="E792" s="96"/>
      <c r="F792" s="56"/>
      <c r="H792" s="56"/>
      <c r="I792" s="56"/>
      <c r="J792" s="56"/>
    </row>
    <row r="793" spans="1:10" s="44" customFormat="1" ht="15.75" customHeight="1">
      <c r="A793" s="33"/>
      <c r="B793" s="87"/>
      <c r="C793" s="82" t="s">
        <v>14230</v>
      </c>
      <c r="D793" s="88" t="s">
        <v>14229</v>
      </c>
      <c r="E793" s="95"/>
      <c r="F793" s="55"/>
      <c r="H793" s="55"/>
      <c r="I793" s="55"/>
      <c r="J793" s="55"/>
    </row>
    <row r="794" spans="1:10" s="44" customFormat="1" ht="15.5">
      <c r="A794" s="33"/>
      <c r="B794" s="87"/>
      <c r="C794" s="86"/>
      <c r="D794" s="89"/>
      <c r="E794" s="96"/>
      <c r="F794" s="56"/>
      <c r="H794" s="56"/>
      <c r="I794" s="56"/>
      <c r="J794" s="56"/>
    </row>
    <row r="795" spans="1:10" s="44" customFormat="1" ht="15.5">
      <c r="A795" s="33"/>
      <c r="B795" s="87"/>
      <c r="C795" s="86"/>
      <c r="D795" s="49" t="s">
        <v>14228</v>
      </c>
      <c r="E795" s="95"/>
      <c r="F795" s="55"/>
      <c r="H795" s="55"/>
      <c r="I795" s="55"/>
      <c r="J795" s="55"/>
    </row>
    <row r="796" spans="1:10" s="44" customFormat="1" ht="15.5">
      <c r="A796" s="33"/>
      <c r="B796" s="87"/>
      <c r="C796" s="86"/>
      <c r="D796" s="50"/>
      <c r="E796" s="96"/>
      <c r="F796" s="56"/>
      <c r="H796" s="56"/>
      <c r="I796" s="56"/>
      <c r="J796" s="56"/>
    </row>
    <row r="797" spans="1:10" s="44" customFormat="1" ht="15.5">
      <c r="A797" s="33"/>
      <c r="B797" s="87"/>
      <c r="C797" s="86"/>
      <c r="D797" s="49" t="s">
        <v>14227</v>
      </c>
      <c r="E797" s="95"/>
      <c r="F797" s="55"/>
      <c r="H797" s="55"/>
      <c r="I797" s="55"/>
      <c r="J797" s="55"/>
    </row>
    <row r="798" spans="1:10" s="44" customFormat="1" ht="15.5">
      <c r="A798" s="33"/>
      <c r="B798" s="87"/>
      <c r="C798" s="86"/>
      <c r="D798" s="50"/>
      <c r="E798" s="96"/>
      <c r="F798" s="56"/>
      <c r="H798" s="56"/>
      <c r="I798" s="56"/>
      <c r="J798" s="56"/>
    </row>
    <row r="799" spans="1:10" s="44" customFormat="1" ht="15.5">
      <c r="A799" s="33"/>
      <c r="B799" s="87"/>
      <c r="C799" s="86"/>
      <c r="D799" s="88" t="s">
        <v>14226</v>
      </c>
      <c r="E799" s="95"/>
      <c r="F799" s="55"/>
      <c r="H799" s="55"/>
      <c r="I799" s="55"/>
      <c r="J799" s="55"/>
    </row>
    <row r="800" spans="1:10" s="44" customFormat="1" ht="15.5">
      <c r="A800" s="33"/>
      <c r="B800" s="87"/>
      <c r="C800" s="86"/>
      <c r="D800" s="89"/>
      <c r="E800" s="96"/>
      <c r="F800" s="56"/>
      <c r="H800" s="56"/>
      <c r="I800" s="56"/>
      <c r="J800" s="56"/>
    </row>
    <row r="801" spans="1:10" s="44" customFormat="1" ht="15.5">
      <c r="A801" s="33"/>
      <c r="B801" s="87"/>
      <c r="C801" s="86"/>
      <c r="D801" s="88" t="s">
        <v>14225</v>
      </c>
      <c r="E801" s="95"/>
      <c r="F801" s="55"/>
      <c r="H801" s="55"/>
      <c r="I801" s="55"/>
      <c r="J801" s="55"/>
    </row>
    <row r="802" spans="1:10" s="44" customFormat="1" ht="15.5">
      <c r="A802" s="33"/>
      <c r="B802" s="87"/>
      <c r="C802" s="83"/>
      <c r="D802" s="89"/>
      <c r="E802" s="96"/>
      <c r="F802" s="56"/>
      <c r="H802" s="56"/>
      <c r="I802" s="56"/>
      <c r="J802" s="56"/>
    </row>
    <row r="803" spans="1:10" s="44" customFormat="1" ht="15.75" customHeight="1">
      <c r="A803" s="33"/>
      <c r="B803" s="87"/>
      <c r="C803" s="82" t="s">
        <v>14224</v>
      </c>
      <c r="D803" s="88" t="s">
        <v>14223</v>
      </c>
      <c r="E803" s="95"/>
      <c r="F803" s="55"/>
      <c r="H803" s="55"/>
      <c r="I803" s="55"/>
      <c r="J803" s="55"/>
    </row>
    <row r="804" spans="1:10" s="44" customFormat="1" ht="15.5">
      <c r="A804" s="33"/>
      <c r="B804" s="87"/>
      <c r="C804" s="86"/>
      <c r="D804" s="89"/>
      <c r="E804" s="96"/>
      <c r="F804" s="56"/>
      <c r="H804" s="56"/>
      <c r="I804" s="56"/>
      <c r="J804" s="56"/>
    </row>
    <row r="805" spans="1:10" s="44" customFormat="1" ht="15.5">
      <c r="A805" s="33"/>
      <c r="B805" s="87"/>
      <c r="C805" s="86"/>
      <c r="D805" s="88" t="s">
        <v>14222</v>
      </c>
      <c r="E805" s="95"/>
      <c r="F805" s="55"/>
      <c r="H805" s="55"/>
      <c r="I805" s="55"/>
      <c r="J805" s="55"/>
    </row>
    <row r="806" spans="1:10" s="44" customFormat="1" ht="15.5">
      <c r="A806" s="33"/>
      <c r="B806" s="87"/>
      <c r="C806" s="86"/>
      <c r="D806" s="89"/>
      <c r="E806" s="96"/>
      <c r="F806" s="56"/>
      <c r="H806" s="56"/>
      <c r="I806" s="56"/>
      <c r="J806" s="56"/>
    </row>
    <row r="807" spans="1:10" s="44" customFormat="1" ht="15.5">
      <c r="A807" s="33"/>
      <c r="B807" s="87"/>
      <c r="C807" s="86"/>
      <c r="D807" s="88" t="s">
        <v>14221</v>
      </c>
      <c r="E807" s="95"/>
      <c r="F807" s="55"/>
      <c r="H807" s="55"/>
      <c r="I807" s="55"/>
      <c r="J807" s="55"/>
    </row>
    <row r="808" spans="1:10" s="44" customFormat="1" ht="15.5">
      <c r="A808" s="33"/>
      <c r="B808" s="87"/>
      <c r="C808" s="86"/>
      <c r="D808" s="89"/>
      <c r="E808" s="96"/>
      <c r="F808" s="56"/>
      <c r="H808" s="56"/>
      <c r="I808" s="56"/>
      <c r="J808" s="56"/>
    </row>
    <row r="809" spans="1:10" s="44" customFormat="1" ht="15.5">
      <c r="A809" s="33"/>
      <c r="B809" s="87"/>
      <c r="C809" s="86"/>
      <c r="D809" s="88" t="s">
        <v>14220</v>
      </c>
      <c r="E809" s="95"/>
      <c r="F809" s="55"/>
      <c r="H809" s="55"/>
      <c r="I809" s="55"/>
      <c r="J809" s="55"/>
    </row>
    <row r="810" spans="1:10" s="44" customFormat="1" ht="15.5">
      <c r="A810" s="33"/>
      <c r="B810" s="87"/>
      <c r="C810" s="86"/>
      <c r="D810" s="89"/>
      <c r="E810" s="96"/>
      <c r="F810" s="56"/>
      <c r="H810" s="56"/>
      <c r="I810" s="56"/>
      <c r="J810" s="56"/>
    </row>
    <row r="811" spans="1:10" s="44" customFormat="1" ht="15.5">
      <c r="A811" s="33"/>
      <c r="B811" s="87"/>
      <c r="C811" s="86"/>
      <c r="D811" s="88" t="s">
        <v>14219</v>
      </c>
      <c r="E811" s="95"/>
      <c r="F811" s="55"/>
      <c r="H811" s="55"/>
      <c r="I811" s="55"/>
      <c r="J811" s="55"/>
    </row>
    <row r="812" spans="1:10" s="44" customFormat="1" ht="15.5">
      <c r="A812" s="33"/>
      <c r="B812" s="87"/>
      <c r="C812" s="83"/>
      <c r="D812" s="89"/>
      <c r="E812" s="96"/>
      <c r="F812" s="56"/>
      <c r="H812" s="56"/>
      <c r="I812" s="56"/>
      <c r="J812" s="56"/>
    </row>
    <row r="813" spans="1:10" s="44" customFormat="1" ht="15.75" customHeight="1">
      <c r="A813" s="33"/>
      <c r="B813" s="87"/>
      <c r="C813" s="82" t="s">
        <v>14218</v>
      </c>
      <c r="D813" s="88" t="s">
        <v>14217</v>
      </c>
      <c r="E813" s="95"/>
      <c r="F813" s="55"/>
      <c r="H813" s="55"/>
      <c r="I813" s="55"/>
      <c r="J813" s="55"/>
    </row>
    <row r="814" spans="1:10" s="44" customFormat="1" ht="15.5">
      <c r="A814" s="33"/>
      <c r="B814" s="87"/>
      <c r="C814" s="86"/>
      <c r="D814" s="89"/>
      <c r="E814" s="96"/>
      <c r="F814" s="56"/>
      <c r="H814" s="56"/>
      <c r="I814" s="56"/>
      <c r="J814" s="56"/>
    </row>
    <row r="815" spans="1:10" s="44" customFormat="1" ht="15.5">
      <c r="A815" s="33"/>
      <c r="B815" s="87"/>
      <c r="C815" s="86"/>
      <c r="D815" s="88" t="s">
        <v>14216</v>
      </c>
      <c r="E815" s="95"/>
      <c r="F815" s="55"/>
      <c r="H815" s="55"/>
      <c r="I815" s="55"/>
      <c r="J815" s="55"/>
    </row>
    <row r="816" spans="1:10" s="44" customFormat="1" ht="15.5">
      <c r="A816" s="33"/>
      <c r="B816" s="87"/>
      <c r="C816" s="86"/>
      <c r="D816" s="89"/>
      <c r="E816" s="96"/>
      <c r="F816" s="56"/>
      <c r="H816" s="56"/>
      <c r="I816" s="56"/>
      <c r="J816" s="56"/>
    </row>
    <row r="817" spans="1:10" s="44" customFormat="1" ht="15.5">
      <c r="A817" s="33"/>
      <c r="B817" s="87"/>
      <c r="C817" s="86"/>
      <c r="D817" s="88" t="s">
        <v>14215</v>
      </c>
      <c r="E817" s="95"/>
      <c r="F817" s="55"/>
      <c r="H817" s="55"/>
      <c r="I817" s="55"/>
      <c r="J817" s="55"/>
    </row>
    <row r="818" spans="1:10" s="44" customFormat="1" ht="15.5">
      <c r="A818" s="33"/>
      <c r="B818" s="87"/>
      <c r="C818" s="86"/>
      <c r="D818" s="89"/>
      <c r="E818" s="96"/>
      <c r="F818" s="56"/>
      <c r="H818" s="56"/>
      <c r="I818" s="56"/>
      <c r="J818" s="56"/>
    </row>
    <row r="819" spans="1:10" s="44" customFormat="1" ht="15.5">
      <c r="A819" s="33"/>
      <c r="B819" s="87"/>
      <c r="C819" s="86"/>
      <c r="D819" s="88" t="s">
        <v>14214</v>
      </c>
      <c r="E819" s="95"/>
      <c r="F819" s="55"/>
      <c r="H819" s="55"/>
      <c r="I819" s="55"/>
      <c r="J819" s="55"/>
    </row>
    <row r="820" spans="1:10" s="44" customFormat="1" ht="15.5">
      <c r="A820" s="33"/>
      <c r="B820" s="87"/>
      <c r="C820" s="86"/>
      <c r="D820" s="89"/>
      <c r="E820" s="96"/>
      <c r="F820" s="56"/>
      <c r="H820" s="56"/>
      <c r="I820" s="56"/>
      <c r="J820" s="56"/>
    </row>
    <row r="821" spans="1:10" s="44" customFormat="1" ht="15.5">
      <c r="A821" s="33"/>
      <c r="B821" s="87"/>
      <c r="C821" s="86"/>
      <c r="D821" s="88" t="s">
        <v>14213</v>
      </c>
      <c r="E821" s="95"/>
      <c r="F821" s="55"/>
      <c r="H821" s="55"/>
      <c r="I821" s="55"/>
      <c r="J821" s="55"/>
    </row>
    <row r="822" spans="1:10" s="44" customFormat="1" ht="15.5">
      <c r="A822" s="33"/>
      <c r="B822" s="87"/>
      <c r="C822" s="83"/>
      <c r="D822" s="89"/>
      <c r="E822" s="96"/>
      <c r="F822" s="56"/>
      <c r="H822" s="56"/>
      <c r="I822" s="56"/>
      <c r="J822" s="56"/>
    </row>
    <row r="823" spans="1:10" s="44" customFormat="1" ht="15.75" customHeight="1">
      <c r="A823" s="33"/>
      <c r="B823" s="87"/>
      <c r="C823" s="82" t="s">
        <v>14212</v>
      </c>
      <c r="D823" s="88" t="s">
        <v>14211</v>
      </c>
      <c r="E823" s="95"/>
      <c r="F823" s="55"/>
      <c r="H823" s="55"/>
      <c r="I823" s="55"/>
      <c r="J823" s="55"/>
    </row>
    <row r="824" spans="1:10" s="44" customFormat="1" ht="15.5">
      <c r="A824" s="33"/>
      <c r="B824" s="87"/>
      <c r="C824" s="86"/>
      <c r="D824" s="89"/>
      <c r="E824" s="96"/>
      <c r="F824" s="56"/>
      <c r="H824" s="56"/>
      <c r="I824" s="56"/>
      <c r="J824" s="56"/>
    </row>
    <row r="825" spans="1:10" s="44" customFormat="1" ht="15.5">
      <c r="A825" s="33"/>
      <c r="B825" s="87"/>
      <c r="C825" s="86"/>
      <c r="D825" s="88" t="s">
        <v>14210</v>
      </c>
      <c r="E825" s="95"/>
      <c r="F825" s="55"/>
      <c r="H825" s="55"/>
      <c r="I825" s="55"/>
      <c r="J825" s="55"/>
    </row>
    <row r="826" spans="1:10" s="44" customFormat="1" ht="15.5">
      <c r="A826" s="33"/>
      <c r="B826" s="87"/>
      <c r="C826" s="86"/>
      <c r="D826" s="89"/>
      <c r="E826" s="96"/>
      <c r="F826" s="56"/>
      <c r="H826" s="56"/>
      <c r="I826" s="56"/>
      <c r="J826" s="56"/>
    </row>
    <row r="827" spans="1:10" s="44" customFormat="1" ht="15.5">
      <c r="A827" s="33"/>
      <c r="B827" s="87"/>
      <c r="C827" s="86"/>
      <c r="D827" s="88" t="s">
        <v>14209</v>
      </c>
      <c r="E827" s="95"/>
      <c r="F827" s="55"/>
      <c r="H827" s="55"/>
      <c r="I827" s="55"/>
      <c r="J827" s="55"/>
    </row>
    <row r="828" spans="1:10" s="44" customFormat="1" ht="15.5">
      <c r="A828" s="33"/>
      <c r="B828" s="87"/>
      <c r="C828" s="86"/>
      <c r="D828" s="89"/>
      <c r="E828" s="96"/>
      <c r="F828" s="56"/>
      <c r="H828" s="56"/>
      <c r="I828" s="56"/>
      <c r="J828" s="56"/>
    </row>
    <row r="829" spans="1:10" s="44" customFormat="1" ht="15.5">
      <c r="A829" s="33"/>
      <c r="B829" s="87"/>
      <c r="C829" s="86"/>
      <c r="D829" s="49" t="s">
        <v>14208</v>
      </c>
      <c r="E829" s="95"/>
      <c r="F829" s="55"/>
      <c r="H829" s="55"/>
      <c r="I829" s="55"/>
      <c r="J829" s="55"/>
    </row>
    <row r="830" spans="1:10" s="44" customFormat="1" ht="15.5">
      <c r="A830" s="33"/>
      <c r="B830" s="87"/>
      <c r="C830" s="86"/>
      <c r="D830" s="50"/>
      <c r="E830" s="96"/>
      <c r="F830" s="56"/>
      <c r="H830" s="56"/>
      <c r="I830" s="56"/>
      <c r="J830" s="56"/>
    </row>
    <row r="831" spans="1:10" s="44" customFormat="1" ht="15.5">
      <c r="A831" s="33"/>
      <c r="B831" s="87"/>
      <c r="C831" s="86"/>
      <c r="D831" s="88" t="s">
        <v>14207</v>
      </c>
      <c r="E831" s="95"/>
      <c r="F831" s="55"/>
      <c r="H831" s="55"/>
      <c r="I831" s="55"/>
      <c r="J831" s="55"/>
    </row>
    <row r="832" spans="1:10" s="44" customFormat="1" ht="15.5">
      <c r="A832" s="33"/>
      <c r="B832" s="87"/>
      <c r="C832" s="83"/>
      <c r="D832" s="89"/>
      <c r="E832" s="96"/>
      <c r="F832" s="56"/>
      <c r="H832" s="56"/>
      <c r="I832" s="56"/>
      <c r="J832" s="56"/>
    </row>
    <row r="833" spans="1:10" s="44" customFormat="1" ht="15.75" customHeight="1">
      <c r="A833" s="33"/>
      <c r="B833" s="87"/>
      <c r="C833" s="82" t="s">
        <v>14206</v>
      </c>
      <c r="D833" s="49" t="s">
        <v>14205</v>
      </c>
      <c r="E833" s="95"/>
      <c r="F833" s="55"/>
      <c r="H833" s="55"/>
      <c r="I833" s="55"/>
      <c r="J833" s="55"/>
    </row>
    <row r="834" spans="1:10" s="44" customFormat="1" ht="15.5">
      <c r="A834" s="33"/>
      <c r="B834" s="87"/>
      <c r="C834" s="86"/>
      <c r="D834" s="50"/>
      <c r="E834" s="96"/>
      <c r="F834" s="56"/>
      <c r="H834" s="56"/>
      <c r="I834" s="56"/>
      <c r="J834" s="56"/>
    </row>
    <row r="835" spans="1:10" s="44" customFormat="1" ht="15.5">
      <c r="A835" s="33"/>
      <c r="B835" s="87"/>
      <c r="C835" s="86"/>
      <c r="D835" s="88" t="s">
        <v>14204</v>
      </c>
      <c r="E835" s="95"/>
      <c r="F835" s="55"/>
      <c r="H835" s="55"/>
      <c r="I835" s="55"/>
      <c r="J835" s="55"/>
    </row>
    <row r="836" spans="1:10" s="44" customFormat="1" ht="15.5">
      <c r="A836" s="33"/>
      <c r="B836" s="87"/>
      <c r="C836" s="86"/>
      <c r="D836" s="89"/>
      <c r="E836" s="96"/>
      <c r="F836" s="56"/>
      <c r="H836" s="56"/>
      <c r="I836" s="56"/>
      <c r="J836" s="56"/>
    </row>
    <row r="837" spans="1:10" s="44" customFormat="1" ht="15.5">
      <c r="A837" s="33"/>
      <c r="B837" s="87"/>
      <c r="C837" s="86"/>
      <c r="D837" s="88" t="s">
        <v>14203</v>
      </c>
      <c r="E837" s="95"/>
      <c r="F837" s="55"/>
      <c r="H837" s="55"/>
      <c r="I837" s="55"/>
      <c r="J837" s="55"/>
    </row>
    <row r="838" spans="1:10" s="44" customFormat="1" ht="15.5">
      <c r="A838" s="33"/>
      <c r="B838" s="87"/>
      <c r="C838" s="86"/>
      <c r="D838" s="89"/>
      <c r="E838" s="96"/>
      <c r="F838" s="56"/>
      <c r="H838" s="56"/>
      <c r="I838" s="56"/>
      <c r="J838" s="56"/>
    </row>
    <row r="839" spans="1:10" s="44" customFormat="1" ht="15.5">
      <c r="A839" s="33"/>
      <c r="B839" s="87"/>
      <c r="C839" s="86"/>
      <c r="D839" s="88" t="s">
        <v>14202</v>
      </c>
      <c r="E839" s="95"/>
      <c r="F839" s="55"/>
      <c r="H839" s="55"/>
      <c r="I839" s="55"/>
      <c r="J839" s="55"/>
    </row>
    <row r="840" spans="1:10" s="44" customFormat="1" ht="15.5">
      <c r="A840" s="33"/>
      <c r="B840" s="87"/>
      <c r="C840" s="86"/>
      <c r="D840" s="89"/>
      <c r="E840" s="96"/>
      <c r="F840" s="56"/>
      <c r="H840" s="56"/>
      <c r="I840" s="56"/>
      <c r="J840" s="56"/>
    </row>
    <row r="841" spans="1:10" s="44" customFormat="1" ht="15.5">
      <c r="A841" s="33"/>
      <c r="B841" s="87"/>
      <c r="C841" s="86"/>
      <c r="D841" s="88" t="s">
        <v>14201</v>
      </c>
      <c r="E841" s="95"/>
      <c r="F841" s="55"/>
      <c r="H841" s="55"/>
      <c r="I841" s="55"/>
      <c r="J841" s="55"/>
    </row>
    <row r="842" spans="1:10" s="44" customFormat="1" ht="15.5">
      <c r="A842" s="33"/>
      <c r="B842" s="87"/>
      <c r="C842" s="83"/>
      <c r="D842" s="89"/>
      <c r="E842" s="96"/>
      <c r="F842" s="56"/>
      <c r="H842" s="56"/>
      <c r="I842" s="56"/>
      <c r="J842" s="56"/>
    </row>
    <row r="843" spans="1:10" s="44" customFormat="1" ht="15.75" customHeight="1">
      <c r="A843" s="33"/>
      <c r="B843" s="87"/>
      <c r="C843" s="82" t="s">
        <v>14200</v>
      </c>
      <c r="D843" s="88" t="s">
        <v>14199</v>
      </c>
      <c r="E843" s="95"/>
      <c r="F843" s="55"/>
      <c r="H843" s="55"/>
      <c r="I843" s="55"/>
      <c r="J843" s="55"/>
    </row>
    <row r="844" spans="1:10" s="44" customFormat="1" ht="15.5">
      <c r="A844" s="33"/>
      <c r="B844" s="87"/>
      <c r="C844" s="86"/>
      <c r="D844" s="89"/>
      <c r="E844" s="96"/>
      <c r="F844" s="56"/>
      <c r="H844" s="56"/>
      <c r="I844" s="56"/>
      <c r="J844" s="56"/>
    </row>
    <row r="845" spans="1:10" s="44" customFormat="1" ht="15.5">
      <c r="A845" s="33"/>
      <c r="B845" s="87"/>
      <c r="C845" s="86"/>
      <c r="D845" s="88" t="s">
        <v>14198</v>
      </c>
      <c r="E845" s="95"/>
      <c r="F845" s="55"/>
      <c r="H845" s="55"/>
      <c r="I845" s="55"/>
      <c r="J845" s="55"/>
    </row>
    <row r="846" spans="1:10" s="44" customFormat="1" ht="15.5">
      <c r="A846" s="33"/>
      <c r="B846" s="87"/>
      <c r="C846" s="86"/>
      <c r="D846" s="89"/>
      <c r="E846" s="96"/>
      <c r="F846" s="56"/>
      <c r="H846" s="56"/>
      <c r="I846" s="56"/>
      <c r="J846" s="56"/>
    </row>
    <row r="847" spans="1:10" s="44" customFormat="1" ht="15.5">
      <c r="A847" s="33"/>
      <c r="B847" s="87"/>
      <c r="C847" s="86"/>
      <c r="D847" s="88" t="s">
        <v>14197</v>
      </c>
      <c r="E847" s="95"/>
      <c r="F847" s="55"/>
      <c r="H847" s="55"/>
      <c r="I847" s="55"/>
      <c r="J847" s="55"/>
    </row>
    <row r="848" spans="1:10" s="44" customFormat="1" ht="15.5">
      <c r="A848" s="33"/>
      <c r="B848" s="87"/>
      <c r="C848" s="86"/>
      <c r="D848" s="89"/>
      <c r="E848" s="96"/>
      <c r="F848" s="56"/>
      <c r="H848" s="56"/>
      <c r="I848" s="56"/>
      <c r="J848" s="56"/>
    </row>
    <row r="849" spans="1:10" s="22" customFormat="1" ht="15.5">
      <c r="A849" s="33"/>
      <c r="B849" s="87"/>
      <c r="C849" s="86"/>
      <c r="D849" s="88" t="s">
        <v>14196</v>
      </c>
      <c r="E849" s="95"/>
      <c r="F849" s="55"/>
      <c r="H849" s="55"/>
      <c r="I849" s="55"/>
      <c r="J849" s="55"/>
    </row>
    <row r="850" spans="1:10" s="44" customFormat="1" ht="15.5">
      <c r="A850" s="33"/>
      <c r="B850" s="87"/>
      <c r="C850" s="86"/>
      <c r="D850" s="89"/>
      <c r="E850" s="96"/>
      <c r="F850" s="56"/>
      <c r="H850" s="56"/>
      <c r="I850" s="56"/>
      <c r="J850" s="56"/>
    </row>
    <row r="851" spans="1:10" s="44" customFormat="1" ht="15.5">
      <c r="A851" s="33"/>
      <c r="B851" s="87"/>
      <c r="C851" s="86"/>
      <c r="D851" s="88" t="s">
        <v>14195</v>
      </c>
      <c r="E851" s="95"/>
      <c r="F851" s="55"/>
      <c r="H851" s="55"/>
      <c r="I851" s="55"/>
      <c r="J851" s="55"/>
    </row>
    <row r="852" spans="1:10" s="44" customFormat="1" ht="15.5">
      <c r="A852" s="33"/>
      <c r="B852" s="87"/>
      <c r="C852" s="83"/>
      <c r="D852" s="89"/>
      <c r="E852" s="96"/>
      <c r="F852" s="56"/>
      <c r="H852" s="56"/>
      <c r="I852" s="56"/>
      <c r="J852" s="56"/>
    </row>
    <row r="853" spans="1:10" s="44" customFormat="1" ht="15.75" customHeight="1">
      <c r="A853" s="33"/>
      <c r="B853" s="87"/>
      <c r="C853" s="82" t="s">
        <v>14194</v>
      </c>
      <c r="D853" s="88" t="s">
        <v>14193</v>
      </c>
      <c r="E853" s="95"/>
      <c r="F853" s="55"/>
      <c r="H853" s="55"/>
      <c r="I853" s="55"/>
      <c r="J853" s="55"/>
    </row>
    <row r="854" spans="1:10" s="44" customFormat="1" ht="15.5">
      <c r="A854" s="33"/>
      <c r="B854" s="87"/>
      <c r="C854" s="86"/>
      <c r="D854" s="89"/>
      <c r="E854" s="96"/>
      <c r="F854" s="56"/>
      <c r="H854" s="56"/>
      <c r="I854" s="56"/>
      <c r="J854" s="56"/>
    </row>
    <row r="855" spans="1:10" s="44" customFormat="1" ht="15.5">
      <c r="A855" s="33"/>
      <c r="B855" s="87"/>
      <c r="C855" s="86"/>
      <c r="D855" s="88" t="s">
        <v>14192</v>
      </c>
      <c r="E855" s="95"/>
      <c r="F855" s="55"/>
      <c r="H855" s="55"/>
      <c r="I855" s="55"/>
      <c r="J855" s="55"/>
    </row>
    <row r="856" spans="1:10" s="44" customFormat="1" ht="15.5">
      <c r="A856" s="33"/>
      <c r="B856" s="87"/>
      <c r="C856" s="86"/>
      <c r="D856" s="89"/>
      <c r="E856" s="96"/>
      <c r="F856" s="56"/>
      <c r="H856" s="56"/>
      <c r="I856" s="56"/>
      <c r="J856" s="56"/>
    </row>
    <row r="857" spans="1:10" s="44" customFormat="1" ht="15.5">
      <c r="A857" s="33"/>
      <c r="B857" s="87"/>
      <c r="C857" s="86"/>
      <c r="D857" s="88" t="s">
        <v>14191</v>
      </c>
      <c r="E857" s="95"/>
      <c r="F857" s="55"/>
      <c r="H857" s="55"/>
      <c r="I857" s="55"/>
      <c r="J857" s="55"/>
    </row>
    <row r="858" spans="1:10" s="44" customFormat="1" ht="15.5">
      <c r="A858" s="33"/>
      <c r="B858" s="87"/>
      <c r="C858" s="86"/>
      <c r="D858" s="89"/>
      <c r="E858" s="96"/>
      <c r="F858" s="56"/>
      <c r="H858" s="56"/>
      <c r="I858" s="56"/>
      <c r="J858" s="56"/>
    </row>
    <row r="859" spans="1:10" s="44" customFormat="1" ht="15.5">
      <c r="A859" s="33"/>
      <c r="B859" s="87"/>
      <c r="C859" s="86"/>
      <c r="D859" s="88" t="s">
        <v>14190</v>
      </c>
      <c r="E859" s="95"/>
      <c r="F859" s="55"/>
      <c r="H859" s="55"/>
      <c r="I859" s="55"/>
      <c r="J859" s="55"/>
    </row>
    <row r="860" spans="1:10" s="44" customFormat="1" ht="15.5">
      <c r="A860" s="33"/>
      <c r="B860" s="87"/>
      <c r="C860" s="86"/>
      <c r="D860" s="89"/>
      <c r="E860" s="96"/>
      <c r="F860" s="56"/>
      <c r="H860" s="56"/>
      <c r="I860" s="56"/>
      <c r="J860" s="56"/>
    </row>
    <row r="861" spans="1:10" s="44" customFormat="1" ht="15.5">
      <c r="A861" s="33"/>
      <c r="B861" s="87"/>
      <c r="C861" s="86"/>
      <c r="D861" s="49" t="s">
        <v>14189</v>
      </c>
      <c r="E861" s="95"/>
      <c r="F861" s="55"/>
      <c r="H861" s="55"/>
      <c r="I861" s="55"/>
      <c r="J861" s="55"/>
    </row>
    <row r="862" spans="1:10" s="44" customFormat="1" ht="15.5">
      <c r="A862" s="33"/>
      <c r="B862" s="87"/>
      <c r="C862" s="83"/>
      <c r="D862" s="50"/>
      <c r="E862" s="96"/>
      <c r="F862" s="56"/>
      <c r="H862" s="56"/>
      <c r="I862" s="56"/>
      <c r="J862" s="56"/>
    </row>
    <row r="863" spans="1:10" s="44" customFormat="1" ht="15.75" customHeight="1">
      <c r="A863" s="33"/>
      <c r="B863" s="87"/>
      <c r="C863" s="82" t="s">
        <v>14188</v>
      </c>
      <c r="D863" s="88" t="s">
        <v>14187</v>
      </c>
      <c r="E863" s="95"/>
      <c r="F863" s="55"/>
      <c r="H863" s="55"/>
      <c r="I863" s="55"/>
      <c r="J863" s="55"/>
    </row>
    <row r="864" spans="1:10" s="44" customFormat="1" ht="15.5">
      <c r="A864" s="33"/>
      <c r="B864" s="87"/>
      <c r="C864" s="86"/>
      <c r="D864" s="89"/>
      <c r="E864" s="96"/>
      <c r="F864" s="56"/>
      <c r="H864" s="56"/>
      <c r="I864" s="56"/>
      <c r="J864" s="56"/>
    </row>
    <row r="865" spans="1:10" s="44" customFormat="1" ht="15.5">
      <c r="A865" s="33"/>
      <c r="B865" s="87"/>
      <c r="C865" s="86"/>
      <c r="D865" s="88" t="s">
        <v>14186</v>
      </c>
      <c r="E865" s="95"/>
      <c r="F865" s="55"/>
      <c r="H865" s="55"/>
      <c r="I865" s="55"/>
      <c r="J865" s="55"/>
    </row>
    <row r="866" spans="1:10" s="44" customFormat="1" ht="15.5">
      <c r="A866" s="33"/>
      <c r="B866" s="87"/>
      <c r="C866" s="86"/>
      <c r="D866" s="89"/>
      <c r="E866" s="96"/>
      <c r="F866" s="56"/>
      <c r="H866" s="56"/>
      <c r="I866" s="56"/>
      <c r="J866" s="56"/>
    </row>
    <row r="867" spans="1:10" s="44" customFormat="1" ht="15.5">
      <c r="A867" s="33"/>
      <c r="B867" s="87"/>
      <c r="C867" s="86"/>
      <c r="D867" s="88" t="s">
        <v>14185</v>
      </c>
      <c r="E867" s="95"/>
      <c r="F867" s="55"/>
      <c r="H867" s="55"/>
      <c r="I867" s="55"/>
      <c r="J867" s="55"/>
    </row>
    <row r="868" spans="1:10" s="44" customFormat="1" ht="15.5">
      <c r="A868" s="33"/>
      <c r="B868" s="87"/>
      <c r="C868" s="86"/>
      <c r="D868" s="89"/>
      <c r="E868" s="96"/>
      <c r="F868" s="56"/>
      <c r="H868" s="56"/>
      <c r="I868" s="56"/>
      <c r="J868" s="56"/>
    </row>
    <row r="869" spans="1:10" s="44" customFormat="1" ht="15.5">
      <c r="A869" s="33"/>
      <c r="B869" s="87"/>
      <c r="C869" s="86"/>
      <c r="D869" s="88" t="s">
        <v>14184</v>
      </c>
      <c r="E869" s="95"/>
      <c r="F869" s="55"/>
      <c r="H869" s="55"/>
      <c r="I869" s="55"/>
      <c r="J869" s="55"/>
    </row>
    <row r="870" spans="1:10" s="44" customFormat="1" ht="15.5">
      <c r="A870" s="33"/>
      <c r="B870" s="87"/>
      <c r="C870" s="86"/>
      <c r="D870" s="89"/>
      <c r="E870" s="96"/>
      <c r="F870" s="56"/>
      <c r="H870" s="56"/>
      <c r="I870" s="56"/>
      <c r="J870" s="56"/>
    </row>
    <row r="871" spans="1:10" s="44" customFormat="1" ht="15.5">
      <c r="A871" s="33"/>
      <c r="B871" s="87"/>
      <c r="C871" s="86"/>
      <c r="D871" s="88" t="s">
        <v>14183</v>
      </c>
      <c r="E871" s="95"/>
      <c r="F871" s="55"/>
      <c r="H871" s="55"/>
      <c r="I871" s="55"/>
      <c r="J871" s="55"/>
    </row>
    <row r="872" spans="1:10" s="44" customFormat="1" ht="15.5">
      <c r="A872" s="33"/>
      <c r="B872" s="50"/>
      <c r="C872" s="83"/>
      <c r="D872" s="89"/>
      <c r="E872" s="96"/>
      <c r="F872" s="56"/>
      <c r="H872" s="56"/>
      <c r="I872" s="56"/>
      <c r="J872" s="56"/>
    </row>
    <row r="873" spans="1:10" s="44" customFormat="1" ht="15.75" customHeight="1">
      <c r="A873" s="33"/>
      <c r="B873" s="49" t="s">
        <v>14182</v>
      </c>
      <c r="C873" s="82" t="s">
        <v>14181</v>
      </c>
      <c r="D873" s="88" t="s">
        <v>14180</v>
      </c>
      <c r="E873" s="95"/>
      <c r="F873" s="55"/>
      <c r="H873" s="55"/>
      <c r="I873" s="55"/>
      <c r="J873" s="55"/>
    </row>
    <row r="874" spans="1:10" s="44" customFormat="1" ht="15.5">
      <c r="A874" s="33"/>
      <c r="B874" s="87"/>
      <c r="C874" s="86"/>
      <c r="D874" s="89"/>
      <c r="E874" s="96"/>
      <c r="F874" s="56"/>
      <c r="H874" s="56"/>
      <c r="I874" s="56"/>
      <c r="J874" s="56"/>
    </row>
    <row r="875" spans="1:10" s="44" customFormat="1" ht="15.5">
      <c r="A875" s="33"/>
      <c r="B875" s="87"/>
      <c r="C875" s="86"/>
      <c r="D875" s="88" t="s">
        <v>14179</v>
      </c>
      <c r="E875" s="95"/>
      <c r="F875" s="55"/>
      <c r="H875" s="55"/>
      <c r="I875" s="55"/>
      <c r="J875" s="55"/>
    </row>
    <row r="876" spans="1:10" s="44" customFormat="1" ht="15.5">
      <c r="A876" s="33"/>
      <c r="B876" s="87"/>
      <c r="C876" s="86"/>
      <c r="D876" s="89"/>
      <c r="E876" s="96"/>
      <c r="F876" s="56"/>
      <c r="H876" s="56"/>
      <c r="I876" s="56"/>
      <c r="J876" s="56"/>
    </row>
    <row r="877" spans="1:10" s="44" customFormat="1" ht="15.5">
      <c r="A877" s="33"/>
      <c r="B877" s="87"/>
      <c r="C877" s="86"/>
      <c r="D877" s="88" t="s">
        <v>14178</v>
      </c>
      <c r="E877" s="95"/>
      <c r="F877" s="55"/>
      <c r="H877" s="55"/>
      <c r="I877" s="55"/>
      <c r="J877" s="55"/>
    </row>
    <row r="878" spans="1:10" s="44" customFormat="1" ht="15.5">
      <c r="A878" s="33"/>
      <c r="B878" s="87"/>
      <c r="C878" s="86"/>
      <c r="D878" s="89"/>
      <c r="E878" s="96"/>
      <c r="F878" s="56"/>
      <c r="H878" s="56"/>
      <c r="I878" s="56"/>
      <c r="J878" s="56"/>
    </row>
    <row r="879" spans="1:10" s="44" customFormat="1" ht="15.5">
      <c r="A879" s="33"/>
      <c r="B879" s="87"/>
      <c r="C879" s="86"/>
      <c r="D879" s="88" t="s">
        <v>14177</v>
      </c>
      <c r="E879" s="95"/>
      <c r="F879" s="55"/>
      <c r="H879" s="55"/>
      <c r="I879" s="55"/>
      <c r="J879" s="55"/>
    </row>
    <row r="880" spans="1:10" s="44" customFormat="1" ht="15.5">
      <c r="A880" s="33"/>
      <c r="B880" s="87"/>
      <c r="C880" s="86"/>
      <c r="D880" s="89"/>
      <c r="E880" s="96"/>
      <c r="F880" s="56"/>
      <c r="H880" s="56"/>
      <c r="I880" s="56"/>
      <c r="J880" s="56"/>
    </row>
    <row r="881" spans="1:10" s="44" customFormat="1" ht="15.5">
      <c r="A881" s="33"/>
      <c r="B881" s="87"/>
      <c r="C881" s="86"/>
      <c r="D881" s="88" t="s">
        <v>14176</v>
      </c>
      <c r="E881" s="95"/>
      <c r="F881" s="55"/>
      <c r="H881" s="55"/>
      <c r="I881" s="55"/>
      <c r="J881" s="55"/>
    </row>
    <row r="882" spans="1:10" s="44" customFormat="1" ht="15.5">
      <c r="A882" s="35"/>
      <c r="B882" s="87"/>
      <c r="C882" s="83"/>
      <c r="D882" s="89"/>
      <c r="E882" s="96"/>
      <c r="F882" s="56"/>
      <c r="H882" s="56"/>
      <c r="I882" s="56"/>
      <c r="J882" s="56"/>
    </row>
    <row r="883" spans="1:10" s="44" customFormat="1" ht="15.75" customHeight="1">
      <c r="A883" s="33"/>
      <c r="B883" s="87"/>
      <c r="C883" s="82" t="s">
        <v>14175</v>
      </c>
      <c r="D883" s="88" t="s">
        <v>14174</v>
      </c>
      <c r="E883" s="95"/>
      <c r="F883" s="55"/>
      <c r="H883" s="55"/>
      <c r="I883" s="55"/>
      <c r="J883" s="55"/>
    </row>
    <row r="884" spans="1:10" s="44" customFormat="1" ht="15.5">
      <c r="A884" s="33"/>
      <c r="B884" s="87"/>
      <c r="C884" s="86"/>
      <c r="D884" s="89"/>
      <c r="E884" s="96"/>
      <c r="F884" s="56"/>
      <c r="H884" s="56"/>
      <c r="I884" s="56"/>
      <c r="J884" s="56"/>
    </row>
    <row r="885" spans="1:10" s="44" customFormat="1" ht="15.5">
      <c r="A885" s="33"/>
      <c r="B885" s="87"/>
      <c r="C885" s="86"/>
      <c r="D885" s="49" t="s">
        <v>14173</v>
      </c>
      <c r="E885" s="95"/>
      <c r="F885" s="55"/>
      <c r="H885" s="55"/>
      <c r="I885" s="55"/>
      <c r="J885" s="55"/>
    </row>
    <row r="886" spans="1:10" s="44" customFormat="1" ht="15.5">
      <c r="A886" s="33"/>
      <c r="B886" s="87"/>
      <c r="C886" s="86"/>
      <c r="D886" s="50"/>
      <c r="E886" s="96"/>
      <c r="F886" s="56"/>
      <c r="H886" s="56"/>
      <c r="I886" s="56"/>
      <c r="J886" s="56"/>
    </row>
    <row r="887" spans="1:10" s="44" customFormat="1" ht="15.5">
      <c r="A887" s="33"/>
      <c r="B887" s="87"/>
      <c r="C887" s="86"/>
      <c r="D887" s="88" t="s">
        <v>14172</v>
      </c>
      <c r="E887" s="95"/>
      <c r="F887" s="55"/>
      <c r="H887" s="55"/>
      <c r="I887" s="55"/>
      <c r="J887" s="55"/>
    </row>
    <row r="888" spans="1:10" s="44" customFormat="1" ht="15.5">
      <c r="A888" s="33"/>
      <c r="B888" s="87"/>
      <c r="C888" s="86"/>
      <c r="D888" s="89"/>
      <c r="E888" s="96"/>
      <c r="F888" s="56"/>
      <c r="H888" s="56"/>
      <c r="I888" s="56"/>
      <c r="J888" s="56"/>
    </row>
    <row r="889" spans="1:10" s="44" customFormat="1" ht="15.5">
      <c r="A889" s="33"/>
      <c r="B889" s="87"/>
      <c r="C889" s="86"/>
      <c r="D889" s="82" t="s">
        <v>14171</v>
      </c>
      <c r="E889" s="95"/>
      <c r="F889" s="55"/>
      <c r="H889" s="55"/>
      <c r="I889" s="55"/>
      <c r="J889" s="55"/>
    </row>
    <row r="890" spans="1:10" s="44" customFormat="1" ht="15.5">
      <c r="A890" s="33"/>
      <c r="B890" s="87"/>
      <c r="C890" s="86"/>
      <c r="D890" s="83"/>
      <c r="E890" s="96"/>
      <c r="F890" s="56"/>
      <c r="H890" s="56"/>
      <c r="I890" s="56"/>
      <c r="J890" s="56"/>
    </row>
    <row r="891" spans="1:10" s="44" customFormat="1" ht="15.5">
      <c r="A891" s="33"/>
      <c r="B891" s="87"/>
      <c r="C891" s="86"/>
      <c r="D891" s="82" t="s">
        <v>14170</v>
      </c>
      <c r="E891" s="95"/>
      <c r="F891" s="55"/>
      <c r="H891" s="55"/>
      <c r="I891" s="55"/>
      <c r="J891" s="55"/>
    </row>
    <row r="892" spans="1:10" s="44" customFormat="1" ht="15.5">
      <c r="A892" s="33"/>
      <c r="B892" s="87"/>
      <c r="C892" s="83"/>
      <c r="D892" s="83"/>
      <c r="E892" s="96"/>
      <c r="F892" s="56"/>
      <c r="H892" s="56"/>
      <c r="I892" s="56"/>
      <c r="J892" s="56"/>
    </row>
    <row r="893" spans="1:10" s="44" customFormat="1" ht="15.75" customHeight="1">
      <c r="A893" s="33"/>
      <c r="B893" s="87"/>
      <c r="C893" s="82" t="s">
        <v>14169</v>
      </c>
      <c r="D893" s="49" t="s">
        <v>14168</v>
      </c>
      <c r="E893" s="95"/>
      <c r="F893" s="55"/>
      <c r="H893" s="55"/>
      <c r="I893" s="55"/>
      <c r="J893" s="55"/>
    </row>
    <row r="894" spans="1:10" s="44" customFormat="1" ht="15.5">
      <c r="A894" s="33"/>
      <c r="B894" s="87"/>
      <c r="C894" s="86"/>
      <c r="D894" s="50"/>
      <c r="E894" s="96"/>
      <c r="F894" s="56"/>
      <c r="H894" s="56"/>
      <c r="I894" s="56"/>
      <c r="J894" s="56"/>
    </row>
    <row r="895" spans="1:10" s="44" customFormat="1" ht="15.5">
      <c r="A895" s="33"/>
      <c r="B895" s="87"/>
      <c r="C895" s="86"/>
      <c r="D895" s="88" t="s">
        <v>14167</v>
      </c>
      <c r="E895" s="95"/>
      <c r="F895" s="55"/>
      <c r="H895" s="55"/>
      <c r="I895" s="55"/>
      <c r="J895" s="55"/>
    </row>
    <row r="896" spans="1:10" s="44" customFormat="1" ht="15.5">
      <c r="A896" s="33"/>
      <c r="B896" s="87"/>
      <c r="C896" s="86"/>
      <c r="D896" s="89"/>
      <c r="E896" s="96"/>
      <c r="F896" s="56"/>
      <c r="H896" s="56"/>
      <c r="I896" s="56"/>
      <c r="J896" s="56"/>
    </row>
    <row r="897" spans="1:10" s="44" customFormat="1" ht="15.5">
      <c r="A897" s="33"/>
      <c r="B897" s="87"/>
      <c r="C897" s="86"/>
      <c r="D897" s="88" t="s">
        <v>14166</v>
      </c>
      <c r="E897" s="95"/>
      <c r="F897" s="55"/>
      <c r="H897" s="55"/>
      <c r="I897" s="55"/>
      <c r="J897" s="55"/>
    </row>
    <row r="898" spans="1:10" s="44" customFormat="1" ht="15.5">
      <c r="A898" s="33"/>
      <c r="B898" s="87"/>
      <c r="C898" s="86"/>
      <c r="D898" s="89"/>
      <c r="E898" s="96"/>
      <c r="F898" s="56"/>
      <c r="H898" s="56"/>
      <c r="I898" s="56"/>
      <c r="J898" s="56"/>
    </row>
    <row r="899" spans="1:10" s="44" customFormat="1" ht="15.5">
      <c r="A899" s="33"/>
      <c r="B899" s="87"/>
      <c r="C899" s="86"/>
      <c r="D899" s="88" t="s">
        <v>14165</v>
      </c>
      <c r="E899" s="95"/>
      <c r="F899" s="55"/>
      <c r="H899" s="55"/>
      <c r="I899" s="55"/>
      <c r="J899" s="55"/>
    </row>
    <row r="900" spans="1:10" s="44" customFormat="1" ht="15.5">
      <c r="A900" s="33"/>
      <c r="B900" s="87"/>
      <c r="C900" s="86"/>
      <c r="D900" s="89"/>
      <c r="E900" s="96"/>
      <c r="F900" s="56"/>
      <c r="H900" s="56"/>
      <c r="I900" s="56"/>
      <c r="J900" s="56"/>
    </row>
    <row r="901" spans="1:10" s="44" customFormat="1" ht="15.5">
      <c r="A901" s="33"/>
      <c r="B901" s="87"/>
      <c r="C901" s="86"/>
      <c r="D901" s="88" t="s">
        <v>14164</v>
      </c>
      <c r="E901" s="95"/>
      <c r="F901" s="55"/>
      <c r="H901" s="55"/>
      <c r="I901" s="55"/>
      <c r="J901" s="55"/>
    </row>
    <row r="902" spans="1:10" s="44" customFormat="1" ht="15.5">
      <c r="A902" s="33"/>
      <c r="B902" s="87"/>
      <c r="C902" s="83"/>
      <c r="D902" s="89"/>
      <c r="E902" s="96"/>
      <c r="F902" s="56"/>
      <c r="H902" s="56"/>
      <c r="I902" s="56"/>
      <c r="J902" s="56"/>
    </row>
    <row r="903" spans="1:10" s="44" customFormat="1" ht="15.75" customHeight="1">
      <c r="A903" s="33"/>
      <c r="B903" s="87"/>
      <c r="C903" s="82" t="s">
        <v>14163</v>
      </c>
      <c r="D903" s="88" t="s">
        <v>14162</v>
      </c>
      <c r="E903" s="95"/>
      <c r="F903" s="55"/>
      <c r="H903" s="55"/>
      <c r="I903" s="55"/>
      <c r="J903" s="55"/>
    </row>
    <row r="904" spans="1:10" s="44" customFormat="1" ht="15.5">
      <c r="A904" s="33"/>
      <c r="B904" s="87"/>
      <c r="C904" s="86"/>
      <c r="D904" s="89"/>
      <c r="E904" s="96"/>
      <c r="F904" s="56"/>
      <c r="H904" s="56"/>
      <c r="I904" s="56"/>
      <c r="J904" s="56"/>
    </row>
    <row r="905" spans="1:10" s="44" customFormat="1" ht="15.5">
      <c r="A905" s="33"/>
      <c r="B905" s="87"/>
      <c r="C905" s="86"/>
      <c r="D905" s="88" t="s">
        <v>14161</v>
      </c>
      <c r="E905" s="95"/>
      <c r="F905" s="55"/>
      <c r="H905" s="55"/>
      <c r="I905" s="55"/>
      <c r="J905" s="55"/>
    </row>
    <row r="906" spans="1:10" s="44" customFormat="1" ht="15.5">
      <c r="A906" s="33"/>
      <c r="B906" s="87"/>
      <c r="C906" s="86"/>
      <c r="D906" s="89"/>
      <c r="E906" s="96"/>
      <c r="F906" s="56"/>
      <c r="H906" s="56"/>
      <c r="I906" s="56"/>
      <c r="J906" s="56"/>
    </row>
    <row r="907" spans="1:10" s="44" customFormat="1" ht="15.5">
      <c r="A907" s="33"/>
      <c r="B907" s="87"/>
      <c r="C907" s="86"/>
      <c r="D907" s="88" t="s">
        <v>14160</v>
      </c>
      <c r="E907" s="95"/>
      <c r="F907" s="55"/>
      <c r="H907" s="55"/>
      <c r="I907" s="55"/>
      <c r="J907" s="55"/>
    </row>
    <row r="908" spans="1:10" s="44" customFormat="1" ht="15.5">
      <c r="A908" s="33"/>
      <c r="B908" s="87"/>
      <c r="C908" s="86"/>
      <c r="D908" s="89"/>
      <c r="E908" s="96"/>
      <c r="F908" s="56"/>
      <c r="H908" s="56"/>
      <c r="I908" s="56"/>
      <c r="J908" s="56"/>
    </row>
    <row r="909" spans="1:10" s="44" customFormat="1" ht="15.5">
      <c r="A909" s="33"/>
      <c r="B909" s="87"/>
      <c r="C909" s="86"/>
      <c r="D909" s="88" t="s">
        <v>14159</v>
      </c>
      <c r="E909" s="95"/>
      <c r="F909" s="55"/>
      <c r="H909" s="55"/>
      <c r="I909" s="55"/>
      <c r="J909" s="55"/>
    </row>
    <row r="910" spans="1:10" s="44" customFormat="1" ht="15.5">
      <c r="A910" s="33"/>
      <c r="B910" s="87"/>
      <c r="C910" s="86"/>
      <c r="D910" s="89"/>
      <c r="E910" s="96"/>
      <c r="F910" s="56"/>
      <c r="H910" s="56"/>
      <c r="I910" s="56"/>
      <c r="J910" s="56"/>
    </row>
    <row r="911" spans="1:10" s="44" customFormat="1" ht="15.5">
      <c r="A911" s="33"/>
      <c r="B911" s="87"/>
      <c r="C911" s="86"/>
      <c r="D911" s="88" t="s">
        <v>14158</v>
      </c>
      <c r="E911" s="95"/>
      <c r="F911" s="55"/>
      <c r="H911" s="55"/>
      <c r="I911" s="55"/>
      <c r="J911" s="55"/>
    </row>
    <row r="912" spans="1:10" s="44" customFormat="1" ht="15.5">
      <c r="A912" s="33"/>
      <c r="B912" s="87"/>
      <c r="C912" s="83"/>
      <c r="D912" s="89"/>
      <c r="E912" s="96"/>
      <c r="F912" s="56"/>
      <c r="H912" s="56"/>
      <c r="I912" s="56"/>
      <c r="J912" s="56"/>
    </row>
    <row r="913" spans="1:10" s="44" customFormat="1" ht="15.75" customHeight="1">
      <c r="A913" s="33"/>
      <c r="B913" s="87"/>
      <c r="C913" s="82" t="s">
        <v>14157</v>
      </c>
      <c r="D913" s="49" t="s">
        <v>14156</v>
      </c>
      <c r="E913" s="95"/>
      <c r="F913" s="55"/>
      <c r="H913" s="55"/>
      <c r="I913" s="55"/>
      <c r="J913" s="55"/>
    </row>
    <row r="914" spans="1:10" s="44" customFormat="1" ht="15.5">
      <c r="A914" s="33"/>
      <c r="B914" s="87"/>
      <c r="C914" s="86"/>
      <c r="D914" s="50"/>
      <c r="E914" s="96"/>
      <c r="F914" s="56"/>
      <c r="H914" s="56"/>
      <c r="I914" s="56"/>
      <c r="J914" s="56"/>
    </row>
    <row r="915" spans="1:10" s="44" customFormat="1" ht="15.5">
      <c r="A915" s="33"/>
      <c r="B915" s="87"/>
      <c r="C915" s="86"/>
      <c r="D915" s="88" t="s">
        <v>14155</v>
      </c>
      <c r="E915" s="95"/>
      <c r="F915" s="55"/>
      <c r="H915" s="55"/>
      <c r="I915" s="55"/>
      <c r="J915" s="55"/>
    </row>
    <row r="916" spans="1:10" s="44" customFormat="1" ht="15.5">
      <c r="A916" s="33"/>
      <c r="B916" s="87"/>
      <c r="C916" s="86"/>
      <c r="D916" s="89"/>
      <c r="E916" s="96"/>
      <c r="F916" s="56"/>
      <c r="H916" s="56"/>
      <c r="I916" s="56"/>
      <c r="J916" s="56"/>
    </row>
    <row r="917" spans="1:10" s="44" customFormat="1" ht="15.5">
      <c r="A917" s="33"/>
      <c r="B917" s="87"/>
      <c r="C917" s="86"/>
      <c r="D917" s="49" t="s">
        <v>14154</v>
      </c>
      <c r="E917" s="95"/>
      <c r="F917" s="55"/>
      <c r="H917" s="55"/>
      <c r="I917" s="55"/>
      <c r="J917" s="55"/>
    </row>
    <row r="918" spans="1:10" s="44" customFormat="1" ht="15.5">
      <c r="A918" s="33"/>
      <c r="B918" s="87"/>
      <c r="C918" s="86"/>
      <c r="D918" s="50"/>
      <c r="E918" s="96"/>
      <c r="F918" s="56"/>
      <c r="H918" s="56"/>
      <c r="I918" s="56"/>
      <c r="J918" s="56"/>
    </row>
    <row r="919" spans="1:10" s="44" customFormat="1" ht="15.5">
      <c r="A919" s="33"/>
      <c r="B919" s="87"/>
      <c r="C919" s="86"/>
      <c r="D919" s="88" t="s">
        <v>14153</v>
      </c>
      <c r="E919" s="95"/>
      <c r="F919" s="55"/>
      <c r="H919" s="55"/>
      <c r="I919" s="55"/>
      <c r="J919" s="55"/>
    </row>
    <row r="920" spans="1:10" s="44" customFormat="1" ht="15.5">
      <c r="A920" s="33"/>
      <c r="B920" s="87"/>
      <c r="C920" s="86"/>
      <c r="D920" s="89"/>
      <c r="E920" s="96"/>
      <c r="F920" s="56"/>
      <c r="H920" s="56"/>
      <c r="I920" s="56"/>
      <c r="J920" s="56"/>
    </row>
    <row r="921" spans="1:10" s="44" customFormat="1" ht="15.5">
      <c r="A921" s="33"/>
      <c r="B921" s="87"/>
      <c r="C921" s="86"/>
      <c r="D921" s="88" t="s">
        <v>14152</v>
      </c>
      <c r="E921" s="95"/>
      <c r="F921" s="55"/>
      <c r="H921" s="55"/>
      <c r="I921" s="55"/>
      <c r="J921" s="55"/>
    </row>
    <row r="922" spans="1:10" s="44" customFormat="1" ht="15.5">
      <c r="A922" s="33"/>
      <c r="B922" s="87"/>
      <c r="C922" s="83"/>
      <c r="D922" s="89"/>
      <c r="E922" s="96"/>
      <c r="F922" s="56"/>
      <c r="H922" s="56"/>
      <c r="I922" s="56"/>
      <c r="J922" s="56"/>
    </row>
    <row r="923" spans="1:10" s="44" customFormat="1" ht="15.75" customHeight="1">
      <c r="A923" s="33"/>
      <c r="B923" s="87"/>
      <c r="C923" s="82" t="s">
        <v>14151</v>
      </c>
      <c r="D923" s="88" t="s">
        <v>14150</v>
      </c>
      <c r="E923" s="95"/>
      <c r="F923" s="55"/>
      <c r="H923" s="55"/>
      <c r="I923" s="55"/>
      <c r="J923" s="55"/>
    </row>
    <row r="924" spans="1:10" s="44" customFormat="1" ht="15.5">
      <c r="A924" s="33"/>
      <c r="B924" s="87"/>
      <c r="C924" s="86"/>
      <c r="D924" s="89"/>
      <c r="E924" s="96"/>
      <c r="F924" s="56"/>
      <c r="H924" s="56"/>
      <c r="I924" s="56"/>
      <c r="J924" s="56"/>
    </row>
    <row r="925" spans="1:10" s="44" customFormat="1" ht="15.5">
      <c r="A925" s="33"/>
      <c r="B925" s="87"/>
      <c r="C925" s="86"/>
      <c r="D925" s="88" t="s">
        <v>14149</v>
      </c>
      <c r="E925" s="95"/>
      <c r="F925" s="55"/>
      <c r="H925" s="55"/>
      <c r="I925" s="55"/>
      <c r="J925" s="55"/>
    </row>
    <row r="926" spans="1:10" s="44" customFormat="1" ht="15.5">
      <c r="A926" s="33"/>
      <c r="B926" s="87"/>
      <c r="C926" s="86"/>
      <c r="D926" s="89"/>
      <c r="E926" s="96"/>
      <c r="F926" s="56"/>
      <c r="H926" s="56"/>
      <c r="I926" s="56"/>
      <c r="J926" s="56"/>
    </row>
    <row r="927" spans="1:10" s="44" customFormat="1" ht="15.5">
      <c r="A927" s="33"/>
      <c r="B927" s="87"/>
      <c r="C927" s="86"/>
      <c r="D927" s="88" t="s">
        <v>14148</v>
      </c>
      <c r="E927" s="95"/>
      <c r="F927" s="55"/>
      <c r="H927" s="55"/>
      <c r="I927" s="55"/>
      <c r="J927" s="55"/>
    </row>
    <row r="928" spans="1:10" s="44" customFormat="1" ht="15.5">
      <c r="A928" s="33"/>
      <c r="B928" s="87"/>
      <c r="C928" s="86"/>
      <c r="D928" s="89"/>
      <c r="E928" s="96"/>
      <c r="F928" s="56"/>
      <c r="H928" s="56"/>
      <c r="I928" s="56"/>
      <c r="J928" s="56"/>
    </row>
    <row r="929" spans="1:10" s="44" customFormat="1" ht="15.5">
      <c r="A929" s="33"/>
      <c r="B929" s="87"/>
      <c r="C929" s="86"/>
      <c r="D929" s="88" t="s">
        <v>14147</v>
      </c>
      <c r="E929" s="95"/>
      <c r="F929" s="55"/>
      <c r="H929" s="55"/>
      <c r="I929" s="55"/>
      <c r="J929" s="55"/>
    </row>
    <row r="930" spans="1:10" s="44" customFormat="1" ht="15.5">
      <c r="A930" s="33"/>
      <c r="B930" s="87"/>
      <c r="C930" s="86"/>
      <c r="D930" s="89"/>
      <c r="E930" s="96"/>
      <c r="F930" s="56"/>
      <c r="H930" s="56"/>
      <c r="I930" s="56"/>
      <c r="J930" s="56"/>
    </row>
    <row r="931" spans="1:10" s="44" customFormat="1" ht="15.5">
      <c r="A931" s="33"/>
      <c r="B931" s="87"/>
      <c r="C931" s="86"/>
      <c r="D931" s="88" t="s">
        <v>14146</v>
      </c>
      <c r="E931" s="95"/>
      <c r="F931" s="55"/>
      <c r="H931" s="55"/>
      <c r="I931" s="55"/>
      <c r="J931" s="55"/>
    </row>
    <row r="932" spans="1:10" s="44" customFormat="1" ht="15.5">
      <c r="A932" s="33"/>
      <c r="B932" s="87"/>
      <c r="C932" s="83"/>
      <c r="D932" s="89"/>
      <c r="E932" s="96"/>
      <c r="F932" s="56"/>
      <c r="H932" s="56"/>
      <c r="I932" s="56"/>
      <c r="J932" s="56"/>
    </row>
    <row r="933" spans="1:10" s="44" customFormat="1" ht="15.75" customHeight="1">
      <c r="A933" s="33"/>
      <c r="B933" s="87"/>
      <c r="C933" s="82" t="s">
        <v>14145</v>
      </c>
      <c r="D933" s="88" t="s">
        <v>14144</v>
      </c>
      <c r="E933" s="95"/>
      <c r="F933" s="55"/>
      <c r="H933" s="55"/>
      <c r="I933" s="55"/>
      <c r="J933" s="55"/>
    </row>
    <row r="934" spans="1:10" s="44" customFormat="1" ht="15.5">
      <c r="A934" s="33"/>
      <c r="B934" s="87"/>
      <c r="C934" s="86"/>
      <c r="D934" s="89"/>
      <c r="E934" s="96"/>
      <c r="F934" s="56"/>
      <c r="H934" s="56"/>
      <c r="I934" s="56"/>
      <c r="J934" s="56"/>
    </row>
    <row r="935" spans="1:10" s="44" customFormat="1" ht="15.5">
      <c r="A935" s="33"/>
      <c r="B935" s="87"/>
      <c r="C935" s="86"/>
      <c r="D935" s="88" t="s">
        <v>14143</v>
      </c>
      <c r="E935" s="95"/>
      <c r="F935" s="55"/>
      <c r="H935" s="55"/>
      <c r="I935" s="55"/>
      <c r="J935" s="55"/>
    </row>
    <row r="936" spans="1:10" s="44" customFormat="1" ht="15.5">
      <c r="A936" s="33"/>
      <c r="B936" s="87"/>
      <c r="C936" s="86"/>
      <c r="D936" s="89"/>
      <c r="E936" s="96"/>
      <c r="F936" s="56"/>
      <c r="H936" s="56"/>
      <c r="I936" s="56"/>
      <c r="J936" s="56"/>
    </row>
    <row r="937" spans="1:10" s="44" customFormat="1" ht="15.5">
      <c r="A937" s="33"/>
      <c r="B937" s="87"/>
      <c r="C937" s="86"/>
      <c r="D937" s="88" t="s">
        <v>14142</v>
      </c>
      <c r="E937" s="95"/>
      <c r="F937" s="55"/>
      <c r="H937" s="55"/>
      <c r="I937" s="55"/>
      <c r="J937" s="55"/>
    </row>
    <row r="938" spans="1:10" s="44" customFormat="1" ht="15.5">
      <c r="A938" s="33"/>
      <c r="B938" s="87"/>
      <c r="C938" s="86"/>
      <c r="D938" s="89"/>
      <c r="E938" s="96"/>
      <c r="F938" s="56"/>
      <c r="H938" s="56"/>
      <c r="I938" s="56"/>
      <c r="J938" s="56"/>
    </row>
    <row r="939" spans="1:10" s="44" customFormat="1" ht="15.5">
      <c r="A939" s="33"/>
      <c r="B939" s="87"/>
      <c r="C939" s="86"/>
      <c r="D939" s="88" t="s">
        <v>14141</v>
      </c>
      <c r="E939" s="95"/>
      <c r="F939" s="55"/>
      <c r="H939" s="55"/>
      <c r="I939" s="55"/>
      <c r="J939" s="55"/>
    </row>
    <row r="940" spans="1:10" s="44" customFormat="1" ht="15.5">
      <c r="A940" s="33"/>
      <c r="B940" s="87"/>
      <c r="C940" s="86"/>
      <c r="D940" s="89"/>
      <c r="E940" s="96"/>
      <c r="F940" s="56"/>
      <c r="H940" s="56"/>
      <c r="I940" s="56"/>
      <c r="J940" s="56"/>
    </row>
    <row r="941" spans="1:10" s="44" customFormat="1" ht="15.5">
      <c r="A941" s="33"/>
      <c r="B941" s="87"/>
      <c r="C941" s="86"/>
      <c r="D941" s="88" t="s">
        <v>14140</v>
      </c>
      <c r="E941" s="95"/>
      <c r="F941" s="55"/>
      <c r="H941" s="55"/>
      <c r="I941" s="55"/>
      <c r="J941" s="55"/>
    </row>
    <row r="942" spans="1:10" s="44" customFormat="1" ht="15.5">
      <c r="A942" s="33"/>
      <c r="B942" s="87"/>
      <c r="C942" s="83"/>
      <c r="D942" s="89"/>
      <c r="E942" s="96"/>
      <c r="F942" s="56"/>
      <c r="H942" s="56"/>
      <c r="I942" s="56"/>
      <c r="J942" s="56"/>
    </row>
    <row r="943" spans="1:10" s="44" customFormat="1" ht="15.75" customHeight="1">
      <c r="A943" s="33"/>
      <c r="B943" s="87"/>
      <c r="C943" s="82" t="s">
        <v>14139</v>
      </c>
      <c r="D943" s="88" t="s">
        <v>14138</v>
      </c>
      <c r="E943" s="95"/>
      <c r="F943" s="55"/>
      <c r="H943" s="55"/>
      <c r="I943" s="55"/>
      <c r="J943" s="55"/>
    </row>
    <row r="944" spans="1:10" s="44" customFormat="1" ht="15.5">
      <c r="A944" s="33"/>
      <c r="B944" s="87"/>
      <c r="C944" s="86"/>
      <c r="D944" s="89"/>
      <c r="E944" s="96"/>
      <c r="F944" s="56"/>
      <c r="H944" s="56"/>
      <c r="I944" s="56"/>
      <c r="J944" s="56"/>
    </row>
    <row r="945" spans="1:10" s="44" customFormat="1" ht="15.5">
      <c r="A945" s="33"/>
      <c r="B945" s="87"/>
      <c r="C945" s="86"/>
      <c r="D945" s="88" t="s">
        <v>14137</v>
      </c>
      <c r="E945" s="95"/>
      <c r="F945" s="55"/>
      <c r="H945" s="55"/>
      <c r="I945" s="55"/>
      <c r="J945" s="55"/>
    </row>
    <row r="946" spans="1:10" s="44" customFormat="1" ht="15.5">
      <c r="A946" s="33"/>
      <c r="B946" s="87"/>
      <c r="C946" s="86"/>
      <c r="D946" s="89"/>
      <c r="E946" s="96"/>
      <c r="F946" s="56"/>
      <c r="H946" s="56"/>
      <c r="I946" s="56"/>
      <c r="J946" s="56"/>
    </row>
    <row r="947" spans="1:10" s="44" customFormat="1" ht="15.5">
      <c r="A947" s="33"/>
      <c r="B947" s="87"/>
      <c r="C947" s="86"/>
      <c r="D947" s="88" t="s">
        <v>14136</v>
      </c>
      <c r="E947" s="95"/>
      <c r="F947" s="55"/>
      <c r="H947" s="55"/>
      <c r="I947" s="55"/>
      <c r="J947" s="55"/>
    </row>
    <row r="948" spans="1:10" s="44" customFormat="1" ht="15.5">
      <c r="A948" s="33"/>
      <c r="B948" s="87"/>
      <c r="C948" s="86"/>
      <c r="D948" s="89"/>
      <c r="E948" s="96"/>
      <c r="F948" s="56"/>
      <c r="H948" s="56"/>
      <c r="I948" s="56"/>
      <c r="J948" s="56"/>
    </row>
    <row r="949" spans="1:10" s="44" customFormat="1" ht="15.5">
      <c r="A949" s="33"/>
      <c r="B949" s="87"/>
      <c r="C949" s="86"/>
      <c r="D949" s="88" t="s">
        <v>14135</v>
      </c>
      <c r="E949" s="95"/>
      <c r="F949" s="55"/>
      <c r="H949" s="55"/>
      <c r="I949" s="55"/>
      <c r="J949" s="55"/>
    </row>
    <row r="950" spans="1:10" s="44" customFormat="1" ht="15.5">
      <c r="A950" s="33"/>
      <c r="B950" s="87"/>
      <c r="C950" s="86"/>
      <c r="D950" s="89"/>
      <c r="E950" s="96"/>
      <c r="F950" s="56"/>
      <c r="H950" s="56"/>
      <c r="I950" s="56"/>
      <c r="J950" s="56"/>
    </row>
    <row r="951" spans="1:10" s="44" customFormat="1" ht="15.5">
      <c r="A951" s="33"/>
      <c r="B951" s="87"/>
      <c r="C951" s="86"/>
      <c r="D951" s="88" t="s">
        <v>14134</v>
      </c>
      <c r="E951" s="95"/>
      <c r="F951" s="55"/>
      <c r="H951" s="55"/>
      <c r="I951" s="55"/>
      <c r="J951" s="55"/>
    </row>
    <row r="952" spans="1:10" s="44" customFormat="1" ht="15.5">
      <c r="A952" s="33"/>
      <c r="B952" s="87"/>
      <c r="C952" s="83"/>
      <c r="D952" s="89"/>
      <c r="E952" s="96"/>
      <c r="F952" s="56"/>
      <c r="H952" s="56"/>
      <c r="I952" s="56"/>
      <c r="J952" s="56"/>
    </row>
    <row r="953" spans="1:10" s="44" customFormat="1" ht="15.75" customHeight="1">
      <c r="A953" s="33"/>
      <c r="B953" s="87"/>
      <c r="C953" s="82" t="s">
        <v>14133</v>
      </c>
      <c r="D953" s="88" t="s">
        <v>14132</v>
      </c>
      <c r="E953" s="95"/>
      <c r="F953" s="55"/>
      <c r="H953" s="55"/>
      <c r="I953" s="55"/>
      <c r="J953" s="55"/>
    </row>
    <row r="954" spans="1:10" s="44" customFormat="1" ht="15.5">
      <c r="A954" s="33"/>
      <c r="B954" s="87"/>
      <c r="C954" s="86"/>
      <c r="D954" s="89"/>
      <c r="E954" s="96"/>
      <c r="F954" s="56"/>
      <c r="H954" s="56"/>
      <c r="I954" s="56"/>
      <c r="J954" s="56"/>
    </row>
    <row r="955" spans="1:10" s="44" customFormat="1" ht="15.5">
      <c r="A955" s="33"/>
      <c r="B955" s="87"/>
      <c r="C955" s="86"/>
      <c r="D955" s="88" t="s">
        <v>14131</v>
      </c>
      <c r="E955" s="95"/>
      <c r="F955" s="55"/>
      <c r="H955" s="55"/>
      <c r="I955" s="55"/>
      <c r="J955" s="55"/>
    </row>
    <row r="956" spans="1:10" s="44" customFormat="1" ht="15.5">
      <c r="A956" s="33"/>
      <c r="B956" s="87"/>
      <c r="C956" s="86"/>
      <c r="D956" s="89"/>
      <c r="E956" s="96"/>
      <c r="F956" s="56"/>
      <c r="H956" s="56"/>
      <c r="I956" s="56"/>
      <c r="J956" s="56"/>
    </row>
    <row r="957" spans="1:10" s="44" customFormat="1" ht="15.5">
      <c r="A957" s="33"/>
      <c r="B957" s="87"/>
      <c r="C957" s="86"/>
      <c r="D957" s="88" t="s">
        <v>14130</v>
      </c>
      <c r="E957" s="95"/>
      <c r="F957" s="55"/>
      <c r="H957" s="55"/>
      <c r="I957" s="55"/>
      <c r="J957" s="55"/>
    </row>
    <row r="958" spans="1:10" s="44" customFormat="1" ht="15.5">
      <c r="A958" s="33"/>
      <c r="B958" s="87"/>
      <c r="C958" s="86"/>
      <c r="D958" s="89"/>
      <c r="E958" s="96"/>
      <c r="F958" s="56"/>
      <c r="H958" s="56"/>
      <c r="I958" s="56"/>
      <c r="J958" s="56"/>
    </row>
    <row r="959" spans="1:10" s="44" customFormat="1" ht="15.5">
      <c r="A959" s="33"/>
      <c r="B959" s="87"/>
      <c r="C959" s="86"/>
      <c r="D959" s="88" t="s">
        <v>14129</v>
      </c>
      <c r="E959" s="95"/>
      <c r="F959" s="55"/>
      <c r="H959" s="55"/>
      <c r="I959" s="55"/>
      <c r="J959" s="55"/>
    </row>
    <row r="960" spans="1:10" s="44" customFormat="1" ht="15.5">
      <c r="A960" s="33"/>
      <c r="B960" s="87"/>
      <c r="C960" s="86"/>
      <c r="D960" s="89"/>
      <c r="E960" s="96"/>
      <c r="F960" s="56"/>
      <c r="H960" s="56"/>
      <c r="I960" s="56"/>
      <c r="J960" s="56"/>
    </row>
    <row r="961" spans="1:10" s="44" customFormat="1" ht="15.5">
      <c r="A961" s="33"/>
      <c r="B961" s="87"/>
      <c r="C961" s="86"/>
      <c r="D961" s="88" t="s">
        <v>14128</v>
      </c>
      <c r="E961" s="95"/>
      <c r="F961" s="55"/>
      <c r="H961" s="55"/>
      <c r="I961" s="55"/>
      <c r="J961" s="55"/>
    </row>
    <row r="962" spans="1:10" s="44" customFormat="1" ht="15.5">
      <c r="A962" s="33"/>
      <c r="B962" s="50"/>
      <c r="C962" s="83"/>
      <c r="D962" s="89"/>
      <c r="E962" s="96"/>
      <c r="F962" s="56"/>
      <c r="H962" s="56"/>
      <c r="I962" s="56"/>
      <c r="J962" s="56"/>
    </row>
    <row r="963" spans="1:10" s="44" customFormat="1" ht="15.75" customHeight="1">
      <c r="A963" s="33"/>
      <c r="B963" s="87" t="s">
        <v>14127</v>
      </c>
      <c r="C963" s="82" t="s">
        <v>14126</v>
      </c>
      <c r="D963" s="88" t="s">
        <v>14125</v>
      </c>
      <c r="E963" s="95"/>
      <c r="F963" s="55"/>
      <c r="H963" s="55"/>
      <c r="I963" s="55"/>
      <c r="J963" s="55"/>
    </row>
    <row r="964" spans="1:10" s="44" customFormat="1" ht="15.5">
      <c r="A964" s="33"/>
      <c r="B964" s="87"/>
      <c r="C964" s="86"/>
      <c r="D964" s="89"/>
      <c r="E964" s="96"/>
      <c r="F964" s="56"/>
      <c r="H964" s="56"/>
      <c r="I964" s="56"/>
      <c r="J964" s="56"/>
    </row>
    <row r="965" spans="1:10" s="44" customFormat="1" ht="15.5">
      <c r="A965" s="33"/>
      <c r="B965" s="87"/>
      <c r="C965" s="86"/>
      <c r="D965" s="88" t="s">
        <v>14124</v>
      </c>
      <c r="E965" s="95"/>
      <c r="F965" s="55"/>
      <c r="H965" s="55"/>
      <c r="I965" s="55"/>
      <c r="J965" s="55"/>
    </row>
    <row r="966" spans="1:10" s="44" customFormat="1" ht="15.5">
      <c r="A966" s="33"/>
      <c r="B966" s="87"/>
      <c r="C966" s="86"/>
      <c r="D966" s="89"/>
      <c r="E966" s="96"/>
      <c r="F966" s="56"/>
      <c r="H966" s="56"/>
      <c r="I966" s="56"/>
      <c r="J966" s="56"/>
    </row>
    <row r="967" spans="1:10" s="44" customFormat="1" ht="15.5">
      <c r="A967" s="33"/>
      <c r="B967" s="87"/>
      <c r="C967" s="86"/>
      <c r="D967" s="88" t="s">
        <v>14123</v>
      </c>
      <c r="E967" s="95"/>
      <c r="F967" s="55"/>
      <c r="H967" s="55"/>
      <c r="I967" s="55"/>
      <c r="J967" s="55"/>
    </row>
    <row r="968" spans="1:10" s="44" customFormat="1" ht="15.5">
      <c r="A968" s="33"/>
      <c r="B968" s="87"/>
      <c r="C968" s="86"/>
      <c r="D968" s="89"/>
      <c r="E968" s="96"/>
      <c r="F968" s="56"/>
      <c r="H968" s="56"/>
      <c r="I968" s="56"/>
      <c r="J968" s="56"/>
    </row>
    <row r="969" spans="1:10" s="44" customFormat="1" ht="15.5">
      <c r="A969" s="33"/>
      <c r="B969" s="87"/>
      <c r="C969" s="86"/>
      <c r="D969" s="88" t="s">
        <v>14122</v>
      </c>
      <c r="E969" s="95"/>
      <c r="F969" s="55"/>
      <c r="H969" s="55"/>
      <c r="I969" s="55"/>
      <c r="J969" s="55"/>
    </row>
    <row r="970" spans="1:10" s="44" customFormat="1" ht="15.5">
      <c r="A970" s="33"/>
      <c r="B970" s="87"/>
      <c r="C970" s="86"/>
      <c r="D970" s="89"/>
      <c r="E970" s="96"/>
      <c r="F970" s="56"/>
      <c r="H970" s="56"/>
      <c r="I970" s="56"/>
      <c r="J970" s="56"/>
    </row>
    <row r="971" spans="1:10" s="44" customFormat="1" ht="15.5">
      <c r="A971" s="33"/>
      <c r="B971" s="87"/>
      <c r="C971" s="86"/>
      <c r="D971" s="88" t="s">
        <v>14121</v>
      </c>
      <c r="E971" s="95"/>
      <c r="F971" s="55"/>
      <c r="H971" s="55"/>
      <c r="I971" s="55"/>
      <c r="J971" s="55"/>
    </row>
    <row r="972" spans="1:10" s="44" customFormat="1" ht="15.5">
      <c r="A972" s="33"/>
      <c r="B972" s="87"/>
      <c r="C972" s="83"/>
      <c r="D972" s="89"/>
      <c r="E972" s="96"/>
      <c r="F972" s="56"/>
      <c r="H972" s="56"/>
      <c r="I972" s="56"/>
      <c r="J972" s="56"/>
    </row>
    <row r="973" spans="1:10" s="44" customFormat="1" ht="15.75" customHeight="1">
      <c r="A973" s="33"/>
      <c r="B973" s="87"/>
      <c r="C973" s="82" t="s">
        <v>14120</v>
      </c>
      <c r="D973" s="82" t="s">
        <v>14119</v>
      </c>
      <c r="E973" s="95"/>
      <c r="F973" s="55"/>
      <c r="H973" s="55"/>
      <c r="I973" s="55"/>
      <c r="J973" s="55"/>
    </row>
    <row r="974" spans="1:10" s="44" customFormat="1" ht="15.5">
      <c r="A974" s="33"/>
      <c r="B974" s="87"/>
      <c r="C974" s="86"/>
      <c r="D974" s="83"/>
      <c r="E974" s="96"/>
      <c r="F974" s="56"/>
      <c r="H974" s="56"/>
      <c r="I974" s="56"/>
      <c r="J974" s="56"/>
    </row>
    <row r="975" spans="1:10" s="44" customFormat="1" ht="15.5">
      <c r="A975" s="33"/>
      <c r="B975" s="87"/>
      <c r="C975" s="86"/>
      <c r="D975" s="88" t="s">
        <v>14118</v>
      </c>
      <c r="E975" s="95"/>
      <c r="F975" s="55"/>
      <c r="H975" s="55"/>
      <c r="I975" s="55"/>
      <c r="J975" s="55"/>
    </row>
    <row r="976" spans="1:10" s="44" customFormat="1" ht="15.5">
      <c r="A976" s="33"/>
      <c r="B976" s="87"/>
      <c r="C976" s="86"/>
      <c r="D976" s="89"/>
      <c r="E976" s="96"/>
      <c r="F976" s="56"/>
      <c r="H976" s="56"/>
      <c r="I976" s="56"/>
      <c r="J976" s="56"/>
    </row>
    <row r="977" spans="1:10" s="44" customFormat="1" ht="15.5">
      <c r="A977" s="33"/>
      <c r="B977" s="87"/>
      <c r="C977" s="86"/>
      <c r="D977" s="88" t="s">
        <v>14117</v>
      </c>
      <c r="E977" s="95"/>
      <c r="F977" s="55"/>
      <c r="H977" s="55"/>
      <c r="I977" s="55"/>
      <c r="J977" s="55"/>
    </row>
    <row r="978" spans="1:10" s="44" customFormat="1" ht="15.5">
      <c r="A978" s="33"/>
      <c r="B978" s="87"/>
      <c r="C978" s="86"/>
      <c r="D978" s="89"/>
      <c r="E978" s="96"/>
      <c r="F978" s="56"/>
      <c r="H978" s="56"/>
      <c r="I978" s="56"/>
      <c r="J978" s="56"/>
    </row>
    <row r="979" spans="1:10" s="44" customFormat="1" ht="15.5">
      <c r="A979" s="33"/>
      <c r="B979" s="87"/>
      <c r="C979" s="86"/>
      <c r="D979" s="49" t="s">
        <v>14116</v>
      </c>
      <c r="E979" s="95"/>
      <c r="F979" s="55"/>
      <c r="H979" s="55"/>
      <c r="I979" s="55"/>
      <c r="J979" s="55"/>
    </row>
    <row r="980" spans="1:10" s="44" customFormat="1" ht="15.5">
      <c r="A980" s="33"/>
      <c r="B980" s="87"/>
      <c r="C980" s="86"/>
      <c r="D980" s="50"/>
      <c r="E980" s="96"/>
      <c r="F980" s="56"/>
      <c r="H980" s="56"/>
      <c r="I980" s="56"/>
      <c r="J980" s="56"/>
    </row>
    <row r="981" spans="1:10" s="44" customFormat="1" ht="15.5">
      <c r="A981" s="33"/>
      <c r="B981" s="87"/>
      <c r="C981" s="86"/>
      <c r="D981" s="49" t="s">
        <v>14115</v>
      </c>
      <c r="E981" s="95"/>
      <c r="F981" s="55"/>
      <c r="H981" s="55"/>
      <c r="I981" s="55"/>
      <c r="J981" s="55"/>
    </row>
    <row r="982" spans="1:10" s="44" customFormat="1" ht="15.5">
      <c r="A982" s="33"/>
      <c r="B982" s="87"/>
      <c r="C982" s="83"/>
      <c r="D982" s="50"/>
      <c r="E982" s="96"/>
      <c r="F982" s="56"/>
      <c r="H982" s="56"/>
      <c r="I982" s="56"/>
      <c r="J982" s="56"/>
    </row>
    <row r="983" spans="1:10" s="44" customFormat="1" ht="15.75" customHeight="1">
      <c r="A983" s="33"/>
      <c r="B983" s="87"/>
      <c r="C983" s="82" t="s">
        <v>14114</v>
      </c>
      <c r="D983" s="82" t="s">
        <v>14113</v>
      </c>
      <c r="E983" s="95"/>
      <c r="F983" s="55"/>
      <c r="H983" s="55"/>
      <c r="I983" s="55"/>
      <c r="J983" s="55"/>
    </row>
    <row r="984" spans="1:10" s="44" customFormat="1" ht="15.5">
      <c r="A984" s="33"/>
      <c r="B984" s="87"/>
      <c r="C984" s="86"/>
      <c r="D984" s="83"/>
      <c r="E984" s="96"/>
      <c r="F984" s="56"/>
      <c r="H984" s="56"/>
      <c r="I984" s="56"/>
      <c r="J984" s="56"/>
    </row>
    <row r="985" spans="1:10" s="44" customFormat="1" ht="15.5">
      <c r="A985" s="33"/>
      <c r="B985" s="87"/>
      <c r="C985" s="86"/>
      <c r="D985" s="88" t="s">
        <v>14112</v>
      </c>
      <c r="E985" s="95"/>
      <c r="F985" s="55"/>
      <c r="H985" s="55"/>
      <c r="I985" s="55"/>
      <c r="J985" s="55"/>
    </row>
    <row r="986" spans="1:10" s="44" customFormat="1" ht="15.5">
      <c r="A986" s="33"/>
      <c r="B986" s="87"/>
      <c r="C986" s="86"/>
      <c r="D986" s="89"/>
      <c r="E986" s="96"/>
      <c r="F986" s="56"/>
      <c r="H986" s="56"/>
      <c r="I986" s="56"/>
      <c r="J986" s="56"/>
    </row>
    <row r="987" spans="1:10" s="44" customFormat="1" ht="15.5">
      <c r="A987" s="33"/>
      <c r="B987" s="87"/>
      <c r="C987" s="86"/>
      <c r="D987" s="82" t="s">
        <v>14111</v>
      </c>
      <c r="E987" s="95"/>
      <c r="F987" s="55"/>
      <c r="H987" s="55"/>
      <c r="I987" s="55"/>
      <c r="J987" s="55"/>
    </row>
    <row r="988" spans="1:10" s="44" customFormat="1" ht="15.5">
      <c r="A988" s="33"/>
      <c r="B988" s="87"/>
      <c r="C988" s="86"/>
      <c r="D988" s="83"/>
      <c r="E988" s="96"/>
      <c r="F988" s="56"/>
      <c r="H988" s="56"/>
      <c r="I988" s="56"/>
      <c r="J988" s="56"/>
    </row>
    <row r="989" spans="1:10" s="44" customFormat="1" ht="15.5">
      <c r="A989" s="33"/>
      <c r="B989" s="87"/>
      <c r="C989" s="86"/>
      <c r="D989" s="88" t="s">
        <v>14110</v>
      </c>
      <c r="E989" s="95"/>
      <c r="F989" s="15"/>
      <c r="H989" s="55"/>
      <c r="I989" s="55"/>
      <c r="J989" s="55"/>
    </row>
    <row r="990" spans="1:10" s="44" customFormat="1" ht="15.5">
      <c r="A990" s="33"/>
      <c r="B990" s="87"/>
      <c r="C990" s="86"/>
      <c r="D990" s="89"/>
      <c r="E990" s="96"/>
      <c r="F990" s="15"/>
      <c r="H990" s="56"/>
      <c r="I990" s="56"/>
      <c r="J990" s="56"/>
    </row>
    <row r="991" spans="1:10" s="44" customFormat="1" ht="15.5">
      <c r="A991" s="33"/>
      <c r="B991" s="87"/>
      <c r="C991" s="86"/>
      <c r="D991" s="177" t="s">
        <v>14109</v>
      </c>
      <c r="E991" s="176"/>
      <c r="F991" s="15"/>
      <c r="H991" s="55"/>
      <c r="I991" s="55"/>
      <c r="J991" s="55"/>
    </row>
    <row r="992" spans="1:10" s="15" customFormat="1" ht="15.75" customHeight="1">
      <c r="B992" s="87"/>
      <c r="C992" s="83"/>
      <c r="D992" s="175"/>
      <c r="E992" s="174"/>
      <c r="H992" s="56"/>
      <c r="I992" s="56"/>
      <c r="J992" s="56"/>
    </row>
    <row r="993" spans="1:10" s="22" customFormat="1" ht="15.75" customHeight="1">
      <c r="A993" s="33"/>
      <c r="B993" s="87"/>
      <c r="C993" s="82" t="s">
        <v>14108</v>
      </c>
      <c r="D993" s="49" t="s">
        <v>14107</v>
      </c>
      <c r="E993" s="84"/>
      <c r="F993" s="49"/>
      <c r="H993" s="49"/>
      <c r="I993" s="49"/>
      <c r="J993" s="49"/>
    </row>
    <row r="994" spans="1:10" s="22" customFormat="1" ht="15.5">
      <c r="A994" s="33"/>
      <c r="B994" s="87"/>
      <c r="C994" s="86"/>
      <c r="D994" s="50"/>
      <c r="E994" s="85"/>
      <c r="F994" s="50"/>
      <c r="H994" s="50"/>
      <c r="I994" s="50"/>
      <c r="J994" s="50"/>
    </row>
    <row r="995" spans="1:10" s="22" customFormat="1" ht="15.5">
      <c r="A995" s="33"/>
      <c r="B995" s="87"/>
      <c r="C995" s="86"/>
      <c r="D995" s="49" t="s">
        <v>14106</v>
      </c>
      <c r="E995" s="84"/>
      <c r="F995" s="49"/>
      <c r="H995" s="49"/>
      <c r="I995" s="49"/>
      <c r="J995" s="49"/>
    </row>
    <row r="996" spans="1:10" s="22" customFormat="1" ht="15.5">
      <c r="A996" s="33"/>
      <c r="B996" s="87"/>
      <c r="C996" s="86"/>
      <c r="D996" s="50"/>
      <c r="E996" s="85"/>
      <c r="F996" s="50"/>
      <c r="H996" s="50"/>
      <c r="I996" s="50"/>
      <c r="J996" s="50"/>
    </row>
    <row r="997" spans="1:10" s="22" customFormat="1" ht="15.5">
      <c r="A997" s="33"/>
      <c r="B997" s="87"/>
      <c r="C997" s="86"/>
      <c r="D997" s="49" t="s">
        <v>14105</v>
      </c>
      <c r="E997" s="84"/>
      <c r="F997" s="49"/>
      <c r="H997" s="49"/>
      <c r="I997" s="49"/>
      <c r="J997" s="49"/>
    </row>
    <row r="998" spans="1:10" s="22" customFormat="1" ht="15.5">
      <c r="A998" s="33"/>
      <c r="B998" s="87"/>
      <c r="C998" s="86"/>
      <c r="D998" s="50"/>
      <c r="E998" s="85"/>
      <c r="F998" s="50"/>
      <c r="H998" s="50"/>
      <c r="I998" s="50"/>
      <c r="J998" s="50"/>
    </row>
    <row r="999" spans="1:10" s="22" customFormat="1" ht="15.5">
      <c r="A999" s="33"/>
      <c r="B999" s="87"/>
      <c r="C999" s="86"/>
      <c r="D999" s="49" t="s">
        <v>14104</v>
      </c>
      <c r="E999" s="84"/>
      <c r="F999" s="49"/>
      <c r="H999" s="49"/>
      <c r="I999" s="49"/>
      <c r="J999" s="49"/>
    </row>
    <row r="1000" spans="1:10" s="22" customFormat="1" ht="15.5">
      <c r="A1000" s="33"/>
      <c r="B1000" s="87"/>
      <c r="C1000" s="86"/>
      <c r="D1000" s="50"/>
      <c r="E1000" s="85"/>
      <c r="F1000" s="50"/>
      <c r="H1000" s="50"/>
      <c r="I1000" s="50"/>
      <c r="J1000" s="50"/>
    </row>
    <row r="1001" spans="1:10" s="22" customFormat="1" ht="15.5">
      <c r="A1001" s="33"/>
      <c r="B1001" s="87"/>
      <c r="C1001" s="86"/>
      <c r="D1001" s="49" t="s">
        <v>14103</v>
      </c>
      <c r="E1001" s="84"/>
      <c r="F1001" s="49"/>
      <c r="H1001" s="49"/>
      <c r="I1001" s="49"/>
      <c r="J1001" s="49"/>
    </row>
    <row r="1002" spans="1:10" s="22" customFormat="1" ht="15.5">
      <c r="A1002" s="33"/>
      <c r="B1002" s="87"/>
      <c r="C1002" s="83"/>
      <c r="D1002" s="50"/>
      <c r="E1002" s="85"/>
      <c r="F1002" s="50"/>
      <c r="H1002" s="50"/>
      <c r="I1002" s="50"/>
      <c r="J1002" s="50"/>
    </row>
    <row r="1003" spans="1:10" s="22" customFormat="1" ht="15.75" customHeight="1">
      <c r="A1003" s="33"/>
      <c r="B1003" s="87"/>
      <c r="C1003" s="82" t="s">
        <v>14102</v>
      </c>
      <c r="D1003" s="49" t="s">
        <v>14101</v>
      </c>
      <c r="E1003" s="84"/>
      <c r="F1003" s="49"/>
      <c r="H1003" s="49"/>
      <c r="I1003" s="49"/>
      <c r="J1003" s="49"/>
    </row>
    <row r="1004" spans="1:10" s="22" customFormat="1" ht="15.5">
      <c r="A1004" s="33"/>
      <c r="B1004" s="87"/>
      <c r="C1004" s="86"/>
      <c r="D1004" s="50"/>
      <c r="E1004" s="85"/>
      <c r="F1004" s="50"/>
      <c r="H1004" s="50"/>
      <c r="I1004" s="50"/>
      <c r="J1004" s="50"/>
    </row>
    <row r="1005" spans="1:10" s="22" customFormat="1" ht="15.5">
      <c r="A1005" s="33"/>
      <c r="B1005" s="87"/>
      <c r="C1005" s="86"/>
      <c r="D1005" s="49" t="s">
        <v>14100</v>
      </c>
      <c r="E1005" s="84"/>
      <c r="F1005" s="49"/>
      <c r="H1005" s="49"/>
      <c r="I1005" s="49"/>
      <c r="J1005" s="49"/>
    </row>
    <row r="1006" spans="1:10" s="22" customFormat="1" ht="15.5">
      <c r="A1006" s="33"/>
      <c r="B1006" s="87"/>
      <c r="C1006" s="86"/>
      <c r="D1006" s="50"/>
      <c r="E1006" s="85"/>
      <c r="F1006" s="50"/>
      <c r="H1006" s="50"/>
      <c r="I1006" s="50"/>
      <c r="J1006" s="50"/>
    </row>
    <row r="1007" spans="1:10" s="22" customFormat="1" ht="15.5">
      <c r="A1007" s="33"/>
      <c r="B1007" s="87"/>
      <c r="C1007" s="86"/>
      <c r="D1007" s="49" t="s">
        <v>14099</v>
      </c>
      <c r="E1007" s="84"/>
      <c r="F1007" s="49"/>
      <c r="H1007" s="49"/>
      <c r="I1007" s="49"/>
      <c r="J1007" s="49"/>
    </row>
    <row r="1008" spans="1:10" s="22" customFormat="1" ht="15.5">
      <c r="A1008" s="33"/>
      <c r="B1008" s="87"/>
      <c r="C1008" s="86"/>
      <c r="D1008" s="50"/>
      <c r="E1008" s="85"/>
      <c r="F1008" s="50"/>
      <c r="H1008" s="50"/>
      <c r="I1008" s="50"/>
      <c r="J1008" s="50"/>
    </row>
    <row r="1009" spans="1:10" s="22" customFormat="1" ht="15.5">
      <c r="A1009" s="33"/>
      <c r="B1009" s="87"/>
      <c r="C1009" s="86"/>
      <c r="D1009" s="49" t="s">
        <v>14098</v>
      </c>
      <c r="E1009" s="84"/>
      <c r="F1009" s="49"/>
      <c r="H1009" s="49"/>
      <c r="I1009" s="49"/>
      <c r="J1009" s="49"/>
    </row>
    <row r="1010" spans="1:10" s="22" customFormat="1" ht="15.5">
      <c r="A1010" s="33"/>
      <c r="B1010" s="87"/>
      <c r="C1010" s="86"/>
      <c r="D1010" s="50"/>
      <c r="E1010" s="85"/>
      <c r="F1010" s="50"/>
      <c r="H1010" s="50"/>
      <c r="I1010" s="50"/>
      <c r="J1010" s="50"/>
    </row>
    <row r="1011" spans="1:10" s="22" customFormat="1" ht="15.5">
      <c r="A1011" s="33"/>
      <c r="B1011" s="87"/>
      <c r="C1011" s="86"/>
      <c r="D1011" s="49" t="s">
        <v>14097</v>
      </c>
      <c r="E1011" s="84"/>
      <c r="F1011" s="49"/>
      <c r="H1011" s="49"/>
      <c r="I1011" s="49"/>
      <c r="J1011" s="49"/>
    </row>
    <row r="1012" spans="1:10" s="22" customFormat="1" ht="15.5">
      <c r="A1012" s="33"/>
      <c r="B1012" s="87"/>
      <c r="C1012" s="83"/>
      <c r="D1012" s="50"/>
      <c r="E1012" s="85"/>
      <c r="F1012" s="50"/>
      <c r="H1012" s="50"/>
      <c r="I1012" s="50"/>
      <c r="J1012" s="50"/>
    </row>
    <row r="1013" spans="1:10" s="22" customFormat="1" ht="15.75" customHeight="1">
      <c r="A1013" s="33"/>
      <c r="B1013" s="87"/>
      <c r="C1013" s="82" t="s">
        <v>14096</v>
      </c>
      <c r="D1013" s="49" t="s">
        <v>14095</v>
      </c>
      <c r="E1013" s="84"/>
      <c r="F1013" s="49"/>
      <c r="H1013" s="49"/>
      <c r="I1013" s="49"/>
      <c r="J1013" s="49"/>
    </row>
    <row r="1014" spans="1:10" s="22" customFormat="1" ht="15.5">
      <c r="A1014" s="33"/>
      <c r="B1014" s="87"/>
      <c r="C1014" s="86"/>
      <c r="D1014" s="50"/>
      <c r="E1014" s="85"/>
      <c r="F1014" s="50"/>
      <c r="H1014" s="50"/>
      <c r="I1014" s="50"/>
      <c r="J1014" s="50"/>
    </row>
    <row r="1015" spans="1:10" s="22" customFormat="1" ht="15.5">
      <c r="A1015" s="33"/>
      <c r="B1015" s="87"/>
      <c r="C1015" s="86"/>
      <c r="D1015" s="49" t="s">
        <v>14094</v>
      </c>
      <c r="E1015" s="84"/>
      <c r="F1015" s="49"/>
      <c r="H1015" s="49"/>
      <c r="I1015" s="49"/>
      <c r="J1015" s="49"/>
    </row>
    <row r="1016" spans="1:10" s="22" customFormat="1" ht="15.5">
      <c r="A1016" s="33"/>
      <c r="B1016" s="87"/>
      <c r="C1016" s="86"/>
      <c r="D1016" s="50"/>
      <c r="E1016" s="85"/>
      <c r="F1016" s="50"/>
      <c r="H1016" s="50"/>
      <c r="I1016" s="50"/>
      <c r="J1016" s="50"/>
    </row>
    <row r="1017" spans="1:10" s="22" customFormat="1" ht="15.5">
      <c r="A1017" s="33"/>
      <c r="B1017" s="87"/>
      <c r="C1017" s="86"/>
      <c r="D1017" s="49" t="s">
        <v>14093</v>
      </c>
      <c r="E1017" s="84"/>
      <c r="F1017" s="49"/>
      <c r="H1017" s="49"/>
      <c r="I1017" s="49"/>
      <c r="J1017" s="49"/>
    </row>
    <row r="1018" spans="1:10" s="22" customFormat="1" ht="15.5">
      <c r="A1018" s="33"/>
      <c r="B1018" s="87"/>
      <c r="C1018" s="86"/>
      <c r="D1018" s="50"/>
      <c r="E1018" s="85"/>
      <c r="F1018" s="50"/>
      <c r="H1018" s="50"/>
      <c r="I1018" s="50"/>
      <c r="J1018" s="50"/>
    </row>
    <row r="1019" spans="1:10" s="22" customFormat="1" ht="15.5">
      <c r="A1019" s="33"/>
      <c r="B1019" s="87"/>
      <c r="C1019" s="86"/>
      <c r="D1019" s="49" t="s">
        <v>14092</v>
      </c>
      <c r="E1019" s="84"/>
      <c r="F1019" s="49"/>
      <c r="H1019" s="49"/>
      <c r="I1019" s="49"/>
      <c r="J1019" s="49"/>
    </row>
    <row r="1020" spans="1:10" s="22" customFormat="1" ht="15.5">
      <c r="A1020" s="33"/>
      <c r="B1020" s="87"/>
      <c r="C1020" s="86"/>
      <c r="D1020" s="50"/>
      <c r="E1020" s="85"/>
      <c r="F1020" s="50"/>
      <c r="H1020" s="50"/>
      <c r="I1020" s="50"/>
      <c r="J1020" s="50"/>
    </row>
    <row r="1021" spans="1:10" s="22" customFormat="1" ht="15.5">
      <c r="A1021" s="33"/>
      <c r="B1021" s="87"/>
      <c r="C1021" s="86"/>
      <c r="D1021" s="49" t="s">
        <v>14091</v>
      </c>
      <c r="E1021" s="84"/>
      <c r="F1021" s="49"/>
      <c r="H1021" s="49"/>
      <c r="I1021" s="49"/>
      <c r="J1021" s="49"/>
    </row>
    <row r="1022" spans="1:10" s="22" customFormat="1" ht="15.5">
      <c r="A1022" s="33"/>
      <c r="B1022" s="87"/>
      <c r="C1022" s="83"/>
      <c r="D1022" s="50"/>
      <c r="E1022" s="85"/>
      <c r="F1022" s="50"/>
      <c r="H1022" s="50"/>
      <c r="I1022" s="50"/>
      <c r="J1022" s="50"/>
    </row>
    <row r="1023" spans="1:10" s="22" customFormat="1" ht="15.75" customHeight="1">
      <c r="A1023" s="33"/>
      <c r="B1023" s="87"/>
      <c r="C1023" s="82" t="s">
        <v>14090</v>
      </c>
      <c r="D1023" s="49" t="s">
        <v>14089</v>
      </c>
      <c r="E1023" s="84"/>
      <c r="F1023" s="49"/>
      <c r="H1023" s="49"/>
      <c r="I1023" s="49"/>
      <c r="J1023" s="49"/>
    </row>
    <row r="1024" spans="1:10" s="22" customFormat="1" ht="15.5">
      <c r="A1024" s="33"/>
      <c r="B1024" s="87"/>
      <c r="C1024" s="86"/>
      <c r="D1024" s="50"/>
      <c r="E1024" s="85"/>
      <c r="F1024" s="50"/>
      <c r="H1024" s="50"/>
      <c r="I1024" s="50"/>
      <c r="J1024" s="50"/>
    </row>
    <row r="1025" spans="1:10" s="22" customFormat="1" ht="15.5">
      <c r="A1025" s="33"/>
      <c r="B1025" s="87"/>
      <c r="C1025" s="86"/>
      <c r="D1025" s="49" t="s">
        <v>14088</v>
      </c>
      <c r="E1025" s="84"/>
      <c r="F1025" s="49"/>
      <c r="H1025" s="49"/>
      <c r="I1025" s="49"/>
      <c r="J1025" s="49"/>
    </row>
    <row r="1026" spans="1:10" s="22" customFormat="1" ht="15.5">
      <c r="A1026" s="33"/>
      <c r="B1026" s="87"/>
      <c r="C1026" s="86"/>
      <c r="D1026" s="50"/>
      <c r="E1026" s="85"/>
      <c r="F1026" s="50"/>
      <c r="H1026" s="50"/>
      <c r="I1026" s="50"/>
      <c r="J1026" s="50"/>
    </row>
    <row r="1027" spans="1:10" s="22" customFormat="1" ht="15.5">
      <c r="A1027" s="33"/>
      <c r="B1027" s="87"/>
      <c r="C1027" s="86"/>
      <c r="D1027" s="49" t="s">
        <v>14087</v>
      </c>
      <c r="E1027" s="84"/>
      <c r="F1027" s="49"/>
      <c r="H1027" s="49"/>
      <c r="I1027" s="49"/>
      <c r="J1027" s="49"/>
    </row>
    <row r="1028" spans="1:10" s="22" customFormat="1" ht="15.5">
      <c r="A1028" s="33"/>
      <c r="B1028" s="87"/>
      <c r="C1028" s="86"/>
      <c r="D1028" s="50"/>
      <c r="E1028" s="85"/>
      <c r="F1028" s="50"/>
      <c r="H1028" s="50"/>
      <c r="I1028" s="50"/>
      <c r="J1028" s="50"/>
    </row>
    <row r="1029" spans="1:10" s="22" customFormat="1" ht="15.5">
      <c r="A1029" s="33"/>
      <c r="B1029" s="87"/>
      <c r="C1029" s="86"/>
      <c r="D1029" s="49" t="s">
        <v>14086</v>
      </c>
      <c r="E1029" s="84"/>
      <c r="F1029" s="49"/>
      <c r="H1029" s="49"/>
      <c r="I1029" s="49"/>
      <c r="J1029" s="49"/>
    </row>
    <row r="1030" spans="1:10" s="22" customFormat="1" ht="15.5">
      <c r="A1030" s="33"/>
      <c r="B1030" s="87"/>
      <c r="C1030" s="86"/>
      <c r="D1030" s="50"/>
      <c r="E1030" s="85"/>
      <c r="F1030" s="50"/>
      <c r="H1030" s="50"/>
      <c r="I1030" s="50"/>
      <c r="J1030" s="50"/>
    </row>
    <row r="1031" spans="1:10" s="22" customFormat="1" ht="15.5">
      <c r="A1031" s="33"/>
      <c r="B1031" s="87"/>
      <c r="C1031" s="86"/>
      <c r="D1031" s="49" t="s">
        <v>14085</v>
      </c>
      <c r="E1031" s="84"/>
      <c r="F1031" s="49"/>
      <c r="H1031" s="49"/>
      <c r="I1031" s="49"/>
      <c r="J1031" s="49"/>
    </row>
    <row r="1032" spans="1:10" s="22" customFormat="1" ht="15.5">
      <c r="A1032" s="33"/>
      <c r="B1032" s="87"/>
      <c r="C1032" s="83"/>
      <c r="D1032" s="50"/>
      <c r="E1032" s="85"/>
      <c r="F1032" s="50"/>
      <c r="H1032" s="50"/>
      <c r="I1032" s="50"/>
      <c r="J1032" s="50"/>
    </row>
    <row r="1033" spans="1:10" s="22" customFormat="1" ht="15.75" customHeight="1">
      <c r="A1033" s="33"/>
      <c r="B1033" s="87"/>
      <c r="C1033" s="82" t="s">
        <v>14084</v>
      </c>
      <c r="D1033" s="82" t="s">
        <v>14083</v>
      </c>
      <c r="E1033" s="84"/>
      <c r="F1033" s="49"/>
      <c r="H1033" s="49"/>
      <c r="I1033" s="49"/>
      <c r="J1033" s="49"/>
    </row>
    <row r="1034" spans="1:10" s="22" customFormat="1" ht="15.5">
      <c r="A1034" s="33"/>
      <c r="B1034" s="87"/>
      <c r="C1034" s="86"/>
      <c r="D1034" s="83"/>
      <c r="E1034" s="85"/>
      <c r="F1034" s="50"/>
      <c r="H1034" s="50"/>
      <c r="I1034" s="50"/>
      <c r="J1034" s="50"/>
    </row>
    <row r="1035" spans="1:10" s="22" customFormat="1" ht="15.5">
      <c r="A1035" s="33"/>
      <c r="B1035" s="87"/>
      <c r="C1035" s="86"/>
      <c r="D1035" s="49" t="s">
        <v>14082</v>
      </c>
      <c r="E1035" s="84"/>
      <c r="F1035" s="49"/>
      <c r="H1035" s="49"/>
      <c r="I1035" s="49"/>
      <c r="J1035" s="49"/>
    </row>
    <row r="1036" spans="1:10" s="22" customFormat="1" ht="15.5">
      <c r="A1036" s="33"/>
      <c r="B1036" s="87"/>
      <c r="C1036" s="86"/>
      <c r="D1036" s="50"/>
      <c r="E1036" s="85"/>
      <c r="F1036" s="50"/>
      <c r="H1036" s="50"/>
      <c r="I1036" s="50"/>
      <c r="J1036" s="50"/>
    </row>
    <row r="1037" spans="1:10" s="22" customFormat="1" ht="15.5">
      <c r="A1037" s="33"/>
      <c r="B1037" s="87"/>
      <c r="C1037" s="86"/>
      <c r="D1037" s="49" t="s">
        <v>14081</v>
      </c>
      <c r="E1037" s="84"/>
      <c r="F1037" s="49"/>
      <c r="H1037" s="49"/>
      <c r="I1037" s="49"/>
      <c r="J1037" s="49"/>
    </row>
    <row r="1038" spans="1:10" s="22" customFormat="1" ht="15.5">
      <c r="A1038" s="33"/>
      <c r="B1038" s="87"/>
      <c r="C1038" s="86"/>
      <c r="D1038" s="50"/>
      <c r="E1038" s="85"/>
      <c r="F1038" s="50"/>
      <c r="H1038" s="50"/>
      <c r="I1038" s="50"/>
      <c r="J1038" s="50"/>
    </row>
    <row r="1039" spans="1:10" s="22" customFormat="1" ht="15.5">
      <c r="A1039" s="33"/>
      <c r="B1039" s="87"/>
      <c r="C1039" s="86"/>
      <c r="D1039" s="49" t="s">
        <v>14080</v>
      </c>
      <c r="E1039" s="84"/>
      <c r="F1039" s="49"/>
      <c r="H1039" s="49"/>
      <c r="I1039" s="49"/>
      <c r="J1039" s="49"/>
    </row>
    <row r="1040" spans="1:10" s="22" customFormat="1" ht="15.5">
      <c r="A1040" s="33"/>
      <c r="B1040" s="87"/>
      <c r="C1040" s="86"/>
      <c r="D1040" s="50"/>
      <c r="E1040" s="85"/>
      <c r="F1040" s="50"/>
      <c r="H1040" s="50"/>
      <c r="I1040" s="50"/>
      <c r="J1040" s="50"/>
    </row>
    <row r="1041" spans="1:10" s="22" customFormat="1" ht="15.5">
      <c r="A1041" s="33"/>
      <c r="B1041" s="87"/>
      <c r="C1041" s="86"/>
      <c r="D1041" s="49" t="s">
        <v>14079</v>
      </c>
      <c r="E1041" s="84"/>
      <c r="F1041" s="49"/>
      <c r="H1041" s="49"/>
      <c r="I1041" s="49"/>
      <c r="J1041" s="49"/>
    </row>
    <row r="1042" spans="1:10" s="22" customFormat="1" ht="15.5">
      <c r="A1042" s="33"/>
      <c r="B1042" s="87"/>
      <c r="C1042" s="83"/>
      <c r="D1042" s="50"/>
      <c r="E1042" s="85"/>
      <c r="F1042" s="50"/>
      <c r="H1042" s="50"/>
      <c r="I1042" s="50"/>
      <c r="J1042" s="50"/>
    </row>
    <row r="1043" spans="1:10" s="22" customFormat="1" ht="15.75" customHeight="1">
      <c r="A1043" s="33"/>
      <c r="B1043" s="87"/>
      <c r="C1043" s="82" t="s">
        <v>14078</v>
      </c>
      <c r="D1043" s="49" t="s">
        <v>14077</v>
      </c>
      <c r="E1043" s="84"/>
      <c r="F1043" s="49"/>
      <c r="H1043" s="49"/>
      <c r="I1043" s="49"/>
      <c r="J1043" s="49"/>
    </row>
    <row r="1044" spans="1:10" s="22" customFormat="1" ht="15.5">
      <c r="A1044" s="33"/>
      <c r="B1044" s="87"/>
      <c r="C1044" s="86"/>
      <c r="D1044" s="50"/>
      <c r="E1044" s="85"/>
      <c r="F1044" s="50"/>
      <c r="H1044" s="50"/>
      <c r="I1044" s="50"/>
      <c r="J1044" s="50"/>
    </row>
    <row r="1045" spans="1:10" s="22" customFormat="1" ht="15.5">
      <c r="A1045" s="33"/>
      <c r="B1045" s="87"/>
      <c r="C1045" s="86"/>
      <c r="D1045" s="49" t="s">
        <v>14076</v>
      </c>
      <c r="E1045" s="84"/>
      <c r="F1045" s="49"/>
      <c r="H1045" s="49"/>
      <c r="I1045" s="49"/>
      <c r="J1045" s="49"/>
    </row>
    <row r="1046" spans="1:10" s="22" customFormat="1" ht="15.5">
      <c r="A1046" s="33"/>
      <c r="B1046" s="87"/>
      <c r="C1046" s="86"/>
      <c r="D1046" s="50"/>
      <c r="E1046" s="85"/>
      <c r="F1046" s="50"/>
      <c r="H1046" s="50"/>
      <c r="I1046" s="50"/>
      <c r="J1046" s="50"/>
    </row>
    <row r="1047" spans="1:10" s="22" customFormat="1" ht="15.5">
      <c r="A1047" s="33"/>
      <c r="B1047" s="87"/>
      <c r="C1047" s="86"/>
      <c r="D1047" s="49" t="s">
        <v>14075</v>
      </c>
      <c r="E1047" s="84"/>
      <c r="F1047" s="49"/>
      <c r="H1047" s="49"/>
      <c r="I1047" s="49"/>
      <c r="J1047" s="49"/>
    </row>
    <row r="1048" spans="1:10" s="22" customFormat="1" ht="15.5">
      <c r="A1048" s="33"/>
      <c r="B1048" s="87"/>
      <c r="C1048" s="86"/>
      <c r="D1048" s="50"/>
      <c r="E1048" s="85"/>
      <c r="F1048" s="50"/>
      <c r="H1048" s="50"/>
      <c r="I1048" s="50"/>
      <c r="J1048" s="50"/>
    </row>
    <row r="1049" spans="1:10" s="22" customFormat="1" ht="15.5">
      <c r="A1049" s="33"/>
      <c r="B1049" s="87"/>
      <c r="C1049" s="86"/>
      <c r="D1049" s="49" t="s">
        <v>14074</v>
      </c>
      <c r="E1049" s="84"/>
      <c r="F1049" s="49"/>
      <c r="H1049" s="49"/>
      <c r="I1049" s="49"/>
      <c r="J1049" s="49"/>
    </row>
    <row r="1050" spans="1:10" s="22" customFormat="1" ht="15.5">
      <c r="A1050" s="33"/>
      <c r="B1050" s="87"/>
      <c r="C1050" s="86"/>
      <c r="D1050" s="50"/>
      <c r="E1050" s="85"/>
      <c r="F1050" s="50"/>
      <c r="H1050" s="50"/>
      <c r="I1050" s="50"/>
      <c r="J1050" s="50"/>
    </row>
    <row r="1051" spans="1:10" s="22" customFormat="1" ht="15.5">
      <c r="A1051" s="33"/>
      <c r="B1051" s="87"/>
      <c r="C1051" s="86"/>
      <c r="D1051" s="49" t="s">
        <v>14073</v>
      </c>
      <c r="E1051" s="84"/>
      <c r="F1051" s="49"/>
      <c r="H1051" s="49"/>
      <c r="I1051" s="49"/>
      <c r="J1051" s="49"/>
    </row>
    <row r="1052" spans="1:10" s="22" customFormat="1" ht="15.5">
      <c r="A1052" s="33"/>
      <c r="B1052" s="50"/>
      <c r="C1052" s="83"/>
      <c r="D1052" s="50"/>
      <c r="E1052" s="85"/>
      <c r="F1052" s="50"/>
      <c r="H1052" s="50"/>
      <c r="I1052" s="50"/>
      <c r="J1052" s="50"/>
    </row>
    <row r="1053" spans="1:10" s="22" customFormat="1" ht="15.75" customHeight="1">
      <c r="A1053" s="33"/>
      <c r="B1053" s="49" t="s">
        <v>14072</v>
      </c>
      <c r="C1053" s="82" t="s">
        <v>14071</v>
      </c>
      <c r="D1053" s="49" t="s">
        <v>14070</v>
      </c>
      <c r="E1053" s="84"/>
      <c r="F1053" s="49"/>
      <c r="H1053" s="49"/>
      <c r="I1053" s="49"/>
      <c r="J1053" s="49"/>
    </row>
    <row r="1054" spans="1:10" s="22" customFormat="1" ht="15.5">
      <c r="A1054" s="33"/>
      <c r="B1054" s="87"/>
      <c r="C1054" s="86"/>
      <c r="D1054" s="50"/>
      <c r="E1054" s="85"/>
      <c r="F1054" s="50"/>
      <c r="H1054" s="50"/>
      <c r="I1054" s="50"/>
      <c r="J1054" s="50"/>
    </row>
    <row r="1055" spans="1:10" s="22" customFormat="1" ht="15.5">
      <c r="A1055" s="33"/>
      <c r="B1055" s="87"/>
      <c r="C1055" s="86"/>
      <c r="D1055" s="49" t="s">
        <v>14069</v>
      </c>
      <c r="E1055" s="84"/>
      <c r="F1055" s="49"/>
      <c r="H1055" s="49"/>
      <c r="I1055" s="49"/>
      <c r="J1055" s="49"/>
    </row>
    <row r="1056" spans="1:10" s="22" customFormat="1" ht="15.5">
      <c r="A1056" s="33"/>
      <c r="B1056" s="87"/>
      <c r="C1056" s="86"/>
      <c r="D1056" s="50"/>
      <c r="E1056" s="85"/>
      <c r="F1056" s="50"/>
      <c r="H1056" s="50"/>
      <c r="I1056" s="50"/>
      <c r="J1056" s="50"/>
    </row>
    <row r="1057" spans="1:10" s="22" customFormat="1" ht="15.5">
      <c r="A1057" s="33"/>
      <c r="B1057" s="87"/>
      <c r="C1057" s="86"/>
      <c r="D1057" s="82" t="s">
        <v>14068</v>
      </c>
      <c r="E1057" s="84"/>
      <c r="F1057" s="49"/>
      <c r="H1057" s="49"/>
      <c r="I1057" s="49"/>
      <c r="J1057" s="49"/>
    </row>
    <row r="1058" spans="1:10" s="22" customFormat="1" ht="15.5">
      <c r="A1058" s="33"/>
      <c r="B1058" s="87"/>
      <c r="C1058" s="86"/>
      <c r="D1058" s="83"/>
      <c r="E1058" s="85"/>
      <c r="F1058" s="50"/>
      <c r="H1058" s="50"/>
      <c r="I1058" s="50"/>
      <c r="J1058" s="50"/>
    </row>
    <row r="1059" spans="1:10" s="22" customFormat="1" ht="15.5">
      <c r="A1059" s="33"/>
      <c r="B1059" s="87"/>
      <c r="C1059" s="86"/>
      <c r="D1059" s="49" t="s">
        <v>14067</v>
      </c>
      <c r="E1059" s="84"/>
      <c r="F1059" s="49"/>
      <c r="H1059" s="49"/>
      <c r="I1059" s="49"/>
      <c r="J1059" s="49"/>
    </row>
    <row r="1060" spans="1:10" s="22" customFormat="1" ht="15.5">
      <c r="A1060" s="33"/>
      <c r="B1060" s="87"/>
      <c r="C1060" s="86"/>
      <c r="D1060" s="50"/>
      <c r="E1060" s="85"/>
      <c r="F1060" s="50"/>
      <c r="H1060" s="50"/>
      <c r="I1060" s="50"/>
      <c r="J1060" s="50"/>
    </row>
    <row r="1061" spans="1:10" s="22" customFormat="1" ht="15.5">
      <c r="A1061" s="33"/>
      <c r="B1061" s="87"/>
      <c r="C1061" s="86"/>
      <c r="D1061" s="49" t="s">
        <v>14066</v>
      </c>
      <c r="E1061" s="84"/>
      <c r="F1061" s="49"/>
      <c r="H1061" s="49"/>
      <c r="I1061" s="49"/>
      <c r="J1061" s="49"/>
    </row>
    <row r="1062" spans="1:10" s="22" customFormat="1" ht="15.5">
      <c r="A1062" s="33"/>
      <c r="B1062" s="87"/>
      <c r="C1062" s="83"/>
      <c r="D1062" s="50"/>
      <c r="E1062" s="85"/>
      <c r="F1062" s="50"/>
      <c r="H1062" s="50"/>
      <c r="I1062" s="50"/>
      <c r="J1062" s="50"/>
    </row>
    <row r="1063" spans="1:10" s="22" customFormat="1" ht="15.75" customHeight="1">
      <c r="A1063" s="33"/>
      <c r="B1063" s="87"/>
      <c r="C1063" s="82" t="s">
        <v>14065</v>
      </c>
      <c r="D1063" s="49" t="s">
        <v>14064</v>
      </c>
      <c r="E1063" s="84"/>
      <c r="F1063" s="49"/>
      <c r="H1063" s="49"/>
      <c r="I1063" s="49"/>
      <c r="J1063" s="49"/>
    </row>
    <row r="1064" spans="1:10" s="22" customFormat="1" ht="15.5">
      <c r="A1064" s="33"/>
      <c r="B1064" s="87"/>
      <c r="C1064" s="86"/>
      <c r="D1064" s="50"/>
      <c r="E1064" s="85"/>
      <c r="F1064" s="50"/>
      <c r="H1064" s="50"/>
      <c r="I1064" s="50"/>
      <c r="J1064" s="50"/>
    </row>
    <row r="1065" spans="1:10" s="22" customFormat="1" ht="15.5">
      <c r="A1065" s="33"/>
      <c r="B1065" s="87"/>
      <c r="C1065" s="86"/>
      <c r="D1065" s="49" t="s">
        <v>14063</v>
      </c>
      <c r="E1065" s="84"/>
      <c r="F1065" s="49"/>
      <c r="H1065" s="49"/>
      <c r="I1065" s="49"/>
      <c r="J1065" s="49"/>
    </row>
    <row r="1066" spans="1:10" s="22" customFormat="1" ht="15.5">
      <c r="A1066" s="33"/>
      <c r="B1066" s="87"/>
      <c r="C1066" s="86"/>
      <c r="D1066" s="50"/>
      <c r="E1066" s="85"/>
      <c r="F1066" s="50"/>
      <c r="H1066" s="50"/>
      <c r="I1066" s="50"/>
      <c r="J1066" s="50"/>
    </row>
    <row r="1067" spans="1:10" s="22" customFormat="1" ht="15.5">
      <c r="A1067" s="33"/>
      <c r="B1067" s="87"/>
      <c r="C1067" s="86"/>
      <c r="D1067" s="82" t="s">
        <v>14062</v>
      </c>
      <c r="E1067" s="84"/>
      <c r="F1067" s="49"/>
      <c r="H1067" s="49"/>
      <c r="I1067" s="49"/>
      <c r="J1067" s="49"/>
    </row>
    <row r="1068" spans="1:10" s="22" customFormat="1" ht="15.5">
      <c r="A1068" s="33"/>
      <c r="B1068" s="87"/>
      <c r="C1068" s="86"/>
      <c r="D1068" s="83"/>
      <c r="E1068" s="85"/>
      <c r="F1068" s="50"/>
      <c r="H1068" s="50"/>
      <c r="I1068" s="50"/>
      <c r="J1068" s="50"/>
    </row>
    <row r="1069" spans="1:10" s="22" customFormat="1" ht="15.5">
      <c r="A1069" s="33"/>
      <c r="B1069" s="87"/>
      <c r="C1069" s="86"/>
      <c r="D1069" s="49" t="s">
        <v>14061</v>
      </c>
      <c r="E1069" s="84"/>
      <c r="F1069" s="49"/>
      <c r="H1069" s="49"/>
      <c r="I1069" s="49"/>
      <c r="J1069" s="49"/>
    </row>
    <row r="1070" spans="1:10" s="22" customFormat="1" ht="15.5">
      <c r="A1070" s="33"/>
      <c r="B1070" s="87"/>
      <c r="C1070" s="86"/>
      <c r="D1070" s="50"/>
      <c r="E1070" s="85"/>
      <c r="F1070" s="50"/>
      <c r="H1070" s="50"/>
      <c r="I1070" s="50"/>
      <c r="J1070" s="50"/>
    </row>
    <row r="1071" spans="1:10" s="22" customFormat="1" ht="15.5">
      <c r="A1071" s="33"/>
      <c r="B1071" s="87"/>
      <c r="C1071" s="86"/>
      <c r="D1071" s="49" t="s">
        <v>14060</v>
      </c>
      <c r="E1071" s="84"/>
      <c r="F1071" s="49"/>
      <c r="H1071" s="49"/>
      <c r="I1071" s="49"/>
      <c r="J1071" s="49"/>
    </row>
    <row r="1072" spans="1:10" s="22" customFormat="1" ht="15.5">
      <c r="A1072" s="35"/>
      <c r="B1072" s="87"/>
      <c r="C1072" s="83"/>
      <c r="D1072" s="50"/>
      <c r="E1072" s="85"/>
      <c r="F1072" s="50"/>
      <c r="H1072" s="50"/>
      <c r="I1072" s="50"/>
      <c r="J1072" s="50"/>
    </row>
    <row r="1073" spans="1:10" s="22" customFormat="1" ht="15.75" customHeight="1">
      <c r="A1073" s="33"/>
      <c r="B1073" s="87"/>
      <c r="C1073" s="82" t="s">
        <v>14059</v>
      </c>
      <c r="D1073" s="82" t="s">
        <v>14058</v>
      </c>
      <c r="E1073" s="84"/>
      <c r="F1073" s="49"/>
      <c r="H1073" s="49"/>
      <c r="I1073" s="49"/>
      <c r="J1073" s="49"/>
    </row>
    <row r="1074" spans="1:10" s="22" customFormat="1" ht="15.5">
      <c r="A1074" s="33"/>
      <c r="B1074" s="87"/>
      <c r="C1074" s="86"/>
      <c r="D1074" s="83"/>
      <c r="E1074" s="85"/>
      <c r="F1074" s="50"/>
      <c r="H1074" s="50"/>
      <c r="I1074" s="50"/>
      <c r="J1074" s="50"/>
    </row>
    <row r="1075" spans="1:10" s="22" customFormat="1" ht="15.5">
      <c r="A1075" s="33"/>
      <c r="B1075" s="87"/>
      <c r="C1075" s="86"/>
      <c r="D1075" s="82" t="s">
        <v>14057</v>
      </c>
      <c r="E1075" s="84"/>
      <c r="F1075" s="49"/>
      <c r="H1075" s="49"/>
      <c r="I1075" s="49"/>
      <c r="J1075" s="49"/>
    </row>
    <row r="1076" spans="1:10" s="22" customFormat="1" ht="15.5">
      <c r="A1076" s="33"/>
      <c r="B1076" s="87"/>
      <c r="C1076" s="86"/>
      <c r="D1076" s="83"/>
      <c r="E1076" s="85"/>
      <c r="F1076" s="50"/>
      <c r="H1076" s="50"/>
      <c r="I1076" s="50"/>
      <c r="J1076" s="50"/>
    </row>
    <row r="1077" spans="1:10" s="22" customFormat="1" ht="15.5">
      <c r="A1077" s="33"/>
      <c r="B1077" s="87"/>
      <c r="C1077" s="86"/>
      <c r="D1077" s="82" t="s">
        <v>14056</v>
      </c>
      <c r="E1077" s="84"/>
      <c r="F1077" s="49"/>
      <c r="H1077" s="49"/>
      <c r="I1077" s="49"/>
      <c r="J1077" s="49"/>
    </row>
    <row r="1078" spans="1:10" s="22" customFormat="1" ht="15.5">
      <c r="A1078" s="33"/>
      <c r="B1078" s="87"/>
      <c r="C1078" s="86"/>
      <c r="D1078" s="83"/>
      <c r="E1078" s="85"/>
      <c r="F1078" s="50"/>
      <c r="H1078" s="50"/>
      <c r="I1078" s="50"/>
      <c r="J1078" s="50"/>
    </row>
    <row r="1079" spans="1:10" s="22" customFormat="1" ht="15.5">
      <c r="A1079" s="33"/>
      <c r="B1079" s="87"/>
      <c r="C1079" s="86"/>
      <c r="D1079" s="82" t="s">
        <v>14055</v>
      </c>
      <c r="E1079" s="84"/>
      <c r="F1079" s="49"/>
      <c r="H1079" s="49"/>
      <c r="I1079" s="49"/>
      <c r="J1079" s="49"/>
    </row>
    <row r="1080" spans="1:10" s="22" customFormat="1" ht="15.5">
      <c r="A1080" s="33"/>
      <c r="B1080" s="87"/>
      <c r="C1080" s="86"/>
      <c r="D1080" s="83"/>
      <c r="E1080" s="85"/>
      <c r="F1080" s="50"/>
      <c r="H1080" s="50"/>
      <c r="I1080" s="50"/>
      <c r="J1080" s="50"/>
    </row>
    <row r="1081" spans="1:10" s="22" customFormat="1" ht="15.5" customHeight="1">
      <c r="A1081" s="33"/>
      <c r="B1081" s="87"/>
      <c r="C1081" s="86"/>
      <c r="D1081" s="82" t="s">
        <v>14054</v>
      </c>
      <c r="E1081" s="84"/>
      <c r="F1081" s="49"/>
      <c r="H1081" s="49"/>
      <c r="I1081" s="49"/>
      <c r="J1081" s="49"/>
    </row>
    <row r="1082" spans="1:10" s="22" customFormat="1" ht="15.5">
      <c r="A1082" s="33"/>
      <c r="B1082" s="87"/>
      <c r="C1082" s="83"/>
      <c r="D1082" s="83"/>
      <c r="E1082" s="85"/>
      <c r="F1082" s="50"/>
      <c r="H1082" s="50"/>
      <c r="I1082" s="50"/>
      <c r="J1082" s="50"/>
    </row>
    <row r="1083" spans="1:10" s="22" customFormat="1" ht="15.75" customHeight="1">
      <c r="A1083" s="33"/>
      <c r="B1083" s="87"/>
      <c r="C1083" s="82" t="s">
        <v>14053</v>
      </c>
      <c r="D1083" s="49" t="s">
        <v>14052</v>
      </c>
      <c r="E1083" s="84"/>
      <c r="F1083" s="49"/>
      <c r="H1083" s="49"/>
      <c r="I1083" s="49"/>
      <c r="J1083" s="49"/>
    </row>
    <row r="1084" spans="1:10" s="22" customFormat="1" ht="15.5">
      <c r="A1084" s="33"/>
      <c r="B1084" s="87"/>
      <c r="C1084" s="86"/>
      <c r="D1084" s="50"/>
      <c r="E1084" s="85"/>
      <c r="F1084" s="50"/>
      <c r="H1084" s="50"/>
      <c r="I1084" s="50"/>
      <c r="J1084" s="50"/>
    </row>
    <row r="1085" spans="1:10" s="22" customFormat="1" ht="15.5" customHeight="1">
      <c r="A1085" s="33"/>
      <c r="B1085" s="87"/>
      <c r="C1085" s="86"/>
      <c r="D1085" s="82" t="s">
        <v>14051</v>
      </c>
      <c r="E1085" s="84"/>
      <c r="F1085" s="49"/>
      <c r="H1085" s="49"/>
      <c r="I1085" s="49"/>
      <c r="J1085" s="49"/>
    </row>
    <row r="1086" spans="1:10" s="22" customFormat="1" ht="15.5">
      <c r="A1086" s="33"/>
      <c r="B1086" s="87"/>
      <c r="C1086" s="86"/>
      <c r="D1086" s="83"/>
      <c r="E1086" s="85"/>
      <c r="F1086" s="50"/>
      <c r="H1086" s="50"/>
      <c r="I1086" s="50"/>
      <c r="J1086" s="50"/>
    </row>
    <row r="1087" spans="1:10" s="22" customFormat="1" ht="15.5" customHeight="1">
      <c r="A1087" s="33"/>
      <c r="B1087" s="87"/>
      <c r="C1087" s="86"/>
      <c r="D1087" s="82" t="s">
        <v>14050</v>
      </c>
      <c r="E1087" s="84"/>
      <c r="F1087" s="49"/>
      <c r="H1087" s="49"/>
      <c r="I1087" s="49"/>
      <c r="J1087" s="49"/>
    </row>
    <row r="1088" spans="1:10" s="22" customFormat="1" ht="15.5">
      <c r="A1088" s="33"/>
      <c r="B1088" s="87"/>
      <c r="C1088" s="86"/>
      <c r="D1088" s="83"/>
      <c r="E1088" s="85"/>
      <c r="F1088" s="50"/>
      <c r="H1088" s="50"/>
      <c r="I1088" s="50"/>
      <c r="J1088" s="50"/>
    </row>
    <row r="1089" spans="1:10" s="22" customFormat="1" ht="15.5" customHeight="1">
      <c r="A1089" s="33"/>
      <c r="B1089" s="87"/>
      <c r="C1089" s="86"/>
      <c r="D1089" s="82" t="s">
        <v>14049</v>
      </c>
      <c r="E1089" s="84"/>
      <c r="F1089" s="49"/>
      <c r="H1089" s="49"/>
      <c r="I1089" s="49"/>
      <c r="J1089" s="49"/>
    </row>
    <row r="1090" spans="1:10" s="22" customFormat="1" ht="15.5">
      <c r="A1090" s="33"/>
      <c r="B1090" s="87"/>
      <c r="C1090" s="86"/>
      <c r="D1090" s="83"/>
      <c r="E1090" s="85"/>
      <c r="F1090" s="50"/>
      <c r="H1090" s="50"/>
      <c r="I1090" s="50"/>
      <c r="J1090" s="50"/>
    </row>
    <row r="1091" spans="1:10" s="22" customFormat="1" ht="15.5" customHeight="1">
      <c r="A1091" s="33"/>
      <c r="B1091" s="87"/>
      <c r="C1091" s="86"/>
      <c r="D1091" s="82" t="s">
        <v>14048</v>
      </c>
      <c r="E1091" s="84"/>
      <c r="F1091" s="49"/>
      <c r="H1091" s="49"/>
      <c r="I1091" s="49"/>
      <c r="J1091" s="49"/>
    </row>
    <row r="1092" spans="1:10" s="22" customFormat="1" ht="15.5">
      <c r="A1092" s="33"/>
      <c r="B1092" s="87"/>
      <c r="C1092" s="83"/>
      <c r="D1092" s="83"/>
      <c r="E1092" s="85"/>
      <c r="F1092" s="50"/>
      <c r="H1092" s="50"/>
      <c r="I1092" s="50"/>
      <c r="J1092" s="50"/>
    </row>
    <row r="1093" spans="1:10" s="22" customFormat="1" ht="15.75" customHeight="1">
      <c r="A1093" s="33"/>
      <c r="B1093" s="87"/>
      <c r="C1093" s="82" t="s">
        <v>14047</v>
      </c>
      <c r="D1093" s="82" t="s">
        <v>14046</v>
      </c>
      <c r="E1093" s="84"/>
      <c r="F1093" s="49"/>
      <c r="H1093" s="49"/>
      <c r="I1093" s="49"/>
      <c r="J1093" s="49"/>
    </row>
    <row r="1094" spans="1:10" s="22" customFormat="1" ht="15.5">
      <c r="A1094" s="33"/>
      <c r="B1094" s="87"/>
      <c r="C1094" s="86"/>
      <c r="D1094" s="83"/>
      <c r="E1094" s="85"/>
      <c r="F1094" s="50"/>
      <c r="H1094" s="50"/>
      <c r="I1094" s="50"/>
      <c r="J1094" s="50"/>
    </row>
    <row r="1095" spans="1:10" s="22" customFormat="1" ht="15.5">
      <c r="A1095" s="33"/>
      <c r="B1095" s="87"/>
      <c r="C1095" s="86"/>
      <c r="D1095" s="82" t="s">
        <v>14045</v>
      </c>
      <c r="E1095" s="84"/>
      <c r="F1095" s="49"/>
      <c r="H1095" s="49"/>
      <c r="I1095" s="49"/>
      <c r="J1095" s="49"/>
    </row>
    <row r="1096" spans="1:10" s="22" customFormat="1" ht="15.5">
      <c r="A1096" s="33"/>
      <c r="B1096" s="87"/>
      <c r="C1096" s="86"/>
      <c r="D1096" s="83"/>
      <c r="E1096" s="85"/>
      <c r="F1096" s="50"/>
      <c r="H1096" s="50"/>
      <c r="I1096" s="50"/>
      <c r="J1096" s="50"/>
    </row>
    <row r="1097" spans="1:10" s="22" customFormat="1" ht="15.5">
      <c r="A1097" s="33"/>
      <c r="B1097" s="87"/>
      <c r="C1097" s="86"/>
      <c r="D1097" s="82" t="s">
        <v>14044</v>
      </c>
      <c r="E1097" s="84"/>
      <c r="F1097" s="49"/>
      <c r="H1097" s="49"/>
      <c r="I1097" s="49"/>
      <c r="J1097" s="49"/>
    </row>
    <row r="1098" spans="1:10" s="22" customFormat="1" ht="15.5">
      <c r="A1098" s="33"/>
      <c r="B1098" s="87"/>
      <c r="C1098" s="86"/>
      <c r="D1098" s="83"/>
      <c r="E1098" s="85"/>
      <c r="F1098" s="50"/>
      <c r="H1098" s="50"/>
      <c r="I1098" s="50"/>
      <c r="J1098" s="50"/>
    </row>
    <row r="1099" spans="1:10" s="22" customFormat="1" ht="15.5">
      <c r="A1099" s="33"/>
      <c r="B1099" s="87"/>
      <c r="C1099" s="86"/>
      <c r="D1099" s="49" t="s">
        <v>14043</v>
      </c>
      <c r="E1099" s="84"/>
      <c r="F1099" s="49"/>
      <c r="H1099" s="49"/>
      <c r="I1099" s="49"/>
      <c r="J1099" s="49"/>
    </row>
    <row r="1100" spans="1:10" s="22" customFormat="1" ht="15.5">
      <c r="A1100" s="33"/>
      <c r="B1100" s="87"/>
      <c r="C1100" s="86"/>
      <c r="D1100" s="50"/>
      <c r="E1100" s="85"/>
      <c r="F1100" s="50"/>
      <c r="H1100" s="50"/>
      <c r="I1100" s="50"/>
      <c r="J1100" s="50"/>
    </row>
    <row r="1101" spans="1:10" s="22" customFormat="1" ht="15.5">
      <c r="A1101" s="33"/>
      <c r="B1101" s="87"/>
      <c r="C1101" s="86"/>
      <c r="D1101" s="82" t="s">
        <v>14042</v>
      </c>
      <c r="E1101" s="84"/>
      <c r="F1101" s="49"/>
      <c r="H1101" s="49"/>
      <c r="I1101" s="49"/>
      <c r="J1101" s="49"/>
    </row>
    <row r="1102" spans="1:10" s="22" customFormat="1" ht="15.5">
      <c r="A1102" s="33"/>
      <c r="B1102" s="87"/>
      <c r="C1102" s="83"/>
      <c r="D1102" s="83"/>
      <c r="E1102" s="85"/>
      <c r="F1102" s="50"/>
      <c r="H1102" s="50"/>
      <c r="I1102" s="50"/>
      <c r="J1102" s="50"/>
    </row>
    <row r="1103" spans="1:10" s="22" customFormat="1" ht="15.75" customHeight="1">
      <c r="A1103" s="33"/>
      <c r="B1103" s="87"/>
      <c r="C1103" s="82" t="s">
        <v>14041</v>
      </c>
      <c r="D1103" s="49" t="s">
        <v>14040</v>
      </c>
      <c r="E1103" s="84"/>
      <c r="F1103" s="49"/>
      <c r="H1103" s="49"/>
      <c r="I1103" s="49"/>
      <c r="J1103" s="49"/>
    </row>
    <row r="1104" spans="1:10" s="22" customFormat="1" ht="15.5">
      <c r="A1104" s="33"/>
      <c r="B1104" s="87"/>
      <c r="C1104" s="86"/>
      <c r="D1104" s="50"/>
      <c r="E1104" s="85"/>
      <c r="F1104" s="50"/>
      <c r="H1104" s="50"/>
      <c r="I1104" s="50"/>
      <c r="J1104" s="50"/>
    </row>
    <row r="1105" spans="1:10" s="22" customFormat="1" ht="15.5">
      <c r="A1105" s="33"/>
      <c r="B1105" s="87"/>
      <c r="C1105" s="86"/>
      <c r="D1105" s="82" t="s">
        <v>14039</v>
      </c>
      <c r="E1105" s="84"/>
      <c r="F1105" s="49"/>
      <c r="H1105" s="49"/>
      <c r="I1105" s="49"/>
      <c r="J1105" s="49"/>
    </row>
    <row r="1106" spans="1:10" s="22" customFormat="1" ht="15.5">
      <c r="A1106" s="33"/>
      <c r="B1106" s="87"/>
      <c r="C1106" s="86"/>
      <c r="D1106" s="83"/>
      <c r="E1106" s="85"/>
      <c r="F1106" s="50"/>
      <c r="H1106" s="50"/>
      <c r="I1106" s="50"/>
      <c r="J1106" s="50"/>
    </row>
    <row r="1107" spans="1:10" s="22" customFormat="1" ht="15.5">
      <c r="A1107" s="33"/>
      <c r="B1107" s="87"/>
      <c r="C1107" s="86"/>
      <c r="D1107" s="49" t="s">
        <v>14038</v>
      </c>
      <c r="E1107" s="84"/>
      <c r="F1107" s="49"/>
      <c r="H1107" s="49"/>
      <c r="I1107" s="49"/>
      <c r="J1107" s="49"/>
    </row>
    <row r="1108" spans="1:10" s="22" customFormat="1" ht="15.5">
      <c r="A1108" s="33"/>
      <c r="B1108" s="87"/>
      <c r="C1108" s="86"/>
      <c r="D1108" s="50"/>
      <c r="E1108" s="85"/>
      <c r="F1108" s="50"/>
      <c r="H1108" s="50"/>
      <c r="I1108" s="50"/>
      <c r="J1108" s="50"/>
    </row>
    <row r="1109" spans="1:10" s="22" customFormat="1" ht="15.5">
      <c r="A1109" s="33"/>
      <c r="B1109" s="87"/>
      <c r="C1109" s="86"/>
      <c r="D1109" s="49" t="s">
        <v>14037</v>
      </c>
      <c r="E1109" s="84"/>
      <c r="F1109" s="55"/>
      <c r="H1109" s="55"/>
      <c r="I1109" s="55"/>
      <c r="J1109" s="55"/>
    </row>
    <row r="1110" spans="1:10" s="22" customFormat="1" ht="15.5">
      <c r="A1110" s="33"/>
      <c r="B1110" s="87"/>
      <c r="C1110" s="86"/>
      <c r="D1110" s="50"/>
      <c r="E1110" s="85"/>
      <c r="F1110" s="56"/>
      <c r="H1110" s="56"/>
      <c r="I1110" s="56"/>
      <c r="J1110" s="56"/>
    </row>
    <row r="1111" spans="1:10" s="22" customFormat="1" ht="15.5">
      <c r="A1111" s="33"/>
      <c r="B1111" s="87"/>
      <c r="C1111" s="86"/>
      <c r="D1111" s="49" t="s">
        <v>14036</v>
      </c>
      <c r="E1111" s="84"/>
      <c r="F1111" s="49"/>
      <c r="H1111" s="49"/>
      <c r="I1111" s="49"/>
      <c r="J1111" s="49"/>
    </row>
    <row r="1112" spans="1:10" s="22" customFormat="1" ht="15.5">
      <c r="A1112" s="33"/>
      <c r="B1112" s="87"/>
      <c r="C1112" s="83"/>
      <c r="D1112" s="50"/>
      <c r="E1112" s="85"/>
      <c r="F1112" s="50"/>
      <c r="H1112" s="50"/>
      <c r="I1112" s="50"/>
      <c r="J1112" s="50"/>
    </row>
    <row r="1113" spans="1:10" s="22" customFormat="1" ht="15.75" customHeight="1">
      <c r="A1113" s="33"/>
      <c r="B1113" s="87"/>
      <c r="C1113" s="82" t="s">
        <v>14035</v>
      </c>
      <c r="D1113" s="49" t="s">
        <v>14034</v>
      </c>
      <c r="E1113" s="84"/>
      <c r="F1113" s="49"/>
      <c r="H1113" s="49"/>
      <c r="I1113" s="49"/>
      <c r="J1113" s="49"/>
    </row>
    <row r="1114" spans="1:10" s="22" customFormat="1" ht="15.5">
      <c r="A1114" s="33"/>
      <c r="B1114" s="87"/>
      <c r="C1114" s="86"/>
      <c r="D1114" s="50"/>
      <c r="E1114" s="85"/>
      <c r="F1114" s="50"/>
      <c r="H1114" s="50"/>
      <c r="I1114" s="50"/>
      <c r="J1114" s="50"/>
    </row>
    <row r="1115" spans="1:10" s="22" customFormat="1" ht="15.5">
      <c r="A1115" s="33"/>
      <c r="B1115" s="87"/>
      <c r="C1115" s="86"/>
      <c r="D1115" s="49" t="s">
        <v>14033</v>
      </c>
      <c r="E1115" s="84"/>
      <c r="F1115" s="49"/>
      <c r="H1115" s="49"/>
      <c r="I1115" s="49"/>
      <c r="J1115" s="49"/>
    </row>
    <row r="1116" spans="1:10" s="22" customFormat="1" ht="15.5">
      <c r="A1116" s="33"/>
      <c r="B1116" s="87"/>
      <c r="C1116" s="86"/>
      <c r="D1116" s="50"/>
      <c r="E1116" s="85"/>
      <c r="F1116" s="50"/>
      <c r="H1116" s="50"/>
      <c r="I1116" s="50"/>
      <c r="J1116" s="50"/>
    </row>
    <row r="1117" spans="1:10" s="22" customFormat="1" ht="15.5" customHeight="1">
      <c r="A1117" s="33"/>
      <c r="B1117" s="87"/>
      <c r="C1117" s="86"/>
      <c r="D1117" s="82" t="s">
        <v>14032</v>
      </c>
      <c r="E1117" s="84"/>
      <c r="F1117" s="49"/>
      <c r="H1117" s="49"/>
      <c r="I1117" s="49"/>
      <c r="J1117" s="49"/>
    </row>
    <row r="1118" spans="1:10" s="22" customFormat="1" ht="15.5">
      <c r="A1118" s="33"/>
      <c r="B1118" s="87"/>
      <c r="C1118" s="86"/>
      <c r="D1118" s="83"/>
      <c r="E1118" s="85"/>
      <c r="F1118" s="50"/>
      <c r="H1118" s="50"/>
      <c r="I1118" s="50"/>
      <c r="J1118" s="50"/>
    </row>
    <row r="1119" spans="1:10" s="22" customFormat="1" ht="15.5" customHeight="1">
      <c r="A1119" s="33"/>
      <c r="B1119" s="87"/>
      <c r="C1119" s="86"/>
      <c r="D1119" s="82" t="s">
        <v>14031</v>
      </c>
      <c r="E1119" s="84"/>
      <c r="F1119" s="49"/>
      <c r="H1119" s="49"/>
      <c r="I1119" s="49"/>
      <c r="J1119" s="49"/>
    </row>
    <row r="1120" spans="1:10" s="22" customFormat="1" ht="15.5">
      <c r="A1120" s="33"/>
      <c r="B1120" s="87"/>
      <c r="C1120" s="86"/>
      <c r="D1120" s="83"/>
      <c r="E1120" s="85"/>
      <c r="F1120" s="50"/>
      <c r="H1120" s="50"/>
      <c r="I1120" s="50"/>
      <c r="J1120" s="50"/>
    </row>
    <row r="1121" spans="1:10" s="22" customFormat="1" ht="15.5">
      <c r="A1121" s="33"/>
      <c r="B1121" s="87"/>
      <c r="C1121" s="86"/>
      <c r="D1121" s="82" t="s">
        <v>14030</v>
      </c>
      <c r="E1121" s="84"/>
      <c r="F1121" s="49"/>
      <c r="H1121" s="49"/>
      <c r="I1121" s="49"/>
      <c r="J1121" s="49"/>
    </row>
    <row r="1122" spans="1:10" s="22" customFormat="1" ht="15.5">
      <c r="A1122" s="33"/>
      <c r="B1122" s="87"/>
      <c r="C1122" s="83"/>
      <c r="D1122" s="83"/>
      <c r="E1122" s="85"/>
      <c r="F1122" s="50"/>
      <c r="H1122" s="50"/>
      <c r="I1122" s="50"/>
      <c r="J1122" s="50"/>
    </row>
    <row r="1123" spans="1:10" s="22" customFormat="1" ht="15.75" customHeight="1">
      <c r="A1123" s="33"/>
      <c r="B1123" s="87"/>
      <c r="C1123" s="82" t="s">
        <v>14029</v>
      </c>
      <c r="D1123" s="82" t="s">
        <v>14028</v>
      </c>
      <c r="E1123" s="84"/>
      <c r="F1123" s="49"/>
      <c r="H1123" s="49"/>
      <c r="I1123" s="49"/>
      <c r="J1123" s="49"/>
    </row>
    <row r="1124" spans="1:10" s="22" customFormat="1" ht="15.5">
      <c r="A1124" s="33"/>
      <c r="B1124" s="87"/>
      <c r="C1124" s="86"/>
      <c r="D1124" s="83"/>
      <c r="E1124" s="85"/>
      <c r="F1124" s="50"/>
      <c r="H1124" s="50"/>
      <c r="I1124" s="50"/>
      <c r="J1124" s="50"/>
    </row>
    <row r="1125" spans="1:10" s="22" customFormat="1" ht="15.5" customHeight="1">
      <c r="A1125" s="33"/>
      <c r="B1125" s="87"/>
      <c r="C1125" s="86"/>
      <c r="D1125" s="82" t="s">
        <v>14027</v>
      </c>
      <c r="E1125" s="84"/>
      <c r="F1125" s="49"/>
      <c r="H1125" s="49"/>
      <c r="I1125" s="49"/>
      <c r="J1125" s="49"/>
    </row>
    <row r="1126" spans="1:10" s="22" customFormat="1" ht="15.5">
      <c r="A1126" s="33"/>
      <c r="B1126" s="87"/>
      <c r="C1126" s="86"/>
      <c r="D1126" s="83"/>
      <c r="E1126" s="85"/>
      <c r="F1126" s="50"/>
      <c r="H1126" s="50"/>
      <c r="I1126" s="50"/>
      <c r="J1126" s="50"/>
    </row>
    <row r="1127" spans="1:10" s="22" customFormat="1" ht="15.5">
      <c r="A1127" s="33"/>
      <c r="B1127" s="87"/>
      <c r="C1127" s="86"/>
      <c r="D1127" s="49" t="s">
        <v>14026</v>
      </c>
      <c r="E1127" s="84"/>
      <c r="F1127" s="49"/>
      <c r="H1127" s="49"/>
      <c r="I1127" s="49"/>
      <c r="J1127" s="49"/>
    </row>
    <row r="1128" spans="1:10" s="22" customFormat="1" ht="15.5">
      <c r="A1128" s="33"/>
      <c r="B1128" s="87"/>
      <c r="C1128" s="86"/>
      <c r="D1128" s="50"/>
      <c r="E1128" s="85"/>
      <c r="F1128" s="50"/>
      <c r="H1128" s="50"/>
      <c r="I1128" s="50"/>
      <c r="J1128" s="50"/>
    </row>
    <row r="1129" spans="1:10" s="22" customFormat="1" ht="15.5">
      <c r="A1129" s="33"/>
      <c r="B1129" s="87"/>
      <c r="C1129" s="86"/>
      <c r="D1129" s="82" t="s">
        <v>14025</v>
      </c>
      <c r="E1129" s="84"/>
      <c r="F1129" s="49"/>
      <c r="H1129" s="49"/>
      <c r="I1129" s="49"/>
      <c r="J1129" s="49"/>
    </row>
    <row r="1130" spans="1:10" s="22" customFormat="1" ht="15.5">
      <c r="A1130" s="33"/>
      <c r="B1130" s="87"/>
      <c r="C1130" s="86"/>
      <c r="D1130" s="83"/>
      <c r="E1130" s="85"/>
      <c r="F1130" s="50"/>
      <c r="H1130" s="50"/>
      <c r="I1130" s="50"/>
      <c r="J1130" s="50"/>
    </row>
    <row r="1131" spans="1:10" s="22" customFormat="1" ht="15.5" customHeight="1">
      <c r="A1131" s="33"/>
      <c r="B1131" s="87"/>
      <c r="C1131" s="86"/>
      <c r="D1131" s="82" t="s">
        <v>14024</v>
      </c>
      <c r="E1131" s="97"/>
      <c r="F1131" s="49"/>
      <c r="H1131" s="49"/>
      <c r="I1131" s="49"/>
      <c r="J1131" s="49"/>
    </row>
    <row r="1132" spans="1:10" s="22" customFormat="1" ht="15.5">
      <c r="A1132" s="33"/>
      <c r="B1132" s="87"/>
      <c r="C1132" s="83"/>
      <c r="D1132" s="83"/>
      <c r="E1132" s="98"/>
      <c r="F1132" s="50"/>
      <c r="H1132" s="50"/>
      <c r="I1132" s="50"/>
      <c r="J1132" s="50"/>
    </row>
    <row r="1133" spans="1:10" s="22" customFormat="1" ht="15.75" customHeight="1">
      <c r="A1133" s="33"/>
      <c r="B1133" s="87"/>
      <c r="C1133" s="82" t="s">
        <v>14023</v>
      </c>
      <c r="D1133" s="82" t="s">
        <v>14022</v>
      </c>
      <c r="E1133" s="97"/>
      <c r="F1133" s="49"/>
      <c r="H1133" s="49"/>
      <c r="I1133" s="49"/>
      <c r="J1133" s="49"/>
    </row>
    <row r="1134" spans="1:10" s="22" customFormat="1" ht="15.5">
      <c r="A1134" s="33"/>
      <c r="B1134" s="87"/>
      <c r="C1134" s="86"/>
      <c r="D1134" s="83"/>
      <c r="E1134" s="98"/>
      <c r="F1134" s="50"/>
      <c r="H1134" s="50"/>
      <c r="I1134" s="50"/>
      <c r="J1134" s="50"/>
    </row>
    <row r="1135" spans="1:10" s="22" customFormat="1" ht="15.5" customHeight="1">
      <c r="A1135" s="33"/>
      <c r="B1135" s="87"/>
      <c r="C1135" s="86"/>
      <c r="D1135" s="82" t="s">
        <v>14021</v>
      </c>
      <c r="E1135" s="97"/>
      <c r="F1135" s="49"/>
      <c r="H1135" s="49"/>
      <c r="I1135" s="49"/>
      <c r="J1135" s="49"/>
    </row>
    <row r="1136" spans="1:10" s="22" customFormat="1" ht="15.5">
      <c r="A1136" s="33"/>
      <c r="B1136" s="87"/>
      <c r="C1136" s="86"/>
      <c r="D1136" s="83"/>
      <c r="E1136" s="98"/>
      <c r="F1136" s="50"/>
      <c r="H1136" s="50"/>
      <c r="I1136" s="50"/>
      <c r="J1136" s="50"/>
    </row>
    <row r="1137" spans="1:10" s="22" customFormat="1" ht="15.5" customHeight="1">
      <c r="A1137" s="33"/>
      <c r="B1137" s="87"/>
      <c r="C1137" s="86"/>
      <c r="D1137" s="82" t="s">
        <v>14020</v>
      </c>
      <c r="E1137" s="97"/>
      <c r="F1137" s="49"/>
      <c r="H1137" s="49"/>
      <c r="I1137" s="49"/>
      <c r="J1137" s="49"/>
    </row>
    <row r="1138" spans="1:10" s="22" customFormat="1" ht="15.5">
      <c r="A1138" s="33"/>
      <c r="B1138" s="87"/>
      <c r="C1138" s="86"/>
      <c r="D1138" s="83"/>
      <c r="E1138" s="98"/>
      <c r="F1138" s="50"/>
      <c r="H1138" s="50"/>
      <c r="I1138" s="50"/>
      <c r="J1138" s="50"/>
    </row>
    <row r="1139" spans="1:10" s="22" customFormat="1" ht="15.5" customHeight="1">
      <c r="A1139" s="33"/>
      <c r="B1139" s="87"/>
      <c r="C1139" s="86"/>
      <c r="D1139" s="82" t="s">
        <v>14019</v>
      </c>
      <c r="E1139" s="97"/>
      <c r="F1139" s="49"/>
      <c r="H1139" s="49"/>
      <c r="I1139" s="49"/>
      <c r="J1139" s="49"/>
    </row>
    <row r="1140" spans="1:10" s="22" customFormat="1" ht="15.5">
      <c r="A1140" s="33"/>
      <c r="B1140" s="87"/>
      <c r="C1140" s="86"/>
      <c r="D1140" s="83"/>
      <c r="E1140" s="98"/>
      <c r="F1140" s="50"/>
      <c r="H1140" s="50"/>
      <c r="I1140" s="50"/>
      <c r="J1140" s="50"/>
    </row>
    <row r="1141" spans="1:10" s="22" customFormat="1" ht="15.5" customHeight="1">
      <c r="A1141" s="33"/>
      <c r="B1141" s="87"/>
      <c r="C1141" s="86"/>
      <c r="D1141" s="82" t="s">
        <v>14018</v>
      </c>
      <c r="E1141" s="97"/>
      <c r="F1141" s="49"/>
      <c r="H1141" s="49"/>
      <c r="I1141" s="49"/>
      <c r="J1141" s="49"/>
    </row>
    <row r="1142" spans="1:10" s="22" customFormat="1" ht="15.5">
      <c r="A1142" s="33"/>
      <c r="B1142" s="50"/>
      <c r="C1142" s="83"/>
      <c r="D1142" s="83"/>
      <c r="E1142" s="98"/>
      <c r="F1142" s="50"/>
      <c r="H1142" s="50"/>
      <c r="I1142" s="50"/>
      <c r="J1142" s="50"/>
    </row>
    <row r="1143" spans="1:10" s="22" customFormat="1" ht="15.75" customHeight="1">
      <c r="A1143" s="33"/>
      <c r="B1143" s="49" t="s">
        <v>14017</v>
      </c>
      <c r="C1143" s="82" t="s">
        <v>14016</v>
      </c>
      <c r="D1143" s="82" t="s">
        <v>14015</v>
      </c>
      <c r="E1143" s="97"/>
      <c r="F1143" s="49"/>
      <c r="H1143" s="49"/>
      <c r="I1143" s="49"/>
      <c r="J1143" s="49"/>
    </row>
    <row r="1144" spans="1:10" s="22" customFormat="1" ht="15.5">
      <c r="A1144" s="33"/>
      <c r="B1144" s="87"/>
      <c r="C1144" s="86"/>
      <c r="D1144" s="83"/>
      <c r="E1144" s="98"/>
      <c r="F1144" s="50"/>
      <c r="H1144" s="50"/>
      <c r="I1144" s="50"/>
      <c r="J1144" s="50"/>
    </row>
    <row r="1145" spans="1:10" s="22" customFormat="1" ht="15.5" customHeight="1">
      <c r="A1145" s="33"/>
      <c r="B1145" s="87"/>
      <c r="C1145" s="86"/>
      <c r="D1145" s="82" t="s">
        <v>14014</v>
      </c>
      <c r="E1145" s="97"/>
      <c r="F1145" s="49"/>
      <c r="H1145" s="49"/>
      <c r="I1145" s="49"/>
      <c r="J1145" s="49"/>
    </row>
    <row r="1146" spans="1:10" s="22" customFormat="1" ht="15.5">
      <c r="A1146" s="33"/>
      <c r="B1146" s="87"/>
      <c r="C1146" s="86"/>
      <c r="D1146" s="83"/>
      <c r="E1146" s="98"/>
      <c r="F1146" s="50"/>
      <c r="H1146" s="50"/>
      <c r="I1146" s="50"/>
      <c r="J1146" s="50"/>
    </row>
    <row r="1147" spans="1:10" s="22" customFormat="1" ht="15.5" customHeight="1">
      <c r="A1147" s="33"/>
      <c r="B1147" s="87"/>
      <c r="C1147" s="86"/>
      <c r="D1147" s="82" t="s">
        <v>14013</v>
      </c>
      <c r="E1147" s="97"/>
      <c r="F1147" s="49"/>
      <c r="H1147" s="49"/>
      <c r="I1147" s="49"/>
      <c r="J1147" s="49"/>
    </row>
    <row r="1148" spans="1:10" s="22" customFormat="1" ht="15.5">
      <c r="A1148" s="33"/>
      <c r="B1148" s="87"/>
      <c r="C1148" s="86"/>
      <c r="D1148" s="83"/>
      <c r="E1148" s="98"/>
      <c r="F1148" s="50"/>
      <c r="H1148" s="50"/>
      <c r="I1148" s="50"/>
      <c r="J1148" s="50"/>
    </row>
    <row r="1149" spans="1:10" s="22" customFormat="1" ht="15.5" customHeight="1">
      <c r="A1149" s="33"/>
      <c r="B1149" s="87"/>
      <c r="C1149" s="86"/>
      <c r="D1149" s="82" t="s">
        <v>14012</v>
      </c>
      <c r="E1149" s="97"/>
      <c r="F1149" s="49"/>
      <c r="H1149" s="49"/>
      <c r="I1149" s="49"/>
      <c r="J1149" s="49"/>
    </row>
    <row r="1150" spans="1:10" s="22" customFormat="1" ht="15.5">
      <c r="A1150" s="33"/>
      <c r="B1150" s="87"/>
      <c r="C1150" s="86"/>
      <c r="D1150" s="83"/>
      <c r="E1150" s="98"/>
      <c r="F1150" s="50"/>
      <c r="H1150" s="50"/>
      <c r="I1150" s="50"/>
      <c r="J1150" s="50"/>
    </row>
    <row r="1151" spans="1:10" s="22" customFormat="1" ht="15.5">
      <c r="A1151" s="33"/>
      <c r="B1151" s="87"/>
      <c r="C1151" s="86"/>
      <c r="D1151" s="82" t="s">
        <v>14011</v>
      </c>
      <c r="E1151" s="97"/>
      <c r="F1151" s="49"/>
      <c r="H1151" s="49"/>
      <c r="I1151" s="49"/>
      <c r="J1151" s="49"/>
    </row>
    <row r="1152" spans="1:10" s="22" customFormat="1" ht="15.5">
      <c r="A1152" s="33"/>
      <c r="B1152" s="87"/>
      <c r="C1152" s="83"/>
      <c r="D1152" s="83"/>
      <c r="E1152" s="98"/>
      <c r="F1152" s="50"/>
      <c r="H1152" s="50"/>
      <c r="I1152" s="50"/>
      <c r="J1152" s="50"/>
    </row>
    <row r="1153" spans="1:10" s="22" customFormat="1" ht="15.75" customHeight="1">
      <c r="A1153" s="33"/>
      <c r="B1153" s="87"/>
      <c r="C1153" s="82" t="s">
        <v>14010</v>
      </c>
      <c r="D1153" s="82" t="s">
        <v>14009</v>
      </c>
      <c r="E1153" s="97"/>
      <c r="F1153" s="49"/>
      <c r="H1153" s="49"/>
      <c r="I1153" s="49"/>
      <c r="J1153" s="49"/>
    </row>
    <row r="1154" spans="1:10" s="22" customFormat="1" ht="15.5">
      <c r="A1154" s="33"/>
      <c r="B1154" s="87"/>
      <c r="C1154" s="86"/>
      <c r="D1154" s="83"/>
      <c r="E1154" s="98"/>
      <c r="F1154" s="50"/>
      <c r="H1154" s="50"/>
      <c r="I1154" s="50"/>
      <c r="J1154" s="50"/>
    </row>
    <row r="1155" spans="1:10" s="22" customFormat="1" ht="15.5" customHeight="1">
      <c r="A1155" s="33"/>
      <c r="B1155" s="87"/>
      <c r="C1155" s="86"/>
      <c r="D1155" s="82" t="s">
        <v>14008</v>
      </c>
      <c r="E1155" s="97"/>
      <c r="F1155" s="49"/>
      <c r="H1155" s="49"/>
      <c r="I1155" s="49"/>
      <c r="J1155" s="49"/>
    </row>
    <row r="1156" spans="1:10" s="22" customFormat="1" ht="15.5">
      <c r="A1156" s="33"/>
      <c r="B1156" s="87"/>
      <c r="C1156" s="86"/>
      <c r="D1156" s="83"/>
      <c r="E1156" s="98"/>
      <c r="F1156" s="50"/>
      <c r="H1156" s="50"/>
      <c r="I1156" s="50"/>
      <c r="J1156" s="50"/>
    </row>
    <row r="1157" spans="1:10" s="22" customFormat="1" ht="15.5" customHeight="1">
      <c r="A1157" s="33"/>
      <c r="B1157" s="87"/>
      <c r="C1157" s="86"/>
      <c r="D1157" s="82" t="s">
        <v>14007</v>
      </c>
      <c r="E1157" s="97"/>
      <c r="F1157" s="49"/>
      <c r="H1157" s="49"/>
      <c r="I1157" s="49"/>
      <c r="J1157" s="49"/>
    </row>
    <row r="1158" spans="1:10" s="22" customFormat="1" ht="15.5">
      <c r="A1158" s="33"/>
      <c r="B1158" s="87"/>
      <c r="C1158" s="86"/>
      <c r="D1158" s="83"/>
      <c r="E1158" s="98"/>
      <c r="F1158" s="50"/>
      <c r="H1158" s="50"/>
      <c r="I1158" s="50"/>
      <c r="J1158" s="50"/>
    </row>
    <row r="1159" spans="1:10" s="22" customFormat="1" ht="15.5" customHeight="1">
      <c r="A1159" s="33"/>
      <c r="B1159" s="87"/>
      <c r="C1159" s="86"/>
      <c r="D1159" s="82" t="s">
        <v>14006</v>
      </c>
      <c r="E1159" s="97"/>
      <c r="F1159" s="49"/>
      <c r="H1159" s="49"/>
      <c r="I1159" s="49"/>
      <c r="J1159" s="49"/>
    </row>
    <row r="1160" spans="1:10" s="22" customFormat="1" ht="15.5">
      <c r="A1160" s="33"/>
      <c r="B1160" s="87"/>
      <c r="C1160" s="86"/>
      <c r="D1160" s="83"/>
      <c r="E1160" s="98"/>
      <c r="F1160" s="50"/>
      <c r="H1160" s="50"/>
      <c r="I1160" s="50"/>
      <c r="J1160" s="50"/>
    </row>
    <row r="1161" spans="1:10" s="22" customFormat="1" ht="15.5" customHeight="1">
      <c r="A1161" s="33"/>
      <c r="B1161" s="87"/>
      <c r="C1161" s="86"/>
      <c r="D1161" s="82" t="s">
        <v>14005</v>
      </c>
      <c r="E1161" s="97"/>
      <c r="F1161" s="49"/>
      <c r="H1161" s="49"/>
      <c r="I1161" s="49"/>
      <c r="J1161" s="49"/>
    </row>
    <row r="1162" spans="1:10" s="22" customFormat="1" ht="15.5">
      <c r="A1162" s="33"/>
      <c r="B1162" s="87"/>
      <c r="C1162" s="83"/>
      <c r="D1162" s="83"/>
      <c r="E1162" s="98"/>
      <c r="F1162" s="50"/>
      <c r="H1162" s="50"/>
      <c r="I1162" s="50"/>
      <c r="J1162" s="50"/>
    </row>
    <row r="1163" spans="1:10" s="22" customFormat="1" ht="15.75" customHeight="1">
      <c r="A1163" s="33"/>
      <c r="B1163" s="87"/>
      <c r="C1163" s="82" t="s">
        <v>14004</v>
      </c>
      <c r="D1163" s="82" t="s">
        <v>14003</v>
      </c>
      <c r="E1163" s="97"/>
      <c r="F1163" s="49"/>
      <c r="H1163" s="49"/>
      <c r="I1163" s="49"/>
      <c r="J1163" s="49"/>
    </row>
    <row r="1164" spans="1:10" s="22" customFormat="1" ht="15.5">
      <c r="A1164" s="33"/>
      <c r="B1164" s="87"/>
      <c r="C1164" s="86"/>
      <c r="D1164" s="83"/>
      <c r="E1164" s="98"/>
      <c r="F1164" s="50"/>
      <c r="H1164" s="50"/>
      <c r="I1164" s="50"/>
      <c r="J1164" s="50"/>
    </row>
    <row r="1165" spans="1:10" s="22" customFormat="1" ht="15.5" customHeight="1">
      <c r="A1165" s="33"/>
      <c r="B1165" s="87"/>
      <c r="C1165" s="86"/>
      <c r="D1165" s="82" t="s">
        <v>14002</v>
      </c>
      <c r="E1165" s="97"/>
      <c r="F1165" s="49"/>
      <c r="H1165" s="49"/>
      <c r="I1165" s="49"/>
      <c r="J1165" s="49"/>
    </row>
    <row r="1166" spans="1:10" s="22" customFormat="1" ht="20.5" customHeight="1">
      <c r="A1166" s="33"/>
      <c r="B1166" s="87"/>
      <c r="C1166" s="86"/>
      <c r="D1166" s="83"/>
      <c r="E1166" s="98"/>
      <c r="F1166" s="50"/>
      <c r="H1166" s="50"/>
      <c r="I1166" s="50"/>
      <c r="J1166" s="50"/>
    </row>
    <row r="1167" spans="1:10" s="22" customFormat="1" ht="15.5" hidden="1" customHeight="1">
      <c r="A1167" s="33"/>
      <c r="B1167" s="87"/>
      <c r="C1167" s="86"/>
      <c r="D1167" s="42"/>
      <c r="E1167" s="43"/>
      <c r="F1167" s="25"/>
      <c r="H1167" s="25"/>
      <c r="I1167" s="25"/>
      <c r="J1167" s="25"/>
    </row>
    <row r="1168" spans="1:10" s="22" customFormat="1" ht="15.5">
      <c r="A1168" s="33"/>
      <c r="B1168" s="87"/>
      <c r="C1168" s="86"/>
      <c r="D1168" s="82" t="s">
        <v>14001</v>
      </c>
      <c r="E1168" s="97"/>
      <c r="F1168" s="49"/>
      <c r="H1168" s="49"/>
      <c r="I1168" s="49"/>
      <c r="J1168" s="49"/>
    </row>
    <row r="1169" spans="1:10" s="22" customFormat="1" ht="15.5">
      <c r="A1169" s="33"/>
      <c r="B1169" s="87"/>
      <c r="C1169" s="86"/>
      <c r="D1169" s="83"/>
      <c r="E1169" s="98"/>
      <c r="F1169" s="50"/>
      <c r="H1169" s="50"/>
      <c r="I1169" s="50"/>
      <c r="J1169" s="50"/>
    </row>
    <row r="1170" spans="1:10" s="22" customFormat="1" ht="15.5">
      <c r="A1170" s="33"/>
      <c r="B1170" s="87"/>
      <c r="C1170" s="86"/>
      <c r="D1170" s="82" t="s">
        <v>14000</v>
      </c>
      <c r="E1170" s="97"/>
      <c r="F1170" s="49"/>
      <c r="H1170" s="49"/>
      <c r="I1170" s="49"/>
      <c r="J1170" s="49"/>
    </row>
    <row r="1171" spans="1:10" s="22" customFormat="1" ht="15.5">
      <c r="A1171" s="33"/>
      <c r="B1171" s="87"/>
      <c r="C1171" s="86"/>
      <c r="D1171" s="83"/>
      <c r="E1171" s="98"/>
      <c r="F1171" s="50"/>
      <c r="H1171" s="50"/>
      <c r="I1171" s="50"/>
      <c r="J1171" s="50"/>
    </row>
    <row r="1172" spans="1:10" s="22" customFormat="1" ht="15.5" customHeight="1">
      <c r="A1172" s="33"/>
      <c r="B1172" s="87"/>
      <c r="C1172" s="86"/>
      <c r="D1172" s="82" t="s">
        <v>13999</v>
      </c>
      <c r="E1172" s="97"/>
      <c r="F1172" s="49"/>
      <c r="H1172" s="49"/>
      <c r="I1172" s="49"/>
      <c r="J1172" s="49"/>
    </row>
    <row r="1173" spans="1:10" s="22" customFormat="1" ht="15.5">
      <c r="A1173" s="33"/>
      <c r="B1173" s="87"/>
      <c r="C1173" s="83"/>
      <c r="D1173" s="83"/>
      <c r="E1173" s="98"/>
      <c r="F1173" s="50"/>
      <c r="H1173" s="50"/>
      <c r="I1173" s="50"/>
      <c r="J1173" s="50"/>
    </row>
    <row r="1174" spans="1:10" s="22" customFormat="1" ht="15.75" customHeight="1">
      <c r="A1174" s="33"/>
      <c r="B1174" s="87"/>
      <c r="C1174" s="82" t="s">
        <v>13998</v>
      </c>
      <c r="D1174" s="82" t="s">
        <v>13997</v>
      </c>
      <c r="E1174" s="97"/>
      <c r="F1174" s="49"/>
      <c r="H1174" s="49"/>
      <c r="I1174" s="49"/>
      <c r="J1174" s="49"/>
    </row>
    <row r="1175" spans="1:10" s="22" customFormat="1" ht="15.5">
      <c r="A1175" s="33"/>
      <c r="B1175" s="87"/>
      <c r="C1175" s="86"/>
      <c r="D1175" s="83"/>
      <c r="E1175" s="98"/>
      <c r="F1175" s="50"/>
      <c r="H1175" s="50"/>
      <c r="I1175" s="50"/>
      <c r="J1175" s="50"/>
    </row>
    <row r="1176" spans="1:10" s="22" customFormat="1" ht="15.5">
      <c r="A1176" s="33"/>
      <c r="B1176" s="87"/>
      <c r="C1176" s="86"/>
      <c r="D1176" s="82" t="s">
        <v>13996</v>
      </c>
      <c r="E1176" s="97"/>
      <c r="F1176" s="49"/>
      <c r="H1176" s="49"/>
      <c r="I1176" s="49"/>
      <c r="J1176" s="49"/>
    </row>
    <row r="1177" spans="1:10" s="22" customFormat="1" ht="15.5">
      <c r="A1177" s="33"/>
      <c r="B1177" s="87"/>
      <c r="C1177" s="86"/>
      <c r="D1177" s="83"/>
      <c r="E1177" s="98"/>
      <c r="F1177" s="50"/>
      <c r="H1177" s="50"/>
      <c r="I1177" s="50"/>
      <c r="J1177" s="50"/>
    </row>
    <row r="1178" spans="1:10" s="22" customFormat="1" ht="15.5" customHeight="1">
      <c r="A1178" s="33"/>
      <c r="B1178" s="87"/>
      <c r="C1178" s="86"/>
      <c r="D1178" s="82" t="s">
        <v>13995</v>
      </c>
      <c r="E1178" s="97"/>
      <c r="F1178" s="49"/>
      <c r="H1178" s="49"/>
      <c r="I1178" s="49"/>
      <c r="J1178" s="49"/>
    </row>
    <row r="1179" spans="1:10" s="22" customFormat="1" ht="15.5">
      <c r="A1179" s="33"/>
      <c r="B1179" s="87"/>
      <c r="C1179" s="86"/>
      <c r="D1179" s="83"/>
      <c r="E1179" s="98"/>
      <c r="F1179" s="50"/>
      <c r="H1179" s="50"/>
      <c r="I1179" s="50"/>
      <c r="J1179" s="50"/>
    </row>
    <row r="1180" spans="1:10" s="22" customFormat="1" ht="15.5">
      <c r="A1180" s="33"/>
      <c r="B1180" s="87"/>
      <c r="C1180" s="86"/>
      <c r="D1180" s="82" t="s">
        <v>13994</v>
      </c>
      <c r="E1180" s="97"/>
      <c r="F1180" s="49"/>
      <c r="H1180" s="49"/>
      <c r="I1180" s="49"/>
      <c r="J1180" s="49"/>
    </row>
    <row r="1181" spans="1:10" s="22" customFormat="1" ht="15.5">
      <c r="A1181" s="33"/>
      <c r="B1181" s="87"/>
      <c r="C1181" s="86"/>
      <c r="D1181" s="83"/>
      <c r="E1181" s="98"/>
      <c r="F1181" s="50"/>
      <c r="H1181" s="50"/>
      <c r="I1181" s="50"/>
      <c r="J1181" s="50"/>
    </row>
    <row r="1182" spans="1:10" s="22" customFormat="1" ht="15.5" customHeight="1">
      <c r="A1182" s="33"/>
      <c r="B1182" s="87"/>
      <c r="C1182" s="86"/>
      <c r="D1182" s="82" t="s">
        <v>13993</v>
      </c>
      <c r="E1182" s="97"/>
      <c r="F1182" s="49"/>
      <c r="H1182" s="49"/>
      <c r="I1182" s="49"/>
      <c r="J1182" s="49"/>
    </row>
    <row r="1183" spans="1:10" s="22" customFormat="1" ht="15.5">
      <c r="A1183" s="33"/>
      <c r="B1183" s="87"/>
      <c r="C1183" s="83"/>
      <c r="D1183" s="83"/>
      <c r="E1183" s="98"/>
      <c r="F1183" s="50"/>
      <c r="H1183" s="50"/>
      <c r="I1183" s="50"/>
      <c r="J1183" s="50"/>
    </row>
    <row r="1184" spans="1:10" s="22" customFormat="1" ht="15.75" customHeight="1">
      <c r="A1184" s="33"/>
      <c r="B1184" s="87"/>
      <c r="C1184" s="82" t="s">
        <v>13992</v>
      </c>
      <c r="D1184" s="49" t="s">
        <v>13991</v>
      </c>
      <c r="E1184" s="97"/>
      <c r="F1184" s="49"/>
      <c r="H1184" s="49"/>
      <c r="I1184" s="49"/>
      <c r="J1184" s="49"/>
    </row>
    <row r="1185" spans="1:10" s="22" customFormat="1" ht="15.5">
      <c r="A1185" s="33"/>
      <c r="B1185" s="87"/>
      <c r="C1185" s="86"/>
      <c r="D1185" s="50"/>
      <c r="E1185" s="98"/>
      <c r="F1185" s="50"/>
      <c r="H1185" s="50"/>
      <c r="I1185" s="50"/>
      <c r="J1185" s="50"/>
    </row>
    <row r="1186" spans="1:10" s="22" customFormat="1" ht="15.5">
      <c r="A1186" s="33"/>
      <c r="B1186" s="87"/>
      <c r="C1186" s="86"/>
      <c r="D1186" s="49" t="s">
        <v>13990</v>
      </c>
      <c r="E1186" s="97"/>
      <c r="F1186" s="49"/>
      <c r="H1186" s="49"/>
      <c r="I1186" s="49"/>
      <c r="J1186" s="49"/>
    </row>
    <row r="1187" spans="1:10" s="22" customFormat="1" ht="15.5">
      <c r="A1187" s="33"/>
      <c r="B1187" s="87"/>
      <c r="C1187" s="86"/>
      <c r="D1187" s="50"/>
      <c r="E1187" s="98"/>
      <c r="F1187" s="50"/>
      <c r="H1187" s="50"/>
      <c r="I1187" s="50"/>
      <c r="J1187" s="50"/>
    </row>
    <row r="1188" spans="1:10" s="22" customFormat="1" ht="15.5">
      <c r="A1188" s="33"/>
      <c r="B1188" s="87"/>
      <c r="C1188" s="86"/>
      <c r="D1188" s="49" t="s">
        <v>13989</v>
      </c>
      <c r="E1188" s="97"/>
      <c r="F1188" s="49"/>
      <c r="H1188" s="49"/>
      <c r="I1188" s="49"/>
      <c r="J1188" s="49"/>
    </row>
    <row r="1189" spans="1:10" s="22" customFormat="1" ht="15.5">
      <c r="A1189" s="33"/>
      <c r="B1189" s="87"/>
      <c r="C1189" s="86"/>
      <c r="D1189" s="50"/>
      <c r="E1189" s="98"/>
      <c r="F1189" s="50"/>
      <c r="H1189" s="50"/>
      <c r="I1189" s="50"/>
      <c r="J1189" s="50"/>
    </row>
    <row r="1190" spans="1:10" s="22" customFormat="1" ht="15.5" customHeight="1">
      <c r="A1190" s="33"/>
      <c r="B1190" s="87"/>
      <c r="C1190" s="86"/>
      <c r="D1190" s="82" t="s">
        <v>13988</v>
      </c>
      <c r="E1190" s="97"/>
      <c r="F1190" s="49"/>
      <c r="H1190" s="49"/>
      <c r="I1190" s="49"/>
      <c r="J1190" s="49"/>
    </row>
    <row r="1191" spans="1:10" s="22" customFormat="1" ht="15.5">
      <c r="A1191" s="33"/>
      <c r="B1191" s="87"/>
      <c r="C1191" s="86"/>
      <c r="D1191" s="83"/>
      <c r="E1191" s="98"/>
      <c r="F1191" s="50"/>
      <c r="H1191" s="50"/>
      <c r="I1191" s="50"/>
      <c r="J1191" s="50"/>
    </row>
    <row r="1192" spans="1:10" s="22" customFormat="1" ht="15.5" customHeight="1">
      <c r="A1192" s="33"/>
      <c r="B1192" s="87"/>
      <c r="C1192" s="86"/>
      <c r="D1192" s="82" t="s">
        <v>13987</v>
      </c>
      <c r="E1192" s="84"/>
      <c r="F1192" s="49"/>
      <c r="H1192" s="49"/>
      <c r="I1192" s="49"/>
      <c r="J1192" s="49"/>
    </row>
    <row r="1193" spans="1:10" s="22" customFormat="1" ht="15.5">
      <c r="A1193" s="33"/>
      <c r="B1193" s="87"/>
      <c r="C1193" s="83"/>
      <c r="D1193" s="83"/>
      <c r="E1193" s="85"/>
      <c r="F1193" s="50"/>
      <c r="H1193" s="50"/>
      <c r="I1193" s="50"/>
      <c r="J1193" s="50"/>
    </row>
    <row r="1194" spans="1:10" s="22" customFormat="1" ht="15.75" customHeight="1">
      <c r="A1194" s="33"/>
      <c r="B1194" s="87"/>
      <c r="C1194" s="82" t="s">
        <v>13986</v>
      </c>
      <c r="D1194" s="82" t="s">
        <v>13985</v>
      </c>
      <c r="E1194" s="84"/>
      <c r="F1194" s="49"/>
      <c r="H1194" s="49"/>
      <c r="I1194" s="49"/>
      <c r="J1194" s="49"/>
    </row>
    <row r="1195" spans="1:10" s="22" customFormat="1" ht="15.5">
      <c r="A1195" s="33"/>
      <c r="B1195" s="87"/>
      <c r="C1195" s="86"/>
      <c r="D1195" s="83"/>
      <c r="E1195" s="85"/>
      <c r="F1195" s="50"/>
      <c r="H1195" s="50"/>
      <c r="I1195" s="50"/>
      <c r="J1195" s="50"/>
    </row>
    <row r="1196" spans="1:10" s="22" customFormat="1" ht="15.5">
      <c r="A1196" s="33"/>
      <c r="B1196" s="87"/>
      <c r="C1196" s="86"/>
      <c r="D1196" s="82" t="s">
        <v>13984</v>
      </c>
      <c r="E1196" s="84"/>
      <c r="F1196" s="49"/>
      <c r="H1196" s="49"/>
      <c r="I1196" s="49"/>
      <c r="J1196" s="49"/>
    </row>
    <row r="1197" spans="1:10" s="22" customFormat="1" ht="15.5">
      <c r="A1197" s="33"/>
      <c r="B1197" s="87"/>
      <c r="C1197" s="86"/>
      <c r="D1197" s="83"/>
      <c r="E1197" s="85"/>
      <c r="F1197" s="50"/>
      <c r="H1197" s="50"/>
      <c r="I1197" s="50"/>
      <c r="J1197" s="50"/>
    </row>
    <row r="1198" spans="1:10" s="22" customFormat="1" ht="15.5" customHeight="1">
      <c r="A1198" s="33"/>
      <c r="B1198" s="87"/>
      <c r="C1198" s="86"/>
      <c r="D1198" s="82" t="s">
        <v>13983</v>
      </c>
      <c r="E1198" s="84"/>
      <c r="F1198" s="49"/>
      <c r="H1198" s="49"/>
      <c r="I1198" s="49"/>
      <c r="J1198" s="49"/>
    </row>
    <row r="1199" spans="1:10" s="22" customFormat="1" ht="15.5">
      <c r="A1199" s="33"/>
      <c r="B1199" s="87"/>
      <c r="C1199" s="86"/>
      <c r="D1199" s="83"/>
      <c r="E1199" s="85"/>
      <c r="F1199" s="50"/>
      <c r="H1199" s="50"/>
      <c r="I1199" s="50"/>
      <c r="J1199" s="50"/>
    </row>
    <row r="1200" spans="1:10" s="22" customFormat="1" ht="15.5">
      <c r="A1200" s="33"/>
      <c r="B1200" s="87"/>
      <c r="C1200" s="86"/>
      <c r="D1200" s="82" t="s">
        <v>13982</v>
      </c>
      <c r="E1200" s="84"/>
      <c r="F1200" s="49"/>
      <c r="H1200" s="49"/>
      <c r="I1200" s="49"/>
      <c r="J1200" s="49"/>
    </row>
    <row r="1201" spans="1:10" s="22" customFormat="1" ht="15.5">
      <c r="A1201" s="33"/>
      <c r="B1201" s="87"/>
      <c r="C1201" s="86"/>
      <c r="D1201" s="83"/>
      <c r="E1201" s="85"/>
      <c r="F1201" s="50"/>
      <c r="H1201" s="50"/>
      <c r="I1201" s="50"/>
      <c r="J1201" s="50"/>
    </row>
    <row r="1202" spans="1:10" s="22" customFormat="1" ht="15.5" customHeight="1">
      <c r="A1202" s="33"/>
      <c r="B1202" s="87"/>
      <c r="C1202" s="86"/>
      <c r="D1202" s="82" t="s">
        <v>13981</v>
      </c>
      <c r="E1202" s="84"/>
      <c r="F1202" s="49"/>
      <c r="H1202" s="49"/>
      <c r="I1202" s="49"/>
      <c r="J1202" s="49"/>
    </row>
    <row r="1203" spans="1:10" s="22" customFormat="1" ht="15.5">
      <c r="A1203" s="33"/>
      <c r="B1203" s="87"/>
      <c r="C1203" s="83"/>
      <c r="D1203" s="83"/>
      <c r="E1203" s="85"/>
      <c r="F1203" s="50"/>
      <c r="H1203" s="50"/>
      <c r="I1203" s="50"/>
      <c r="J1203" s="50"/>
    </row>
    <row r="1204" spans="1:10" s="22" customFormat="1" ht="15.75" customHeight="1">
      <c r="A1204" s="33"/>
      <c r="B1204" s="87"/>
      <c r="C1204" s="82" t="s">
        <v>13980</v>
      </c>
      <c r="D1204" s="82" t="s">
        <v>13979</v>
      </c>
      <c r="E1204" s="84"/>
      <c r="F1204" s="49"/>
      <c r="H1204" s="49"/>
      <c r="I1204" s="49"/>
      <c r="J1204" s="49"/>
    </row>
    <row r="1205" spans="1:10" s="22" customFormat="1" ht="15.5">
      <c r="A1205" s="33"/>
      <c r="B1205" s="87"/>
      <c r="C1205" s="86"/>
      <c r="D1205" s="83"/>
      <c r="E1205" s="85"/>
      <c r="F1205" s="50"/>
      <c r="H1205" s="50"/>
      <c r="I1205" s="50"/>
      <c r="J1205" s="50"/>
    </row>
    <row r="1206" spans="1:10" s="22" customFormat="1" ht="15.5" customHeight="1">
      <c r="A1206" s="33"/>
      <c r="B1206" s="87"/>
      <c r="C1206" s="86"/>
      <c r="D1206" s="82" t="s">
        <v>13978</v>
      </c>
      <c r="E1206" s="84"/>
      <c r="F1206" s="49"/>
      <c r="H1206" s="49"/>
      <c r="I1206" s="49"/>
      <c r="J1206" s="49"/>
    </row>
    <row r="1207" spans="1:10" s="22" customFormat="1" ht="15.5">
      <c r="A1207" s="33"/>
      <c r="B1207" s="87"/>
      <c r="C1207" s="86"/>
      <c r="D1207" s="83"/>
      <c r="E1207" s="85"/>
      <c r="F1207" s="50"/>
      <c r="H1207" s="50"/>
      <c r="I1207" s="50"/>
      <c r="J1207" s="50"/>
    </row>
    <row r="1208" spans="1:10" s="22" customFormat="1" ht="15.5" customHeight="1">
      <c r="A1208" s="33"/>
      <c r="B1208" s="87"/>
      <c r="C1208" s="86"/>
      <c r="D1208" s="82" t="s">
        <v>13977</v>
      </c>
      <c r="E1208" s="84"/>
      <c r="F1208" s="49"/>
      <c r="H1208" s="49"/>
      <c r="I1208" s="49"/>
      <c r="J1208" s="49"/>
    </row>
    <row r="1209" spans="1:10" s="22" customFormat="1" ht="15.5">
      <c r="A1209" s="33"/>
      <c r="B1209" s="87"/>
      <c r="C1209" s="86"/>
      <c r="D1209" s="83"/>
      <c r="E1209" s="85"/>
      <c r="F1209" s="50"/>
      <c r="H1209" s="50"/>
      <c r="I1209" s="50"/>
      <c r="J1209" s="50"/>
    </row>
    <row r="1210" spans="1:10" s="22" customFormat="1" ht="15.5">
      <c r="A1210" s="33"/>
      <c r="B1210" s="87"/>
      <c r="C1210" s="86"/>
      <c r="D1210" s="82" t="s">
        <v>13976</v>
      </c>
      <c r="E1210" s="84"/>
      <c r="F1210" s="49"/>
      <c r="H1210" s="49"/>
      <c r="I1210" s="49"/>
      <c r="J1210" s="49"/>
    </row>
    <row r="1211" spans="1:10" s="22" customFormat="1" ht="15.5">
      <c r="A1211" s="33"/>
      <c r="B1211" s="87"/>
      <c r="C1211" s="86"/>
      <c r="D1211" s="83"/>
      <c r="E1211" s="85"/>
      <c r="F1211" s="50"/>
      <c r="H1211" s="50"/>
      <c r="I1211" s="50"/>
      <c r="J1211" s="50"/>
    </row>
    <row r="1212" spans="1:10" s="22" customFormat="1" ht="15.5">
      <c r="A1212" s="33"/>
      <c r="B1212" s="87"/>
      <c r="C1212" s="86"/>
      <c r="D1212" s="82" t="s">
        <v>13975</v>
      </c>
      <c r="E1212" s="84"/>
      <c r="F1212" s="49"/>
      <c r="H1212" s="49"/>
      <c r="I1212" s="49"/>
      <c r="J1212" s="49"/>
    </row>
    <row r="1213" spans="1:10" s="22" customFormat="1" ht="15.5">
      <c r="A1213" s="33"/>
      <c r="B1213" s="87"/>
      <c r="C1213" s="83"/>
      <c r="D1213" s="83"/>
      <c r="E1213" s="85"/>
      <c r="F1213" s="50"/>
      <c r="H1213" s="50"/>
      <c r="I1213" s="50"/>
      <c r="J1213" s="50"/>
    </row>
    <row r="1214" spans="1:10" s="22" customFormat="1" ht="15.75" customHeight="1">
      <c r="A1214" s="33"/>
      <c r="B1214" s="87"/>
      <c r="C1214" s="82" t="s">
        <v>13974</v>
      </c>
      <c r="D1214" s="82" t="s">
        <v>13973</v>
      </c>
      <c r="E1214" s="84"/>
      <c r="F1214" s="49"/>
      <c r="H1214" s="49"/>
      <c r="I1214" s="49"/>
      <c r="J1214" s="49"/>
    </row>
    <row r="1215" spans="1:10" s="22" customFormat="1" ht="15.5">
      <c r="A1215" s="33"/>
      <c r="B1215" s="87"/>
      <c r="C1215" s="86"/>
      <c r="D1215" s="83"/>
      <c r="E1215" s="85"/>
      <c r="F1215" s="50"/>
      <c r="H1215" s="50"/>
      <c r="I1215" s="50"/>
      <c r="J1215" s="50"/>
    </row>
    <row r="1216" spans="1:10" s="22" customFormat="1" ht="15.5" customHeight="1">
      <c r="A1216" s="33"/>
      <c r="B1216" s="87"/>
      <c r="C1216" s="86"/>
      <c r="D1216" s="82" t="s">
        <v>13972</v>
      </c>
      <c r="E1216" s="84"/>
      <c r="F1216" s="49"/>
      <c r="H1216" s="49"/>
      <c r="I1216" s="49"/>
      <c r="J1216" s="49"/>
    </row>
    <row r="1217" spans="1:10" s="22" customFormat="1" ht="15.5">
      <c r="A1217" s="33"/>
      <c r="B1217" s="87"/>
      <c r="C1217" s="86"/>
      <c r="D1217" s="83"/>
      <c r="E1217" s="85"/>
      <c r="F1217" s="50"/>
      <c r="H1217" s="50"/>
      <c r="I1217" s="50"/>
      <c r="J1217" s="50"/>
    </row>
    <row r="1218" spans="1:10" s="22" customFormat="1" ht="15.5">
      <c r="A1218" s="33"/>
      <c r="B1218" s="87"/>
      <c r="C1218" s="86"/>
      <c r="D1218" s="82" t="s">
        <v>13971</v>
      </c>
      <c r="E1218" s="84"/>
      <c r="F1218" s="49"/>
      <c r="H1218" s="49"/>
      <c r="I1218" s="49"/>
      <c r="J1218" s="49"/>
    </row>
    <row r="1219" spans="1:10" s="22" customFormat="1" ht="15.5">
      <c r="A1219" s="33"/>
      <c r="B1219" s="87"/>
      <c r="C1219" s="86"/>
      <c r="D1219" s="83"/>
      <c r="E1219" s="85"/>
      <c r="F1219" s="50"/>
      <c r="H1219" s="50"/>
      <c r="I1219" s="50"/>
      <c r="J1219" s="50"/>
    </row>
    <row r="1220" spans="1:10" s="22" customFormat="1" ht="15.5" customHeight="1">
      <c r="A1220" s="33"/>
      <c r="B1220" s="87"/>
      <c r="C1220" s="86"/>
      <c r="D1220" s="82" t="s">
        <v>13970</v>
      </c>
      <c r="E1220" s="84"/>
      <c r="F1220" s="49"/>
      <c r="H1220" s="49"/>
      <c r="I1220" s="49"/>
      <c r="J1220" s="49"/>
    </row>
    <row r="1221" spans="1:10" s="22" customFormat="1" ht="15.5">
      <c r="A1221" s="33"/>
      <c r="B1221" s="87"/>
      <c r="C1221" s="86"/>
      <c r="D1221" s="83"/>
      <c r="E1221" s="85"/>
      <c r="F1221" s="50"/>
      <c r="H1221" s="50"/>
      <c r="I1221" s="50"/>
      <c r="J1221" s="50"/>
    </row>
    <row r="1222" spans="1:10" s="22" customFormat="1" ht="15.5" customHeight="1">
      <c r="A1222" s="33"/>
      <c r="B1222" s="87"/>
      <c r="C1222" s="86"/>
      <c r="D1222" s="82" t="s">
        <v>13969</v>
      </c>
      <c r="E1222" s="84"/>
      <c r="F1222" s="49"/>
      <c r="H1222" s="49"/>
      <c r="I1222" s="49"/>
      <c r="J1222" s="49"/>
    </row>
    <row r="1223" spans="1:10" s="22" customFormat="1" ht="15.5">
      <c r="A1223" s="33"/>
      <c r="B1223" s="87"/>
      <c r="C1223" s="83"/>
      <c r="D1223" s="83"/>
      <c r="E1223" s="85"/>
      <c r="F1223" s="50"/>
      <c r="H1223" s="50"/>
      <c r="I1223" s="50"/>
      <c r="J1223" s="50"/>
    </row>
    <row r="1224" spans="1:10" s="22" customFormat="1" ht="15.75" customHeight="1">
      <c r="A1224" s="33"/>
      <c r="B1224" s="87"/>
      <c r="C1224" s="82" t="s">
        <v>13968</v>
      </c>
      <c r="D1224" s="82" t="s">
        <v>13967</v>
      </c>
      <c r="E1224" s="84"/>
      <c r="F1224" s="49"/>
      <c r="H1224" s="49"/>
      <c r="I1224" s="49"/>
      <c r="J1224" s="49"/>
    </row>
    <row r="1225" spans="1:10" s="22" customFormat="1" ht="15.5">
      <c r="A1225" s="33"/>
      <c r="B1225" s="87"/>
      <c r="C1225" s="86"/>
      <c r="D1225" s="83"/>
      <c r="E1225" s="85"/>
      <c r="F1225" s="50"/>
      <c r="H1225" s="50"/>
      <c r="I1225" s="50"/>
      <c r="J1225" s="50"/>
    </row>
    <row r="1226" spans="1:10" s="22" customFormat="1" ht="15.5" customHeight="1">
      <c r="A1226" s="33"/>
      <c r="B1226" s="87"/>
      <c r="C1226" s="86"/>
      <c r="D1226" s="82" t="s">
        <v>13966</v>
      </c>
      <c r="E1226" s="84"/>
      <c r="F1226" s="49"/>
      <c r="H1226" s="49"/>
      <c r="I1226" s="49"/>
      <c r="J1226" s="49"/>
    </row>
    <row r="1227" spans="1:10" s="22" customFormat="1" ht="15.5">
      <c r="A1227" s="33"/>
      <c r="B1227" s="87"/>
      <c r="C1227" s="86"/>
      <c r="D1227" s="83"/>
      <c r="E1227" s="85"/>
      <c r="F1227" s="50"/>
      <c r="H1227" s="50"/>
      <c r="I1227" s="50"/>
      <c r="J1227" s="50"/>
    </row>
    <row r="1228" spans="1:10" s="22" customFormat="1" ht="15.5">
      <c r="A1228" s="33"/>
      <c r="B1228" s="87"/>
      <c r="C1228" s="86"/>
      <c r="D1228" s="82" t="s">
        <v>13965</v>
      </c>
      <c r="E1228" s="84"/>
      <c r="F1228" s="49"/>
      <c r="H1228" s="49"/>
      <c r="I1228" s="49"/>
      <c r="J1228" s="49"/>
    </row>
    <row r="1229" spans="1:10" s="22" customFormat="1" ht="15.5">
      <c r="A1229" s="33"/>
      <c r="B1229" s="87"/>
      <c r="C1229" s="86"/>
      <c r="D1229" s="83"/>
      <c r="E1229" s="85"/>
      <c r="F1229" s="50"/>
      <c r="H1229" s="50"/>
      <c r="I1229" s="50"/>
      <c r="J1229" s="50"/>
    </row>
    <row r="1230" spans="1:10" s="22" customFormat="1" ht="15.5" customHeight="1">
      <c r="A1230" s="33"/>
      <c r="B1230" s="87"/>
      <c r="C1230" s="86"/>
      <c r="D1230" s="82" t="s">
        <v>13964</v>
      </c>
      <c r="E1230" s="84"/>
      <c r="F1230" s="49"/>
      <c r="H1230" s="49"/>
      <c r="I1230" s="49"/>
      <c r="J1230" s="49"/>
    </row>
    <row r="1231" spans="1:10" s="22" customFormat="1" ht="15.5">
      <c r="A1231" s="33"/>
      <c r="B1231" s="87"/>
      <c r="C1231" s="86"/>
      <c r="D1231" s="83"/>
      <c r="E1231" s="85"/>
      <c r="F1231" s="50"/>
      <c r="H1231" s="50"/>
      <c r="I1231" s="50"/>
      <c r="J1231" s="50"/>
    </row>
    <row r="1232" spans="1:10" s="22" customFormat="1" ht="15.5">
      <c r="A1232" s="33"/>
      <c r="B1232" s="87"/>
      <c r="C1232" s="86"/>
      <c r="D1232" s="88" t="s">
        <v>13963</v>
      </c>
      <c r="E1232" s="84"/>
      <c r="F1232" s="49"/>
      <c r="H1232" s="49"/>
      <c r="I1232" s="49"/>
      <c r="J1232" s="49"/>
    </row>
    <row r="1233" spans="1:10" s="22" customFormat="1" ht="15.5">
      <c r="A1233" s="33"/>
      <c r="B1233" s="50"/>
      <c r="C1233" s="83"/>
      <c r="D1233" s="89"/>
      <c r="E1233" s="85"/>
      <c r="F1233" s="50"/>
      <c r="H1233" s="50"/>
      <c r="I1233" s="50"/>
      <c r="J1233" s="50"/>
    </row>
    <row r="1234" spans="1:10" s="22" customFormat="1" ht="15.75" customHeight="1">
      <c r="A1234" s="33"/>
      <c r="B1234" s="49" t="s">
        <v>13962</v>
      </c>
      <c r="C1234" s="82" t="s">
        <v>13961</v>
      </c>
      <c r="D1234" s="82" t="s">
        <v>13960</v>
      </c>
      <c r="E1234" s="84"/>
      <c r="F1234" s="49"/>
      <c r="H1234" s="49"/>
      <c r="I1234" s="49"/>
      <c r="J1234" s="49"/>
    </row>
    <row r="1235" spans="1:10" s="22" customFormat="1" ht="15.5">
      <c r="A1235" s="33"/>
      <c r="B1235" s="87"/>
      <c r="C1235" s="86"/>
      <c r="D1235" s="83"/>
      <c r="E1235" s="85"/>
      <c r="F1235" s="50"/>
      <c r="H1235" s="50"/>
      <c r="I1235" s="50"/>
      <c r="J1235" s="50"/>
    </row>
    <row r="1236" spans="1:10" s="22" customFormat="1" ht="15.5">
      <c r="A1236" s="33"/>
      <c r="B1236" s="87"/>
      <c r="C1236" s="86"/>
      <c r="D1236" s="49" t="s">
        <v>13959</v>
      </c>
      <c r="E1236" s="84"/>
      <c r="F1236" s="49"/>
      <c r="H1236" s="49"/>
      <c r="I1236" s="49"/>
      <c r="J1236" s="49"/>
    </row>
    <row r="1237" spans="1:10" s="22" customFormat="1" ht="15.5">
      <c r="A1237" s="33"/>
      <c r="B1237" s="87"/>
      <c r="C1237" s="86"/>
      <c r="D1237" s="50"/>
      <c r="E1237" s="85"/>
      <c r="F1237" s="50"/>
      <c r="H1237" s="50"/>
      <c r="I1237" s="50"/>
      <c r="J1237" s="50"/>
    </row>
    <row r="1238" spans="1:10" s="22" customFormat="1" ht="15.5" customHeight="1">
      <c r="A1238" s="33"/>
      <c r="B1238" s="87"/>
      <c r="C1238" s="86"/>
      <c r="D1238" s="82" t="s">
        <v>13958</v>
      </c>
      <c r="E1238" s="84"/>
      <c r="F1238" s="49"/>
      <c r="H1238" s="49"/>
      <c r="I1238" s="49"/>
      <c r="J1238" s="49"/>
    </row>
    <row r="1239" spans="1:10" s="22" customFormat="1" ht="15.5">
      <c r="A1239" s="33"/>
      <c r="B1239" s="87"/>
      <c r="C1239" s="86"/>
      <c r="D1239" s="83"/>
      <c r="E1239" s="85"/>
      <c r="F1239" s="50"/>
      <c r="H1239" s="50"/>
      <c r="I1239" s="50"/>
      <c r="J1239" s="50"/>
    </row>
    <row r="1240" spans="1:10" s="22" customFormat="1" ht="15.5" customHeight="1">
      <c r="A1240" s="33"/>
      <c r="B1240" s="87"/>
      <c r="C1240" s="86"/>
      <c r="D1240" s="82" t="s">
        <v>13957</v>
      </c>
      <c r="E1240" s="84"/>
      <c r="F1240" s="49"/>
      <c r="H1240" s="49"/>
      <c r="I1240" s="49"/>
      <c r="J1240" s="49"/>
    </row>
    <row r="1241" spans="1:10" s="22" customFormat="1" ht="15.5">
      <c r="A1241" s="33"/>
      <c r="B1241" s="87"/>
      <c r="C1241" s="86"/>
      <c r="D1241" s="83"/>
      <c r="E1241" s="85"/>
      <c r="F1241" s="50"/>
      <c r="H1241" s="50"/>
      <c r="I1241" s="50"/>
      <c r="J1241" s="50"/>
    </row>
    <row r="1242" spans="1:10" s="22" customFormat="1" ht="15.75" customHeight="1">
      <c r="A1242" s="33"/>
      <c r="B1242" s="87"/>
      <c r="C1242" s="86"/>
      <c r="D1242" s="82" t="s">
        <v>13956</v>
      </c>
      <c r="E1242" s="84"/>
      <c r="F1242" s="49"/>
      <c r="H1242" s="49"/>
      <c r="I1242" s="49"/>
      <c r="J1242" s="49"/>
    </row>
    <row r="1243" spans="1:10" s="22" customFormat="1" ht="15.5">
      <c r="A1243" s="33"/>
      <c r="B1243" s="87"/>
      <c r="C1243" s="83"/>
      <c r="D1243" s="83"/>
      <c r="E1243" s="85"/>
      <c r="F1243" s="50"/>
      <c r="H1243" s="50"/>
      <c r="I1243" s="50"/>
      <c r="J1243" s="50"/>
    </row>
    <row r="1244" spans="1:10" s="22" customFormat="1" ht="15" customHeight="1">
      <c r="A1244" s="33"/>
      <c r="B1244" s="87"/>
      <c r="C1244" s="82" t="s">
        <v>13955</v>
      </c>
      <c r="D1244" s="49" t="s">
        <v>13954</v>
      </c>
      <c r="E1244" s="84"/>
      <c r="F1244" s="49"/>
      <c r="H1244" s="49"/>
      <c r="I1244" s="49"/>
      <c r="J1244" s="49"/>
    </row>
    <row r="1245" spans="1:10" s="22" customFormat="1" ht="15" customHeight="1">
      <c r="A1245" s="33"/>
      <c r="B1245" s="87"/>
      <c r="C1245" s="86"/>
      <c r="D1245" s="50"/>
      <c r="E1245" s="85"/>
      <c r="F1245" s="50"/>
      <c r="H1245" s="50"/>
      <c r="I1245" s="50"/>
      <c r="J1245" s="50"/>
    </row>
    <row r="1246" spans="1:10" s="22" customFormat="1" ht="15.5" customHeight="1">
      <c r="A1246" s="33"/>
      <c r="B1246" s="87"/>
      <c r="C1246" s="86"/>
      <c r="D1246" s="82" t="s">
        <v>13953</v>
      </c>
      <c r="E1246" s="84"/>
      <c r="F1246" s="49"/>
      <c r="H1246" s="49"/>
      <c r="I1246" s="49"/>
      <c r="J1246" s="49"/>
    </row>
    <row r="1247" spans="1:10" s="22" customFormat="1" ht="15.5">
      <c r="A1247" s="33"/>
      <c r="B1247" s="87"/>
      <c r="C1247" s="86"/>
      <c r="D1247" s="83"/>
      <c r="E1247" s="85"/>
      <c r="F1247" s="50"/>
      <c r="H1247" s="50"/>
      <c r="I1247" s="50"/>
      <c r="J1247" s="50"/>
    </row>
    <row r="1248" spans="1:10" s="22" customFormat="1" ht="15.5" customHeight="1">
      <c r="A1248" s="33"/>
      <c r="B1248" s="87"/>
      <c r="C1248" s="86"/>
      <c r="D1248" s="82" t="s">
        <v>13952</v>
      </c>
      <c r="E1248" s="84"/>
      <c r="F1248" s="49"/>
      <c r="H1248" s="49"/>
      <c r="I1248" s="49"/>
      <c r="J1248" s="49"/>
    </row>
    <row r="1249" spans="1:10" s="22" customFormat="1" ht="15.5">
      <c r="A1249" s="33"/>
      <c r="B1249" s="87"/>
      <c r="C1249" s="86"/>
      <c r="D1249" s="83"/>
      <c r="E1249" s="85"/>
      <c r="F1249" s="50"/>
      <c r="H1249" s="50"/>
      <c r="I1249" s="50"/>
      <c r="J1249" s="50"/>
    </row>
    <row r="1250" spans="1:10" s="22" customFormat="1" ht="15.5">
      <c r="A1250" s="33"/>
      <c r="B1250" s="87"/>
      <c r="C1250" s="86"/>
      <c r="D1250" s="82" t="s">
        <v>13951</v>
      </c>
      <c r="E1250" s="84"/>
      <c r="F1250" s="49"/>
      <c r="H1250" s="49"/>
      <c r="I1250" s="49"/>
      <c r="J1250" s="49"/>
    </row>
    <row r="1251" spans="1:10" s="22" customFormat="1" ht="15.5">
      <c r="A1251" s="33"/>
      <c r="B1251" s="87"/>
      <c r="C1251" s="86"/>
      <c r="D1251" s="83"/>
      <c r="E1251" s="85"/>
      <c r="F1251" s="50"/>
      <c r="H1251" s="50"/>
      <c r="I1251" s="50"/>
      <c r="J1251" s="50"/>
    </row>
    <row r="1252" spans="1:10" s="22" customFormat="1" ht="15.5">
      <c r="A1252" s="33"/>
      <c r="B1252" s="87"/>
      <c r="C1252" s="86"/>
      <c r="D1252" s="49" t="s">
        <v>13950</v>
      </c>
      <c r="E1252" s="84"/>
      <c r="F1252" s="49"/>
      <c r="H1252" s="49"/>
      <c r="I1252" s="49"/>
      <c r="J1252" s="49"/>
    </row>
    <row r="1253" spans="1:10" s="22" customFormat="1" ht="15.5">
      <c r="A1253" s="33"/>
      <c r="B1253" s="87"/>
      <c r="C1253" s="83"/>
      <c r="D1253" s="50"/>
      <c r="E1253" s="85"/>
      <c r="F1253" s="50"/>
      <c r="H1253" s="50"/>
      <c r="I1253" s="50"/>
      <c r="J1253" s="50"/>
    </row>
    <row r="1254" spans="1:10" s="22" customFormat="1" ht="15.75" customHeight="1">
      <c r="A1254" s="33"/>
      <c r="B1254" s="87"/>
      <c r="C1254" s="82" t="s">
        <v>13949</v>
      </c>
      <c r="D1254" s="82" t="s">
        <v>13948</v>
      </c>
      <c r="E1254" s="84"/>
      <c r="F1254" s="49"/>
      <c r="H1254" s="49"/>
      <c r="I1254" s="49"/>
      <c r="J1254" s="49"/>
    </row>
    <row r="1255" spans="1:10" s="22" customFormat="1" ht="15.5">
      <c r="A1255" s="33"/>
      <c r="B1255" s="87"/>
      <c r="C1255" s="86"/>
      <c r="D1255" s="83"/>
      <c r="E1255" s="85"/>
      <c r="F1255" s="50"/>
      <c r="H1255" s="50"/>
      <c r="I1255" s="50"/>
      <c r="J1255" s="50"/>
    </row>
    <row r="1256" spans="1:10" s="22" customFormat="1" ht="15.5">
      <c r="A1256" s="33"/>
      <c r="B1256" s="87"/>
      <c r="C1256" s="86"/>
      <c r="D1256" s="82" t="s">
        <v>13947</v>
      </c>
      <c r="E1256" s="84"/>
      <c r="F1256" s="49"/>
      <c r="H1256" s="49"/>
      <c r="I1256" s="49"/>
      <c r="J1256" s="49"/>
    </row>
    <row r="1257" spans="1:10" s="22" customFormat="1" ht="15.5">
      <c r="A1257" s="33"/>
      <c r="B1257" s="87"/>
      <c r="C1257" s="86"/>
      <c r="D1257" s="83"/>
      <c r="E1257" s="85"/>
      <c r="F1257" s="50"/>
      <c r="H1257" s="50"/>
      <c r="I1257" s="50"/>
      <c r="J1257" s="50"/>
    </row>
    <row r="1258" spans="1:10" s="22" customFormat="1" ht="15.5" customHeight="1">
      <c r="A1258" s="33"/>
      <c r="B1258" s="87"/>
      <c r="C1258" s="86"/>
      <c r="D1258" s="82" t="s">
        <v>13946</v>
      </c>
      <c r="E1258" s="84"/>
      <c r="F1258" s="49"/>
      <c r="H1258" s="49"/>
      <c r="I1258" s="49"/>
      <c r="J1258" s="49"/>
    </row>
    <row r="1259" spans="1:10" s="22" customFormat="1" ht="15.5">
      <c r="A1259" s="33"/>
      <c r="B1259" s="87"/>
      <c r="C1259" s="86"/>
      <c r="D1259" s="83"/>
      <c r="E1259" s="85"/>
      <c r="F1259" s="50"/>
      <c r="H1259" s="50"/>
      <c r="I1259" s="50"/>
      <c r="J1259" s="50"/>
    </row>
    <row r="1260" spans="1:10" s="22" customFormat="1" ht="15.5">
      <c r="A1260" s="33"/>
      <c r="B1260" s="87"/>
      <c r="C1260" s="86"/>
      <c r="D1260" s="49" t="s">
        <v>13945</v>
      </c>
      <c r="E1260" s="84"/>
      <c r="F1260" s="49"/>
      <c r="H1260" s="49"/>
      <c r="I1260" s="49"/>
      <c r="J1260" s="49"/>
    </row>
    <row r="1261" spans="1:10" s="22" customFormat="1" ht="15.5">
      <c r="A1261" s="33"/>
      <c r="B1261" s="87"/>
      <c r="C1261" s="86"/>
      <c r="D1261" s="50"/>
      <c r="E1261" s="85"/>
      <c r="F1261" s="50"/>
      <c r="H1261" s="50"/>
      <c r="I1261" s="50"/>
      <c r="J1261" s="50"/>
    </row>
    <row r="1262" spans="1:10" s="22" customFormat="1" ht="15.5">
      <c r="A1262" s="33"/>
      <c r="B1262" s="87"/>
      <c r="C1262" s="86"/>
      <c r="D1262" s="49" t="s">
        <v>13944</v>
      </c>
      <c r="E1262" s="84"/>
      <c r="F1262" s="49"/>
      <c r="H1262" s="49"/>
      <c r="I1262" s="49"/>
      <c r="J1262" s="49"/>
    </row>
    <row r="1263" spans="1:10" s="22" customFormat="1" ht="15.5">
      <c r="A1263" s="33"/>
      <c r="B1263" s="87"/>
      <c r="C1263" s="83"/>
      <c r="D1263" s="50"/>
      <c r="E1263" s="85"/>
      <c r="F1263" s="50"/>
      <c r="H1263" s="50"/>
      <c r="I1263" s="50"/>
      <c r="J1263" s="50"/>
    </row>
    <row r="1264" spans="1:10" s="22" customFormat="1" ht="15.75" customHeight="1">
      <c r="A1264" s="33"/>
      <c r="B1264" s="87"/>
      <c r="C1264" s="82" t="s">
        <v>13943</v>
      </c>
      <c r="D1264" s="82" t="s">
        <v>13942</v>
      </c>
      <c r="E1264" s="84"/>
      <c r="F1264" s="49"/>
      <c r="H1264" s="49"/>
      <c r="I1264" s="49"/>
      <c r="J1264" s="49"/>
    </row>
    <row r="1265" spans="1:10" s="22" customFormat="1" ht="15.5">
      <c r="A1265" s="33"/>
      <c r="B1265" s="87"/>
      <c r="C1265" s="86"/>
      <c r="D1265" s="83"/>
      <c r="E1265" s="85"/>
      <c r="F1265" s="50"/>
      <c r="H1265" s="50"/>
      <c r="I1265" s="50"/>
      <c r="J1265" s="50"/>
    </row>
    <row r="1266" spans="1:10" s="22" customFormat="1" ht="15.5">
      <c r="A1266" s="33"/>
      <c r="B1266" s="87"/>
      <c r="C1266" s="86"/>
      <c r="D1266" s="49" t="s">
        <v>13941</v>
      </c>
      <c r="E1266" s="84"/>
      <c r="F1266" s="49"/>
      <c r="H1266" s="49"/>
      <c r="I1266" s="49"/>
      <c r="J1266" s="49"/>
    </row>
    <row r="1267" spans="1:10" s="22" customFormat="1" ht="15.5">
      <c r="A1267" s="33"/>
      <c r="B1267" s="87"/>
      <c r="C1267" s="86"/>
      <c r="D1267" s="50"/>
      <c r="E1267" s="85"/>
      <c r="F1267" s="50"/>
      <c r="H1267" s="50"/>
      <c r="I1267" s="50"/>
      <c r="J1267" s="50"/>
    </row>
    <row r="1268" spans="1:10" s="22" customFormat="1" ht="15.5" customHeight="1">
      <c r="A1268" s="33"/>
      <c r="B1268" s="87"/>
      <c r="C1268" s="86"/>
      <c r="D1268" s="82" t="s">
        <v>13940</v>
      </c>
      <c r="E1268" s="84"/>
      <c r="F1268" s="49"/>
      <c r="H1268" s="49"/>
      <c r="I1268" s="49"/>
      <c r="J1268" s="49"/>
    </row>
    <row r="1269" spans="1:10" s="22" customFormat="1" ht="15.5">
      <c r="A1269" s="33"/>
      <c r="B1269" s="87"/>
      <c r="C1269" s="86"/>
      <c r="D1269" s="83"/>
      <c r="E1269" s="85"/>
      <c r="F1269" s="50"/>
      <c r="H1269" s="50"/>
      <c r="I1269" s="50"/>
      <c r="J1269" s="50"/>
    </row>
    <row r="1270" spans="1:10" s="22" customFormat="1" ht="15.5" customHeight="1">
      <c r="A1270" s="33"/>
      <c r="B1270" s="87"/>
      <c r="C1270" s="86"/>
      <c r="D1270" s="82" t="s">
        <v>13939</v>
      </c>
      <c r="E1270" s="84"/>
      <c r="F1270" s="49"/>
      <c r="H1270" s="49"/>
      <c r="I1270" s="49"/>
      <c r="J1270" s="49"/>
    </row>
    <row r="1271" spans="1:10" s="22" customFormat="1" ht="15.5">
      <c r="A1271" s="33"/>
      <c r="B1271" s="87"/>
      <c r="C1271" s="86"/>
      <c r="D1271" s="83"/>
      <c r="E1271" s="85"/>
      <c r="F1271" s="50"/>
      <c r="H1271" s="50"/>
      <c r="I1271" s="50"/>
      <c r="J1271" s="50"/>
    </row>
    <row r="1272" spans="1:10" s="22" customFormat="1" ht="15.5">
      <c r="A1272" s="33"/>
      <c r="B1272" s="87"/>
      <c r="C1272" s="86"/>
      <c r="D1272" s="82" t="s">
        <v>13938</v>
      </c>
      <c r="E1272" s="84"/>
      <c r="F1272" s="49"/>
      <c r="H1272" s="49"/>
      <c r="I1272" s="49"/>
      <c r="J1272" s="49"/>
    </row>
    <row r="1273" spans="1:10" s="22" customFormat="1" ht="15.5">
      <c r="A1273" s="33"/>
      <c r="B1273" s="87"/>
      <c r="C1273" s="83"/>
      <c r="D1273" s="83"/>
      <c r="E1273" s="85"/>
      <c r="F1273" s="50"/>
      <c r="H1273" s="50"/>
      <c r="I1273" s="50"/>
      <c r="J1273" s="50"/>
    </row>
    <row r="1274" spans="1:10" s="22" customFormat="1" ht="15.75" customHeight="1">
      <c r="A1274" s="33"/>
      <c r="B1274" s="87"/>
      <c r="C1274" s="82" t="s">
        <v>13937</v>
      </c>
      <c r="D1274" s="49" t="s">
        <v>13936</v>
      </c>
      <c r="E1274" s="84"/>
      <c r="F1274" s="49"/>
      <c r="H1274" s="49"/>
      <c r="I1274" s="49"/>
      <c r="J1274" s="49"/>
    </row>
    <row r="1275" spans="1:10" s="22" customFormat="1" ht="15.5">
      <c r="A1275" s="33"/>
      <c r="B1275" s="87"/>
      <c r="C1275" s="86"/>
      <c r="D1275" s="50"/>
      <c r="E1275" s="85"/>
      <c r="F1275" s="50"/>
      <c r="H1275" s="50"/>
      <c r="I1275" s="50"/>
      <c r="J1275" s="50"/>
    </row>
    <row r="1276" spans="1:10" s="22" customFormat="1" ht="15.5">
      <c r="A1276" s="33"/>
      <c r="B1276" s="87"/>
      <c r="C1276" s="86"/>
      <c r="D1276" s="49" t="s">
        <v>13935</v>
      </c>
      <c r="E1276" s="84"/>
      <c r="F1276" s="49"/>
      <c r="H1276" s="49"/>
      <c r="I1276" s="49"/>
      <c r="J1276" s="49"/>
    </row>
    <row r="1277" spans="1:10" s="22" customFormat="1" ht="15.5">
      <c r="A1277" s="33"/>
      <c r="B1277" s="87"/>
      <c r="C1277" s="86"/>
      <c r="D1277" s="50"/>
      <c r="E1277" s="85"/>
      <c r="F1277" s="50"/>
      <c r="H1277" s="50"/>
      <c r="I1277" s="50"/>
      <c r="J1277" s="50"/>
    </row>
    <row r="1278" spans="1:10" s="22" customFormat="1" ht="15.5">
      <c r="A1278" s="33"/>
      <c r="B1278" s="87"/>
      <c r="C1278" s="86"/>
      <c r="D1278" s="82" t="s">
        <v>13934</v>
      </c>
      <c r="E1278" s="84"/>
      <c r="F1278" s="49"/>
      <c r="H1278" s="49"/>
      <c r="I1278" s="49"/>
      <c r="J1278" s="49"/>
    </row>
    <row r="1279" spans="1:10" s="22" customFormat="1" ht="15.5">
      <c r="A1279" s="33"/>
      <c r="B1279" s="87"/>
      <c r="C1279" s="86"/>
      <c r="D1279" s="83"/>
      <c r="E1279" s="85"/>
      <c r="F1279" s="50"/>
      <c r="H1279" s="50"/>
      <c r="I1279" s="50"/>
      <c r="J1279" s="50"/>
    </row>
    <row r="1280" spans="1:10" s="22" customFormat="1" ht="15.5" customHeight="1">
      <c r="A1280" s="33"/>
      <c r="B1280" s="87"/>
      <c r="C1280" s="86"/>
      <c r="D1280" s="82" t="s">
        <v>13933</v>
      </c>
      <c r="E1280" s="84"/>
      <c r="F1280" s="49"/>
      <c r="H1280" s="49"/>
      <c r="I1280" s="49"/>
      <c r="J1280" s="49"/>
    </row>
    <row r="1281" spans="1:10" s="22" customFormat="1" ht="15.5">
      <c r="A1281" s="33"/>
      <c r="B1281" s="87"/>
      <c r="C1281" s="86"/>
      <c r="D1281" s="83"/>
      <c r="E1281" s="85"/>
      <c r="F1281" s="50"/>
      <c r="H1281" s="50"/>
      <c r="I1281" s="50"/>
      <c r="J1281" s="50"/>
    </row>
    <row r="1282" spans="1:10" s="22" customFormat="1" ht="15.5" customHeight="1">
      <c r="A1282" s="33"/>
      <c r="B1282" s="87"/>
      <c r="C1282" s="86"/>
      <c r="D1282" s="82" t="s">
        <v>13932</v>
      </c>
      <c r="E1282" s="84"/>
      <c r="F1282" s="49"/>
      <c r="H1282" s="49"/>
      <c r="I1282" s="49"/>
      <c r="J1282" s="49"/>
    </row>
    <row r="1283" spans="1:10" s="22" customFormat="1" ht="15.5">
      <c r="A1283" s="33"/>
      <c r="B1283" s="50"/>
      <c r="C1283" s="83"/>
      <c r="D1283" s="83"/>
      <c r="E1283" s="85"/>
      <c r="F1283" s="50"/>
      <c r="H1283" s="50"/>
      <c r="I1283" s="50"/>
      <c r="J1283" s="50"/>
    </row>
  </sheetData>
  <mergeCells count="3979">
    <mergeCell ref="F967:F968"/>
    <mergeCell ref="F933:F934"/>
    <mergeCell ref="F935:F936"/>
    <mergeCell ref="F937:F938"/>
    <mergeCell ref="F939:F940"/>
    <mergeCell ref="F941:F942"/>
    <mergeCell ref="F943:F944"/>
    <mergeCell ref="F945:F946"/>
    <mergeCell ref="F947:F948"/>
    <mergeCell ref="F983:F984"/>
    <mergeCell ref="F985:F986"/>
    <mergeCell ref="F951:F952"/>
    <mergeCell ref="F953:F954"/>
    <mergeCell ref="F955:F956"/>
    <mergeCell ref="F957:F958"/>
    <mergeCell ref="F959:F960"/>
    <mergeCell ref="F961:F962"/>
    <mergeCell ref="F963:F964"/>
    <mergeCell ref="F965:F966"/>
    <mergeCell ref="I367:I368"/>
    <mergeCell ref="J367:J368"/>
    <mergeCell ref="F987:F988"/>
    <mergeCell ref="F969:F970"/>
    <mergeCell ref="F971:F972"/>
    <mergeCell ref="F973:F974"/>
    <mergeCell ref="F975:F976"/>
    <mergeCell ref="F977:F978"/>
    <mergeCell ref="F979:F980"/>
    <mergeCell ref="F981:F982"/>
    <mergeCell ref="F909:F910"/>
    <mergeCell ref="F911:F912"/>
    <mergeCell ref="F913:F914"/>
    <mergeCell ref="E367:E368"/>
    <mergeCell ref="F367:F368"/>
    <mergeCell ref="H367:H368"/>
    <mergeCell ref="F897:F898"/>
    <mergeCell ref="F899:F900"/>
    <mergeCell ref="F901:F902"/>
    <mergeCell ref="F903:F904"/>
    <mergeCell ref="F905:F906"/>
    <mergeCell ref="F907:F908"/>
    <mergeCell ref="F949:F950"/>
    <mergeCell ref="F915:F916"/>
    <mergeCell ref="F917:F918"/>
    <mergeCell ref="F919:F920"/>
    <mergeCell ref="F921:F922"/>
    <mergeCell ref="F923:F924"/>
    <mergeCell ref="F925:F926"/>
    <mergeCell ref="F927:F928"/>
    <mergeCell ref="F929:F930"/>
    <mergeCell ref="F931:F932"/>
    <mergeCell ref="F887:F888"/>
    <mergeCell ref="F889:F890"/>
    <mergeCell ref="F891:F892"/>
    <mergeCell ref="F893:F894"/>
    <mergeCell ref="F895:F896"/>
    <mergeCell ref="F861:F862"/>
    <mergeCell ref="F863:F864"/>
    <mergeCell ref="F865:F866"/>
    <mergeCell ref="F867:F868"/>
    <mergeCell ref="F869:F870"/>
    <mergeCell ref="F839:F840"/>
    <mergeCell ref="F841:F842"/>
    <mergeCell ref="F879:F880"/>
    <mergeCell ref="F881:F882"/>
    <mergeCell ref="F883:F884"/>
    <mergeCell ref="F885:F886"/>
    <mergeCell ref="F871:F872"/>
    <mergeCell ref="F873:F874"/>
    <mergeCell ref="F875:F876"/>
    <mergeCell ref="F877:F878"/>
    <mergeCell ref="F855:F856"/>
    <mergeCell ref="F857:F858"/>
    <mergeCell ref="F859:F860"/>
    <mergeCell ref="F825:F826"/>
    <mergeCell ref="F827:F828"/>
    <mergeCell ref="F829:F830"/>
    <mergeCell ref="F831:F832"/>
    <mergeCell ref="F833:F834"/>
    <mergeCell ref="F835:F836"/>
    <mergeCell ref="F837:F838"/>
    <mergeCell ref="F843:F844"/>
    <mergeCell ref="F845:F846"/>
    <mergeCell ref="F847:F848"/>
    <mergeCell ref="F849:F850"/>
    <mergeCell ref="F851:F852"/>
    <mergeCell ref="F853:F854"/>
    <mergeCell ref="F815:F816"/>
    <mergeCell ref="F817:F818"/>
    <mergeCell ref="F819:F820"/>
    <mergeCell ref="F821:F822"/>
    <mergeCell ref="F823:F824"/>
    <mergeCell ref="F789:F790"/>
    <mergeCell ref="F791:F792"/>
    <mergeCell ref="F793:F794"/>
    <mergeCell ref="F795:F796"/>
    <mergeCell ref="F797:F798"/>
    <mergeCell ref="F767:F768"/>
    <mergeCell ref="F769:F770"/>
    <mergeCell ref="F807:F808"/>
    <mergeCell ref="F809:F810"/>
    <mergeCell ref="F811:F812"/>
    <mergeCell ref="F813:F814"/>
    <mergeCell ref="F799:F800"/>
    <mergeCell ref="F801:F802"/>
    <mergeCell ref="F803:F804"/>
    <mergeCell ref="F805:F806"/>
    <mergeCell ref="F783:F784"/>
    <mergeCell ref="F785:F786"/>
    <mergeCell ref="F787:F788"/>
    <mergeCell ref="F753:F754"/>
    <mergeCell ref="F755:F756"/>
    <mergeCell ref="F757:F758"/>
    <mergeCell ref="F759:F760"/>
    <mergeCell ref="F761:F762"/>
    <mergeCell ref="F763:F764"/>
    <mergeCell ref="F765:F766"/>
    <mergeCell ref="F771:F772"/>
    <mergeCell ref="F773:F774"/>
    <mergeCell ref="F775:F776"/>
    <mergeCell ref="F777:F778"/>
    <mergeCell ref="F779:F780"/>
    <mergeCell ref="F781:F782"/>
    <mergeCell ref="F743:F744"/>
    <mergeCell ref="F745:F746"/>
    <mergeCell ref="F747:F748"/>
    <mergeCell ref="F749:F750"/>
    <mergeCell ref="F751:F752"/>
    <mergeCell ref="F717:F718"/>
    <mergeCell ref="F719:F720"/>
    <mergeCell ref="F721:F722"/>
    <mergeCell ref="F723:F724"/>
    <mergeCell ref="F725:F726"/>
    <mergeCell ref="F695:F696"/>
    <mergeCell ref="F697:F698"/>
    <mergeCell ref="F735:F736"/>
    <mergeCell ref="F737:F738"/>
    <mergeCell ref="F739:F740"/>
    <mergeCell ref="F741:F742"/>
    <mergeCell ref="F727:F728"/>
    <mergeCell ref="F729:F730"/>
    <mergeCell ref="F731:F732"/>
    <mergeCell ref="F733:F734"/>
    <mergeCell ref="F711:F712"/>
    <mergeCell ref="F713:F714"/>
    <mergeCell ref="F715:F716"/>
    <mergeCell ref="F681:F682"/>
    <mergeCell ref="F683:F684"/>
    <mergeCell ref="F685:F686"/>
    <mergeCell ref="F687:F688"/>
    <mergeCell ref="F689:F690"/>
    <mergeCell ref="F691:F692"/>
    <mergeCell ref="F693:F694"/>
    <mergeCell ref="F699:F700"/>
    <mergeCell ref="F701:F702"/>
    <mergeCell ref="F703:F704"/>
    <mergeCell ref="F705:F706"/>
    <mergeCell ref="F707:F708"/>
    <mergeCell ref="F709:F710"/>
    <mergeCell ref="F671:F672"/>
    <mergeCell ref="F673:F674"/>
    <mergeCell ref="F675:F676"/>
    <mergeCell ref="F677:F678"/>
    <mergeCell ref="F679:F680"/>
    <mergeCell ref="F645:F646"/>
    <mergeCell ref="F647:F648"/>
    <mergeCell ref="F649:F650"/>
    <mergeCell ref="F651:F652"/>
    <mergeCell ref="F653:F654"/>
    <mergeCell ref="F623:F624"/>
    <mergeCell ref="F625:F626"/>
    <mergeCell ref="F663:F664"/>
    <mergeCell ref="F665:F666"/>
    <mergeCell ref="F667:F668"/>
    <mergeCell ref="F669:F670"/>
    <mergeCell ref="F655:F656"/>
    <mergeCell ref="F657:F658"/>
    <mergeCell ref="F659:F660"/>
    <mergeCell ref="F661:F662"/>
    <mergeCell ref="F639:F640"/>
    <mergeCell ref="F641:F642"/>
    <mergeCell ref="F643:F644"/>
    <mergeCell ref="F609:F610"/>
    <mergeCell ref="F611:F612"/>
    <mergeCell ref="F613:F614"/>
    <mergeCell ref="F615:F616"/>
    <mergeCell ref="F617:F618"/>
    <mergeCell ref="F619:F620"/>
    <mergeCell ref="F621:F622"/>
    <mergeCell ref="F627:F628"/>
    <mergeCell ref="F629:F630"/>
    <mergeCell ref="F631:F632"/>
    <mergeCell ref="F633:F634"/>
    <mergeCell ref="F635:F636"/>
    <mergeCell ref="F637:F638"/>
    <mergeCell ref="F599:F600"/>
    <mergeCell ref="F601:F602"/>
    <mergeCell ref="F603:F604"/>
    <mergeCell ref="F605:F606"/>
    <mergeCell ref="F607:F608"/>
    <mergeCell ref="F573:F574"/>
    <mergeCell ref="F575:F576"/>
    <mergeCell ref="F577:F578"/>
    <mergeCell ref="F579:F580"/>
    <mergeCell ref="F581:F582"/>
    <mergeCell ref="F551:F552"/>
    <mergeCell ref="F553:F554"/>
    <mergeCell ref="F591:F592"/>
    <mergeCell ref="F593:F594"/>
    <mergeCell ref="F595:F596"/>
    <mergeCell ref="F597:F598"/>
    <mergeCell ref="F583:F584"/>
    <mergeCell ref="F585:F586"/>
    <mergeCell ref="F587:F588"/>
    <mergeCell ref="F589:F590"/>
    <mergeCell ref="F567:F568"/>
    <mergeCell ref="F569:F570"/>
    <mergeCell ref="F571:F572"/>
    <mergeCell ref="F537:F538"/>
    <mergeCell ref="F539:F540"/>
    <mergeCell ref="F541:F542"/>
    <mergeCell ref="F543:F544"/>
    <mergeCell ref="F545:F546"/>
    <mergeCell ref="F547:F548"/>
    <mergeCell ref="F549:F550"/>
    <mergeCell ref="E907:E908"/>
    <mergeCell ref="E909:E910"/>
    <mergeCell ref="E911:E912"/>
    <mergeCell ref="E913:E914"/>
    <mergeCell ref="F555:F556"/>
    <mergeCell ref="F557:F558"/>
    <mergeCell ref="F559:F560"/>
    <mergeCell ref="F561:F562"/>
    <mergeCell ref="F563:F564"/>
    <mergeCell ref="F565:F566"/>
    <mergeCell ref="E985:E986"/>
    <mergeCell ref="E987:E988"/>
    <mergeCell ref="E989:E990"/>
    <mergeCell ref="E921:E922"/>
    <mergeCell ref="E923:E924"/>
    <mergeCell ref="E925:E926"/>
    <mergeCell ref="E927:E928"/>
    <mergeCell ref="E929:E930"/>
    <mergeCell ref="E931:E932"/>
    <mergeCell ref="E933:E934"/>
    <mergeCell ref="F535:F536"/>
    <mergeCell ref="E975:E976"/>
    <mergeCell ref="E977:E978"/>
    <mergeCell ref="E979:E980"/>
    <mergeCell ref="E981:E982"/>
    <mergeCell ref="E983:E984"/>
    <mergeCell ref="E935:E936"/>
    <mergeCell ref="E937:E938"/>
    <mergeCell ref="E903:E904"/>
    <mergeCell ref="E905:E906"/>
    <mergeCell ref="E953:E954"/>
    <mergeCell ref="E955:E956"/>
    <mergeCell ref="F519:F520"/>
    <mergeCell ref="F521:F522"/>
    <mergeCell ref="F523:F524"/>
    <mergeCell ref="F525:F526"/>
    <mergeCell ref="F527:F528"/>
    <mergeCell ref="F529:F530"/>
    <mergeCell ref="F531:F532"/>
    <mergeCell ref="F533:F534"/>
    <mergeCell ref="E969:E970"/>
    <mergeCell ref="E971:E972"/>
    <mergeCell ref="E973:E974"/>
    <mergeCell ref="E939:E940"/>
    <mergeCell ref="E941:E942"/>
    <mergeCell ref="E943:E944"/>
    <mergeCell ref="E945:E946"/>
    <mergeCell ref="E947:E948"/>
    <mergeCell ref="E949:E950"/>
    <mergeCell ref="E951:E952"/>
    <mergeCell ref="E879:E880"/>
    <mergeCell ref="E881:E882"/>
    <mergeCell ref="E883:E884"/>
    <mergeCell ref="E991:E992"/>
    <mergeCell ref="E957:E958"/>
    <mergeCell ref="E959:E960"/>
    <mergeCell ref="E961:E962"/>
    <mergeCell ref="E963:E964"/>
    <mergeCell ref="E965:E966"/>
    <mergeCell ref="E967:E968"/>
    <mergeCell ref="E895:E896"/>
    <mergeCell ref="E897:E898"/>
    <mergeCell ref="E899:E900"/>
    <mergeCell ref="E901:E902"/>
    <mergeCell ref="E867:E868"/>
    <mergeCell ref="E869:E870"/>
    <mergeCell ref="E871:E872"/>
    <mergeCell ref="E873:E874"/>
    <mergeCell ref="E875:E876"/>
    <mergeCell ref="E877:E878"/>
    <mergeCell ref="E845:E846"/>
    <mergeCell ref="E847:E848"/>
    <mergeCell ref="E915:E916"/>
    <mergeCell ref="E917:E918"/>
    <mergeCell ref="E919:E920"/>
    <mergeCell ref="E885:E886"/>
    <mergeCell ref="E887:E888"/>
    <mergeCell ref="E889:E890"/>
    <mergeCell ref="E891:E892"/>
    <mergeCell ref="E893:E894"/>
    <mergeCell ref="E861:E862"/>
    <mergeCell ref="E863:E864"/>
    <mergeCell ref="E865:E866"/>
    <mergeCell ref="E831:E832"/>
    <mergeCell ref="E833:E834"/>
    <mergeCell ref="E835:E836"/>
    <mergeCell ref="E837:E838"/>
    <mergeCell ref="E839:E840"/>
    <mergeCell ref="E841:E842"/>
    <mergeCell ref="E843:E844"/>
    <mergeCell ref="E849:E850"/>
    <mergeCell ref="E851:E852"/>
    <mergeCell ref="E853:E854"/>
    <mergeCell ref="E855:E856"/>
    <mergeCell ref="E857:E858"/>
    <mergeCell ref="E859:E860"/>
    <mergeCell ref="E821:E822"/>
    <mergeCell ref="E823:E824"/>
    <mergeCell ref="E825:E826"/>
    <mergeCell ref="E827:E828"/>
    <mergeCell ref="E829:E830"/>
    <mergeCell ref="E795:E796"/>
    <mergeCell ref="E797:E798"/>
    <mergeCell ref="E799:E800"/>
    <mergeCell ref="E801:E802"/>
    <mergeCell ref="E803:E804"/>
    <mergeCell ref="E773:E774"/>
    <mergeCell ref="E775:E776"/>
    <mergeCell ref="E813:E814"/>
    <mergeCell ref="E815:E816"/>
    <mergeCell ref="E817:E818"/>
    <mergeCell ref="E819:E820"/>
    <mergeCell ref="E805:E806"/>
    <mergeCell ref="E807:E808"/>
    <mergeCell ref="E809:E810"/>
    <mergeCell ref="E811:E812"/>
    <mergeCell ref="E789:E790"/>
    <mergeCell ref="E791:E792"/>
    <mergeCell ref="E793:E794"/>
    <mergeCell ref="E759:E760"/>
    <mergeCell ref="E761:E762"/>
    <mergeCell ref="E763:E764"/>
    <mergeCell ref="E765:E766"/>
    <mergeCell ref="E767:E768"/>
    <mergeCell ref="E769:E770"/>
    <mergeCell ref="E771:E772"/>
    <mergeCell ref="E777:E778"/>
    <mergeCell ref="E779:E780"/>
    <mergeCell ref="E781:E782"/>
    <mergeCell ref="E783:E784"/>
    <mergeCell ref="E785:E786"/>
    <mergeCell ref="E787:E788"/>
    <mergeCell ref="E749:E750"/>
    <mergeCell ref="E751:E752"/>
    <mergeCell ref="E753:E754"/>
    <mergeCell ref="E755:E756"/>
    <mergeCell ref="E757:E758"/>
    <mergeCell ref="E723:E724"/>
    <mergeCell ref="E725:E726"/>
    <mergeCell ref="E727:E728"/>
    <mergeCell ref="E729:E730"/>
    <mergeCell ref="E731:E732"/>
    <mergeCell ref="E701:E702"/>
    <mergeCell ref="E703:E704"/>
    <mergeCell ref="E741:E742"/>
    <mergeCell ref="E743:E744"/>
    <mergeCell ref="E745:E746"/>
    <mergeCell ref="E747:E748"/>
    <mergeCell ref="E733:E734"/>
    <mergeCell ref="E735:E736"/>
    <mergeCell ref="E737:E738"/>
    <mergeCell ref="E739:E740"/>
    <mergeCell ref="E717:E718"/>
    <mergeCell ref="E719:E720"/>
    <mergeCell ref="E721:E722"/>
    <mergeCell ref="E687:E688"/>
    <mergeCell ref="E689:E690"/>
    <mergeCell ref="E691:E692"/>
    <mergeCell ref="E693:E694"/>
    <mergeCell ref="E695:E696"/>
    <mergeCell ref="E697:E698"/>
    <mergeCell ref="E699:E700"/>
    <mergeCell ref="E705:E706"/>
    <mergeCell ref="E707:E708"/>
    <mergeCell ref="E709:E710"/>
    <mergeCell ref="E711:E712"/>
    <mergeCell ref="E713:E714"/>
    <mergeCell ref="E715:E716"/>
    <mergeCell ref="E681:E682"/>
    <mergeCell ref="E683:E684"/>
    <mergeCell ref="E685:E686"/>
    <mergeCell ref="E651:E652"/>
    <mergeCell ref="E653:E654"/>
    <mergeCell ref="E655:E656"/>
    <mergeCell ref="E657:E658"/>
    <mergeCell ref="E659:E660"/>
    <mergeCell ref="E661:E662"/>
    <mergeCell ref="E663:E664"/>
    <mergeCell ref="E623:E624"/>
    <mergeCell ref="E625:E626"/>
    <mergeCell ref="E627:E628"/>
    <mergeCell ref="E629:E630"/>
    <mergeCell ref="E669:E670"/>
    <mergeCell ref="E671:E672"/>
    <mergeCell ref="E665:E666"/>
    <mergeCell ref="E667:E668"/>
    <mergeCell ref="E611:E612"/>
    <mergeCell ref="E613:E614"/>
    <mergeCell ref="E615:E616"/>
    <mergeCell ref="E617:E618"/>
    <mergeCell ref="E619:E620"/>
    <mergeCell ref="E621:E622"/>
    <mergeCell ref="D989:D990"/>
    <mergeCell ref="D991:D992"/>
    <mergeCell ref="C983:C992"/>
    <mergeCell ref="E597:E598"/>
    <mergeCell ref="E599:E600"/>
    <mergeCell ref="E601:E602"/>
    <mergeCell ref="E603:E604"/>
    <mergeCell ref="E605:E606"/>
    <mergeCell ref="E607:E608"/>
    <mergeCell ref="E609:E610"/>
    <mergeCell ref="E645:E646"/>
    <mergeCell ref="E647:E648"/>
    <mergeCell ref="E649:E650"/>
    <mergeCell ref="D983:D984"/>
    <mergeCell ref="D985:D986"/>
    <mergeCell ref="D987:D988"/>
    <mergeCell ref="E673:E674"/>
    <mergeCell ref="E675:E676"/>
    <mergeCell ref="E677:E678"/>
    <mergeCell ref="E679:E680"/>
    <mergeCell ref="E633:E634"/>
    <mergeCell ref="E635:E636"/>
    <mergeCell ref="E637:E638"/>
    <mergeCell ref="E639:E640"/>
    <mergeCell ref="E641:E642"/>
    <mergeCell ref="E643:E644"/>
    <mergeCell ref="D947:D948"/>
    <mergeCell ref="D949:D950"/>
    <mergeCell ref="D951:D952"/>
    <mergeCell ref="C943:C952"/>
    <mergeCell ref="D923:D924"/>
    <mergeCell ref="D925:D926"/>
    <mergeCell ref="D927:D928"/>
    <mergeCell ref="D929:D930"/>
    <mergeCell ref="D961:D962"/>
    <mergeCell ref="C953:C962"/>
    <mergeCell ref="D963:D964"/>
    <mergeCell ref="D965:D966"/>
    <mergeCell ref="D967:D968"/>
    <mergeCell ref="D939:D940"/>
    <mergeCell ref="D941:D942"/>
    <mergeCell ref="C933:C942"/>
    <mergeCell ref="D943:D944"/>
    <mergeCell ref="D945:D946"/>
    <mergeCell ref="C963:C972"/>
    <mergeCell ref="D973:D974"/>
    <mergeCell ref="D975:D976"/>
    <mergeCell ref="D977:D978"/>
    <mergeCell ref="D979:D980"/>
    <mergeCell ref="D981:D982"/>
    <mergeCell ref="C973:C982"/>
    <mergeCell ref="D903:D904"/>
    <mergeCell ref="D905:D906"/>
    <mergeCell ref="D907:D908"/>
    <mergeCell ref="E631:E632"/>
    <mergeCell ref="D969:D970"/>
    <mergeCell ref="D971:D972"/>
    <mergeCell ref="D953:D954"/>
    <mergeCell ref="D955:D956"/>
    <mergeCell ref="D957:D958"/>
    <mergeCell ref="D959:D960"/>
    <mergeCell ref="D917:D918"/>
    <mergeCell ref="D919:D920"/>
    <mergeCell ref="D921:D922"/>
    <mergeCell ref="C913:C922"/>
    <mergeCell ref="D893:D894"/>
    <mergeCell ref="D895:D896"/>
    <mergeCell ref="D897:D898"/>
    <mergeCell ref="D899:D900"/>
    <mergeCell ref="D901:D902"/>
    <mergeCell ref="C893:C902"/>
    <mergeCell ref="D931:D932"/>
    <mergeCell ref="C923:C932"/>
    <mergeCell ref="D933:D934"/>
    <mergeCell ref="D935:D936"/>
    <mergeCell ref="D937:D938"/>
    <mergeCell ref="D909:D910"/>
    <mergeCell ref="D911:D912"/>
    <mergeCell ref="C903:C912"/>
    <mergeCell ref="D913:D914"/>
    <mergeCell ref="D915:D916"/>
    <mergeCell ref="D889:D890"/>
    <mergeCell ref="D891:D892"/>
    <mergeCell ref="C883:C892"/>
    <mergeCell ref="D863:D864"/>
    <mergeCell ref="D865:D866"/>
    <mergeCell ref="D867:D868"/>
    <mergeCell ref="D869:D870"/>
    <mergeCell ref="D871:D872"/>
    <mergeCell ref="C863:C872"/>
    <mergeCell ref="D873:D874"/>
    <mergeCell ref="D879:D880"/>
    <mergeCell ref="D881:D882"/>
    <mergeCell ref="C873:C882"/>
    <mergeCell ref="D883:D884"/>
    <mergeCell ref="D885:D886"/>
    <mergeCell ref="D887:D888"/>
    <mergeCell ref="D875:D876"/>
    <mergeCell ref="D877:D878"/>
    <mergeCell ref="D859:D860"/>
    <mergeCell ref="D861:D862"/>
    <mergeCell ref="C853:C862"/>
    <mergeCell ref="D833:D834"/>
    <mergeCell ref="C833:C842"/>
    <mergeCell ref="D835:D836"/>
    <mergeCell ref="D837:D838"/>
    <mergeCell ref="D839:D840"/>
    <mergeCell ref="D841:D842"/>
    <mergeCell ref="D843:D844"/>
    <mergeCell ref="D849:D850"/>
    <mergeCell ref="D851:D852"/>
    <mergeCell ref="C843:C852"/>
    <mergeCell ref="D853:D854"/>
    <mergeCell ref="D855:D856"/>
    <mergeCell ref="D857:D858"/>
    <mergeCell ref="D845:D846"/>
    <mergeCell ref="D847:D848"/>
    <mergeCell ref="D829:D830"/>
    <mergeCell ref="D831:D832"/>
    <mergeCell ref="C823:C832"/>
    <mergeCell ref="D803:D804"/>
    <mergeCell ref="D805:D806"/>
    <mergeCell ref="D807:D808"/>
    <mergeCell ref="D809:D810"/>
    <mergeCell ref="D811:D812"/>
    <mergeCell ref="C803:C812"/>
    <mergeCell ref="D813:D814"/>
    <mergeCell ref="D819:D820"/>
    <mergeCell ref="D821:D822"/>
    <mergeCell ref="C813:C822"/>
    <mergeCell ref="D823:D824"/>
    <mergeCell ref="D825:D826"/>
    <mergeCell ref="D827:D828"/>
    <mergeCell ref="D815:D816"/>
    <mergeCell ref="D817:D818"/>
    <mergeCell ref="D799:D800"/>
    <mergeCell ref="D801:D802"/>
    <mergeCell ref="C793:C802"/>
    <mergeCell ref="D773:D774"/>
    <mergeCell ref="D775:D776"/>
    <mergeCell ref="D777:D778"/>
    <mergeCell ref="D779:D780"/>
    <mergeCell ref="D781:D782"/>
    <mergeCell ref="C773:C782"/>
    <mergeCell ref="D783:D784"/>
    <mergeCell ref="D789:D790"/>
    <mergeCell ref="D791:D792"/>
    <mergeCell ref="C783:C792"/>
    <mergeCell ref="D793:D794"/>
    <mergeCell ref="D795:D796"/>
    <mergeCell ref="D797:D798"/>
    <mergeCell ref="D785:D786"/>
    <mergeCell ref="D787:D788"/>
    <mergeCell ref="D771:D772"/>
    <mergeCell ref="D741:D742"/>
    <mergeCell ref="C733:C742"/>
    <mergeCell ref="D743:D744"/>
    <mergeCell ref="D745:D746"/>
    <mergeCell ref="D747:D748"/>
    <mergeCell ref="D749:D750"/>
    <mergeCell ref="D751:D752"/>
    <mergeCell ref="C743:C752"/>
    <mergeCell ref="D753:D754"/>
    <mergeCell ref="D755:D756"/>
    <mergeCell ref="D757:D758"/>
    <mergeCell ref="D759:D760"/>
    <mergeCell ref="D761:D762"/>
    <mergeCell ref="C753:C762"/>
    <mergeCell ref="C763:C772"/>
    <mergeCell ref="D763:D764"/>
    <mergeCell ref="D765:D766"/>
    <mergeCell ref="D767:D768"/>
    <mergeCell ref="D769:D770"/>
    <mergeCell ref="D735:D736"/>
    <mergeCell ref="D737:D738"/>
    <mergeCell ref="D739:D740"/>
    <mergeCell ref="D711:D712"/>
    <mergeCell ref="C703:C712"/>
    <mergeCell ref="D713:D714"/>
    <mergeCell ref="D715:D716"/>
    <mergeCell ref="D717:D718"/>
    <mergeCell ref="D719:D720"/>
    <mergeCell ref="D721:D722"/>
    <mergeCell ref="D725:D726"/>
    <mergeCell ref="D727:D728"/>
    <mergeCell ref="D729:D730"/>
    <mergeCell ref="D731:D732"/>
    <mergeCell ref="C723:C732"/>
    <mergeCell ref="D733:D734"/>
    <mergeCell ref="D723:D724"/>
    <mergeCell ref="D705:D706"/>
    <mergeCell ref="D707:D708"/>
    <mergeCell ref="D709:D710"/>
    <mergeCell ref="D681:D682"/>
    <mergeCell ref="C673:C682"/>
    <mergeCell ref="D683:D684"/>
    <mergeCell ref="D685:D686"/>
    <mergeCell ref="D687:D688"/>
    <mergeCell ref="D689:D690"/>
    <mergeCell ref="D691:D692"/>
    <mergeCell ref="D695:D696"/>
    <mergeCell ref="D697:D698"/>
    <mergeCell ref="D699:D700"/>
    <mergeCell ref="D701:D702"/>
    <mergeCell ref="C693:C702"/>
    <mergeCell ref="D703:D704"/>
    <mergeCell ref="D693:D694"/>
    <mergeCell ref="D675:D676"/>
    <mergeCell ref="D677:D678"/>
    <mergeCell ref="D679:D680"/>
    <mergeCell ref="D651:D652"/>
    <mergeCell ref="C643:C652"/>
    <mergeCell ref="D653:D654"/>
    <mergeCell ref="D655:D656"/>
    <mergeCell ref="D657:D658"/>
    <mergeCell ref="D659:D660"/>
    <mergeCell ref="D661:D662"/>
    <mergeCell ref="D665:D666"/>
    <mergeCell ref="D667:D668"/>
    <mergeCell ref="D669:D670"/>
    <mergeCell ref="D671:D672"/>
    <mergeCell ref="C663:C672"/>
    <mergeCell ref="D673:D674"/>
    <mergeCell ref="D663:D664"/>
    <mergeCell ref="C593:C602"/>
    <mergeCell ref="D573:D574"/>
    <mergeCell ref="D575:D576"/>
    <mergeCell ref="D577:D578"/>
    <mergeCell ref="D579:D580"/>
    <mergeCell ref="D581:D582"/>
    <mergeCell ref="D583:D584"/>
    <mergeCell ref="D585:D586"/>
    <mergeCell ref="D587:D588"/>
    <mergeCell ref="D589:D590"/>
    <mergeCell ref="D647:D648"/>
    <mergeCell ref="D649:D650"/>
    <mergeCell ref="D633:D634"/>
    <mergeCell ref="D513:D514"/>
    <mergeCell ref="D515:D516"/>
    <mergeCell ref="D517:D518"/>
    <mergeCell ref="D519:D520"/>
    <mergeCell ref="D637:D638"/>
    <mergeCell ref="D639:D640"/>
    <mergeCell ref="D641:D642"/>
    <mergeCell ref="C633:C642"/>
    <mergeCell ref="D643:D644"/>
    <mergeCell ref="D645:D646"/>
    <mergeCell ref="D475:D476"/>
    <mergeCell ref="D477:D478"/>
    <mergeCell ref="D479:D480"/>
    <mergeCell ref="D481:D482"/>
    <mergeCell ref="C473:C482"/>
    <mergeCell ref="D635:D636"/>
    <mergeCell ref="D493:D494"/>
    <mergeCell ref="D495:D496"/>
    <mergeCell ref="D497:D498"/>
    <mergeCell ref="D499:D500"/>
    <mergeCell ref="D491:D492"/>
    <mergeCell ref="C483:C492"/>
    <mergeCell ref="D509:D510"/>
    <mergeCell ref="D511:D512"/>
    <mergeCell ref="C503:C512"/>
    <mergeCell ref="C493:C502"/>
    <mergeCell ref="D501:D502"/>
    <mergeCell ref="D503:D504"/>
    <mergeCell ref="D505:D506"/>
    <mergeCell ref="D507:D508"/>
    <mergeCell ref="D451:D452"/>
    <mergeCell ref="C443:C452"/>
    <mergeCell ref="D483:D484"/>
    <mergeCell ref="D485:D486"/>
    <mergeCell ref="D487:D488"/>
    <mergeCell ref="D489:D490"/>
    <mergeCell ref="D469:D470"/>
    <mergeCell ref="D471:D472"/>
    <mergeCell ref="C463:C472"/>
    <mergeCell ref="D473:D474"/>
    <mergeCell ref="D463:D464"/>
    <mergeCell ref="D465:D466"/>
    <mergeCell ref="D467:D468"/>
    <mergeCell ref="D439:D440"/>
    <mergeCell ref="D441:D442"/>
    <mergeCell ref="C433:C442"/>
    <mergeCell ref="D443:D444"/>
    <mergeCell ref="D445:D446"/>
    <mergeCell ref="D447:D448"/>
    <mergeCell ref="D449:D450"/>
    <mergeCell ref="D453:D454"/>
    <mergeCell ref="D455:D456"/>
    <mergeCell ref="D457:D458"/>
    <mergeCell ref="D459:D460"/>
    <mergeCell ref="D461:D462"/>
    <mergeCell ref="C453:C462"/>
    <mergeCell ref="D431:D432"/>
    <mergeCell ref="C423:C432"/>
    <mergeCell ref="D433:D434"/>
    <mergeCell ref="D435:D436"/>
    <mergeCell ref="D437:D438"/>
    <mergeCell ref="D409:D410"/>
    <mergeCell ref="D411:D412"/>
    <mergeCell ref="C403:C412"/>
    <mergeCell ref="D413:D414"/>
    <mergeCell ref="D415:D416"/>
    <mergeCell ref="D391:D392"/>
    <mergeCell ref="C383:C392"/>
    <mergeCell ref="D423:D424"/>
    <mergeCell ref="D425:D426"/>
    <mergeCell ref="D427:D428"/>
    <mergeCell ref="D429:D430"/>
    <mergeCell ref="D417:D418"/>
    <mergeCell ref="D419:D420"/>
    <mergeCell ref="D421:D422"/>
    <mergeCell ref="C413:C422"/>
    <mergeCell ref="D403:D404"/>
    <mergeCell ref="D405:D406"/>
    <mergeCell ref="D407:D408"/>
    <mergeCell ref="D379:D380"/>
    <mergeCell ref="D381:D382"/>
    <mergeCell ref="C373:C382"/>
    <mergeCell ref="D383:D384"/>
    <mergeCell ref="D385:D386"/>
    <mergeCell ref="D387:D388"/>
    <mergeCell ref="D389:D390"/>
    <mergeCell ref="D393:D394"/>
    <mergeCell ref="D395:D396"/>
    <mergeCell ref="D397:D398"/>
    <mergeCell ref="D399:D400"/>
    <mergeCell ref="D401:D402"/>
    <mergeCell ref="C393:C402"/>
    <mergeCell ref="D373:D374"/>
    <mergeCell ref="D375:D376"/>
    <mergeCell ref="D377:D378"/>
    <mergeCell ref="D367:D368"/>
    <mergeCell ref="D348:D349"/>
    <mergeCell ref="D350:D351"/>
    <mergeCell ref="D352:D353"/>
    <mergeCell ref="D354:D355"/>
    <mergeCell ref="D356:D357"/>
    <mergeCell ref="D358:D359"/>
    <mergeCell ref="D330:D331"/>
    <mergeCell ref="C322:C331"/>
    <mergeCell ref="D362:D363"/>
    <mergeCell ref="D364:D365"/>
    <mergeCell ref="D369:D370"/>
    <mergeCell ref="D371:D372"/>
    <mergeCell ref="C362:C372"/>
    <mergeCell ref="C342:C351"/>
    <mergeCell ref="D360:D361"/>
    <mergeCell ref="C352:C361"/>
    <mergeCell ref="D342:D343"/>
    <mergeCell ref="D344:D345"/>
    <mergeCell ref="D346:D347"/>
    <mergeCell ref="D318:D319"/>
    <mergeCell ref="D320:D321"/>
    <mergeCell ref="C312:C321"/>
    <mergeCell ref="D322:D323"/>
    <mergeCell ref="D324:D325"/>
    <mergeCell ref="D326:D327"/>
    <mergeCell ref="D328:D329"/>
    <mergeCell ref="D332:D333"/>
    <mergeCell ref="D334:D335"/>
    <mergeCell ref="D336:D337"/>
    <mergeCell ref="D338:D339"/>
    <mergeCell ref="D340:D341"/>
    <mergeCell ref="C332:C341"/>
    <mergeCell ref="D310:D311"/>
    <mergeCell ref="C302:C311"/>
    <mergeCell ref="D312:D313"/>
    <mergeCell ref="D314:D315"/>
    <mergeCell ref="D316:D317"/>
    <mergeCell ref="D288:D289"/>
    <mergeCell ref="D290:D291"/>
    <mergeCell ref="C282:C291"/>
    <mergeCell ref="D292:D293"/>
    <mergeCell ref="D294:D295"/>
    <mergeCell ref="D270:D271"/>
    <mergeCell ref="C262:C271"/>
    <mergeCell ref="D302:D303"/>
    <mergeCell ref="D304:D305"/>
    <mergeCell ref="D306:D307"/>
    <mergeCell ref="D308:D309"/>
    <mergeCell ref="D296:D297"/>
    <mergeCell ref="D298:D299"/>
    <mergeCell ref="D300:D301"/>
    <mergeCell ref="C292:C301"/>
    <mergeCell ref="D282:D283"/>
    <mergeCell ref="D284:D285"/>
    <mergeCell ref="D286:D287"/>
    <mergeCell ref="D258:D259"/>
    <mergeCell ref="D260:D261"/>
    <mergeCell ref="C252:C261"/>
    <mergeCell ref="D262:D263"/>
    <mergeCell ref="D264:D265"/>
    <mergeCell ref="D266:D267"/>
    <mergeCell ref="D268:D269"/>
    <mergeCell ref="D272:D273"/>
    <mergeCell ref="D274:D275"/>
    <mergeCell ref="D276:D277"/>
    <mergeCell ref="D278:D279"/>
    <mergeCell ref="D280:D281"/>
    <mergeCell ref="C272:C281"/>
    <mergeCell ref="D256:D257"/>
    <mergeCell ref="D228:D229"/>
    <mergeCell ref="D230:D231"/>
    <mergeCell ref="C222:C231"/>
    <mergeCell ref="D232:D233"/>
    <mergeCell ref="D234:D235"/>
    <mergeCell ref="D236:D237"/>
    <mergeCell ref="D238:D239"/>
    <mergeCell ref="D240:D241"/>
    <mergeCell ref="C232:C241"/>
    <mergeCell ref="D244:D245"/>
    <mergeCell ref="D246:D247"/>
    <mergeCell ref="D248:D249"/>
    <mergeCell ref="C242:C251"/>
    <mergeCell ref="D252:D253"/>
    <mergeCell ref="D254:D255"/>
    <mergeCell ref="D204:D205"/>
    <mergeCell ref="D206:D207"/>
    <mergeCell ref="D208:D209"/>
    <mergeCell ref="C202:C211"/>
    <mergeCell ref="D210:D211"/>
    <mergeCell ref="D242:D243"/>
    <mergeCell ref="D218:D219"/>
    <mergeCell ref="D220:D221"/>
    <mergeCell ref="C212:C221"/>
    <mergeCell ref="D222:D223"/>
    <mergeCell ref="D224:D225"/>
    <mergeCell ref="D226:D227"/>
    <mergeCell ref="D178:D179"/>
    <mergeCell ref="D180:D181"/>
    <mergeCell ref="C172:C181"/>
    <mergeCell ref="D212:D213"/>
    <mergeCell ref="D214:D215"/>
    <mergeCell ref="D216:D217"/>
    <mergeCell ref="D198:D199"/>
    <mergeCell ref="D200:D201"/>
    <mergeCell ref="C192:C201"/>
    <mergeCell ref="D202:D203"/>
    <mergeCell ref="D192:D193"/>
    <mergeCell ref="D194:D195"/>
    <mergeCell ref="D196:D197"/>
    <mergeCell ref="D166:D167"/>
    <mergeCell ref="D168:D169"/>
    <mergeCell ref="C162:C171"/>
    <mergeCell ref="D170:D171"/>
    <mergeCell ref="D172:D173"/>
    <mergeCell ref="D174:D175"/>
    <mergeCell ref="D176:D177"/>
    <mergeCell ref="D182:D183"/>
    <mergeCell ref="D184:D185"/>
    <mergeCell ref="D186:D187"/>
    <mergeCell ref="D188:D189"/>
    <mergeCell ref="D190:D191"/>
    <mergeCell ref="C182:C191"/>
    <mergeCell ref="D114:D115"/>
    <mergeCell ref="D116:D117"/>
    <mergeCell ref="D118:D119"/>
    <mergeCell ref="C102:C111"/>
    <mergeCell ref="C112:C121"/>
    <mergeCell ref="C142:C151"/>
    <mergeCell ref="D142:D143"/>
    <mergeCell ref="D148:D149"/>
    <mergeCell ref="D102:D103"/>
    <mergeCell ref="D104:D105"/>
    <mergeCell ref="D106:D107"/>
    <mergeCell ref="D108:D109"/>
    <mergeCell ref="D110:D111"/>
    <mergeCell ref="D112:D113"/>
    <mergeCell ref="E276:E277"/>
    <mergeCell ref="E278:E279"/>
    <mergeCell ref="D120:D121"/>
    <mergeCell ref="D122:D123"/>
    <mergeCell ref="D124:D125"/>
    <mergeCell ref="D126:D127"/>
    <mergeCell ref="D128:D129"/>
    <mergeCell ref="D130:D131"/>
    <mergeCell ref="D162:D163"/>
    <mergeCell ref="D164:D165"/>
    <mergeCell ref="E292:E293"/>
    <mergeCell ref="E294:E295"/>
    <mergeCell ref="E296:E297"/>
    <mergeCell ref="E262:E263"/>
    <mergeCell ref="E264:E265"/>
    <mergeCell ref="E266:E267"/>
    <mergeCell ref="E268:E269"/>
    <mergeCell ref="E270:E271"/>
    <mergeCell ref="E272:E273"/>
    <mergeCell ref="E274:E275"/>
    <mergeCell ref="E280:E281"/>
    <mergeCell ref="E282:E283"/>
    <mergeCell ref="E284:E285"/>
    <mergeCell ref="E286:E287"/>
    <mergeCell ref="E288:E289"/>
    <mergeCell ref="E290:E291"/>
    <mergeCell ref="E298:E299"/>
    <mergeCell ref="E300:E301"/>
    <mergeCell ref="E302:E303"/>
    <mergeCell ref="E304:E305"/>
    <mergeCell ref="E306:E307"/>
    <mergeCell ref="E308:E309"/>
    <mergeCell ref="E254:E255"/>
    <mergeCell ref="E256:E257"/>
    <mergeCell ref="E258:E259"/>
    <mergeCell ref="E260:E261"/>
    <mergeCell ref="E226:E227"/>
    <mergeCell ref="E228:E229"/>
    <mergeCell ref="E230:E231"/>
    <mergeCell ref="E232:E233"/>
    <mergeCell ref="E234:E235"/>
    <mergeCell ref="E236:E237"/>
    <mergeCell ref="E206:E207"/>
    <mergeCell ref="E244:E245"/>
    <mergeCell ref="E246:E247"/>
    <mergeCell ref="E248:E249"/>
    <mergeCell ref="E250:E251"/>
    <mergeCell ref="E252:E253"/>
    <mergeCell ref="E238:E239"/>
    <mergeCell ref="E240:E241"/>
    <mergeCell ref="E242:E243"/>
    <mergeCell ref="E222:E223"/>
    <mergeCell ref="E224:E225"/>
    <mergeCell ref="E190:E191"/>
    <mergeCell ref="E192:E193"/>
    <mergeCell ref="E194:E195"/>
    <mergeCell ref="E196:E197"/>
    <mergeCell ref="E198:E199"/>
    <mergeCell ref="E200:E201"/>
    <mergeCell ref="E202:E203"/>
    <mergeCell ref="E204:E205"/>
    <mergeCell ref="E210:E211"/>
    <mergeCell ref="E212:E213"/>
    <mergeCell ref="E214:E215"/>
    <mergeCell ref="E216:E217"/>
    <mergeCell ref="E218:E219"/>
    <mergeCell ref="E220:E221"/>
    <mergeCell ref="E182:E183"/>
    <mergeCell ref="E184:E185"/>
    <mergeCell ref="E186:E187"/>
    <mergeCell ref="E188:E189"/>
    <mergeCell ref="C623:C632"/>
    <mergeCell ref="E324:E325"/>
    <mergeCell ref="E326:E327"/>
    <mergeCell ref="E328:E329"/>
    <mergeCell ref="E330:E331"/>
    <mergeCell ref="E208:E209"/>
    <mergeCell ref="E168:E169"/>
    <mergeCell ref="E172:E173"/>
    <mergeCell ref="E174:E175"/>
    <mergeCell ref="E176:E177"/>
    <mergeCell ref="E178:E179"/>
    <mergeCell ref="E180:E181"/>
    <mergeCell ref="F78:F79"/>
    <mergeCell ref="F80:F81"/>
    <mergeCell ref="E130:E131"/>
    <mergeCell ref="E162:E163"/>
    <mergeCell ref="E164:E165"/>
    <mergeCell ref="E166:E167"/>
    <mergeCell ref="F46:F47"/>
    <mergeCell ref="F48:F49"/>
    <mergeCell ref="F50:F51"/>
    <mergeCell ref="F72:F73"/>
    <mergeCell ref="F74:F75"/>
    <mergeCell ref="F76:F77"/>
    <mergeCell ref="E124:E125"/>
    <mergeCell ref="E126:E127"/>
    <mergeCell ref="E128:E129"/>
    <mergeCell ref="E76:E77"/>
    <mergeCell ref="E78:E79"/>
    <mergeCell ref="E80:E81"/>
    <mergeCell ref="E82:E83"/>
    <mergeCell ref="E84:E85"/>
    <mergeCell ref="E86:E87"/>
    <mergeCell ref="E88:E89"/>
    <mergeCell ref="E112:E113"/>
    <mergeCell ref="E114:E115"/>
    <mergeCell ref="E116:E117"/>
    <mergeCell ref="E118:E119"/>
    <mergeCell ref="E120:E121"/>
    <mergeCell ref="E122:E123"/>
    <mergeCell ref="F2:F3"/>
    <mergeCell ref="E4:E5"/>
    <mergeCell ref="E6:E7"/>
    <mergeCell ref="E8:E9"/>
    <mergeCell ref="E10:E11"/>
    <mergeCell ref="E12:E13"/>
    <mergeCell ref="E46:E47"/>
    <mergeCell ref="E48:E49"/>
    <mergeCell ref="E50:E51"/>
    <mergeCell ref="E72:E73"/>
    <mergeCell ref="E74:E75"/>
    <mergeCell ref="E2:E3"/>
    <mergeCell ref="E14:E15"/>
    <mergeCell ref="E34:E35"/>
    <mergeCell ref="E36:E37"/>
    <mergeCell ref="E38:E39"/>
    <mergeCell ref="E40:E41"/>
    <mergeCell ref="E42:E43"/>
    <mergeCell ref="E44:E45"/>
    <mergeCell ref="F16:F17"/>
    <mergeCell ref="F18:F19"/>
    <mergeCell ref="F20:F21"/>
    <mergeCell ref="F22:F23"/>
    <mergeCell ref="F24:F25"/>
    <mergeCell ref="E26:E27"/>
    <mergeCell ref="F4:F5"/>
    <mergeCell ref="F6:F7"/>
    <mergeCell ref="F8:F9"/>
    <mergeCell ref="F10:F11"/>
    <mergeCell ref="F12:F13"/>
    <mergeCell ref="F14:F15"/>
    <mergeCell ref="E106:E107"/>
    <mergeCell ref="E170:E171"/>
    <mergeCell ref="E16:E17"/>
    <mergeCell ref="E18:E19"/>
    <mergeCell ref="E20:E21"/>
    <mergeCell ref="E22:E23"/>
    <mergeCell ref="E24:E25"/>
    <mergeCell ref="E28:E29"/>
    <mergeCell ref="E30:E31"/>
    <mergeCell ref="E32:E33"/>
    <mergeCell ref="F108:F109"/>
    <mergeCell ref="F110:F111"/>
    <mergeCell ref="E90:E91"/>
    <mergeCell ref="E92:E93"/>
    <mergeCell ref="E94:E95"/>
    <mergeCell ref="E96:E97"/>
    <mergeCell ref="E98:E99"/>
    <mergeCell ref="E100:E101"/>
    <mergeCell ref="E102:E103"/>
    <mergeCell ref="E104:E105"/>
    <mergeCell ref="E108:E109"/>
    <mergeCell ref="E110:E111"/>
    <mergeCell ref="F90:F91"/>
    <mergeCell ref="F92:F93"/>
    <mergeCell ref="F94:F95"/>
    <mergeCell ref="F96:F97"/>
    <mergeCell ref="F98:F99"/>
    <mergeCell ref="F100:F101"/>
    <mergeCell ref="F102:F103"/>
    <mergeCell ref="F104:F105"/>
    <mergeCell ref="F208:F209"/>
    <mergeCell ref="F210:F211"/>
    <mergeCell ref="F212:F213"/>
    <mergeCell ref="F214:F215"/>
    <mergeCell ref="F216:F217"/>
    <mergeCell ref="F82:F83"/>
    <mergeCell ref="F84:F85"/>
    <mergeCell ref="F86:F87"/>
    <mergeCell ref="F88:F89"/>
    <mergeCell ref="F106:F107"/>
    <mergeCell ref="F196:F197"/>
    <mergeCell ref="F198:F199"/>
    <mergeCell ref="F200:F201"/>
    <mergeCell ref="F202:F203"/>
    <mergeCell ref="F204:F205"/>
    <mergeCell ref="F206:F207"/>
    <mergeCell ref="F38:F39"/>
    <mergeCell ref="F40:F41"/>
    <mergeCell ref="F42:F43"/>
    <mergeCell ref="E310:E311"/>
    <mergeCell ref="E312:E313"/>
    <mergeCell ref="E314:E315"/>
    <mergeCell ref="F188:F189"/>
    <mergeCell ref="F190:F191"/>
    <mergeCell ref="F192:F193"/>
    <mergeCell ref="F194:F195"/>
    <mergeCell ref="F26:F27"/>
    <mergeCell ref="F28:F29"/>
    <mergeCell ref="F30:F31"/>
    <mergeCell ref="F32:F33"/>
    <mergeCell ref="F34:F35"/>
    <mergeCell ref="F36:F37"/>
    <mergeCell ref="E356:E357"/>
    <mergeCell ref="E358:E359"/>
    <mergeCell ref="E360:E361"/>
    <mergeCell ref="E362:E363"/>
    <mergeCell ref="E364:E365"/>
    <mergeCell ref="F44:F45"/>
    <mergeCell ref="E316:E317"/>
    <mergeCell ref="E318:E319"/>
    <mergeCell ref="E320:E321"/>
    <mergeCell ref="E322:E323"/>
    <mergeCell ref="E344:E345"/>
    <mergeCell ref="E346:E347"/>
    <mergeCell ref="E348:E349"/>
    <mergeCell ref="E350:E351"/>
    <mergeCell ref="E352:E353"/>
    <mergeCell ref="E354:E355"/>
    <mergeCell ref="E393:E394"/>
    <mergeCell ref="E395:E396"/>
    <mergeCell ref="E397:E398"/>
    <mergeCell ref="E399:E400"/>
    <mergeCell ref="E332:E333"/>
    <mergeCell ref="E334:E335"/>
    <mergeCell ref="E336:E337"/>
    <mergeCell ref="E338:E339"/>
    <mergeCell ref="E340:E341"/>
    <mergeCell ref="E342:E343"/>
    <mergeCell ref="E381:E382"/>
    <mergeCell ref="E383:E384"/>
    <mergeCell ref="E385:E386"/>
    <mergeCell ref="E387:E388"/>
    <mergeCell ref="E389:E390"/>
    <mergeCell ref="E391:E392"/>
    <mergeCell ref="E369:E370"/>
    <mergeCell ref="E371:E372"/>
    <mergeCell ref="E373:E374"/>
    <mergeCell ref="E375:E376"/>
    <mergeCell ref="E377:E378"/>
    <mergeCell ref="E379:E380"/>
    <mergeCell ref="E459:E460"/>
    <mergeCell ref="E461:E462"/>
    <mergeCell ref="E463:E464"/>
    <mergeCell ref="E465:E466"/>
    <mergeCell ref="E467:E468"/>
    <mergeCell ref="E431:E432"/>
    <mergeCell ref="E433:E434"/>
    <mergeCell ref="E499:E500"/>
    <mergeCell ref="E501:E502"/>
    <mergeCell ref="E435:E436"/>
    <mergeCell ref="E437:E438"/>
    <mergeCell ref="E439:E440"/>
    <mergeCell ref="E441:E442"/>
    <mergeCell ref="E443:E444"/>
    <mergeCell ref="E445:E446"/>
    <mergeCell ref="E447:E448"/>
    <mergeCell ref="E449:E450"/>
    <mergeCell ref="E423:E424"/>
    <mergeCell ref="E425:E426"/>
    <mergeCell ref="E427:E428"/>
    <mergeCell ref="E429:E430"/>
    <mergeCell ref="E495:E496"/>
    <mergeCell ref="E497:E498"/>
    <mergeCell ref="E451:E452"/>
    <mergeCell ref="E453:E454"/>
    <mergeCell ref="E455:E456"/>
    <mergeCell ref="E457:E458"/>
    <mergeCell ref="E411:E412"/>
    <mergeCell ref="E413:E414"/>
    <mergeCell ref="E415:E416"/>
    <mergeCell ref="E417:E418"/>
    <mergeCell ref="E419:E420"/>
    <mergeCell ref="E421:E422"/>
    <mergeCell ref="E481:E482"/>
    <mergeCell ref="E483:E484"/>
    <mergeCell ref="E485:E486"/>
    <mergeCell ref="E487:E488"/>
    <mergeCell ref="E489:E490"/>
    <mergeCell ref="E401:E402"/>
    <mergeCell ref="E403:E404"/>
    <mergeCell ref="E405:E406"/>
    <mergeCell ref="E407:E408"/>
    <mergeCell ref="E409:E410"/>
    <mergeCell ref="E469:E470"/>
    <mergeCell ref="E471:E472"/>
    <mergeCell ref="E473:E474"/>
    <mergeCell ref="E475:E476"/>
    <mergeCell ref="E477:E478"/>
    <mergeCell ref="E479:E480"/>
    <mergeCell ref="F176:F177"/>
    <mergeCell ref="F178:F179"/>
    <mergeCell ref="F180:F181"/>
    <mergeCell ref="F182:F183"/>
    <mergeCell ref="F184:F185"/>
    <mergeCell ref="F186:F187"/>
    <mergeCell ref="F164:F165"/>
    <mergeCell ref="F166:F167"/>
    <mergeCell ref="F168:F169"/>
    <mergeCell ref="F170:F171"/>
    <mergeCell ref="F172:F173"/>
    <mergeCell ref="F174:F175"/>
    <mergeCell ref="F122:F123"/>
    <mergeCell ref="F124:F125"/>
    <mergeCell ref="F126:F127"/>
    <mergeCell ref="F128:F129"/>
    <mergeCell ref="F130:F131"/>
    <mergeCell ref="F162:F163"/>
    <mergeCell ref="F158:F159"/>
    <mergeCell ref="F152:F153"/>
    <mergeCell ref="F242:F243"/>
    <mergeCell ref="F244:F245"/>
    <mergeCell ref="F246:F247"/>
    <mergeCell ref="F248:F249"/>
    <mergeCell ref="F250:F251"/>
    <mergeCell ref="F112:F113"/>
    <mergeCell ref="F114:F115"/>
    <mergeCell ref="F116:F117"/>
    <mergeCell ref="F118:F119"/>
    <mergeCell ref="F120:F121"/>
    <mergeCell ref="F230:F231"/>
    <mergeCell ref="F232:F233"/>
    <mergeCell ref="F234:F235"/>
    <mergeCell ref="F236:F237"/>
    <mergeCell ref="F238:F239"/>
    <mergeCell ref="F240:F241"/>
    <mergeCell ref="F218:F219"/>
    <mergeCell ref="F220:F221"/>
    <mergeCell ref="F222:F223"/>
    <mergeCell ref="F224:F225"/>
    <mergeCell ref="F226:F227"/>
    <mergeCell ref="F228:F229"/>
    <mergeCell ref="F274:F275"/>
    <mergeCell ref="F276:F277"/>
    <mergeCell ref="F278:F279"/>
    <mergeCell ref="F280:F281"/>
    <mergeCell ref="F282:F283"/>
    <mergeCell ref="F284:F285"/>
    <mergeCell ref="F262:F263"/>
    <mergeCell ref="F264:F265"/>
    <mergeCell ref="F266:F267"/>
    <mergeCell ref="F268:F269"/>
    <mergeCell ref="F270:F271"/>
    <mergeCell ref="F272:F273"/>
    <mergeCell ref="F310:F311"/>
    <mergeCell ref="F312:F313"/>
    <mergeCell ref="F314:F315"/>
    <mergeCell ref="F316:F317"/>
    <mergeCell ref="F318:F319"/>
    <mergeCell ref="F252:F253"/>
    <mergeCell ref="F254:F255"/>
    <mergeCell ref="F256:F257"/>
    <mergeCell ref="F258:F259"/>
    <mergeCell ref="F260:F261"/>
    <mergeCell ref="F298:F299"/>
    <mergeCell ref="F300:F301"/>
    <mergeCell ref="F302:F303"/>
    <mergeCell ref="F304:F305"/>
    <mergeCell ref="F306:F307"/>
    <mergeCell ref="F308:F309"/>
    <mergeCell ref="F346:F347"/>
    <mergeCell ref="F348:F349"/>
    <mergeCell ref="F350:F351"/>
    <mergeCell ref="F352:F353"/>
    <mergeCell ref="F286:F287"/>
    <mergeCell ref="F288:F289"/>
    <mergeCell ref="F290:F291"/>
    <mergeCell ref="F292:F293"/>
    <mergeCell ref="F294:F295"/>
    <mergeCell ref="F296:F297"/>
    <mergeCell ref="F334:F335"/>
    <mergeCell ref="F336:F337"/>
    <mergeCell ref="F338:F339"/>
    <mergeCell ref="F340:F341"/>
    <mergeCell ref="F342:F343"/>
    <mergeCell ref="F344:F345"/>
    <mergeCell ref="F379:F380"/>
    <mergeCell ref="F381:F382"/>
    <mergeCell ref="F383:F384"/>
    <mergeCell ref="F320:F321"/>
    <mergeCell ref="F322:F323"/>
    <mergeCell ref="F324:F325"/>
    <mergeCell ref="F326:F327"/>
    <mergeCell ref="F328:F329"/>
    <mergeCell ref="F330:F331"/>
    <mergeCell ref="F332:F333"/>
    <mergeCell ref="F364:F365"/>
    <mergeCell ref="F369:F370"/>
    <mergeCell ref="F371:F372"/>
    <mergeCell ref="F373:F374"/>
    <mergeCell ref="F375:F376"/>
    <mergeCell ref="F377:F378"/>
    <mergeCell ref="F409:F410"/>
    <mergeCell ref="F411:F412"/>
    <mergeCell ref="F413:F414"/>
    <mergeCell ref="F415:F416"/>
    <mergeCell ref="F417:F418"/>
    <mergeCell ref="F354:F355"/>
    <mergeCell ref="F356:F357"/>
    <mergeCell ref="F358:F359"/>
    <mergeCell ref="F360:F361"/>
    <mergeCell ref="F362:F363"/>
    <mergeCell ref="F397:F398"/>
    <mergeCell ref="F399:F400"/>
    <mergeCell ref="F401:F402"/>
    <mergeCell ref="F403:F404"/>
    <mergeCell ref="F405:F406"/>
    <mergeCell ref="F407:F408"/>
    <mergeCell ref="F385:F386"/>
    <mergeCell ref="F387:F388"/>
    <mergeCell ref="F389:F390"/>
    <mergeCell ref="F391:F392"/>
    <mergeCell ref="F393:F394"/>
    <mergeCell ref="F395:F396"/>
    <mergeCell ref="F507:F508"/>
    <mergeCell ref="F447:F448"/>
    <mergeCell ref="F449:F450"/>
    <mergeCell ref="F451:F452"/>
    <mergeCell ref="F453:F454"/>
    <mergeCell ref="F455:F456"/>
    <mergeCell ref="F459:F460"/>
    <mergeCell ref="F461:F462"/>
    <mergeCell ref="F427:F428"/>
    <mergeCell ref="F429:F430"/>
    <mergeCell ref="F431:F432"/>
    <mergeCell ref="F433:F434"/>
    <mergeCell ref="F435:F436"/>
    <mergeCell ref="F437:F438"/>
    <mergeCell ref="F439:F440"/>
    <mergeCell ref="F441:F442"/>
    <mergeCell ref="F445:F446"/>
    <mergeCell ref="F419:F420"/>
    <mergeCell ref="F421:F422"/>
    <mergeCell ref="F423:F424"/>
    <mergeCell ref="F425:F426"/>
    <mergeCell ref="F457:F458"/>
    <mergeCell ref="F443:F444"/>
    <mergeCell ref="D40:D41"/>
    <mergeCell ref="F499:F500"/>
    <mergeCell ref="F501:F502"/>
    <mergeCell ref="F503:F504"/>
    <mergeCell ref="F505:F506"/>
    <mergeCell ref="F463:F464"/>
    <mergeCell ref="F465:F466"/>
    <mergeCell ref="F467:F468"/>
    <mergeCell ref="F469:F470"/>
    <mergeCell ref="F471:F472"/>
    <mergeCell ref="F515:F516"/>
    <mergeCell ref="F481:F482"/>
    <mergeCell ref="F483:F484"/>
    <mergeCell ref="F485:F486"/>
    <mergeCell ref="F487:F488"/>
    <mergeCell ref="F489:F490"/>
    <mergeCell ref="F491:F492"/>
    <mergeCell ref="F493:F494"/>
    <mergeCell ref="F495:F496"/>
    <mergeCell ref="F497:F498"/>
    <mergeCell ref="D48:D49"/>
    <mergeCell ref="D50:D51"/>
    <mergeCell ref="D60:D61"/>
    <mergeCell ref="F509:F510"/>
    <mergeCell ref="F511:F512"/>
    <mergeCell ref="F513:F514"/>
    <mergeCell ref="F473:F474"/>
    <mergeCell ref="F475:F476"/>
    <mergeCell ref="F477:F478"/>
    <mergeCell ref="F479:F480"/>
    <mergeCell ref="D14:D15"/>
    <mergeCell ref="D16:D17"/>
    <mergeCell ref="C32:C41"/>
    <mergeCell ref="D42:D43"/>
    <mergeCell ref="D44:D45"/>
    <mergeCell ref="D46:D47"/>
    <mergeCell ref="D32:D33"/>
    <mergeCell ref="D34:D35"/>
    <mergeCell ref="D36:D37"/>
    <mergeCell ref="D38:D39"/>
    <mergeCell ref="D28:D29"/>
    <mergeCell ref="D30:D31"/>
    <mergeCell ref="C22:C31"/>
    <mergeCell ref="D2:D3"/>
    <mergeCell ref="D4:D5"/>
    <mergeCell ref="D6:D7"/>
    <mergeCell ref="D8:D9"/>
    <mergeCell ref="D10:D11"/>
    <mergeCell ref="C2:C11"/>
    <mergeCell ref="D12:D13"/>
    <mergeCell ref="C52:C61"/>
    <mergeCell ref="D52:D53"/>
    <mergeCell ref="E52:E53"/>
    <mergeCell ref="D90:D91"/>
    <mergeCell ref="D18:D19"/>
    <mergeCell ref="D20:D21"/>
    <mergeCell ref="C12:C21"/>
    <mergeCell ref="D22:D23"/>
    <mergeCell ref="D24:D25"/>
    <mergeCell ref="D26:D27"/>
    <mergeCell ref="D96:D97"/>
    <mergeCell ref="D74:D75"/>
    <mergeCell ref="D76:D77"/>
    <mergeCell ref="D78:D79"/>
    <mergeCell ref="D80:D81"/>
    <mergeCell ref="D82:D83"/>
    <mergeCell ref="D84:D85"/>
    <mergeCell ref="D86:D87"/>
    <mergeCell ref="D88:D89"/>
    <mergeCell ref="E519:E520"/>
    <mergeCell ref="E491:E492"/>
    <mergeCell ref="E493:E494"/>
    <mergeCell ref="C42:C51"/>
    <mergeCell ref="D72:D73"/>
    <mergeCell ref="D92:D93"/>
    <mergeCell ref="D94:D95"/>
    <mergeCell ref="C92:C101"/>
    <mergeCell ref="D98:D99"/>
    <mergeCell ref="D100:D101"/>
    <mergeCell ref="E539:E540"/>
    <mergeCell ref="E541:E542"/>
    <mergeCell ref="E503:E504"/>
    <mergeCell ref="E505:E506"/>
    <mergeCell ref="E507:E508"/>
    <mergeCell ref="E509:E510"/>
    <mergeCell ref="E511:E512"/>
    <mergeCell ref="E513:E514"/>
    <mergeCell ref="E515:E516"/>
    <mergeCell ref="E517:E518"/>
    <mergeCell ref="E591:E592"/>
    <mergeCell ref="C553:C562"/>
    <mergeCell ref="C563:C572"/>
    <mergeCell ref="C573:C582"/>
    <mergeCell ref="C583:C592"/>
    <mergeCell ref="E521:E522"/>
    <mergeCell ref="E523:E524"/>
    <mergeCell ref="E525:E526"/>
    <mergeCell ref="E527:E528"/>
    <mergeCell ref="E529:E530"/>
    <mergeCell ref="D531:D532"/>
    <mergeCell ref="D533:D534"/>
    <mergeCell ref="D535:D536"/>
    <mergeCell ref="D537:D538"/>
    <mergeCell ref="E587:E588"/>
    <mergeCell ref="E589:E590"/>
    <mergeCell ref="E531:E532"/>
    <mergeCell ref="E533:E534"/>
    <mergeCell ref="E535:E536"/>
    <mergeCell ref="E537:E538"/>
    <mergeCell ref="C533:C542"/>
    <mergeCell ref="D547:D548"/>
    <mergeCell ref="D549:D550"/>
    <mergeCell ref="D551:D552"/>
    <mergeCell ref="C543:C552"/>
    <mergeCell ref="D521:D522"/>
    <mergeCell ref="D523:D524"/>
    <mergeCell ref="D525:D526"/>
    <mergeCell ref="D527:D528"/>
    <mergeCell ref="D529:D530"/>
    <mergeCell ref="D567:D568"/>
    <mergeCell ref="D569:D570"/>
    <mergeCell ref="D571:D572"/>
    <mergeCell ref="E543:E544"/>
    <mergeCell ref="E545:E546"/>
    <mergeCell ref="E547:E548"/>
    <mergeCell ref="E549:E550"/>
    <mergeCell ref="E551:E552"/>
    <mergeCell ref="D539:D540"/>
    <mergeCell ref="D541:D542"/>
    <mergeCell ref="D543:D544"/>
    <mergeCell ref="D545:D546"/>
    <mergeCell ref="D555:D556"/>
    <mergeCell ref="D557:D558"/>
    <mergeCell ref="D615:D616"/>
    <mergeCell ref="D617:D618"/>
    <mergeCell ref="E593:E594"/>
    <mergeCell ref="E595:E596"/>
    <mergeCell ref="E553:E554"/>
    <mergeCell ref="D553:D554"/>
    <mergeCell ref="D559:D560"/>
    <mergeCell ref="D561:D562"/>
    <mergeCell ref="D563:D564"/>
    <mergeCell ref="D565:D566"/>
    <mergeCell ref="D621:D622"/>
    <mergeCell ref="D623:D624"/>
    <mergeCell ref="D591:D592"/>
    <mergeCell ref="D593:D594"/>
    <mergeCell ref="D595:D596"/>
    <mergeCell ref="D597:D598"/>
    <mergeCell ref="D599:D600"/>
    <mergeCell ref="D601:D602"/>
    <mergeCell ref="D603:D604"/>
    <mergeCell ref="D605:D606"/>
    <mergeCell ref="E577:E578"/>
    <mergeCell ref="E579:E580"/>
    <mergeCell ref="E581:E582"/>
    <mergeCell ref="E583:E584"/>
    <mergeCell ref="E585:E586"/>
    <mergeCell ref="D619:D620"/>
    <mergeCell ref="D607:D608"/>
    <mergeCell ref="D609:D610"/>
    <mergeCell ref="D611:D612"/>
    <mergeCell ref="D613:D614"/>
    <mergeCell ref="D629:D630"/>
    <mergeCell ref="D631:D632"/>
    <mergeCell ref="F517:F518"/>
    <mergeCell ref="E555:E556"/>
    <mergeCell ref="E557:E558"/>
    <mergeCell ref="E559:E560"/>
    <mergeCell ref="E561:E562"/>
    <mergeCell ref="E563:E564"/>
    <mergeCell ref="E565:E566"/>
    <mergeCell ref="E567:E568"/>
    <mergeCell ref="J4:J5"/>
    <mergeCell ref="H6:H7"/>
    <mergeCell ref="H8:H9"/>
    <mergeCell ref="H10:H11"/>
    <mergeCell ref="D625:D626"/>
    <mergeCell ref="D627:D628"/>
    <mergeCell ref="E569:E570"/>
    <mergeCell ref="E571:E572"/>
    <mergeCell ref="E573:E574"/>
    <mergeCell ref="E575:E576"/>
    <mergeCell ref="H34:H35"/>
    <mergeCell ref="H36:H37"/>
    <mergeCell ref="H38:H39"/>
    <mergeCell ref="H40:H41"/>
    <mergeCell ref="H42:H43"/>
    <mergeCell ref="H2:H3"/>
    <mergeCell ref="H22:H23"/>
    <mergeCell ref="H24:H25"/>
    <mergeCell ref="H26:H27"/>
    <mergeCell ref="H28:H29"/>
    <mergeCell ref="H30:H31"/>
    <mergeCell ref="H32:H33"/>
    <mergeCell ref="H88:H89"/>
    <mergeCell ref="H90:H91"/>
    <mergeCell ref="H92:H93"/>
    <mergeCell ref="H94:H95"/>
    <mergeCell ref="H96:H97"/>
    <mergeCell ref="H12:H13"/>
    <mergeCell ref="H14:H15"/>
    <mergeCell ref="H16:H17"/>
    <mergeCell ref="H18:H19"/>
    <mergeCell ref="H20:H21"/>
    <mergeCell ref="H76:H77"/>
    <mergeCell ref="H78:H79"/>
    <mergeCell ref="H80:H81"/>
    <mergeCell ref="H82:H83"/>
    <mergeCell ref="H84:H85"/>
    <mergeCell ref="H86:H87"/>
    <mergeCell ref="H44:H45"/>
    <mergeCell ref="H46:H47"/>
    <mergeCell ref="H48:H49"/>
    <mergeCell ref="H50:H51"/>
    <mergeCell ref="H72:H73"/>
    <mergeCell ref="H74:H75"/>
    <mergeCell ref="H120:H121"/>
    <mergeCell ref="H122:H123"/>
    <mergeCell ref="H124:H125"/>
    <mergeCell ref="H126:H127"/>
    <mergeCell ref="H128:H129"/>
    <mergeCell ref="H130:H131"/>
    <mergeCell ref="H108:H109"/>
    <mergeCell ref="H110:H111"/>
    <mergeCell ref="H112:H113"/>
    <mergeCell ref="H114:H115"/>
    <mergeCell ref="H116:H117"/>
    <mergeCell ref="H118:H119"/>
    <mergeCell ref="H186:H187"/>
    <mergeCell ref="H188:H189"/>
    <mergeCell ref="H190:H191"/>
    <mergeCell ref="H192:H193"/>
    <mergeCell ref="H194:H195"/>
    <mergeCell ref="H98:H99"/>
    <mergeCell ref="H100:H101"/>
    <mergeCell ref="H102:H103"/>
    <mergeCell ref="H104:H105"/>
    <mergeCell ref="H106:H107"/>
    <mergeCell ref="H174:H175"/>
    <mergeCell ref="H176:H177"/>
    <mergeCell ref="H178:H179"/>
    <mergeCell ref="H180:H181"/>
    <mergeCell ref="H182:H183"/>
    <mergeCell ref="H184:H185"/>
    <mergeCell ref="H162:H163"/>
    <mergeCell ref="H164:H165"/>
    <mergeCell ref="H166:H167"/>
    <mergeCell ref="H168:H169"/>
    <mergeCell ref="H170:H171"/>
    <mergeCell ref="H172:H173"/>
    <mergeCell ref="H218:H219"/>
    <mergeCell ref="H220:H221"/>
    <mergeCell ref="H222:H223"/>
    <mergeCell ref="H224:H225"/>
    <mergeCell ref="H226:H227"/>
    <mergeCell ref="H228:H229"/>
    <mergeCell ref="H206:H207"/>
    <mergeCell ref="H208:H209"/>
    <mergeCell ref="H210:H211"/>
    <mergeCell ref="H212:H213"/>
    <mergeCell ref="H214:H215"/>
    <mergeCell ref="H216:H217"/>
    <mergeCell ref="H254:H255"/>
    <mergeCell ref="H256:H257"/>
    <mergeCell ref="H258:H259"/>
    <mergeCell ref="H260:H261"/>
    <mergeCell ref="H262:H263"/>
    <mergeCell ref="H196:H197"/>
    <mergeCell ref="H198:H199"/>
    <mergeCell ref="H200:H201"/>
    <mergeCell ref="H202:H203"/>
    <mergeCell ref="H204:H205"/>
    <mergeCell ref="H242:H243"/>
    <mergeCell ref="H244:H245"/>
    <mergeCell ref="H246:H247"/>
    <mergeCell ref="H248:H249"/>
    <mergeCell ref="H250:H251"/>
    <mergeCell ref="H252:H253"/>
    <mergeCell ref="H230:H231"/>
    <mergeCell ref="H232:H233"/>
    <mergeCell ref="H234:H235"/>
    <mergeCell ref="H236:H237"/>
    <mergeCell ref="H238:H239"/>
    <mergeCell ref="H240:H241"/>
    <mergeCell ref="H286:H287"/>
    <mergeCell ref="H288:H289"/>
    <mergeCell ref="H290:H291"/>
    <mergeCell ref="H292:H293"/>
    <mergeCell ref="H294:H295"/>
    <mergeCell ref="H296:H297"/>
    <mergeCell ref="H274:H275"/>
    <mergeCell ref="H276:H277"/>
    <mergeCell ref="H278:H279"/>
    <mergeCell ref="H280:H281"/>
    <mergeCell ref="H282:H283"/>
    <mergeCell ref="H284:H285"/>
    <mergeCell ref="H322:H323"/>
    <mergeCell ref="H324:H325"/>
    <mergeCell ref="H326:H327"/>
    <mergeCell ref="H328:H329"/>
    <mergeCell ref="H330:H331"/>
    <mergeCell ref="H264:H265"/>
    <mergeCell ref="H266:H267"/>
    <mergeCell ref="H268:H269"/>
    <mergeCell ref="H270:H271"/>
    <mergeCell ref="H272:H273"/>
    <mergeCell ref="H310:H311"/>
    <mergeCell ref="H312:H313"/>
    <mergeCell ref="H314:H315"/>
    <mergeCell ref="H316:H317"/>
    <mergeCell ref="H318:H319"/>
    <mergeCell ref="H320:H321"/>
    <mergeCell ref="H298:H299"/>
    <mergeCell ref="H300:H301"/>
    <mergeCell ref="H302:H303"/>
    <mergeCell ref="H304:H305"/>
    <mergeCell ref="H306:H307"/>
    <mergeCell ref="H308:H309"/>
    <mergeCell ref="H354:H355"/>
    <mergeCell ref="H356:H357"/>
    <mergeCell ref="H358:H359"/>
    <mergeCell ref="H360:H361"/>
    <mergeCell ref="H362:H363"/>
    <mergeCell ref="H364:H365"/>
    <mergeCell ref="H342:H343"/>
    <mergeCell ref="H344:H345"/>
    <mergeCell ref="H346:H347"/>
    <mergeCell ref="H348:H349"/>
    <mergeCell ref="H350:H351"/>
    <mergeCell ref="H352:H353"/>
    <mergeCell ref="H391:H392"/>
    <mergeCell ref="H393:H394"/>
    <mergeCell ref="H395:H396"/>
    <mergeCell ref="H397:H398"/>
    <mergeCell ref="H399:H400"/>
    <mergeCell ref="H332:H333"/>
    <mergeCell ref="H334:H335"/>
    <mergeCell ref="H336:H337"/>
    <mergeCell ref="H338:H339"/>
    <mergeCell ref="H340:H341"/>
    <mergeCell ref="H379:H380"/>
    <mergeCell ref="H381:H382"/>
    <mergeCell ref="H383:H384"/>
    <mergeCell ref="H385:H386"/>
    <mergeCell ref="H387:H388"/>
    <mergeCell ref="H389:H390"/>
    <mergeCell ref="H425:H426"/>
    <mergeCell ref="H427:H428"/>
    <mergeCell ref="H429:H430"/>
    <mergeCell ref="H431:H432"/>
    <mergeCell ref="H433:H434"/>
    <mergeCell ref="H369:H370"/>
    <mergeCell ref="H371:H372"/>
    <mergeCell ref="H373:H374"/>
    <mergeCell ref="H375:H376"/>
    <mergeCell ref="H377:H378"/>
    <mergeCell ref="H413:H414"/>
    <mergeCell ref="H415:H416"/>
    <mergeCell ref="H417:H418"/>
    <mergeCell ref="H419:H420"/>
    <mergeCell ref="H421:H422"/>
    <mergeCell ref="H423:H424"/>
    <mergeCell ref="H401:H402"/>
    <mergeCell ref="H403:H404"/>
    <mergeCell ref="H405:H406"/>
    <mergeCell ref="H407:H408"/>
    <mergeCell ref="H409:H410"/>
    <mergeCell ref="H411:H412"/>
    <mergeCell ref="H457:H458"/>
    <mergeCell ref="H459:H460"/>
    <mergeCell ref="H461:H462"/>
    <mergeCell ref="H463:H464"/>
    <mergeCell ref="H465:H466"/>
    <mergeCell ref="H467:H468"/>
    <mergeCell ref="H445:H446"/>
    <mergeCell ref="H447:H448"/>
    <mergeCell ref="H449:H450"/>
    <mergeCell ref="H451:H452"/>
    <mergeCell ref="H453:H454"/>
    <mergeCell ref="H455:H456"/>
    <mergeCell ref="H493:H494"/>
    <mergeCell ref="H495:H496"/>
    <mergeCell ref="H497:H498"/>
    <mergeCell ref="H499:H500"/>
    <mergeCell ref="H501:H502"/>
    <mergeCell ref="H435:H436"/>
    <mergeCell ref="H437:H438"/>
    <mergeCell ref="H439:H440"/>
    <mergeCell ref="H441:H442"/>
    <mergeCell ref="H443:H444"/>
    <mergeCell ref="H481:H482"/>
    <mergeCell ref="H483:H484"/>
    <mergeCell ref="H485:H486"/>
    <mergeCell ref="H487:H488"/>
    <mergeCell ref="H489:H490"/>
    <mergeCell ref="H491:H492"/>
    <mergeCell ref="H469:H470"/>
    <mergeCell ref="H471:H472"/>
    <mergeCell ref="H473:H474"/>
    <mergeCell ref="H475:H476"/>
    <mergeCell ref="H477:H478"/>
    <mergeCell ref="H479:H480"/>
    <mergeCell ref="H525:H526"/>
    <mergeCell ref="H527:H528"/>
    <mergeCell ref="H529:H530"/>
    <mergeCell ref="H531:H532"/>
    <mergeCell ref="H533:H534"/>
    <mergeCell ref="H535:H536"/>
    <mergeCell ref="H513:H514"/>
    <mergeCell ref="H515:H516"/>
    <mergeCell ref="H517:H518"/>
    <mergeCell ref="H519:H520"/>
    <mergeCell ref="H521:H522"/>
    <mergeCell ref="H523:H524"/>
    <mergeCell ref="H561:H562"/>
    <mergeCell ref="H563:H564"/>
    <mergeCell ref="H565:H566"/>
    <mergeCell ref="H567:H568"/>
    <mergeCell ref="H569:H570"/>
    <mergeCell ref="H503:H504"/>
    <mergeCell ref="H505:H506"/>
    <mergeCell ref="H507:H508"/>
    <mergeCell ref="H509:H510"/>
    <mergeCell ref="H511:H512"/>
    <mergeCell ref="H549:H550"/>
    <mergeCell ref="H551:H552"/>
    <mergeCell ref="H553:H554"/>
    <mergeCell ref="H555:H556"/>
    <mergeCell ref="H557:H558"/>
    <mergeCell ref="H559:H560"/>
    <mergeCell ref="H537:H538"/>
    <mergeCell ref="H539:H540"/>
    <mergeCell ref="H541:H542"/>
    <mergeCell ref="H543:H544"/>
    <mergeCell ref="H545:H546"/>
    <mergeCell ref="H547:H548"/>
    <mergeCell ref="H593:H594"/>
    <mergeCell ref="H595:H596"/>
    <mergeCell ref="H597:H598"/>
    <mergeCell ref="H599:H600"/>
    <mergeCell ref="H601:H602"/>
    <mergeCell ref="H603:H604"/>
    <mergeCell ref="H581:H582"/>
    <mergeCell ref="H583:H584"/>
    <mergeCell ref="H585:H586"/>
    <mergeCell ref="H587:H588"/>
    <mergeCell ref="H589:H590"/>
    <mergeCell ref="H591:H592"/>
    <mergeCell ref="H629:H630"/>
    <mergeCell ref="H631:H632"/>
    <mergeCell ref="H633:H634"/>
    <mergeCell ref="H635:H636"/>
    <mergeCell ref="H637:H638"/>
    <mergeCell ref="H571:H572"/>
    <mergeCell ref="H573:H574"/>
    <mergeCell ref="H575:H576"/>
    <mergeCell ref="H577:H578"/>
    <mergeCell ref="H579:H580"/>
    <mergeCell ref="H617:H618"/>
    <mergeCell ref="H619:H620"/>
    <mergeCell ref="H621:H622"/>
    <mergeCell ref="H623:H624"/>
    <mergeCell ref="H625:H626"/>
    <mergeCell ref="H627:H628"/>
    <mergeCell ref="H605:H606"/>
    <mergeCell ref="H607:H608"/>
    <mergeCell ref="H609:H610"/>
    <mergeCell ref="H611:H612"/>
    <mergeCell ref="H613:H614"/>
    <mergeCell ref="H615:H616"/>
    <mergeCell ref="H661:H662"/>
    <mergeCell ref="H663:H664"/>
    <mergeCell ref="H665:H666"/>
    <mergeCell ref="H667:H668"/>
    <mergeCell ref="H669:H670"/>
    <mergeCell ref="H671:H672"/>
    <mergeCell ref="H649:H650"/>
    <mergeCell ref="H651:H652"/>
    <mergeCell ref="H653:H654"/>
    <mergeCell ref="H655:H656"/>
    <mergeCell ref="H657:H658"/>
    <mergeCell ref="H659:H660"/>
    <mergeCell ref="H697:H698"/>
    <mergeCell ref="H699:H700"/>
    <mergeCell ref="H701:H702"/>
    <mergeCell ref="H703:H704"/>
    <mergeCell ref="H705:H706"/>
    <mergeCell ref="H639:H640"/>
    <mergeCell ref="H641:H642"/>
    <mergeCell ref="H643:H644"/>
    <mergeCell ref="H645:H646"/>
    <mergeCell ref="H647:H648"/>
    <mergeCell ref="H685:H686"/>
    <mergeCell ref="H687:H688"/>
    <mergeCell ref="H689:H690"/>
    <mergeCell ref="H691:H692"/>
    <mergeCell ref="H693:H694"/>
    <mergeCell ref="H695:H696"/>
    <mergeCell ref="H673:H674"/>
    <mergeCell ref="H675:H676"/>
    <mergeCell ref="H677:H678"/>
    <mergeCell ref="H679:H680"/>
    <mergeCell ref="H681:H682"/>
    <mergeCell ref="H683:H684"/>
    <mergeCell ref="H729:H730"/>
    <mergeCell ref="H731:H732"/>
    <mergeCell ref="H733:H734"/>
    <mergeCell ref="H735:H736"/>
    <mergeCell ref="H737:H738"/>
    <mergeCell ref="H739:H740"/>
    <mergeCell ref="H717:H718"/>
    <mergeCell ref="H719:H720"/>
    <mergeCell ref="H721:H722"/>
    <mergeCell ref="H723:H724"/>
    <mergeCell ref="H725:H726"/>
    <mergeCell ref="H727:H728"/>
    <mergeCell ref="H765:H766"/>
    <mergeCell ref="H767:H768"/>
    <mergeCell ref="H769:H770"/>
    <mergeCell ref="H771:H772"/>
    <mergeCell ref="H773:H774"/>
    <mergeCell ref="H707:H708"/>
    <mergeCell ref="H709:H710"/>
    <mergeCell ref="H711:H712"/>
    <mergeCell ref="H713:H714"/>
    <mergeCell ref="H715:H716"/>
    <mergeCell ref="H753:H754"/>
    <mergeCell ref="H755:H756"/>
    <mergeCell ref="H757:H758"/>
    <mergeCell ref="H759:H760"/>
    <mergeCell ref="H761:H762"/>
    <mergeCell ref="H763:H764"/>
    <mergeCell ref="H741:H742"/>
    <mergeCell ref="H743:H744"/>
    <mergeCell ref="H745:H746"/>
    <mergeCell ref="H747:H748"/>
    <mergeCell ref="H749:H750"/>
    <mergeCell ref="H751:H752"/>
    <mergeCell ref="H797:H798"/>
    <mergeCell ref="H799:H800"/>
    <mergeCell ref="H801:H802"/>
    <mergeCell ref="H803:H804"/>
    <mergeCell ref="H805:H806"/>
    <mergeCell ref="H807:H808"/>
    <mergeCell ref="H785:H786"/>
    <mergeCell ref="H787:H788"/>
    <mergeCell ref="H789:H790"/>
    <mergeCell ref="H791:H792"/>
    <mergeCell ref="H793:H794"/>
    <mergeCell ref="H795:H796"/>
    <mergeCell ref="H833:H834"/>
    <mergeCell ref="H835:H836"/>
    <mergeCell ref="H837:H838"/>
    <mergeCell ref="H839:H840"/>
    <mergeCell ref="H841:H842"/>
    <mergeCell ref="H775:H776"/>
    <mergeCell ref="H777:H778"/>
    <mergeCell ref="H779:H780"/>
    <mergeCell ref="H781:H782"/>
    <mergeCell ref="H783:H784"/>
    <mergeCell ref="H821:H822"/>
    <mergeCell ref="H823:H824"/>
    <mergeCell ref="H825:H826"/>
    <mergeCell ref="H827:H828"/>
    <mergeCell ref="H829:H830"/>
    <mergeCell ref="H831:H832"/>
    <mergeCell ref="H869:H870"/>
    <mergeCell ref="H871:H872"/>
    <mergeCell ref="H873:H874"/>
    <mergeCell ref="H875:H876"/>
    <mergeCell ref="H809:H810"/>
    <mergeCell ref="H811:H812"/>
    <mergeCell ref="H813:H814"/>
    <mergeCell ref="H815:H816"/>
    <mergeCell ref="H817:H818"/>
    <mergeCell ref="H819:H820"/>
    <mergeCell ref="H857:H858"/>
    <mergeCell ref="H859:H860"/>
    <mergeCell ref="H861:H862"/>
    <mergeCell ref="H863:H864"/>
    <mergeCell ref="H865:H866"/>
    <mergeCell ref="H867:H868"/>
    <mergeCell ref="H905:H906"/>
    <mergeCell ref="H907:H908"/>
    <mergeCell ref="H909:H910"/>
    <mergeCell ref="H843:H844"/>
    <mergeCell ref="H845:H846"/>
    <mergeCell ref="H847:H848"/>
    <mergeCell ref="H849:H850"/>
    <mergeCell ref="H851:H852"/>
    <mergeCell ref="H853:H854"/>
    <mergeCell ref="H855:H856"/>
    <mergeCell ref="H893:H894"/>
    <mergeCell ref="H895:H896"/>
    <mergeCell ref="H897:H898"/>
    <mergeCell ref="H899:H900"/>
    <mergeCell ref="H901:H902"/>
    <mergeCell ref="H903:H904"/>
    <mergeCell ref="H941:H942"/>
    <mergeCell ref="H943:H944"/>
    <mergeCell ref="H877:H878"/>
    <mergeCell ref="H879:H880"/>
    <mergeCell ref="H881:H882"/>
    <mergeCell ref="H883:H884"/>
    <mergeCell ref="H885:H886"/>
    <mergeCell ref="H887:H888"/>
    <mergeCell ref="H889:H890"/>
    <mergeCell ref="H891:H892"/>
    <mergeCell ref="H929:H930"/>
    <mergeCell ref="H931:H932"/>
    <mergeCell ref="H933:H934"/>
    <mergeCell ref="H935:H936"/>
    <mergeCell ref="H937:H938"/>
    <mergeCell ref="H939:H940"/>
    <mergeCell ref="H977:H978"/>
    <mergeCell ref="H911:H912"/>
    <mergeCell ref="H913:H914"/>
    <mergeCell ref="H915:H916"/>
    <mergeCell ref="H917:H918"/>
    <mergeCell ref="H919:H920"/>
    <mergeCell ref="H921:H922"/>
    <mergeCell ref="H923:H924"/>
    <mergeCell ref="H925:H926"/>
    <mergeCell ref="H927:H928"/>
    <mergeCell ref="H965:H966"/>
    <mergeCell ref="H967:H968"/>
    <mergeCell ref="H969:H970"/>
    <mergeCell ref="H971:H972"/>
    <mergeCell ref="H973:H974"/>
    <mergeCell ref="H975:H976"/>
    <mergeCell ref="H953:H954"/>
    <mergeCell ref="H955:H956"/>
    <mergeCell ref="H957:H958"/>
    <mergeCell ref="H959:H960"/>
    <mergeCell ref="H961:H962"/>
    <mergeCell ref="H963:H964"/>
    <mergeCell ref="I36:I37"/>
    <mergeCell ref="I38:I39"/>
    <mergeCell ref="I40:I41"/>
    <mergeCell ref="I42:I43"/>
    <mergeCell ref="I44:I45"/>
    <mergeCell ref="I50:I51"/>
    <mergeCell ref="I24:I25"/>
    <mergeCell ref="I26:I27"/>
    <mergeCell ref="I28:I29"/>
    <mergeCell ref="I30:I31"/>
    <mergeCell ref="I32:I33"/>
    <mergeCell ref="I34:I35"/>
    <mergeCell ref="I12:I13"/>
    <mergeCell ref="I14:I15"/>
    <mergeCell ref="I16:I17"/>
    <mergeCell ref="I18:I19"/>
    <mergeCell ref="I20:I21"/>
    <mergeCell ref="I22:I23"/>
    <mergeCell ref="H983:H984"/>
    <mergeCell ref="H985:H986"/>
    <mergeCell ref="H987:H988"/>
    <mergeCell ref="H989:H990"/>
    <mergeCell ref="H991:H992"/>
    <mergeCell ref="J2:J3"/>
    <mergeCell ref="I4:I5"/>
    <mergeCell ref="I6:I7"/>
    <mergeCell ref="I8:I9"/>
    <mergeCell ref="I10:I11"/>
    <mergeCell ref="I98:I99"/>
    <mergeCell ref="I100:I101"/>
    <mergeCell ref="I102:I103"/>
    <mergeCell ref="I104:I105"/>
    <mergeCell ref="H979:H980"/>
    <mergeCell ref="H981:H982"/>
    <mergeCell ref="H945:H946"/>
    <mergeCell ref="H947:H948"/>
    <mergeCell ref="H949:H950"/>
    <mergeCell ref="H951:H952"/>
    <mergeCell ref="I86:I87"/>
    <mergeCell ref="I88:I89"/>
    <mergeCell ref="I90:I91"/>
    <mergeCell ref="I92:I93"/>
    <mergeCell ref="I94:I95"/>
    <mergeCell ref="I96:I97"/>
    <mergeCell ref="I74:I75"/>
    <mergeCell ref="I76:I77"/>
    <mergeCell ref="I78:I79"/>
    <mergeCell ref="I80:I81"/>
    <mergeCell ref="I82:I83"/>
    <mergeCell ref="I84:I85"/>
    <mergeCell ref="I128:I129"/>
    <mergeCell ref="I130:I131"/>
    <mergeCell ref="I162:I163"/>
    <mergeCell ref="I164:I165"/>
    <mergeCell ref="I166:I167"/>
    <mergeCell ref="I168:I169"/>
    <mergeCell ref="I116:I117"/>
    <mergeCell ref="I118:I119"/>
    <mergeCell ref="I120:I121"/>
    <mergeCell ref="I122:I123"/>
    <mergeCell ref="I124:I125"/>
    <mergeCell ref="I126:I127"/>
    <mergeCell ref="I194:I195"/>
    <mergeCell ref="I196:I197"/>
    <mergeCell ref="I198:I199"/>
    <mergeCell ref="I200:I201"/>
    <mergeCell ref="I202:I203"/>
    <mergeCell ref="I106:I107"/>
    <mergeCell ref="I108:I109"/>
    <mergeCell ref="I110:I111"/>
    <mergeCell ref="I112:I113"/>
    <mergeCell ref="I114:I115"/>
    <mergeCell ref="I182:I183"/>
    <mergeCell ref="I184:I185"/>
    <mergeCell ref="I186:I187"/>
    <mergeCell ref="I188:I189"/>
    <mergeCell ref="I190:I191"/>
    <mergeCell ref="I192:I193"/>
    <mergeCell ref="I170:I171"/>
    <mergeCell ref="I172:I173"/>
    <mergeCell ref="I174:I175"/>
    <mergeCell ref="I176:I177"/>
    <mergeCell ref="I178:I179"/>
    <mergeCell ref="I180:I181"/>
    <mergeCell ref="I226:I227"/>
    <mergeCell ref="I228:I229"/>
    <mergeCell ref="I230:I231"/>
    <mergeCell ref="I232:I233"/>
    <mergeCell ref="I234:I235"/>
    <mergeCell ref="I236:I237"/>
    <mergeCell ref="I214:I215"/>
    <mergeCell ref="I216:I217"/>
    <mergeCell ref="I218:I219"/>
    <mergeCell ref="I220:I221"/>
    <mergeCell ref="I222:I223"/>
    <mergeCell ref="I224:I225"/>
    <mergeCell ref="I262:I263"/>
    <mergeCell ref="I264:I265"/>
    <mergeCell ref="I266:I267"/>
    <mergeCell ref="I268:I269"/>
    <mergeCell ref="I270:I271"/>
    <mergeCell ref="I204:I205"/>
    <mergeCell ref="I206:I207"/>
    <mergeCell ref="I208:I209"/>
    <mergeCell ref="I210:I211"/>
    <mergeCell ref="I212:I213"/>
    <mergeCell ref="I250:I251"/>
    <mergeCell ref="I252:I253"/>
    <mergeCell ref="I254:I255"/>
    <mergeCell ref="I256:I257"/>
    <mergeCell ref="I258:I259"/>
    <mergeCell ref="I260:I261"/>
    <mergeCell ref="I238:I239"/>
    <mergeCell ref="I240:I241"/>
    <mergeCell ref="I242:I243"/>
    <mergeCell ref="I244:I245"/>
    <mergeCell ref="I246:I247"/>
    <mergeCell ref="I248:I249"/>
    <mergeCell ref="I294:I295"/>
    <mergeCell ref="I296:I297"/>
    <mergeCell ref="I298:I299"/>
    <mergeCell ref="I300:I301"/>
    <mergeCell ref="I302:I303"/>
    <mergeCell ref="I304:I305"/>
    <mergeCell ref="I282:I283"/>
    <mergeCell ref="I284:I285"/>
    <mergeCell ref="I286:I287"/>
    <mergeCell ref="I288:I289"/>
    <mergeCell ref="I290:I291"/>
    <mergeCell ref="I292:I293"/>
    <mergeCell ref="I330:I331"/>
    <mergeCell ref="I332:I333"/>
    <mergeCell ref="I334:I335"/>
    <mergeCell ref="I336:I337"/>
    <mergeCell ref="I338:I339"/>
    <mergeCell ref="I272:I273"/>
    <mergeCell ref="I274:I275"/>
    <mergeCell ref="I276:I277"/>
    <mergeCell ref="I278:I279"/>
    <mergeCell ref="I280:I281"/>
    <mergeCell ref="I318:I319"/>
    <mergeCell ref="I320:I321"/>
    <mergeCell ref="I322:I323"/>
    <mergeCell ref="I324:I325"/>
    <mergeCell ref="I326:I327"/>
    <mergeCell ref="I328:I329"/>
    <mergeCell ref="I364:I365"/>
    <mergeCell ref="I369:I370"/>
    <mergeCell ref="I371:I372"/>
    <mergeCell ref="I373:I374"/>
    <mergeCell ref="I306:I307"/>
    <mergeCell ref="I308:I309"/>
    <mergeCell ref="I310:I311"/>
    <mergeCell ref="I312:I313"/>
    <mergeCell ref="I314:I315"/>
    <mergeCell ref="I316:I317"/>
    <mergeCell ref="I352:I353"/>
    <mergeCell ref="I354:I355"/>
    <mergeCell ref="I356:I357"/>
    <mergeCell ref="I358:I359"/>
    <mergeCell ref="I360:I361"/>
    <mergeCell ref="I362:I363"/>
    <mergeCell ref="I340:I341"/>
    <mergeCell ref="I342:I343"/>
    <mergeCell ref="I344:I345"/>
    <mergeCell ref="I346:I347"/>
    <mergeCell ref="I348:I349"/>
    <mergeCell ref="I350:I351"/>
    <mergeCell ref="I397:I398"/>
    <mergeCell ref="I399:I400"/>
    <mergeCell ref="I401:I402"/>
    <mergeCell ref="I403:I404"/>
    <mergeCell ref="I405:I406"/>
    <mergeCell ref="I407:I408"/>
    <mergeCell ref="I385:I386"/>
    <mergeCell ref="I387:I388"/>
    <mergeCell ref="I389:I390"/>
    <mergeCell ref="I391:I392"/>
    <mergeCell ref="I393:I394"/>
    <mergeCell ref="I395:I396"/>
    <mergeCell ref="I433:I434"/>
    <mergeCell ref="I435:I436"/>
    <mergeCell ref="I437:I438"/>
    <mergeCell ref="I439:I440"/>
    <mergeCell ref="I441:I442"/>
    <mergeCell ref="I375:I376"/>
    <mergeCell ref="I377:I378"/>
    <mergeCell ref="I379:I380"/>
    <mergeCell ref="I381:I382"/>
    <mergeCell ref="I383:I384"/>
    <mergeCell ref="I421:I422"/>
    <mergeCell ref="I423:I424"/>
    <mergeCell ref="I425:I426"/>
    <mergeCell ref="I427:I428"/>
    <mergeCell ref="I429:I430"/>
    <mergeCell ref="I431:I432"/>
    <mergeCell ref="I409:I410"/>
    <mergeCell ref="I411:I412"/>
    <mergeCell ref="I413:I414"/>
    <mergeCell ref="I415:I416"/>
    <mergeCell ref="I417:I418"/>
    <mergeCell ref="I419:I420"/>
    <mergeCell ref="I465:I466"/>
    <mergeCell ref="I467:I468"/>
    <mergeCell ref="I469:I470"/>
    <mergeCell ref="I471:I472"/>
    <mergeCell ref="I473:I474"/>
    <mergeCell ref="I475:I476"/>
    <mergeCell ref="I453:I454"/>
    <mergeCell ref="I455:I456"/>
    <mergeCell ref="I457:I458"/>
    <mergeCell ref="I459:I460"/>
    <mergeCell ref="I461:I462"/>
    <mergeCell ref="I463:I464"/>
    <mergeCell ref="I501:I502"/>
    <mergeCell ref="I503:I504"/>
    <mergeCell ref="I505:I506"/>
    <mergeCell ref="I507:I508"/>
    <mergeCell ref="I509:I510"/>
    <mergeCell ref="I443:I444"/>
    <mergeCell ref="I445:I446"/>
    <mergeCell ref="I447:I448"/>
    <mergeCell ref="I449:I450"/>
    <mergeCell ref="I451:I452"/>
    <mergeCell ref="I489:I490"/>
    <mergeCell ref="I491:I492"/>
    <mergeCell ref="I493:I494"/>
    <mergeCell ref="I495:I496"/>
    <mergeCell ref="I497:I498"/>
    <mergeCell ref="I499:I500"/>
    <mergeCell ref="I477:I478"/>
    <mergeCell ref="I479:I480"/>
    <mergeCell ref="I481:I482"/>
    <mergeCell ref="I483:I484"/>
    <mergeCell ref="I485:I486"/>
    <mergeCell ref="I487:I488"/>
    <mergeCell ref="I533:I534"/>
    <mergeCell ref="I535:I536"/>
    <mergeCell ref="I537:I538"/>
    <mergeCell ref="I539:I540"/>
    <mergeCell ref="I541:I542"/>
    <mergeCell ref="I543:I544"/>
    <mergeCell ref="I521:I522"/>
    <mergeCell ref="I523:I524"/>
    <mergeCell ref="I525:I526"/>
    <mergeCell ref="I527:I528"/>
    <mergeCell ref="I529:I530"/>
    <mergeCell ref="I531:I532"/>
    <mergeCell ref="I569:I570"/>
    <mergeCell ref="I571:I572"/>
    <mergeCell ref="I573:I574"/>
    <mergeCell ref="I575:I576"/>
    <mergeCell ref="I577:I578"/>
    <mergeCell ref="I511:I512"/>
    <mergeCell ref="I513:I514"/>
    <mergeCell ref="I515:I516"/>
    <mergeCell ref="I517:I518"/>
    <mergeCell ref="I519:I520"/>
    <mergeCell ref="I557:I558"/>
    <mergeCell ref="I559:I560"/>
    <mergeCell ref="I561:I562"/>
    <mergeCell ref="I563:I564"/>
    <mergeCell ref="I565:I566"/>
    <mergeCell ref="I567:I568"/>
    <mergeCell ref="I545:I546"/>
    <mergeCell ref="I547:I548"/>
    <mergeCell ref="I549:I550"/>
    <mergeCell ref="I551:I552"/>
    <mergeCell ref="I553:I554"/>
    <mergeCell ref="I555:I556"/>
    <mergeCell ref="I601:I602"/>
    <mergeCell ref="I603:I604"/>
    <mergeCell ref="I605:I606"/>
    <mergeCell ref="I607:I608"/>
    <mergeCell ref="I609:I610"/>
    <mergeCell ref="I611:I612"/>
    <mergeCell ref="I589:I590"/>
    <mergeCell ref="I591:I592"/>
    <mergeCell ref="I593:I594"/>
    <mergeCell ref="I595:I596"/>
    <mergeCell ref="I597:I598"/>
    <mergeCell ref="I599:I600"/>
    <mergeCell ref="I637:I638"/>
    <mergeCell ref="I639:I640"/>
    <mergeCell ref="I641:I642"/>
    <mergeCell ref="I643:I644"/>
    <mergeCell ref="I645:I646"/>
    <mergeCell ref="I579:I580"/>
    <mergeCell ref="I581:I582"/>
    <mergeCell ref="I583:I584"/>
    <mergeCell ref="I585:I586"/>
    <mergeCell ref="I587:I588"/>
    <mergeCell ref="I625:I626"/>
    <mergeCell ref="I627:I628"/>
    <mergeCell ref="I629:I630"/>
    <mergeCell ref="I631:I632"/>
    <mergeCell ref="I633:I634"/>
    <mergeCell ref="I635:I636"/>
    <mergeCell ref="I613:I614"/>
    <mergeCell ref="I615:I616"/>
    <mergeCell ref="I617:I618"/>
    <mergeCell ref="I619:I620"/>
    <mergeCell ref="I621:I622"/>
    <mergeCell ref="I623:I624"/>
    <mergeCell ref="I669:I670"/>
    <mergeCell ref="I671:I672"/>
    <mergeCell ref="I673:I674"/>
    <mergeCell ref="I675:I676"/>
    <mergeCell ref="I677:I678"/>
    <mergeCell ref="I679:I680"/>
    <mergeCell ref="I657:I658"/>
    <mergeCell ref="I659:I660"/>
    <mergeCell ref="I661:I662"/>
    <mergeCell ref="I663:I664"/>
    <mergeCell ref="I665:I666"/>
    <mergeCell ref="I667:I668"/>
    <mergeCell ref="I705:I706"/>
    <mergeCell ref="I707:I708"/>
    <mergeCell ref="I709:I710"/>
    <mergeCell ref="I711:I712"/>
    <mergeCell ref="I713:I714"/>
    <mergeCell ref="I647:I648"/>
    <mergeCell ref="I649:I650"/>
    <mergeCell ref="I651:I652"/>
    <mergeCell ref="I653:I654"/>
    <mergeCell ref="I655:I656"/>
    <mergeCell ref="I693:I694"/>
    <mergeCell ref="I695:I696"/>
    <mergeCell ref="I697:I698"/>
    <mergeCell ref="I699:I700"/>
    <mergeCell ref="I701:I702"/>
    <mergeCell ref="I703:I704"/>
    <mergeCell ref="I681:I682"/>
    <mergeCell ref="I683:I684"/>
    <mergeCell ref="I685:I686"/>
    <mergeCell ref="I687:I688"/>
    <mergeCell ref="I689:I690"/>
    <mergeCell ref="I691:I692"/>
    <mergeCell ref="I737:I738"/>
    <mergeCell ref="I739:I740"/>
    <mergeCell ref="I741:I742"/>
    <mergeCell ref="I743:I744"/>
    <mergeCell ref="I745:I746"/>
    <mergeCell ref="I747:I748"/>
    <mergeCell ref="I725:I726"/>
    <mergeCell ref="I727:I728"/>
    <mergeCell ref="I729:I730"/>
    <mergeCell ref="I731:I732"/>
    <mergeCell ref="I733:I734"/>
    <mergeCell ref="I735:I736"/>
    <mergeCell ref="I773:I774"/>
    <mergeCell ref="I775:I776"/>
    <mergeCell ref="I777:I778"/>
    <mergeCell ref="I779:I780"/>
    <mergeCell ref="I781:I782"/>
    <mergeCell ref="I715:I716"/>
    <mergeCell ref="I717:I718"/>
    <mergeCell ref="I719:I720"/>
    <mergeCell ref="I721:I722"/>
    <mergeCell ref="I723:I724"/>
    <mergeCell ref="I761:I762"/>
    <mergeCell ref="I763:I764"/>
    <mergeCell ref="I765:I766"/>
    <mergeCell ref="I767:I768"/>
    <mergeCell ref="I769:I770"/>
    <mergeCell ref="I771:I772"/>
    <mergeCell ref="I749:I750"/>
    <mergeCell ref="I751:I752"/>
    <mergeCell ref="I753:I754"/>
    <mergeCell ref="I755:I756"/>
    <mergeCell ref="I757:I758"/>
    <mergeCell ref="I759:I760"/>
    <mergeCell ref="I805:I806"/>
    <mergeCell ref="I807:I808"/>
    <mergeCell ref="I809:I810"/>
    <mergeCell ref="I811:I812"/>
    <mergeCell ref="I813:I814"/>
    <mergeCell ref="I815:I816"/>
    <mergeCell ref="I793:I794"/>
    <mergeCell ref="I795:I796"/>
    <mergeCell ref="I797:I798"/>
    <mergeCell ref="I799:I800"/>
    <mergeCell ref="I801:I802"/>
    <mergeCell ref="I803:I804"/>
    <mergeCell ref="I841:I842"/>
    <mergeCell ref="I843:I844"/>
    <mergeCell ref="I845:I846"/>
    <mergeCell ref="I847:I848"/>
    <mergeCell ref="I849:I850"/>
    <mergeCell ref="I783:I784"/>
    <mergeCell ref="I785:I786"/>
    <mergeCell ref="I787:I788"/>
    <mergeCell ref="I789:I790"/>
    <mergeCell ref="I791:I792"/>
    <mergeCell ref="I829:I830"/>
    <mergeCell ref="I831:I832"/>
    <mergeCell ref="I833:I834"/>
    <mergeCell ref="I835:I836"/>
    <mergeCell ref="I837:I838"/>
    <mergeCell ref="I839:I840"/>
    <mergeCell ref="I817:I818"/>
    <mergeCell ref="I819:I820"/>
    <mergeCell ref="I821:I822"/>
    <mergeCell ref="I823:I824"/>
    <mergeCell ref="I825:I826"/>
    <mergeCell ref="I827:I828"/>
    <mergeCell ref="I873:I874"/>
    <mergeCell ref="I875:I876"/>
    <mergeCell ref="I877:I878"/>
    <mergeCell ref="I879:I880"/>
    <mergeCell ref="I881:I882"/>
    <mergeCell ref="I883:I884"/>
    <mergeCell ref="I861:I862"/>
    <mergeCell ref="I863:I864"/>
    <mergeCell ref="I865:I866"/>
    <mergeCell ref="I867:I868"/>
    <mergeCell ref="I869:I870"/>
    <mergeCell ref="I871:I872"/>
    <mergeCell ref="I909:I910"/>
    <mergeCell ref="I911:I912"/>
    <mergeCell ref="I913:I914"/>
    <mergeCell ref="I915:I916"/>
    <mergeCell ref="I917:I918"/>
    <mergeCell ref="I851:I852"/>
    <mergeCell ref="I853:I854"/>
    <mergeCell ref="I855:I856"/>
    <mergeCell ref="I857:I858"/>
    <mergeCell ref="I859:I860"/>
    <mergeCell ref="I897:I898"/>
    <mergeCell ref="I899:I900"/>
    <mergeCell ref="I901:I902"/>
    <mergeCell ref="I903:I904"/>
    <mergeCell ref="I905:I906"/>
    <mergeCell ref="I907:I908"/>
    <mergeCell ref="I885:I886"/>
    <mergeCell ref="I887:I888"/>
    <mergeCell ref="I889:I890"/>
    <mergeCell ref="I891:I892"/>
    <mergeCell ref="I893:I894"/>
    <mergeCell ref="I895:I896"/>
    <mergeCell ref="I941:I942"/>
    <mergeCell ref="I943:I944"/>
    <mergeCell ref="I945:I946"/>
    <mergeCell ref="I947:I948"/>
    <mergeCell ref="I949:I950"/>
    <mergeCell ref="I951:I952"/>
    <mergeCell ref="I929:I930"/>
    <mergeCell ref="I931:I932"/>
    <mergeCell ref="I933:I934"/>
    <mergeCell ref="I935:I936"/>
    <mergeCell ref="I937:I938"/>
    <mergeCell ref="I939:I940"/>
    <mergeCell ref="J74:J75"/>
    <mergeCell ref="J76:J77"/>
    <mergeCell ref="J78:J79"/>
    <mergeCell ref="I953:I954"/>
    <mergeCell ref="I985:I986"/>
    <mergeCell ref="I919:I920"/>
    <mergeCell ref="I921:I922"/>
    <mergeCell ref="I923:I924"/>
    <mergeCell ref="I925:I926"/>
    <mergeCell ref="I927:I928"/>
    <mergeCell ref="J42:J43"/>
    <mergeCell ref="J44:J45"/>
    <mergeCell ref="I46:I47"/>
    <mergeCell ref="I48:I49"/>
    <mergeCell ref="J50:J51"/>
    <mergeCell ref="J72:J73"/>
    <mergeCell ref="I72:I73"/>
    <mergeCell ref="J30:J31"/>
    <mergeCell ref="J32:J33"/>
    <mergeCell ref="J34:J35"/>
    <mergeCell ref="J36:J37"/>
    <mergeCell ref="J38:J39"/>
    <mergeCell ref="J40:J41"/>
    <mergeCell ref="J18:J19"/>
    <mergeCell ref="J20:J21"/>
    <mergeCell ref="J22:J23"/>
    <mergeCell ref="J24:J25"/>
    <mergeCell ref="J26:J27"/>
    <mergeCell ref="J28:J29"/>
    <mergeCell ref="J6:J7"/>
    <mergeCell ref="J8:J9"/>
    <mergeCell ref="J10:J11"/>
    <mergeCell ref="J12:J13"/>
    <mergeCell ref="J14:J15"/>
    <mergeCell ref="J16:J17"/>
    <mergeCell ref="I977:I978"/>
    <mergeCell ref="I979:I980"/>
    <mergeCell ref="I981:I982"/>
    <mergeCell ref="I983:I984"/>
    <mergeCell ref="I989:I990"/>
    <mergeCell ref="I991:I992"/>
    <mergeCell ref="I965:I966"/>
    <mergeCell ref="I967:I968"/>
    <mergeCell ref="I969:I970"/>
    <mergeCell ref="I971:I972"/>
    <mergeCell ref="I973:I974"/>
    <mergeCell ref="I975:I976"/>
    <mergeCell ref="J106:J107"/>
    <mergeCell ref="J108:J109"/>
    <mergeCell ref="J110:J111"/>
    <mergeCell ref="J112:J113"/>
    <mergeCell ref="I987:I988"/>
    <mergeCell ref="I955:I956"/>
    <mergeCell ref="I957:I958"/>
    <mergeCell ref="I959:I960"/>
    <mergeCell ref="I961:I962"/>
    <mergeCell ref="I963:I964"/>
    <mergeCell ref="J94:J95"/>
    <mergeCell ref="J96:J97"/>
    <mergeCell ref="J98:J99"/>
    <mergeCell ref="J100:J101"/>
    <mergeCell ref="J102:J103"/>
    <mergeCell ref="J104:J105"/>
    <mergeCell ref="J82:J83"/>
    <mergeCell ref="J84:J85"/>
    <mergeCell ref="J86:J87"/>
    <mergeCell ref="J88:J89"/>
    <mergeCell ref="J90:J91"/>
    <mergeCell ref="J92:J93"/>
    <mergeCell ref="J168:J169"/>
    <mergeCell ref="J170:J171"/>
    <mergeCell ref="J172:J173"/>
    <mergeCell ref="J174:J175"/>
    <mergeCell ref="J176:J177"/>
    <mergeCell ref="J140:J141"/>
    <mergeCell ref="J126:J127"/>
    <mergeCell ref="J128:J129"/>
    <mergeCell ref="J130:J131"/>
    <mergeCell ref="J162:J163"/>
    <mergeCell ref="J164:J165"/>
    <mergeCell ref="J166:J167"/>
    <mergeCell ref="J114:J115"/>
    <mergeCell ref="J116:J117"/>
    <mergeCell ref="J118:J119"/>
    <mergeCell ref="J120:J121"/>
    <mergeCell ref="J122:J123"/>
    <mergeCell ref="J124:J125"/>
    <mergeCell ref="J200:J201"/>
    <mergeCell ref="J202:J203"/>
    <mergeCell ref="J204:J205"/>
    <mergeCell ref="J206:J207"/>
    <mergeCell ref="J208:J209"/>
    <mergeCell ref="J210:J211"/>
    <mergeCell ref="J188:J189"/>
    <mergeCell ref="J190:J191"/>
    <mergeCell ref="J192:J193"/>
    <mergeCell ref="J194:J195"/>
    <mergeCell ref="J196:J197"/>
    <mergeCell ref="J198:J199"/>
    <mergeCell ref="J236:J237"/>
    <mergeCell ref="J238:J239"/>
    <mergeCell ref="J240:J241"/>
    <mergeCell ref="J242:J243"/>
    <mergeCell ref="J244:J245"/>
    <mergeCell ref="J178:J179"/>
    <mergeCell ref="J180:J181"/>
    <mergeCell ref="J182:J183"/>
    <mergeCell ref="J184:J185"/>
    <mergeCell ref="J186:J187"/>
    <mergeCell ref="J224:J225"/>
    <mergeCell ref="J226:J227"/>
    <mergeCell ref="J228:J229"/>
    <mergeCell ref="J230:J231"/>
    <mergeCell ref="J232:J233"/>
    <mergeCell ref="J234:J235"/>
    <mergeCell ref="J212:J213"/>
    <mergeCell ref="J214:J215"/>
    <mergeCell ref="J216:J217"/>
    <mergeCell ref="J218:J219"/>
    <mergeCell ref="J220:J221"/>
    <mergeCell ref="J222:J223"/>
    <mergeCell ref="J268:J269"/>
    <mergeCell ref="J270:J271"/>
    <mergeCell ref="J272:J273"/>
    <mergeCell ref="J274:J275"/>
    <mergeCell ref="J276:J277"/>
    <mergeCell ref="J278:J279"/>
    <mergeCell ref="J256:J257"/>
    <mergeCell ref="J258:J259"/>
    <mergeCell ref="J260:J261"/>
    <mergeCell ref="J262:J263"/>
    <mergeCell ref="J264:J265"/>
    <mergeCell ref="J266:J267"/>
    <mergeCell ref="J304:J305"/>
    <mergeCell ref="J306:J307"/>
    <mergeCell ref="J308:J309"/>
    <mergeCell ref="J310:J311"/>
    <mergeCell ref="J312:J313"/>
    <mergeCell ref="J246:J247"/>
    <mergeCell ref="J248:J249"/>
    <mergeCell ref="J250:J251"/>
    <mergeCell ref="J252:J253"/>
    <mergeCell ref="J254:J255"/>
    <mergeCell ref="J292:J293"/>
    <mergeCell ref="J294:J295"/>
    <mergeCell ref="J296:J297"/>
    <mergeCell ref="J298:J299"/>
    <mergeCell ref="J300:J301"/>
    <mergeCell ref="J302:J303"/>
    <mergeCell ref="J280:J281"/>
    <mergeCell ref="J282:J283"/>
    <mergeCell ref="J284:J285"/>
    <mergeCell ref="J286:J287"/>
    <mergeCell ref="J288:J289"/>
    <mergeCell ref="J290:J291"/>
    <mergeCell ref="J336:J337"/>
    <mergeCell ref="J338:J339"/>
    <mergeCell ref="J340:J341"/>
    <mergeCell ref="J342:J343"/>
    <mergeCell ref="J344:J345"/>
    <mergeCell ref="J346:J347"/>
    <mergeCell ref="J324:J325"/>
    <mergeCell ref="J326:J327"/>
    <mergeCell ref="J328:J329"/>
    <mergeCell ref="J330:J331"/>
    <mergeCell ref="J332:J333"/>
    <mergeCell ref="J334:J335"/>
    <mergeCell ref="J373:J374"/>
    <mergeCell ref="J375:J376"/>
    <mergeCell ref="J377:J378"/>
    <mergeCell ref="J379:J380"/>
    <mergeCell ref="J381:J382"/>
    <mergeCell ref="J314:J315"/>
    <mergeCell ref="J316:J317"/>
    <mergeCell ref="J318:J319"/>
    <mergeCell ref="J320:J321"/>
    <mergeCell ref="J322:J323"/>
    <mergeCell ref="J358:J359"/>
    <mergeCell ref="J360:J361"/>
    <mergeCell ref="J362:J363"/>
    <mergeCell ref="J364:J365"/>
    <mergeCell ref="J369:J370"/>
    <mergeCell ref="J371:J372"/>
    <mergeCell ref="J407:J408"/>
    <mergeCell ref="J409:J410"/>
    <mergeCell ref="J411:J412"/>
    <mergeCell ref="J413:J414"/>
    <mergeCell ref="J415:J416"/>
    <mergeCell ref="J348:J349"/>
    <mergeCell ref="J350:J351"/>
    <mergeCell ref="J352:J353"/>
    <mergeCell ref="J354:J355"/>
    <mergeCell ref="J356:J357"/>
    <mergeCell ref="J395:J396"/>
    <mergeCell ref="J397:J398"/>
    <mergeCell ref="J399:J400"/>
    <mergeCell ref="J401:J402"/>
    <mergeCell ref="J403:J404"/>
    <mergeCell ref="J405:J406"/>
    <mergeCell ref="J383:J384"/>
    <mergeCell ref="J385:J386"/>
    <mergeCell ref="J387:J388"/>
    <mergeCell ref="J389:J390"/>
    <mergeCell ref="J391:J392"/>
    <mergeCell ref="J393:J394"/>
    <mergeCell ref="J439:J440"/>
    <mergeCell ref="J441:J442"/>
    <mergeCell ref="J443:J444"/>
    <mergeCell ref="J445:J446"/>
    <mergeCell ref="J447:J448"/>
    <mergeCell ref="J449:J450"/>
    <mergeCell ref="J427:J428"/>
    <mergeCell ref="J429:J430"/>
    <mergeCell ref="J431:J432"/>
    <mergeCell ref="J433:J434"/>
    <mergeCell ref="J435:J436"/>
    <mergeCell ref="J437:J438"/>
    <mergeCell ref="J475:J476"/>
    <mergeCell ref="J477:J478"/>
    <mergeCell ref="J479:J480"/>
    <mergeCell ref="J481:J482"/>
    <mergeCell ref="J483:J484"/>
    <mergeCell ref="J417:J418"/>
    <mergeCell ref="J419:J420"/>
    <mergeCell ref="J421:J422"/>
    <mergeCell ref="J423:J424"/>
    <mergeCell ref="J425:J426"/>
    <mergeCell ref="J463:J464"/>
    <mergeCell ref="J465:J466"/>
    <mergeCell ref="J467:J468"/>
    <mergeCell ref="J469:J470"/>
    <mergeCell ref="J471:J472"/>
    <mergeCell ref="J473:J474"/>
    <mergeCell ref="J451:J452"/>
    <mergeCell ref="J453:J454"/>
    <mergeCell ref="J455:J456"/>
    <mergeCell ref="J457:J458"/>
    <mergeCell ref="J459:J460"/>
    <mergeCell ref="J461:J462"/>
    <mergeCell ref="J507:J508"/>
    <mergeCell ref="J509:J510"/>
    <mergeCell ref="J511:J512"/>
    <mergeCell ref="J513:J514"/>
    <mergeCell ref="J515:J516"/>
    <mergeCell ref="J517:J518"/>
    <mergeCell ref="J495:J496"/>
    <mergeCell ref="J497:J498"/>
    <mergeCell ref="J499:J500"/>
    <mergeCell ref="J501:J502"/>
    <mergeCell ref="J503:J504"/>
    <mergeCell ref="J505:J506"/>
    <mergeCell ref="J543:J544"/>
    <mergeCell ref="J545:J546"/>
    <mergeCell ref="J547:J548"/>
    <mergeCell ref="J549:J550"/>
    <mergeCell ref="J551:J552"/>
    <mergeCell ref="J485:J486"/>
    <mergeCell ref="J487:J488"/>
    <mergeCell ref="J489:J490"/>
    <mergeCell ref="J491:J492"/>
    <mergeCell ref="J493:J494"/>
    <mergeCell ref="J531:J532"/>
    <mergeCell ref="J533:J534"/>
    <mergeCell ref="J535:J536"/>
    <mergeCell ref="J537:J538"/>
    <mergeCell ref="J539:J540"/>
    <mergeCell ref="J541:J542"/>
    <mergeCell ref="J519:J520"/>
    <mergeCell ref="J521:J522"/>
    <mergeCell ref="J523:J524"/>
    <mergeCell ref="J525:J526"/>
    <mergeCell ref="J527:J528"/>
    <mergeCell ref="J529:J530"/>
    <mergeCell ref="J575:J576"/>
    <mergeCell ref="J577:J578"/>
    <mergeCell ref="J579:J580"/>
    <mergeCell ref="J581:J582"/>
    <mergeCell ref="J583:J584"/>
    <mergeCell ref="J585:J586"/>
    <mergeCell ref="J563:J564"/>
    <mergeCell ref="J565:J566"/>
    <mergeCell ref="J567:J568"/>
    <mergeCell ref="J569:J570"/>
    <mergeCell ref="J571:J572"/>
    <mergeCell ref="J573:J574"/>
    <mergeCell ref="J611:J612"/>
    <mergeCell ref="J613:J614"/>
    <mergeCell ref="J615:J616"/>
    <mergeCell ref="J617:J618"/>
    <mergeCell ref="J619:J620"/>
    <mergeCell ref="J553:J554"/>
    <mergeCell ref="J555:J556"/>
    <mergeCell ref="J557:J558"/>
    <mergeCell ref="J559:J560"/>
    <mergeCell ref="J561:J562"/>
    <mergeCell ref="J599:J600"/>
    <mergeCell ref="J601:J602"/>
    <mergeCell ref="J603:J604"/>
    <mergeCell ref="J605:J606"/>
    <mergeCell ref="J607:J608"/>
    <mergeCell ref="J609:J610"/>
    <mergeCell ref="J587:J588"/>
    <mergeCell ref="J589:J590"/>
    <mergeCell ref="J591:J592"/>
    <mergeCell ref="J593:J594"/>
    <mergeCell ref="J595:J596"/>
    <mergeCell ref="J597:J598"/>
    <mergeCell ref="J643:J644"/>
    <mergeCell ref="J645:J646"/>
    <mergeCell ref="J647:J648"/>
    <mergeCell ref="J649:J650"/>
    <mergeCell ref="J651:J652"/>
    <mergeCell ref="J653:J654"/>
    <mergeCell ref="J631:J632"/>
    <mergeCell ref="J633:J634"/>
    <mergeCell ref="J635:J636"/>
    <mergeCell ref="J637:J638"/>
    <mergeCell ref="J639:J640"/>
    <mergeCell ref="J641:J642"/>
    <mergeCell ref="J679:J680"/>
    <mergeCell ref="J681:J682"/>
    <mergeCell ref="J683:J684"/>
    <mergeCell ref="J685:J686"/>
    <mergeCell ref="J687:J688"/>
    <mergeCell ref="J621:J622"/>
    <mergeCell ref="J623:J624"/>
    <mergeCell ref="J625:J626"/>
    <mergeCell ref="J627:J628"/>
    <mergeCell ref="J629:J630"/>
    <mergeCell ref="J667:J668"/>
    <mergeCell ref="J669:J670"/>
    <mergeCell ref="J671:J672"/>
    <mergeCell ref="J673:J674"/>
    <mergeCell ref="J675:J676"/>
    <mergeCell ref="J677:J678"/>
    <mergeCell ref="J655:J656"/>
    <mergeCell ref="J657:J658"/>
    <mergeCell ref="J659:J660"/>
    <mergeCell ref="J661:J662"/>
    <mergeCell ref="J663:J664"/>
    <mergeCell ref="J665:J666"/>
    <mergeCell ref="J711:J712"/>
    <mergeCell ref="J713:J714"/>
    <mergeCell ref="J715:J716"/>
    <mergeCell ref="J717:J718"/>
    <mergeCell ref="J719:J720"/>
    <mergeCell ref="J721:J722"/>
    <mergeCell ref="J699:J700"/>
    <mergeCell ref="J701:J702"/>
    <mergeCell ref="J703:J704"/>
    <mergeCell ref="J705:J706"/>
    <mergeCell ref="J707:J708"/>
    <mergeCell ref="J709:J710"/>
    <mergeCell ref="J747:J748"/>
    <mergeCell ref="J749:J750"/>
    <mergeCell ref="J751:J752"/>
    <mergeCell ref="J753:J754"/>
    <mergeCell ref="J755:J756"/>
    <mergeCell ref="J689:J690"/>
    <mergeCell ref="J691:J692"/>
    <mergeCell ref="J693:J694"/>
    <mergeCell ref="J695:J696"/>
    <mergeCell ref="J697:J698"/>
    <mergeCell ref="J735:J736"/>
    <mergeCell ref="J737:J738"/>
    <mergeCell ref="J739:J740"/>
    <mergeCell ref="J741:J742"/>
    <mergeCell ref="J743:J744"/>
    <mergeCell ref="J745:J746"/>
    <mergeCell ref="J723:J724"/>
    <mergeCell ref="J725:J726"/>
    <mergeCell ref="J727:J728"/>
    <mergeCell ref="J729:J730"/>
    <mergeCell ref="J731:J732"/>
    <mergeCell ref="J733:J734"/>
    <mergeCell ref="J779:J780"/>
    <mergeCell ref="J781:J782"/>
    <mergeCell ref="J783:J784"/>
    <mergeCell ref="J785:J786"/>
    <mergeCell ref="J787:J788"/>
    <mergeCell ref="J789:J790"/>
    <mergeCell ref="J767:J768"/>
    <mergeCell ref="J769:J770"/>
    <mergeCell ref="J771:J772"/>
    <mergeCell ref="J773:J774"/>
    <mergeCell ref="J775:J776"/>
    <mergeCell ref="J777:J778"/>
    <mergeCell ref="J815:J816"/>
    <mergeCell ref="J817:J818"/>
    <mergeCell ref="J819:J820"/>
    <mergeCell ref="J821:J822"/>
    <mergeCell ref="J823:J824"/>
    <mergeCell ref="J757:J758"/>
    <mergeCell ref="J759:J760"/>
    <mergeCell ref="J761:J762"/>
    <mergeCell ref="J763:J764"/>
    <mergeCell ref="J765:J766"/>
    <mergeCell ref="J803:J804"/>
    <mergeCell ref="J805:J806"/>
    <mergeCell ref="J807:J808"/>
    <mergeCell ref="J809:J810"/>
    <mergeCell ref="J811:J812"/>
    <mergeCell ref="J813:J814"/>
    <mergeCell ref="J791:J792"/>
    <mergeCell ref="J793:J794"/>
    <mergeCell ref="J795:J796"/>
    <mergeCell ref="J797:J798"/>
    <mergeCell ref="J799:J800"/>
    <mergeCell ref="J801:J802"/>
    <mergeCell ref="J847:J848"/>
    <mergeCell ref="J849:J850"/>
    <mergeCell ref="J851:J852"/>
    <mergeCell ref="J853:J854"/>
    <mergeCell ref="J855:J856"/>
    <mergeCell ref="J857:J858"/>
    <mergeCell ref="J835:J836"/>
    <mergeCell ref="J837:J838"/>
    <mergeCell ref="J839:J840"/>
    <mergeCell ref="J841:J842"/>
    <mergeCell ref="J843:J844"/>
    <mergeCell ref="J845:J846"/>
    <mergeCell ref="J883:J884"/>
    <mergeCell ref="J885:J886"/>
    <mergeCell ref="J887:J888"/>
    <mergeCell ref="J889:J890"/>
    <mergeCell ref="J891:J892"/>
    <mergeCell ref="J825:J826"/>
    <mergeCell ref="J827:J828"/>
    <mergeCell ref="J829:J830"/>
    <mergeCell ref="J831:J832"/>
    <mergeCell ref="J833:J834"/>
    <mergeCell ref="J871:J872"/>
    <mergeCell ref="J873:J874"/>
    <mergeCell ref="J875:J876"/>
    <mergeCell ref="J877:J878"/>
    <mergeCell ref="J879:J880"/>
    <mergeCell ref="J881:J882"/>
    <mergeCell ref="J859:J860"/>
    <mergeCell ref="J861:J862"/>
    <mergeCell ref="J863:J864"/>
    <mergeCell ref="J865:J866"/>
    <mergeCell ref="J867:J868"/>
    <mergeCell ref="J869:J870"/>
    <mergeCell ref="J915:J916"/>
    <mergeCell ref="J917:J918"/>
    <mergeCell ref="J919:J920"/>
    <mergeCell ref="J921:J922"/>
    <mergeCell ref="J923:J924"/>
    <mergeCell ref="J925:J926"/>
    <mergeCell ref="J903:J904"/>
    <mergeCell ref="J905:J906"/>
    <mergeCell ref="J907:J908"/>
    <mergeCell ref="J909:J910"/>
    <mergeCell ref="J911:J912"/>
    <mergeCell ref="J913:J914"/>
    <mergeCell ref="J951:J952"/>
    <mergeCell ref="J953:J954"/>
    <mergeCell ref="J955:J956"/>
    <mergeCell ref="J957:J958"/>
    <mergeCell ref="J959:J960"/>
    <mergeCell ref="J893:J894"/>
    <mergeCell ref="J895:J896"/>
    <mergeCell ref="J897:J898"/>
    <mergeCell ref="J899:J900"/>
    <mergeCell ref="J901:J902"/>
    <mergeCell ref="J939:J940"/>
    <mergeCell ref="J941:J942"/>
    <mergeCell ref="J943:J944"/>
    <mergeCell ref="J945:J946"/>
    <mergeCell ref="J947:J948"/>
    <mergeCell ref="J949:J950"/>
    <mergeCell ref="J985:J986"/>
    <mergeCell ref="J987:J988"/>
    <mergeCell ref="J989:J990"/>
    <mergeCell ref="J991:J992"/>
    <mergeCell ref="J927:J928"/>
    <mergeCell ref="J929:J930"/>
    <mergeCell ref="J931:J932"/>
    <mergeCell ref="J933:J934"/>
    <mergeCell ref="J935:J936"/>
    <mergeCell ref="J937:J938"/>
    <mergeCell ref="J973:J974"/>
    <mergeCell ref="J975:J976"/>
    <mergeCell ref="J977:J978"/>
    <mergeCell ref="J979:J980"/>
    <mergeCell ref="J981:J982"/>
    <mergeCell ref="J983:J984"/>
    <mergeCell ref="J961:J962"/>
    <mergeCell ref="J963:J964"/>
    <mergeCell ref="J965:J966"/>
    <mergeCell ref="J967:J968"/>
    <mergeCell ref="J969:J970"/>
    <mergeCell ref="J971:J972"/>
    <mergeCell ref="D58:D59"/>
    <mergeCell ref="E58:E59"/>
    <mergeCell ref="F58:F59"/>
    <mergeCell ref="H58:H59"/>
    <mergeCell ref="I58:I59"/>
    <mergeCell ref="J58:J59"/>
    <mergeCell ref="J54:J55"/>
    <mergeCell ref="D56:D57"/>
    <mergeCell ref="E56:E57"/>
    <mergeCell ref="F56:F57"/>
    <mergeCell ref="H56:H57"/>
    <mergeCell ref="I56:I57"/>
    <mergeCell ref="J56:J57"/>
    <mergeCell ref="D70:D71"/>
    <mergeCell ref="F52:F53"/>
    <mergeCell ref="H52:H53"/>
    <mergeCell ref="I52:I53"/>
    <mergeCell ref="J52:J53"/>
    <mergeCell ref="D54:D55"/>
    <mergeCell ref="E54:E55"/>
    <mergeCell ref="F54:F55"/>
    <mergeCell ref="H54:H55"/>
    <mergeCell ref="I54:I55"/>
    <mergeCell ref="D68:D69"/>
    <mergeCell ref="E68:E69"/>
    <mergeCell ref="F68:F69"/>
    <mergeCell ref="H68:H69"/>
    <mergeCell ref="I68:I69"/>
    <mergeCell ref="J68:J69"/>
    <mergeCell ref="D66:D67"/>
    <mergeCell ref="E66:E67"/>
    <mergeCell ref="F66:F67"/>
    <mergeCell ref="H66:H67"/>
    <mergeCell ref="I66:I67"/>
    <mergeCell ref="J66:J67"/>
    <mergeCell ref="D64:D65"/>
    <mergeCell ref="E64:E65"/>
    <mergeCell ref="F64:F65"/>
    <mergeCell ref="H64:H65"/>
    <mergeCell ref="I64:I65"/>
    <mergeCell ref="J64:J65"/>
    <mergeCell ref="D140:D141"/>
    <mergeCell ref="E60:E61"/>
    <mergeCell ref="F60:F61"/>
    <mergeCell ref="H60:H61"/>
    <mergeCell ref="J80:J81"/>
    <mergeCell ref="I60:I61"/>
    <mergeCell ref="J60:J61"/>
    <mergeCell ref="D62:D63"/>
    <mergeCell ref="E62:E63"/>
    <mergeCell ref="F62:F63"/>
    <mergeCell ref="D138:D139"/>
    <mergeCell ref="E138:E139"/>
    <mergeCell ref="F138:F139"/>
    <mergeCell ref="H138:H139"/>
    <mergeCell ref="I138:I139"/>
    <mergeCell ref="J138:J139"/>
    <mergeCell ref="D136:D137"/>
    <mergeCell ref="E136:E137"/>
    <mergeCell ref="F136:F137"/>
    <mergeCell ref="H136:H137"/>
    <mergeCell ref="I136:I137"/>
    <mergeCell ref="J136:J137"/>
    <mergeCell ref="D134:D135"/>
    <mergeCell ref="E134:E135"/>
    <mergeCell ref="F134:F135"/>
    <mergeCell ref="H134:H135"/>
    <mergeCell ref="I134:I135"/>
    <mergeCell ref="J134:J135"/>
    <mergeCell ref="D132:D133"/>
    <mergeCell ref="E132:E133"/>
    <mergeCell ref="F132:F133"/>
    <mergeCell ref="H132:H133"/>
    <mergeCell ref="I132:I133"/>
    <mergeCell ref="J132:J133"/>
    <mergeCell ref="E70:E71"/>
    <mergeCell ref="F70:F71"/>
    <mergeCell ref="H70:H71"/>
    <mergeCell ref="I70:I71"/>
    <mergeCell ref="J70:J71"/>
    <mergeCell ref="B2:B71"/>
    <mergeCell ref="C62:C71"/>
    <mergeCell ref="H62:H63"/>
    <mergeCell ref="I62:I63"/>
    <mergeCell ref="J62:J63"/>
    <mergeCell ref="D146:D147"/>
    <mergeCell ref="E146:E147"/>
    <mergeCell ref="F146:F147"/>
    <mergeCell ref="H146:H147"/>
    <mergeCell ref="I146:I147"/>
    <mergeCell ref="J146:J147"/>
    <mergeCell ref="J142:J143"/>
    <mergeCell ref="D144:D145"/>
    <mergeCell ref="E144:E145"/>
    <mergeCell ref="F144:F145"/>
    <mergeCell ref="H144:H145"/>
    <mergeCell ref="I144:I145"/>
    <mergeCell ref="J144:J145"/>
    <mergeCell ref="E158:E159"/>
    <mergeCell ref="E140:E141"/>
    <mergeCell ref="F140:F141"/>
    <mergeCell ref="H140:H141"/>
    <mergeCell ref="I140:I141"/>
    <mergeCell ref="E142:E143"/>
    <mergeCell ref="F142:F143"/>
    <mergeCell ref="H142:H143"/>
    <mergeCell ref="I142:I143"/>
    <mergeCell ref="D156:D157"/>
    <mergeCell ref="E156:E157"/>
    <mergeCell ref="F156:F157"/>
    <mergeCell ref="H156:H157"/>
    <mergeCell ref="I156:I157"/>
    <mergeCell ref="J156:J157"/>
    <mergeCell ref="I152:I153"/>
    <mergeCell ref="J152:J153"/>
    <mergeCell ref="D154:D155"/>
    <mergeCell ref="E154:E155"/>
    <mergeCell ref="F154:F155"/>
    <mergeCell ref="H154:H155"/>
    <mergeCell ref="I154:I155"/>
    <mergeCell ref="J154:J155"/>
    <mergeCell ref="J148:J149"/>
    <mergeCell ref="D150:D151"/>
    <mergeCell ref="E150:E151"/>
    <mergeCell ref="F150:F151"/>
    <mergeCell ref="H150:H151"/>
    <mergeCell ref="I150:I151"/>
    <mergeCell ref="J150:J151"/>
    <mergeCell ref="C523:C532"/>
    <mergeCell ref="B513:B602"/>
    <mergeCell ref="E148:E149"/>
    <mergeCell ref="F148:F149"/>
    <mergeCell ref="H148:H149"/>
    <mergeCell ref="I148:I149"/>
    <mergeCell ref="C152:C161"/>
    <mergeCell ref="D152:D153"/>
    <mergeCell ref="E152:E153"/>
    <mergeCell ref="H152:H153"/>
    <mergeCell ref="B72:B161"/>
    <mergeCell ref="B162:B251"/>
    <mergeCell ref="B252:B341"/>
    <mergeCell ref="B342:B432"/>
    <mergeCell ref="B433:B512"/>
    <mergeCell ref="C513:C522"/>
    <mergeCell ref="C132:C141"/>
    <mergeCell ref="C72:C81"/>
    <mergeCell ref="C82:C91"/>
    <mergeCell ref="C122:C131"/>
    <mergeCell ref="H158:H159"/>
    <mergeCell ref="I158:I159"/>
    <mergeCell ref="J158:J159"/>
    <mergeCell ref="D160:D161"/>
    <mergeCell ref="E160:E161"/>
    <mergeCell ref="F160:F161"/>
    <mergeCell ref="H160:H161"/>
    <mergeCell ref="I160:I161"/>
    <mergeCell ref="J160:J161"/>
    <mergeCell ref="D158:D159"/>
    <mergeCell ref="I997:I998"/>
    <mergeCell ref="J997:J998"/>
    <mergeCell ref="D999:D1000"/>
    <mergeCell ref="E999:E1000"/>
    <mergeCell ref="F999:F1000"/>
    <mergeCell ref="H999:H1000"/>
    <mergeCell ref="I999:I1000"/>
    <mergeCell ref="J999:J1000"/>
    <mergeCell ref="J993:J994"/>
    <mergeCell ref="D995:D996"/>
    <mergeCell ref="E995:E996"/>
    <mergeCell ref="F995:F996"/>
    <mergeCell ref="H995:H996"/>
    <mergeCell ref="I995:I996"/>
    <mergeCell ref="J995:J996"/>
    <mergeCell ref="C993:C1002"/>
    <mergeCell ref="D993:D994"/>
    <mergeCell ref="E993:E994"/>
    <mergeCell ref="F993:F994"/>
    <mergeCell ref="H993:H994"/>
    <mergeCell ref="I993:I994"/>
    <mergeCell ref="D997:D998"/>
    <mergeCell ref="E997:E998"/>
    <mergeCell ref="F997:F998"/>
    <mergeCell ref="H997:H998"/>
    <mergeCell ref="C603:C612"/>
    <mergeCell ref="C613:C622"/>
    <mergeCell ref="B603:B692"/>
    <mergeCell ref="B693:B782"/>
    <mergeCell ref="B783:B872"/>
    <mergeCell ref="B873:B962"/>
    <mergeCell ref="C653:C662"/>
    <mergeCell ref="C683:C692"/>
    <mergeCell ref="C713:C722"/>
    <mergeCell ref="E1009:E1010"/>
    <mergeCell ref="F1009:F1010"/>
    <mergeCell ref="H1009:H1010"/>
    <mergeCell ref="I1009:I1010"/>
    <mergeCell ref="J1009:J1010"/>
    <mergeCell ref="D1011:D1012"/>
    <mergeCell ref="I1005:I1006"/>
    <mergeCell ref="J1005:J1006"/>
    <mergeCell ref="D1007:D1008"/>
    <mergeCell ref="E1007:E1008"/>
    <mergeCell ref="F1007:F1008"/>
    <mergeCell ref="H1007:H1008"/>
    <mergeCell ref="I1007:I1008"/>
    <mergeCell ref="J1007:J1008"/>
    <mergeCell ref="I1001:I1002"/>
    <mergeCell ref="J1001:J1002"/>
    <mergeCell ref="C1003:C1012"/>
    <mergeCell ref="D1003:D1004"/>
    <mergeCell ref="E1003:E1004"/>
    <mergeCell ref="F1003:F1004"/>
    <mergeCell ref="H1003:H1004"/>
    <mergeCell ref="I1003:I1004"/>
    <mergeCell ref="J1003:J1004"/>
    <mergeCell ref="D1005:D1006"/>
    <mergeCell ref="D1021:D1022"/>
    <mergeCell ref="E1021:E1022"/>
    <mergeCell ref="D1001:D1002"/>
    <mergeCell ref="E1001:E1002"/>
    <mergeCell ref="F1001:F1002"/>
    <mergeCell ref="H1001:H1002"/>
    <mergeCell ref="E1005:E1006"/>
    <mergeCell ref="F1005:F1006"/>
    <mergeCell ref="H1005:H1006"/>
    <mergeCell ref="D1009:D1010"/>
    <mergeCell ref="D1019:D1020"/>
    <mergeCell ref="E1019:E1020"/>
    <mergeCell ref="F1019:F1020"/>
    <mergeCell ref="H1019:H1020"/>
    <mergeCell ref="I1019:I1020"/>
    <mergeCell ref="J1019:J1020"/>
    <mergeCell ref="D1017:D1018"/>
    <mergeCell ref="E1017:E1018"/>
    <mergeCell ref="F1017:F1018"/>
    <mergeCell ref="H1017:H1018"/>
    <mergeCell ref="I1017:I1018"/>
    <mergeCell ref="J1017:J1018"/>
    <mergeCell ref="I1013:I1014"/>
    <mergeCell ref="J1013:J1014"/>
    <mergeCell ref="D1015:D1016"/>
    <mergeCell ref="E1015:E1016"/>
    <mergeCell ref="F1015:F1016"/>
    <mergeCell ref="H1015:H1016"/>
    <mergeCell ref="I1015:I1016"/>
    <mergeCell ref="J1015:J1016"/>
    <mergeCell ref="E1011:E1012"/>
    <mergeCell ref="F1011:F1012"/>
    <mergeCell ref="H1011:H1012"/>
    <mergeCell ref="I1011:I1012"/>
    <mergeCell ref="J1011:J1012"/>
    <mergeCell ref="C1013:C1022"/>
    <mergeCell ref="D1013:D1014"/>
    <mergeCell ref="E1013:E1014"/>
    <mergeCell ref="F1013:F1014"/>
    <mergeCell ref="H1013:H1014"/>
    <mergeCell ref="E1029:E1030"/>
    <mergeCell ref="F1029:F1030"/>
    <mergeCell ref="H1029:H1030"/>
    <mergeCell ref="I1029:I1030"/>
    <mergeCell ref="J1029:J1030"/>
    <mergeCell ref="D1031:D1032"/>
    <mergeCell ref="E1031:E1032"/>
    <mergeCell ref="F1031:F1032"/>
    <mergeCell ref="I1025:I1026"/>
    <mergeCell ref="J1025:J1026"/>
    <mergeCell ref="D1027:D1028"/>
    <mergeCell ref="E1027:E1028"/>
    <mergeCell ref="F1027:F1028"/>
    <mergeCell ref="H1027:H1028"/>
    <mergeCell ref="I1027:I1028"/>
    <mergeCell ref="J1027:J1028"/>
    <mergeCell ref="I1021:I1022"/>
    <mergeCell ref="J1021:J1022"/>
    <mergeCell ref="C1023:C1032"/>
    <mergeCell ref="D1023:D1024"/>
    <mergeCell ref="E1023:E1024"/>
    <mergeCell ref="F1023:F1024"/>
    <mergeCell ref="H1023:H1024"/>
    <mergeCell ref="I1023:I1024"/>
    <mergeCell ref="J1023:J1024"/>
    <mergeCell ref="D1025:D1026"/>
    <mergeCell ref="D1041:D1042"/>
    <mergeCell ref="E1041:E1042"/>
    <mergeCell ref="F1041:F1042"/>
    <mergeCell ref="H1041:H1042"/>
    <mergeCell ref="F1021:F1022"/>
    <mergeCell ref="H1021:H1022"/>
    <mergeCell ref="E1025:E1026"/>
    <mergeCell ref="F1025:F1026"/>
    <mergeCell ref="H1025:H1026"/>
    <mergeCell ref="D1029:D1030"/>
    <mergeCell ref="D1039:D1040"/>
    <mergeCell ref="E1039:E1040"/>
    <mergeCell ref="F1039:F1040"/>
    <mergeCell ref="H1039:H1040"/>
    <mergeCell ref="I1039:I1040"/>
    <mergeCell ref="J1039:J1040"/>
    <mergeCell ref="J1035:J1036"/>
    <mergeCell ref="D1037:D1038"/>
    <mergeCell ref="E1037:E1038"/>
    <mergeCell ref="F1037:F1038"/>
    <mergeCell ref="H1037:H1038"/>
    <mergeCell ref="I1037:I1038"/>
    <mergeCell ref="J1037:J1038"/>
    <mergeCell ref="J1031:J1032"/>
    <mergeCell ref="C1033:C1042"/>
    <mergeCell ref="D1033:D1034"/>
    <mergeCell ref="E1033:E1034"/>
    <mergeCell ref="F1033:F1034"/>
    <mergeCell ref="H1033:H1034"/>
    <mergeCell ref="I1033:I1034"/>
    <mergeCell ref="J1033:J1034"/>
    <mergeCell ref="D1035:D1036"/>
    <mergeCell ref="E1035:E1036"/>
    <mergeCell ref="D1051:D1052"/>
    <mergeCell ref="E1051:E1052"/>
    <mergeCell ref="F1051:F1052"/>
    <mergeCell ref="H1051:H1052"/>
    <mergeCell ref="I1051:I1052"/>
    <mergeCell ref="H1031:H1032"/>
    <mergeCell ref="I1031:I1032"/>
    <mergeCell ref="F1035:F1036"/>
    <mergeCell ref="H1035:H1036"/>
    <mergeCell ref="I1035:I1036"/>
    <mergeCell ref="D1049:D1050"/>
    <mergeCell ref="E1049:E1050"/>
    <mergeCell ref="F1049:F1050"/>
    <mergeCell ref="H1049:H1050"/>
    <mergeCell ref="I1049:I1050"/>
    <mergeCell ref="J1049:J1050"/>
    <mergeCell ref="D1047:D1048"/>
    <mergeCell ref="E1047:E1048"/>
    <mergeCell ref="F1047:F1048"/>
    <mergeCell ref="H1047:H1048"/>
    <mergeCell ref="I1047:I1048"/>
    <mergeCell ref="J1047:J1048"/>
    <mergeCell ref="D1045:D1046"/>
    <mergeCell ref="E1045:E1046"/>
    <mergeCell ref="F1045:F1046"/>
    <mergeCell ref="H1045:H1046"/>
    <mergeCell ref="I1045:I1046"/>
    <mergeCell ref="J1045:J1046"/>
    <mergeCell ref="J1051:J1052"/>
    <mergeCell ref="I1041:I1042"/>
    <mergeCell ref="J1041:J1042"/>
    <mergeCell ref="C1043:C1052"/>
    <mergeCell ref="D1043:D1044"/>
    <mergeCell ref="E1043:E1044"/>
    <mergeCell ref="F1043:F1044"/>
    <mergeCell ref="H1043:H1044"/>
    <mergeCell ref="I1043:I1044"/>
    <mergeCell ref="J1043:J1044"/>
    <mergeCell ref="D1061:D1062"/>
    <mergeCell ref="E1061:E1062"/>
    <mergeCell ref="F1061:F1062"/>
    <mergeCell ref="H1061:H1062"/>
    <mergeCell ref="I1061:I1062"/>
    <mergeCell ref="J1061:J1062"/>
    <mergeCell ref="I1057:I1058"/>
    <mergeCell ref="J1057:J1058"/>
    <mergeCell ref="D1059:D1060"/>
    <mergeCell ref="E1059:E1060"/>
    <mergeCell ref="F1059:F1060"/>
    <mergeCell ref="H1059:H1060"/>
    <mergeCell ref="I1059:I1060"/>
    <mergeCell ref="J1059:J1060"/>
    <mergeCell ref="I1053:I1054"/>
    <mergeCell ref="J1053:J1054"/>
    <mergeCell ref="D1055:D1056"/>
    <mergeCell ref="E1055:E1056"/>
    <mergeCell ref="F1055:F1056"/>
    <mergeCell ref="H1055:H1056"/>
    <mergeCell ref="I1055:I1056"/>
    <mergeCell ref="J1055:J1056"/>
    <mergeCell ref="B1053:B1142"/>
    <mergeCell ref="C1053:C1062"/>
    <mergeCell ref="D1053:D1054"/>
    <mergeCell ref="E1053:E1054"/>
    <mergeCell ref="F1053:F1054"/>
    <mergeCell ref="H1053:H1054"/>
    <mergeCell ref="D1057:D1058"/>
    <mergeCell ref="E1057:E1058"/>
    <mergeCell ref="F1057:F1058"/>
    <mergeCell ref="H1057:H1058"/>
    <mergeCell ref="D1071:D1072"/>
    <mergeCell ref="E1071:E1072"/>
    <mergeCell ref="F1071:F1072"/>
    <mergeCell ref="H1071:H1072"/>
    <mergeCell ref="I1071:I1072"/>
    <mergeCell ref="J1071:J1072"/>
    <mergeCell ref="I1067:I1068"/>
    <mergeCell ref="J1067:J1068"/>
    <mergeCell ref="D1069:D1070"/>
    <mergeCell ref="E1069:E1070"/>
    <mergeCell ref="F1069:F1070"/>
    <mergeCell ref="H1069:H1070"/>
    <mergeCell ref="I1069:I1070"/>
    <mergeCell ref="J1069:J1070"/>
    <mergeCell ref="J1063:J1064"/>
    <mergeCell ref="D1065:D1066"/>
    <mergeCell ref="E1065:E1066"/>
    <mergeCell ref="F1065:F1066"/>
    <mergeCell ref="H1065:H1066"/>
    <mergeCell ref="I1065:I1066"/>
    <mergeCell ref="J1065:J1066"/>
    <mergeCell ref="C1063:C1072"/>
    <mergeCell ref="D1063:D1064"/>
    <mergeCell ref="E1063:E1064"/>
    <mergeCell ref="F1063:F1064"/>
    <mergeCell ref="H1063:H1064"/>
    <mergeCell ref="I1063:I1064"/>
    <mergeCell ref="D1067:D1068"/>
    <mergeCell ref="E1067:E1068"/>
    <mergeCell ref="F1067:F1068"/>
    <mergeCell ref="H1067:H1068"/>
    <mergeCell ref="D1081:D1082"/>
    <mergeCell ref="E1081:E1082"/>
    <mergeCell ref="F1081:F1082"/>
    <mergeCell ref="H1081:H1082"/>
    <mergeCell ref="I1081:I1082"/>
    <mergeCell ref="J1081:J1082"/>
    <mergeCell ref="I1077:I1078"/>
    <mergeCell ref="J1077:J1078"/>
    <mergeCell ref="D1079:D1080"/>
    <mergeCell ref="E1079:E1080"/>
    <mergeCell ref="F1079:F1080"/>
    <mergeCell ref="H1079:H1080"/>
    <mergeCell ref="I1079:I1080"/>
    <mergeCell ref="J1079:J1080"/>
    <mergeCell ref="J1073:J1074"/>
    <mergeCell ref="D1075:D1076"/>
    <mergeCell ref="E1075:E1076"/>
    <mergeCell ref="F1075:F1076"/>
    <mergeCell ref="H1075:H1076"/>
    <mergeCell ref="I1075:I1076"/>
    <mergeCell ref="J1075:J1076"/>
    <mergeCell ref="C1073:C1082"/>
    <mergeCell ref="D1073:D1074"/>
    <mergeCell ref="E1073:E1074"/>
    <mergeCell ref="F1073:F1074"/>
    <mergeCell ref="H1073:H1074"/>
    <mergeCell ref="I1073:I1074"/>
    <mergeCell ref="D1077:D1078"/>
    <mergeCell ref="E1077:E1078"/>
    <mergeCell ref="F1077:F1078"/>
    <mergeCell ref="H1077:H1078"/>
    <mergeCell ref="D1091:D1092"/>
    <mergeCell ref="E1091:E1092"/>
    <mergeCell ref="F1091:F1092"/>
    <mergeCell ref="H1091:H1092"/>
    <mergeCell ref="I1091:I1092"/>
    <mergeCell ref="J1091:J1092"/>
    <mergeCell ref="I1087:I1088"/>
    <mergeCell ref="J1087:J1088"/>
    <mergeCell ref="D1089:D1090"/>
    <mergeCell ref="E1089:E1090"/>
    <mergeCell ref="F1089:F1090"/>
    <mergeCell ref="H1089:H1090"/>
    <mergeCell ref="I1089:I1090"/>
    <mergeCell ref="J1089:J1090"/>
    <mergeCell ref="J1083:J1084"/>
    <mergeCell ref="D1085:D1086"/>
    <mergeCell ref="E1085:E1086"/>
    <mergeCell ref="F1085:F1086"/>
    <mergeCell ref="H1085:H1086"/>
    <mergeCell ref="I1085:I1086"/>
    <mergeCell ref="J1085:J1086"/>
    <mergeCell ref="C1083:C1092"/>
    <mergeCell ref="D1083:D1084"/>
    <mergeCell ref="E1083:E1084"/>
    <mergeCell ref="F1083:F1084"/>
    <mergeCell ref="H1083:H1084"/>
    <mergeCell ref="I1083:I1084"/>
    <mergeCell ref="D1087:D1088"/>
    <mergeCell ref="E1087:E1088"/>
    <mergeCell ref="F1087:F1088"/>
    <mergeCell ref="H1087:H1088"/>
    <mergeCell ref="D1101:D1102"/>
    <mergeCell ref="E1101:E1102"/>
    <mergeCell ref="F1101:F1102"/>
    <mergeCell ref="H1101:H1102"/>
    <mergeCell ref="I1101:I1102"/>
    <mergeCell ref="J1101:J1102"/>
    <mergeCell ref="I1097:I1098"/>
    <mergeCell ref="J1097:J1098"/>
    <mergeCell ref="D1099:D1100"/>
    <mergeCell ref="E1099:E1100"/>
    <mergeCell ref="F1099:F1100"/>
    <mergeCell ref="H1099:H1100"/>
    <mergeCell ref="I1099:I1100"/>
    <mergeCell ref="J1099:J1100"/>
    <mergeCell ref="J1093:J1094"/>
    <mergeCell ref="D1095:D1096"/>
    <mergeCell ref="E1095:E1096"/>
    <mergeCell ref="F1095:F1096"/>
    <mergeCell ref="H1095:H1096"/>
    <mergeCell ref="I1095:I1096"/>
    <mergeCell ref="J1095:J1096"/>
    <mergeCell ref="C1093:C1102"/>
    <mergeCell ref="D1093:D1094"/>
    <mergeCell ref="E1093:E1094"/>
    <mergeCell ref="F1093:F1094"/>
    <mergeCell ref="H1093:H1094"/>
    <mergeCell ref="I1093:I1094"/>
    <mergeCell ref="D1097:D1098"/>
    <mergeCell ref="E1097:E1098"/>
    <mergeCell ref="F1097:F1098"/>
    <mergeCell ref="H1097:H1098"/>
    <mergeCell ref="D1111:D1112"/>
    <mergeCell ref="E1111:E1112"/>
    <mergeCell ref="F1111:F1112"/>
    <mergeCell ref="H1111:H1112"/>
    <mergeCell ref="I1111:I1112"/>
    <mergeCell ref="J1111:J1112"/>
    <mergeCell ref="I1107:I1108"/>
    <mergeCell ref="J1107:J1108"/>
    <mergeCell ref="D1109:D1110"/>
    <mergeCell ref="E1109:E1110"/>
    <mergeCell ref="F1109:F1110"/>
    <mergeCell ref="H1109:H1110"/>
    <mergeCell ref="I1109:I1110"/>
    <mergeCell ref="J1109:J1110"/>
    <mergeCell ref="J1103:J1104"/>
    <mergeCell ref="D1105:D1106"/>
    <mergeCell ref="E1105:E1106"/>
    <mergeCell ref="F1105:F1106"/>
    <mergeCell ref="H1105:H1106"/>
    <mergeCell ref="I1105:I1106"/>
    <mergeCell ref="J1105:J1106"/>
    <mergeCell ref="C1103:C1112"/>
    <mergeCell ref="D1103:D1104"/>
    <mergeCell ref="E1103:E1104"/>
    <mergeCell ref="F1103:F1104"/>
    <mergeCell ref="H1103:H1104"/>
    <mergeCell ref="I1103:I1104"/>
    <mergeCell ref="D1107:D1108"/>
    <mergeCell ref="E1107:E1108"/>
    <mergeCell ref="F1107:F1108"/>
    <mergeCell ref="H1107:H1108"/>
    <mergeCell ref="D1121:D1122"/>
    <mergeCell ref="E1121:E1122"/>
    <mergeCell ref="F1121:F1122"/>
    <mergeCell ref="H1121:H1122"/>
    <mergeCell ref="I1121:I1122"/>
    <mergeCell ref="J1121:J1122"/>
    <mergeCell ref="I1117:I1118"/>
    <mergeCell ref="J1117:J1118"/>
    <mergeCell ref="D1119:D1120"/>
    <mergeCell ref="E1119:E1120"/>
    <mergeCell ref="F1119:F1120"/>
    <mergeCell ref="H1119:H1120"/>
    <mergeCell ref="I1119:I1120"/>
    <mergeCell ref="J1119:J1120"/>
    <mergeCell ref="J1113:J1114"/>
    <mergeCell ref="D1115:D1116"/>
    <mergeCell ref="E1115:E1116"/>
    <mergeCell ref="F1115:F1116"/>
    <mergeCell ref="H1115:H1116"/>
    <mergeCell ref="I1115:I1116"/>
    <mergeCell ref="J1115:J1116"/>
    <mergeCell ref="C1113:C1122"/>
    <mergeCell ref="D1113:D1114"/>
    <mergeCell ref="E1113:E1114"/>
    <mergeCell ref="F1113:F1114"/>
    <mergeCell ref="H1113:H1114"/>
    <mergeCell ref="I1113:I1114"/>
    <mergeCell ref="D1117:D1118"/>
    <mergeCell ref="E1117:E1118"/>
    <mergeCell ref="F1117:F1118"/>
    <mergeCell ref="H1117:H1118"/>
    <mergeCell ref="D1131:D1132"/>
    <mergeCell ref="E1131:E1132"/>
    <mergeCell ref="F1131:F1132"/>
    <mergeCell ref="H1131:H1132"/>
    <mergeCell ref="I1131:I1132"/>
    <mergeCell ref="J1131:J1132"/>
    <mergeCell ref="I1127:I1128"/>
    <mergeCell ref="J1127:J1128"/>
    <mergeCell ref="D1129:D1130"/>
    <mergeCell ref="E1129:E1130"/>
    <mergeCell ref="F1129:F1130"/>
    <mergeCell ref="H1129:H1130"/>
    <mergeCell ref="I1129:I1130"/>
    <mergeCell ref="J1129:J1130"/>
    <mergeCell ref="J1123:J1124"/>
    <mergeCell ref="D1125:D1126"/>
    <mergeCell ref="E1125:E1126"/>
    <mergeCell ref="F1125:F1126"/>
    <mergeCell ref="H1125:H1126"/>
    <mergeCell ref="I1125:I1126"/>
    <mergeCell ref="J1125:J1126"/>
    <mergeCell ref="C1123:C1132"/>
    <mergeCell ref="D1123:D1124"/>
    <mergeCell ref="E1123:E1124"/>
    <mergeCell ref="F1123:F1124"/>
    <mergeCell ref="H1123:H1124"/>
    <mergeCell ref="I1123:I1124"/>
    <mergeCell ref="D1127:D1128"/>
    <mergeCell ref="E1127:E1128"/>
    <mergeCell ref="F1127:F1128"/>
    <mergeCell ref="H1127:H1128"/>
    <mergeCell ref="D1141:D1142"/>
    <mergeCell ref="E1141:E1142"/>
    <mergeCell ref="F1141:F1142"/>
    <mergeCell ref="H1141:H1142"/>
    <mergeCell ref="I1141:I1142"/>
    <mergeCell ref="J1141:J1142"/>
    <mergeCell ref="I1137:I1138"/>
    <mergeCell ref="J1137:J1138"/>
    <mergeCell ref="D1139:D1140"/>
    <mergeCell ref="E1139:E1140"/>
    <mergeCell ref="F1139:F1140"/>
    <mergeCell ref="H1139:H1140"/>
    <mergeCell ref="I1139:I1140"/>
    <mergeCell ref="J1139:J1140"/>
    <mergeCell ref="J1133:J1134"/>
    <mergeCell ref="D1135:D1136"/>
    <mergeCell ref="E1135:E1136"/>
    <mergeCell ref="F1135:F1136"/>
    <mergeCell ref="H1135:H1136"/>
    <mergeCell ref="I1135:I1136"/>
    <mergeCell ref="J1135:J1136"/>
    <mergeCell ref="C1133:C1142"/>
    <mergeCell ref="D1133:D1134"/>
    <mergeCell ref="E1133:E1134"/>
    <mergeCell ref="F1133:F1134"/>
    <mergeCell ref="H1133:H1134"/>
    <mergeCell ref="I1133:I1134"/>
    <mergeCell ref="D1137:D1138"/>
    <mergeCell ref="E1137:E1138"/>
    <mergeCell ref="F1137:F1138"/>
    <mergeCell ref="H1137:H1138"/>
    <mergeCell ref="D1151:D1152"/>
    <mergeCell ref="E1151:E1152"/>
    <mergeCell ref="F1151:F1152"/>
    <mergeCell ref="H1151:H1152"/>
    <mergeCell ref="I1151:I1152"/>
    <mergeCell ref="J1151:J1152"/>
    <mergeCell ref="I1147:I1148"/>
    <mergeCell ref="J1147:J1148"/>
    <mergeCell ref="D1149:D1150"/>
    <mergeCell ref="E1149:E1150"/>
    <mergeCell ref="F1149:F1150"/>
    <mergeCell ref="H1149:H1150"/>
    <mergeCell ref="I1149:I1150"/>
    <mergeCell ref="J1149:J1150"/>
    <mergeCell ref="I1143:I1144"/>
    <mergeCell ref="J1143:J1144"/>
    <mergeCell ref="D1145:D1146"/>
    <mergeCell ref="E1145:E1146"/>
    <mergeCell ref="F1145:F1146"/>
    <mergeCell ref="H1145:H1146"/>
    <mergeCell ref="I1145:I1146"/>
    <mergeCell ref="J1145:J1146"/>
    <mergeCell ref="B1143:B1233"/>
    <mergeCell ref="C1143:C1152"/>
    <mergeCell ref="D1143:D1144"/>
    <mergeCell ref="E1143:E1144"/>
    <mergeCell ref="F1143:F1144"/>
    <mergeCell ref="H1143:H1144"/>
    <mergeCell ref="D1147:D1148"/>
    <mergeCell ref="E1147:E1148"/>
    <mergeCell ref="F1147:F1148"/>
    <mergeCell ref="H1147:H1148"/>
    <mergeCell ref="D1161:D1162"/>
    <mergeCell ref="E1161:E1162"/>
    <mergeCell ref="F1161:F1162"/>
    <mergeCell ref="H1161:H1162"/>
    <mergeCell ref="I1161:I1162"/>
    <mergeCell ref="J1161:J1162"/>
    <mergeCell ref="I1157:I1158"/>
    <mergeCell ref="J1157:J1158"/>
    <mergeCell ref="D1159:D1160"/>
    <mergeCell ref="E1159:E1160"/>
    <mergeCell ref="F1159:F1160"/>
    <mergeCell ref="H1159:H1160"/>
    <mergeCell ref="I1159:I1160"/>
    <mergeCell ref="J1159:J1160"/>
    <mergeCell ref="J1153:J1154"/>
    <mergeCell ref="D1155:D1156"/>
    <mergeCell ref="E1155:E1156"/>
    <mergeCell ref="F1155:F1156"/>
    <mergeCell ref="H1155:H1156"/>
    <mergeCell ref="I1155:I1156"/>
    <mergeCell ref="J1155:J1156"/>
    <mergeCell ref="C1153:C1162"/>
    <mergeCell ref="D1153:D1154"/>
    <mergeCell ref="E1153:E1154"/>
    <mergeCell ref="F1153:F1154"/>
    <mergeCell ref="H1153:H1154"/>
    <mergeCell ref="I1153:I1154"/>
    <mergeCell ref="D1157:D1158"/>
    <mergeCell ref="E1157:E1158"/>
    <mergeCell ref="F1157:F1158"/>
    <mergeCell ref="H1157:H1158"/>
    <mergeCell ref="D1172:D1173"/>
    <mergeCell ref="E1172:E1173"/>
    <mergeCell ref="F1172:F1173"/>
    <mergeCell ref="H1172:H1173"/>
    <mergeCell ref="I1172:I1173"/>
    <mergeCell ref="J1172:J1173"/>
    <mergeCell ref="I1168:I1169"/>
    <mergeCell ref="J1168:J1169"/>
    <mergeCell ref="D1170:D1171"/>
    <mergeCell ref="E1170:E1171"/>
    <mergeCell ref="F1170:F1171"/>
    <mergeCell ref="H1170:H1171"/>
    <mergeCell ref="I1170:I1171"/>
    <mergeCell ref="J1170:J1171"/>
    <mergeCell ref="J1163:J1164"/>
    <mergeCell ref="D1165:D1166"/>
    <mergeCell ref="E1165:E1166"/>
    <mergeCell ref="F1165:F1166"/>
    <mergeCell ref="H1165:H1166"/>
    <mergeCell ref="I1165:I1166"/>
    <mergeCell ref="J1165:J1166"/>
    <mergeCell ref="C1163:C1173"/>
    <mergeCell ref="D1163:D1164"/>
    <mergeCell ref="E1163:E1164"/>
    <mergeCell ref="F1163:F1164"/>
    <mergeCell ref="H1163:H1164"/>
    <mergeCell ref="I1163:I1164"/>
    <mergeCell ref="D1168:D1169"/>
    <mergeCell ref="E1168:E1169"/>
    <mergeCell ref="F1168:F1169"/>
    <mergeCell ref="H1168:H1169"/>
    <mergeCell ref="D1182:D1183"/>
    <mergeCell ref="E1182:E1183"/>
    <mergeCell ref="F1182:F1183"/>
    <mergeCell ref="H1182:H1183"/>
    <mergeCell ref="I1182:I1183"/>
    <mergeCell ref="J1182:J1183"/>
    <mergeCell ref="I1178:I1179"/>
    <mergeCell ref="J1178:J1179"/>
    <mergeCell ref="D1180:D1181"/>
    <mergeCell ref="E1180:E1181"/>
    <mergeCell ref="F1180:F1181"/>
    <mergeCell ref="H1180:H1181"/>
    <mergeCell ref="I1180:I1181"/>
    <mergeCell ref="J1180:J1181"/>
    <mergeCell ref="J1174:J1175"/>
    <mergeCell ref="D1176:D1177"/>
    <mergeCell ref="E1176:E1177"/>
    <mergeCell ref="F1176:F1177"/>
    <mergeCell ref="H1176:H1177"/>
    <mergeCell ref="I1176:I1177"/>
    <mergeCell ref="J1176:J1177"/>
    <mergeCell ref="C1174:C1183"/>
    <mergeCell ref="D1174:D1175"/>
    <mergeCell ref="E1174:E1175"/>
    <mergeCell ref="F1174:F1175"/>
    <mergeCell ref="H1174:H1175"/>
    <mergeCell ref="I1174:I1175"/>
    <mergeCell ref="D1178:D1179"/>
    <mergeCell ref="E1178:E1179"/>
    <mergeCell ref="F1178:F1179"/>
    <mergeCell ref="H1178:H1179"/>
    <mergeCell ref="D1192:D1193"/>
    <mergeCell ref="E1192:E1193"/>
    <mergeCell ref="F1192:F1193"/>
    <mergeCell ref="H1192:H1193"/>
    <mergeCell ref="I1192:I1193"/>
    <mergeCell ref="J1192:J1193"/>
    <mergeCell ref="I1188:I1189"/>
    <mergeCell ref="J1188:J1189"/>
    <mergeCell ref="D1190:D1191"/>
    <mergeCell ref="E1190:E1191"/>
    <mergeCell ref="F1190:F1191"/>
    <mergeCell ref="H1190:H1191"/>
    <mergeCell ref="I1190:I1191"/>
    <mergeCell ref="J1190:J1191"/>
    <mergeCell ref="J1184:J1185"/>
    <mergeCell ref="D1186:D1187"/>
    <mergeCell ref="E1186:E1187"/>
    <mergeCell ref="F1186:F1187"/>
    <mergeCell ref="H1186:H1187"/>
    <mergeCell ref="I1186:I1187"/>
    <mergeCell ref="J1186:J1187"/>
    <mergeCell ref="C1184:C1193"/>
    <mergeCell ref="D1184:D1185"/>
    <mergeCell ref="E1184:E1185"/>
    <mergeCell ref="F1184:F1185"/>
    <mergeCell ref="H1184:H1185"/>
    <mergeCell ref="I1184:I1185"/>
    <mergeCell ref="D1188:D1189"/>
    <mergeCell ref="E1188:E1189"/>
    <mergeCell ref="F1188:F1189"/>
    <mergeCell ref="H1188:H1189"/>
    <mergeCell ref="D1202:D1203"/>
    <mergeCell ref="E1202:E1203"/>
    <mergeCell ref="F1202:F1203"/>
    <mergeCell ref="H1202:H1203"/>
    <mergeCell ref="I1202:I1203"/>
    <mergeCell ref="J1202:J1203"/>
    <mergeCell ref="I1198:I1199"/>
    <mergeCell ref="J1198:J1199"/>
    <mergeCell ref="D1200:D1201"/>
    <mergeCell ref="E1200:E1201"/>
    <mergeCell ref="F1200:F1201"/>
    <mergeCell ref="H1200:H1201"/>
    <mergeCell ref="I1200:I1201"/>
    <mergeCell ref="J1200:J1201"/>
    <mergeCell ref="J1194:J1195"/>
    <mergeCell ref="D1196:D1197"/>
    <mergeCell ref="E1196:E1197"/>
    <mergeCell ref="F1196:F1197"/>
    <mergeCell ref="H1196:H1197"/>
    <mergeCell ref="I1196:I1197"/>
    <mergeCell ref="J1196:J1197"/>
    <mergeCell ref="C1194:C1203"/>
    <mergeCell ref="D1194:D1195"/>
    <mergeCell ref="E1194:E1195"/>
    <mergeCell ref="F1194:F1195"/>
    <mergeCell ref="H1194:H1195"/>
    <mergeCell ref="I1194:I1195"/>
    <mergeCell ref="D1198:D1199"/>
    <mergeCell ref="E1198:E1199"/>
    <mergeCell ref="F1198:F1199"/>
    <mergeCell ref="H1198:H1199"/>
    <mergeCell ref="D1212:D1213"/>
    <mergeCell ref="E1212:E1213"/>
    <mergeCell ref="F1212:F1213"/>
    <mergeCell ref="H1212:H1213"/>
    <mergeCell ref="I1212:I1213"/>
    <mergeCell ref="J1212:J1213"/>
    <mergeCell ref="I1208:I1209"/>
    <mergeCell ref="J1208:J1209"/>
    <mergeCell ref="D1210:D1211"/>
    <mergeCell ref="E1210:E1211"/>
    <mergeCell ref="F1210:F1211"/>
    <mergeCell ref="H1210:H1211"/>
    <mergeCell ref="I1210:I1211"/>
    <mergeCell ref="J1210:J1211"/>
    <mergeCell ref="J1204:J1205"/>
    <mergeCell ref="D1206:D1207"/>
    <mergeCell ref="E1206:E1207"/>
    <mergeCell ref="F1206:F1207"/>
    <mergeCell ref="H1206:H1207"/>
    <mergeCell ref="I1206:I1207"/>
    <mergeCell ref="J1206:J1207"/>
    <mergeCell ref="C1204:C1213"/>
    <mergeCell ref="D1204:D1205"/>
    <mergeCell ref="E1204:E1205"/>
    <mergeCell ref="F1204:F1205"/>
    <mergeCell ref="H1204:H1205"/>
    <mergeCell ref="I1204:I1205"/>
    <mergeCell ref="D1208:D1209"/>
    <mergeCell ref="E1208:E1209"/>
    <mergeCell ref="F1208:F1209"/>
    <mergeCell ref="H1208:H1209"/>
    <mergeCell ref="D1222:D1223"/>
    <mergeCell ref="E1222:E1223"/>
    <mergeCell ref="F1222:F1223"/>
    <mergeCell ref="H1222:H1223"/>
    <mergeCell ref="I1222:I1223"/>
    <mergeCell ref="J1222:J1223"/>
    <mergeCell ref="I1218:I1219"/>
    <mergeCell ref="J1218:J1219"/>
    <mergeCell ref="D1220:D1221"/>
    <mergeCell ref="E1220:E1221"/>
    <mergeCell ref="F1220:F1221"/>
    <mergeCell ref="H1220:H1221"/>
    <mergeCell ref="I1220:I1221"/>
    <mergeCell ref="J1220:J1221"/>
    <mergeCell ref="J1214:J1215"/>
    <mergeCell ref="D1216:D1217"/>
    <mergeCell ref="E1216:E1217"/>
    <mergeCell ref="F1216:F1217"/>
    <mergeCell ref="H1216:H1217"/>
    <mergeCell ref="I1216:I1217"/>
    <mergeCell ref="J1216:J1217"/>
    <mergeCell ref="C1214:C1223"/>
    <mergeCell ref="D1214:D1215"/>
    <mergeCell ref="E1214:E1215"/>
    <mergeCell ref="F1214:F1215"/>
    <mergeCell ref="H1214:H1215"/>
    <mergeCell ref="I1214:I1215"/>
    <mergeCell ref="D1218:D1219"/>
    <mergeCell ref="E1218:E1219"/>
    <mergeCell ref="F1218:F1219"/>
    <mergeCell ref="H1218:H1219"/>
    <mergeCell ref="D1232:D1233"/>
    <mergeCell ref="E1232:E1233"/>
    <mergeCell ref="F1232:F1233"/>
    <mergeCell ref="H1232:H1233"/>
    <mergeCell ref="I1232:I1233"/>
    <mergeCell ref="J1232:J1233"/>
    <mergeCell ref="I1228:I1229"/>
    <mergeCell ref="J1228:J1229"/>
    <mergeCell ref="D1230:D1231"/>
    <mergeCell ref="E1230:E1231"/>
    <mergeCell ref="F1230:F1231"/>
    <mergeCell ref="H1230:H1231"/>
    <mergeCell ref="I1230:I1231"/>
    <mergeCell ref="J1230:J1231"/>
    <mergeCell ref="J1224:J1225"/>
    <mergeCell ref="D1226:D1227"/>
    <mergeCell ref="E1226:E1227"/>
    <mergeCell ref="F1226:F1227"/>
    <mergeCell ref="H1226:H1227"/>
    <mergeCell ref="I1226:I1227"/>
    <mergeCell ref="J1226:J1227"/>
    <mergeCell ref="C1224:C1233"/>
    <mergeCell ref="D1224:D1225"/>
    <mergeCell ref="E1224:E1225"/>
    <mergeCell ref="F1224:F1225"/>
    <mergeCell ref="H1224:H1225"/>
    <mergeCell ref="I1224:I1225"/>
    <mergeCell ref="D1228:D1229"/>
    <mergeCell ref="E1228:E1229"/>
    <mergeCell ref="F1228:F1229"/>
    <mergeCell ref="H1228:H1229"/>
    <mergeCell ref="D1242:D1243"/>
    <mergeCell ref="E1242:E1243"/>
    <mergeCell ref="F1242:F1243"/>
    <mergeCell ref="H1242:H1243"/>
    <mergeCell ref="I1242:I1243"/>
    <mergeCell ref="J1242:J1243"/>
    <mergeCell ref="I1238:I1239"/>
    <mergeCell ref="J1238:J1239"/>
    <mergeCell ref="D1240:D1241"/>
    <mergeCell ref="E1240:E1241"/>
    <mergeCell ref="F1240:F1241"/>
    <mergeCell ref="H1240:H1241"/>
    <mergeCell ref="I1240:I1241"/>
    <mergeCell ref="J1240:J1241"/>
    <mergeCell ref="I1234:I1235"/>
    <mergeCell ref="J1234:J1235"/>
    <mergeCell ref="D1236:D1237"/>
    <mergeCell ref="E1236:E1237"/>
    <mergeCell ref="F1236:F1237"/>
    <mergeCell ref="H1236:H1237"/>
    <mergeCell ref="I1236:I1237"/>
    <mergeCell ref="J1236:J1237"/>
    <mergeCell ref="B1234:B1283"/>
    <mergeCell ref="C1234:C1243"/>
    <mergeCell ref="D1234:D1235"/>
    <mergeCell ref="E1234:E1235"/>
    <mergeCell ref="F1234:F1235"/>
    <mergeCell ref="H1234:H1235"/>
    <mergeCell ref="D1238:D1239"/>
    <mergeCell ref="E1238:E1239"/>
    <mergeCell ref="F1238:F1239"/>
    <mergeCell ref="H1238:H1239"/>
    <mergeCell ref="D1252:D1253"/>
    <mergeCell ref="E1252:E1253"/>
    <mergeCell ref="F1252:F1253"/>
    <mergeCell ref="H1252:H1253"/>
    <mergeCell ref="I1252:I1253"/>
    <mergeCell ref="J1252:J1253"/>
    <mergeCell ref="I1248:I1249"/>
    <mergeCell ref="J1248:J1249"/>
    <mergeCell ref="D1250:D1251"/>
    <mergeCell ref="E1250:E1251"/>
    <mergeCell ref="F1250:F1251"/>
    <mergeCell ref="H1250:H1251"/>
    <mergeCell ref="I1250:I1251"/>
    <mergeCell ref="J1250:J1251"/>
    <mergeCell ref="J1244:J1245"/>
    <mergeCell ref="D1246:D1247"/>
    <mergeCell ref="E1246:E1247"/>
    <mergeCell ref="F1246:F1247"/>
    <mergeCell ref="H1246:H1247"/>
    <mergeCell ref="I1246:I1247"/>
    <mergeCell ref="J1246:J1247"/>
    <mergeCell ref="C1244:C1253"/>
    <mergeCell ref="D1244:D1245"/>
    <mergeCell ref="E1244:E1245"/>
    <mergeCell ref="F1244:F1245"/>
    <mergeCell ref="H1244:H1245"/>
    <mergeCell ref="I1244:I1245"/>
    <mergeCell ref="D1248:D1249"/>
    <mergeCell ref="E1248:E1249"/>
    <mergeCell ref="F1248:F1249"/>
    <mergeCell ref="H1248:H1249"/>
    <mergeCell ref="D1262:D1263"/>
    <mergeCell ref="E1262:E1263"/>
    <mergeCell ref="F1262:F1263"/>
    <mergeCell ref="H1262:H1263"/>
    <mergeCell ref="I1262:I1263"/>
    <mergeCell ref="J1262:J1263"/>
    <mergeCell ref="I1258:I1259"/>
    <mergeCell ref="J1258:J1259"/>
    <mergeCell ref="D1260:D1261"/>
    <mergeCell ref="E1260:E1261"/>
    <mergeCell ref="F1260:F1261"/>
    <mergeCell ref="H1260:H1261"/>
    <mergeCell ref="I1260:I1261"/>
    <mergeCell ref="J1260:J1261"/>
    <mergeCell ref="J1254:J1255"/>
    <mergeCell ref="D1256:D1257"/>
    <mergeCell ref="E1256:E1257"/>
    <mergeCell ref="F1256:F1257"/>
    <mergeCell ref="H1256:H1257"/>
    <mergeCell ref="I1256:I1257"/>
    <mergeCell ref="J1256:J1257"/>
    <mergeCell ref="C1254:C1263"/>
    <mergeCell ref="D1254:D1255"/>
    <mergeCell ref="E1254:E1255"/>
    <mergeCell ref="F1254:F1255"/>
    <mergeCell ref="H1254:H1255"/>
    <mergeCell ref="I1254:I1255"/>
    <mergeCell ref="D1258:D1259"/>
    <mergeCell ref="E1258:E1259"/>
    <mergeCell ref="F1258:F1259"/>
    <mergeCell ref="H1258:H1259"/>
    <mergeCell ref="D1272:D1273"/>
    <mergeCell ref="E1272:E1273"/>
    <mergeCell ref="F1272:F1273"/>
    <mergeCell ref="H1272:H1273"/>
    <mergeCell ref="I1272:I1273"/>
    <mergeCell ref="J1272:J1273"/>
    <mergeCell ref="I1268:I1269"/>
    <mergeCell ref="J1268:J1269"/>
    <mergeCell ref="D1270:D1271"/>
    <mergeCell ref="E1270:E1271"/>
    <mergeCell ref="F1270:F1271"/>
    <mergeCell ref="H1270:H1271"/>
    <mergeCell ref="I1270:I1271"/>
    <mergeCell ref="J1270:J1271"/>
    <mergeCell ref="J1264:J1265"/>
    <mergeCell ref="D1266:D1267"/>
    <mergeCell ref="E1266:E1267"/>
    <mergeCell ref="F1266:F1267"/>
    <mergeCell ref="H1266:H1267"/>
    <mergeCell ref="I1266:I1267"/>
    <mergeCell ref="J1266:J1267"/>
    <mergeCell ref="C1264:C1273"/>
    <mergeCell ref="D1264:D1265"/>
    <mergeCell ref="E1264:E1265"/>
    <mergeCell ref="F1264:F1265"/>
    <mergeCell ref="H1264:H1265"/>
    <mergeCell ref="I1264:I1265"/>
    <mergeCell ref="D1268:D1269"/>
    <mergeCell ref="E1268:E1269"/>
    <mergeCell ref="F1268:F1269"/>
    <mergeCell ref="H1268:H1269"/>
    <mergeCell ref="D1282:D1283"/>
    <mergeCell ref="E1282:E1283"/>
    <mergeCell ref="F1282:F1283"/>
    <mergeCell ref="H1282:H1283"/>
    <mergeCell ref="I1282:I1283"/>
    <mergeCell ref="J1282:J1283"/>
    <mergeCell ref="D1280:D1281"/>
    <mergeCell ref="E1280:E1281"/>
    <mergeCell ref="F1280:F1281"/>
    <mergeCell ref="H1280:H1281"/>
    <mergeCell ref="I1280:I1281"/>
    <mergeCell ref="J1280:J1281"/>
    <mergeCell ref="D1278:D1279"/>
    <mergeCell ref="E1278:E1279"/>
    <mergeCell ref="F1278:F1279"/>
    <mergeCell ref="H1278:H1279"/>
    <mergeCell ref="I1278:I1279"/>
    <mergeCell ref="J1278:J1279"/>
    <mergeCell ref="J1274:J1275"/>
    <mergeCell ref="D1276:D1277"/>
    <mergeCell ref="E1276:E1277"/>
    <mergeCell ref="F1276:F1277"/>
    <mergeCell ref="H1276:H1277"/>
    <mergeCell ref="I1276:I1277"/>
    <mergeCell ref="J1276:J1277"/>
    <mergeCell ref="B963:B1052"/>
    <mergeCell ref="D250:D251"/>
    <mergeCell ref="I2:I3"/>
    <mergeCell ref="H4:H5"/>
    <mergeCell ref="C1274:C1283"/>
    <mergeCell ref="D1274:D1275"/>
    <mergeCell ref="E1274:E1275"/>
    <mergeCell ref="F1274:F1275"/>
    <mergeCell ref="H1274:H1275"/>
    <mergeCell ref="I1274:I1275"/>
  </mergeCells>
  <dataValidations count="2">
    <dataValidation type="list" allowBlank="1" showInputMessage="1" showErrorMessage="1" sqref="J2:J3 I1:I1048576" xr:uid="{7D44F502-4DC0-4167-A188-1489FE7C5BCB}">
      <formula1>"Faible, Moyenne, Elevée"</formula1>
    </dataValidation>
    <dataValidation type="list" allowBlank="1" showInputMessage="1" showErrorMessage="1" sqref="F1:F1048576" xr:uid="{1429887D-41D2-43EE-8621-C56339604747}">
      <formula1>"OUI, NON, PAS"</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3376-957D-4BAF-BA6D-A84263672194}">
  <dimension ref="A1:K321"/>
  <sheetViews>
    <sheetView topLeftCell="E306" zoomScale="80" zoomScaleNormal="80" workbookViewId="0">
      <selection activeCell="E12" sqref="E12:E13"/>
    </sheetView>
  </sheetViews>
  <sheetFormatPr baseColWidth="10" defaultRowHeight="14.5"/>
  <cols>
    <col min="2" max="2" width="46.7265625" customWidth="1"/>
    <col min="3" max="3" width="69" customWidth="1"/>
    <col min="4" max="4" width="65.1796875" style="34" customWidth="1"/>
    <col min="5" max="5" width="55.6328125" customWidth="1"/>
    <col min="7" max="7" width="32.54296875" customWidth="1"/>
    <col min="8" max="8" width="54.81640625" customWidth="1"/>
    <col min="9" max="9" width="15" customWidth="1"/>
    <col min="10" max="10" width="60.1796875" customWidth="1"/>
    <col min="11" max="11" width="65.81640625" customWidth="1"/>
  </cols>
  <sheetData>
    <row r="1" spans="1:11" s="11" customFormat="1" ht="15.5">
      <c r="A1" s="10" t="s">
        <v>0</v>
      </c>
      <c r="B1" s="30" t="s">
        <v>1</v>
      </c>
      <c r="C1" s="11" t="s">
        <v>8527</v>
      </c>
      <c r="D1" s="31" t="s">
        <v>9982</v>
      </c>
      <c r="E1" s="32" t="s">
        <v>4</v>
      </c>
      <c r="F1" s="11" t="s">
        <v>5</v>
      </c>
      <c r="G1" s="11" t="s">
        <v>6</v>
      </c>
      <c r="H1" s="11" t="s">
        <v>7</v>
      </c>
      <c r="I1" s="11" t="s">
        <v>8</v>
      </c>
      <c r="J1" s="11" t="s">
        <v>9</v>
      </c>
      <c r="K1" s="11" t="s">
        <v>10</v>
      </c>
    </row>
    <row r="2" spans="1:11" s="22" customFormat="1" ht="15.75" customHeight="1">
      <c r="A2" s="33"/>
      <c r="B2" s="49" t="s">
        <v>9983</v>
      </c>
      <c r="C2" s="82" t="s">
        <v>9984</v>
      </c>
      <c r="D2" s="82" t="s">
        <v>9985</v>
      </c>
      <c r="E2" s="84" t="s">
        <v>9986</v>
      </c>
      <c r="F2" s="76" t="s">
        <v>38</v>
      </c>
      <c r="G2" s="22" t="s">
        <v>9434</v>
      </c>
      <c r="H2" s="76" t="s">
        <v>9987</v>
      </c>
      <c r="I2" s="76" t="s">
        <v>33</v>
      </c>
      <c r="J2" s="76" t="s">
        <v>9988</v>
      </c>
      <c r="K2" s="34" t="s">
        <v>9989</v>
      </c>
    </row>
    <row r="3" spans="1:11" s="22" customFormat="1" ht="15.5">
      <c r="A3" s="33"/>
      <c r="B3" s="87"/>
      <c r="C3" s="86"/>
      <c r="D3" s="83"/>
      <c r="E3" s="85"/>
      <c r="F3" s="77"/>
      <c r="G3" s="22" t="s">
        <v>9466</v>
      </c>
      <c r="H3" s="77"/>
      <c r="I3" s="77"/>
      <c r="J3" s="77"/>
      <c r="K3" s="34" t="s">
        <v>9990</v>
      </c>
    </row>
    <row r="4" spans="1:11" s="22" customFormat="1" ht="15.5">
      <c r="A4" s="33"/>
      <c r="B4" s="87"/>
      <c r="C4" s="86"/>
      <c r="D4" s="82" t="s">
        <v>9991</v>
      </c>
      <c r="E4" s="84" t="s">
        <v>9992</v>
      </c>
      <c r="F4" s="49" t="s">
        <v>38</v>
      </c>
      <c r="G4" s="22" t="s">
        <v>9993</v>
      </c>
      <c r="H4" s="49" t="s">
        <v>9994</v>
      </c>
      <c r="I4" s="49" t="s">
        <v>33</v>
      </c>
      <c r="J4" s="49" t="s">
        <v>9995</v>
      </c>
      <c r="K4" s="34" t="s">
        <v>9996</v>
      </c>
    </row>
    <row r="5" spans="1:11" s="22" customFormat="1" ht="15.5">
      <c r="A5" s="33"/>
      <c r="B5" s="87"/>
      <c r="C5" s="86"/>
      <c r="D5" s="83"/>
      <c r="E5" s="85"/>
      <c r="F5" s="50"/>
      <c r="G5" s="22" t="s">
        <v>9997</v>
      </c>
      <c r="H5" s="50"/>
      <c r="I5" s="50"/>
      <c r="J5" s="50"/>
      <c r="K5" s="34" t="s">
        <v>9998</v>
      </c>
    </row>
    <row r="6" spans="1:11" s="22" customFormat="1" ht="15.5">
      <c r="A6" s="33"/>
      <c r="B6" s="87"/>
      <c r="C6" s="86"/>
      <c r="D6" s="82" t="s">
        <v>9999</v>
      </c>
      <c r="E6" s="84" t="s">
        <v>10000</v>
      </c>
      <c r="F6" s="49" t="s">
        <v>16</v>
      </c>
      <c r="G6" s="22" t="s">
        <v>10001</v>
      </c>
      <c r="H6" s="49" t="s">
        <v>10002</v>
      </c>
      <c r="I6" s="49" t="s">
        <v>19</v>
      </c>
      <c r="J6" s="49" t="s">
        <v>10003</v>
      </c>
      <c r="K6" s="34" t="s">
        <v>10004</v>
      </c>
    </row>
    <row r="7" spans="1:11" s="22" customFormat="1" ht="15.5">
      <c r="A7" s="33"/>
      <c r="B7" s="87"/>
      <c r="C7" s="86"/>
      <c r="D7" s="83"/>
      <c r="E7" s="85"/>
      <c r="F7" s="50"/>
      <c r="G7" s="22" t="s">
        <v>10005</v>
      </c>
      <c r="H7" s="50"/>
      <c r="I7" s="50"/>
      <c r="J7" s="50"/>
      <c r="K7" s="34" t="s">
        <v>10006</v>
      </c>
    </row>
    <row r="8" spans="1:11" s="22" customFormat="1" ht="15.5">
      <c r="A8" s="33"/>
      <c r="B8" s="87"/>
      <c r="C8" s="86"/>
      <c r="D8" s="82" t="s">
        <v>10007</v>
      </c>
      <c r="E8" s="84" t="s">
        <v>10008</v>
      </c>
      <c r="F8" s="49" t="s">
        <v>16</v>
      </c>
      <c r="G8" s="22" t="s">
        <v>10009</v>
      </c>
      <c r="H8" s="49" t="s">
        <v>10010</v>
      </c>
      <c r="I8" s="49" t="s">
        <v>19</v>
      </c>
      <c r="J8" s="49" t="s">
        <v>10011</v>
      </c>
      <c r="K8" s="34" t="s">
        <v>10012</v>
      </c>
    </row>
    <row r="9" spans="1:11" s="22" customFormat="1" ht="15.5">
      <c r="A9" s="33"/>
      <c r="B9" s="87"/>
      <c r="C9" s="86"/>
      <c r="D9" s="83"/>
      <c r="E9" s="85"/>
      <c r="F9" s="50"/>
      <c r="G9" s="22" t="s">
        <v>10013</v>
      </c>
      <c r="H9" s="50"/>
      <c r="I9" s="50"/>
      <c r="J9" s="50"/>
      <c r="K9" s="34" t="s">
        <v>10014</v>
      </c>
    </row>
    <row r="10" spans="1:11" s="22" customFormat="1" ht="15.5">
      <c r="A10" s="33"/>
      <c r="B10" s="87"/>
      <c r="C10" s="86"/>
      <c r="D10" s="82" t="s">
        <v>10015</v>
      </c>
      <c r="E10" s="84" t="s">
        <v>10016</v>
      </c>
      <c r="F10" s="49" t="s">
        <v>16</v>
      </c>
      <c r="G10" s="22" t="s">
        <v>8626</v>
      </c>
      <c r="H10" s="49" t="s">
        <v>10017</v>
      </c>
      <c r="I10" s="49" t="s">
        <v>41</v>
      </c>
      <c r="J10" s="49" t="s">
        <v>10018</v>
      </c>
      <c r="K10" s="34" t="s">
        <v>10019</v>
      </c>
    </row>
    <row r="11" spans="1:11" s="22" customFormat="1" ht="15.5">
      <c r="A11" s="33"/>
      <c r="B11" s="87"/>
      <c r="C11" s="83"/>
      <c r="D11" s="83"/>
      <c r="E11" s="85"/>
      <c r="F11" s="50"/>
      <c r="G11" s="22" t="s">
        <v>10020</v>
      </c>
      <c r="H11" s="50"/>
      <c r="I11" s="50"/>
      <c r="J11" s="50"/>
      <c r="K11" s="34" t="s">
        <v>10021</v>
      </c>
    </row>
    <row r="12" spans="1:11" s="22" customFormat="1" ht="15.75" customHeight="1">
      <c r="A12" s="33"/>
      <c r="B12" s="87"/>
      <c r="C12" s="82" t="s">
        <v>10022</v>
      </c>
      <c r="D12" s="82" t="s">
        <v>10023</v>
      </c>
      <c r="E12" s="84" t="s">
        <v>10024</v>
      </c>
      <c r="F12" s="49" t="s">
        <v>16</v>
      </c>
      <c r="G12" s="22" t="s">
        <v>10025</v>
      </c>
      <c r="H12" s="49" t="s">
        <v>10026</v>
      </c>
      <c r="I12" s="49" t="s">
        <v>41</v>
      </c>
      <c r="J12" s="49" t="s">
        <v>10027</v>
      </c>
      <c r="K12" s="34" t="s">
        <v>10028</v>
      </c>
    </row>
    <row r="13" spans="1:11" s="22" customFormat="1" ht="15.5">
      <c r="A13" s="33"/>
      <c r="B13" s="87"/>
      <c r="C13" s="86"/>
      <c r="D13" s="83"/>
      <c r="E13" s="85"/>
      <c r="F13" s="50"/>
      <c r="G13" s="22" t="s">
        <v>10029</v>
      </c>
      <c r="H13" s="50"/>
      <c r="I13" s="50"/>
      <c r="J13" s="50"/>
      <c r="K13" s="34" t="s">
        <v>10030</v>
      </c>
    </row>
    <row r="14" spans="1:11" s="22" customFormat="1" ht="15.5">
      <c r="A14" s="33"/>
      <c r="B14" s="87"/>
      <c r="C14" s="86"/>
      <c r="D14" s="82" t="s">
        <v>10031</v>
      </c>
      <c r="E14" s="84" t="s">
        <v>10032</v>
      </c>
      <c r="F14" s="55" t="s">
        <v>16</v>
      </c>
      <c r="G14" s="22" t="s">
        <v>10033</v>
      </c>
      <c r="H14" s="55" t="s">
        <v>10034</v>
      </c>
      <c r="I14" s="55" t="s">
        <v>19</v>
      </c>
      <c r="J14" s="55" t="s">
        <v>10035</v>
      </c>
      <c r="K14" s="34" t="s">
        <v>10036</v>
      </c>
    </row>
    <row r="15" spans="1:11" s="22" customFormat="1" ht="15.5">
      <c r="A15" s="33"/>
      <c r="B15" s="87"/>
      <c r="C15" s="86"/>
      <c r="D15" s="83"/>
      <c r="E15" s="85"/>
      <c r="F15" s="73"/>
      <c r="G15" s="22" t="s">
        <v>10037</v>
      </c>
      <c r="H15" s="73"/>
      <c r="I15" s="73"/>
      <c r="J15" s="73"/>
      <c r="K15" s="34" t="s">
        <v>10038</v>
      </c>
    </row>
    <row r="16" spans="1:11" s="22" customFormat="1" ht="15.5">
      <c r="A16" s="33"/>
      <c r="B16" s="87"/>
      <c r="C16" s="86"/>
      <c r="D16" s="82" t="s">
        <v>10039</v>
      </c>
      <c r="E16" s="84" t="s">
        <v>10040</v>
      </c>
      <c r="F16" s="73" t="s">
        <v>38</v>
      </c>
      <c r="G16" s="22" t="s">
        <v>10041</v>
      </c>
      <c r="H16" s="73" t="s">
        <v>10042</v>
      </c>
      <c r="I16" s="73" t="s">
        <v>19</v>
      </c>
      <c r="J16" s="73" t="s">
        <v>10043</v>
      </c>
      <c r="K16" s="34" t="s">
        <v>10044</v>
      </c>
    </row>
    <row r="17" spans="1:11" s="22" customFormat="1" ht="15.5">
      <c r="A17" s="33"/>
      <c r="B17" s="87"/>
      <c r="C17" s="86"/>
      <c r="D17" s="83"/>
      <c r="E17" s="85"/>
      <c r="F17" s="56"/>
      <c r="G17" s="22" t="s">
        <v>10045</v>
      </c>
      <c r="H17" s="56"/>
      <c r="I17" s="56"/>
      <c r="J17" s="56"/>
      <c r="K17" s="34" t="s">
        <v>10046</v>
      </c>
    </row>
    <row r="18" spans="1:11" s="22" customFormat="1" ht="15.5">
      <c r="A18" s="33"/>
      <c r="B18" s="87"/>
      <c r="C18" s="86"/>
      <c r="D18" s="82" t="s">
        <v>10047</v>
      </c>
      <c r="E18" s="84" t="s">
        <v>10048</v>
      </c>
      <c r="F18" s="55" t="s">
        <v>38</v>
      </c>
      <c r="G18" s="22" t="s">
        <v>10049</v>
      </c>
      <c r="H18" s="55" t="s">
        <v>10050</v>
      </c>
      <c r="I18" s="55" t="s">
        <v>19</v>
      </c>
      <c r="J18" s="55" t="s">
        <v>10051</v>
      </c>
      <c r="K18" s="34" t="s">
        <v>10052</v>
      </c>
    </row>
    <row r="19" spans="1:11" s="22" customFormat="1" ht="15.5">
      <c r="A19" s="33"/>
      <c r="B19" s="87"/>
      <c r="C19" s="86"/>
      <c r="D19" s="83"/>
      <c r="E19" s="85"/>
      <c r="F19" s="56"/>
      <c r="G19" s="22" t="s">
        <v>10053</v>
      </c>
      <c r="H19" s="56"/>
      <c r="I19" s="56"/>
      <c r="J19" s="56"/>
      <c r="K19" s="34" t="s">
        <v>10054</v>
      </c>
    </row>
    <row r="20" spans="1:11" s="22" customFormat="1" ht="15.5">
      <c r="A20" s="33"/>
      <c r="B20" s="87"/>
      <c r="C20" s="86"/>
      <c r="D20" s="82" t="s">
        <v>10055</v>
      </c>
      <c r="E20" s="84" t="s">
        <v>10056</v>
      </c>
      <c r="F20" s="55" t="s">
        <v>38</v>
      </c>
      <c r="G20" s="22" t="s">
        <v>10057</v>
      </c>
      <c r="H20" s="55" t="s">
        <v>10058</v>
      </c>
      <c r="I20" s="55" t="s">
        <v>41</v>
      </c>
      <c r="J20" s="55" t="s">
        <v>10059</v>
      </c>
      <c r="K20" s="34" t="s">
        <v>10060</v>
      </c>
    </row>
    <row r="21" spans="1:11" s="22" customFormat="1" ht="15.5">
      <c r="A21" s="33"/>
      <c r="B21" s="87"/>
      <c r="C21" s="83"/>
      <c r="D21" s="83"/>
      <c r="E21" s="85"/>
      <c r="F21" s="56"/>
      <c r="G21" s="22" t="s">
        <v>10061</v>
      </c>
      <c r="H21" s="56"/>
      <c r="I21" s="56"/>
      <c r="J21" s="56"/>
      <c r="K21" s="34" t="s">
        <v>10062</v>
      </c>
    </row>
    <row r="22" spans="1:11" s="22" customFormat="1" ht="15.75" customHeight="1">
      <c r="A22" s="33"/>
      <c r="B22" s="87"/>
      <c r="C22" s="82" t="s">
        <v>10063</v>
      </c>
      <c r="D22" s="82" t="s">
        <v>10064</v>
      </c>
      <c r="E22" s="84" t="s">
        <v>10065</v>
      </c>
      <c r="F22" s="55" t="s">
        <v>38</v>
      </c>
      <c r="G22" s="22" t="s">
        <v>10066</v>
      </c>
      <c r="H22" s="55" t="s">
        <v>10067</v>
      </c>
      <c r="I22" s="55" t="s">
        <v>41</v>
      </c>
      <c r="J22" s="55" t="s">
        <v>10068</v>
      </c>
      <c r="K22" s="34" t="s">
        <v>10069</v>
      </c>
    </row>
    <row r="23" spans="1:11" s="22" customFormat="1" ht="15.5">
      <c r="A23" s="33"/>
      <c r="B23" s="87"/>
      <c r="C23" s="86"/>
      <c r="D23" s="83"/>
      <c r="E23" s="85"/>
      <c r="F23" s="56"/>
      <c r="G23" s="22" t="s">
        <v>10070</v>
      </c>
      <c r="H23" s="56"/>
      <c r="I23" s="56"/>
      <c r="J23" s="56"/>
      <c r="K23" s="34" t="s">
        <v>10071</v>
      </c>
    </row>
    <row r="24" spans="1:11" s="22" customFormat="1" ht="15.5">
      <c r="A24" s="33"/>
      <c r="B24" s="87"/>
      <c r="C24" s="86"/>
      <c r="D24" s="82" t="s">
        <v>10072</v>
      </c>
      <c r="E24" s="84" t="s">
        <v>10073</v>
      </c>
      <c r="F24" s="49" t="s">
        <v>16</v>
      </c>
      <c r="G24" s="22" t="s">
        <v>10074</v>
      </c>
      <c r="H24" s="49" t="s">
        <v>10075</v>
      </c>
      <c r="I24" s="49" t="s">
        <v>41</v>
      </c>
      <c r="J24" s="49" t="s">
        <v>10076</v>
      </c>
      <c r="K24" s="34" t="s">
        <v>10077</v>
      </c>
    </row>
    <row r="25" spans="1:11" s="22" customFormat="1" ht="15.5">
      <c r="A25" s="33"/>
      <c r="B25" s="87"/>
      <c r="C25" s="86"/>
      <c r="D25" s="83"/>
      <c r="E25" s="85"/>
      <c r="F25" s="50"/>
      <c r="G25" s="22" t="s">
        <v>10078</v>
      </c>
      <c r="H25" s="50"/>
      <c r="I25" s="50"/>
      <c r="J25" s="50"/>
      <c r="K25" s="34" t="s">
        <v>10079</v>
      </c>
    </row>
    <row r="26" spans="1:11" s="22" customFormat="1" ht="15.5">
      <c r="A26" s="33"/>
      <c r="B26" s="87"/>
      <c r="C26" s="86"/>
      <c r="D26" s="82" t="s">
        <v>10080</v>
      </c>
      <c r="E26" s="84" t="s">
        <v>10081</v>
      </c>
      <c r="F26" s="49" t="s">
        <v>16</v>
      </c>
      <c r="G26" s="22" t="s">
        <v>10082</v>
      </c>
      <c r="H26" s="49" t="s">
        <v>10083</v>
      </c>
      <c r="I26" s="49" t="s">
        <v>41</v>
      </c>
      <c r="J26" s="49" t="s">
        <v>10084</v>
      </c>
      <c r="K26" s="34" t="s">
        <v>10085</v>
      </c>
    </row>
    <row r="27" spans="1:11" s="22" customFormat="1" ht="15.5">
      <c r="A27" s="33"/>
      <c r="B27" s="87"/>
      <c r="C27" s="86"/>
      <c r="D27" s="83"/>
      <c r="E27" s="85"/>
      <c r="F27" s="50"/>
      <c r="G27" s="22" t="s">
        <v>10086</v>
      </c>
      <c r="H27" s="50"/>
      <c r="I27" s="50"/>
      <c r="J27" s="50"/>
      <c r="K27" s="34" t="s">
        <v>10087</v>
      </c>
    </row>
    <row r="28" spans="1:11" s="22" customFormat="1" ht="15.5">
      <c r="A28" s="33"/>
      <c r="B28" s="87"/>
      <c r="C28" s="86"/>
      <c r="D28" s="82" t="s">
        <v>10088</v>
      </c>
      <c r="E28" s="84" t="s">
        <v>10089</v>
      </c>
      <c r="F28" s="49" t="s">
        <v>38</v>
      </c>
      <c r="G28" s="22" t="s">
        <v>10090</v>
      </c>
      <c r="H28" s="49" t="s">
        <v>10091</v>
      </c>
      <c r="I28" s="49" t="s">
        <v>19</v>
      </c>
      <c r="J28" s="49" t="s">
        <v>10092</v>
      </c>
      <c r="K28" s="34" t="s">
        <v>10093</v>
      </c>
    </row>
    <row r="29" spans="1:11" s="22" customFormat="1" ht="15.5">
      <c r="A29" s="33"/>
      <c r="B29" s="87"/>
      <c r="C29" s="86"/>
      <c r="D29" s="83"/>
      <c r="E29" s="85"/>
      <c r="F29" s="50"/>
      <c r="G29" s="22" t="s">
        <v>10094</v>
      </c>
      <c r="H29" s="50"/>
      <c r="I29" s="50"/>
      <c r="J29" s="50"/>
      <c r="K29" s="34" t="s">
        <v>10095</v>
      </c>
    </row>
    <row r="30" spans="1:11" s="22" customFormat="1" ht="15.5">
      <c r="A30" s="33"/>
      <c r="B30" s="87"/>
      <c r="C30" s="86"/>
      <c r="D30" s="82" t="s">
        <v>10096</v>
      </c>
      <c r="E30" s="84" t="s">
        <v>10097</v>
      </c>
      <c r="F30" s="49" t="s">
        <v>16</v>
      </c>
      <c r="G30" s="22" t="s">
        <v>10098</v>
      </c>
      <c r="H30" s="49" t="s">
        <v>10099</v>
      </c>
      <c r="I30" s="49" t="s">
        <v>19</v>
      </c>
      <c r="J30" s="49" t="s">
        <v>10100</v>
      </c>
      <c r="K30" s="34" t="s">
        <v>10101</v>
      </c>
    </row>
    <row r="31" spans="1:11" s="22" customFormat="1" ht="15.5">
      <c r="A31" s="33"/>
      <c r="B31" s="87"/>
      <c r="C31" s="83"/>
      <c r="D31" s="83"/>
      <c r="E31" s="85"/>
      <c r="F31" s="50"/>
      <c r="G31" s="22" t="s">
        <v>10102</v>
      </c>
      <c r="H31" s="50"/>
      <c r="I31" s="50"/>
      <c r="J31" s="50"/>
      <c r="K31" s="34" t="s">
        <v>10103</v>
      </c>
    </row>
    <row r="32" spans="1:11" s="22" customFormat="1" ht="15.75" customHeight="1">
      <c r="A32" s="33"/>
      <c r="B32" s="87"/>
      <c r="C32" s="82" t="s">
        <v>10104</v>
      </c>
      <c r="D32" s="82" t="s">
        <v>10105</v>
      </c>
      <c r="E32" s="84" t="s">
        <v>10106</v>
      </c>
      <c r="F32" s="49" t="s">
        <v>38</v>
      </c>
      <c r="G32" s="22" t="s">
        <v>10107</v>
      </c>
      <c r="H32" s="49" t="s">
        <v>10108</v>
      </c>
      <c r="I32" s="49" t="s">
        <v>19</v>
      </c>
      <c r="J32" s="49" t="s">
        <v>10109</v>
      </c>
      <c r="K32" s="34" t="s">
        <v>10110</v>
      </c>
    </row>
    <row r="33" spans="1:11" s="22" customFormat="1" ht="15.5">
      <c r="A33" s="33"/>
      <c r="B33" s="87"/>
      <c r="C33" s="86"/>
      <c r="D33" s="83"/>
      <c r="E33" s="85"/>
      <c r="F33" s="50"/>
      <c r="G33" s="22" t="s">
        <v>10111</v>
      </c>
      <c r="H33" s="50"/>
      <c r="I33" s="50"/>
      <c r="J33" s="50"/>
      <c r="K33" s="34" t="s">
        <v>10112</v>
      </c>
    </row>
    <row r="34" spans="1:11" s="22" customFormat="1" ht="15.5">
      <c r="A34" s="33"/>
      <c r="B34" s="87"/>
      <c r="C34" s="86"/>
      <c r="D34" s="82" t="s">
        <v>10113</v>
      </c>
      <c r="E34" s="84" t="s">
        <v>10114</v>
      </c>
      <c r="F34" s="49" t="s">
        <v>16</v>
      </c>
      <c r="G34" s="22" t="s">
        <v>10115</v>
      </c>
      <c r="H34" s="49" t="s">
        <v>10116</v>
      </c>
      <c r="I34" s="49" t="s">
        <v>19</v>
      </c>
      <c r="J34" s="49" t="s">
        <v>10117</v>
      </c>
      <c r="K34" s="34" t="s">
        <v>10118</v>
      </c>
    </row>
    <row r="35" spans="1:11" s="22" customFormat="1" ht="15.5">
      <c r="A35" s="33"/>
      <c r="B35" s="87"/>
      <c r="C35" s="86"/>
      <c r="D35" s="83"/>
      <c r="E35" s="85"/>
      <c r="F35" s="50"/>
      <c r="G35" s="22" t="s">
        <v>10119</v>
      </c>
      <c r="H35" s="50"/>
      <c r="I35" s="50"/>
      <c r="J35" s="50"/>
      <c r="K35" s="34" t="s">
        <v>10120</v>
      </c>
    </row>
    <row r="36" spans="1:11" s="22" customFormat="1" ht="15.5">
      <c r="A36" s="33"/>
      <c r="B36" s="87"/>
      <c r="C36" s="86"/>
      <c r="D36" s="82" t="s">
        <v>10121</v>
      </c>
      <c r="E36" s="84" t="s">
        <v>10122</v>
      </c>
      <c r="F36" s="49" t="s">
        <v>16</v>
      </c>
      <c r="G36" s="22" t="s">
        <v>2539</v>
      </c>
      <c r="H36" s="49" t="s">
        <v>10123</v>
      </c>
      <c r="I36" s="49" t="s">
        <v>41</v>
      </c>
      <c r="J36" s="49" t="s">
        <v>10124</v>
      </c>
      <c r="K36" s="34" t="s">
        <v>10125</v>
      </c>
    </row>
    <row r="37" spans="1:11" s="22" customFormat="1" ht="15.5">
      <c r="A37" s="33"/>
      <c r="B37" s="87"/>
      <c r="C37" s="86"/>
      <c r="D37" s="83"/>
      <c r="E37" s="85"/>
      <c r="F37" s="50"/>
      <c r="G37" s="22" t="s">
        <v>10126</v>
      </c>
      <c r="H37" s="50"/>
      <c r="I37" s="50"/>
      <c r="J37" s="50"/>
      <c r="K37" s="34" t="s">
        <v>10127</v>
      </c>
    </row>
    <row r="38" spans="1:11" s="22" customFormat="1" ht="15.5">
      <c r="A38" s="33"/>
      <c r="B38" s="87"/>
      <c r="C38" s="86"/>
      <c r="D38" s="82" t="s">
        <v>10128</v>
      </c>
      <c r="E38" s="84" t="s">
        <v>10129</v>
      </c>
      <c r="F38" s="49" t="s">
        <v>16</v>
      </c>
      <c r="G38" s="22" t="s">
        <v>10130</v>
      </c>
      <c r="H38" s="49" t="s">
        <v>10131</v>
      </c>
      <c r="I38" s="49" t="s">
        <v>41</v>
      </c>
      <c r="J38" s="49" t="s">
        <v>10132</v>
      </c>
      <c r="K38" s="34" t="s">
        <v>10133</v>
      </c>
    </row>
    <row r="39" spans="1:11" s="22" customFormat="1" ht="15.5">
      <c r="A39" s="33"/>
      <c r="B39" s="87"/>
      <c r="C39" s="86"/>
      <c r="D39" s="83"/>
      <c r="E39" s="85"/>
      <c r="F39" s="50"/>
      <c r="G39" s="22" t="s">
        <v>10134</v>
      </c>
      <c r="H39" s="50"/>
      <c r="I39" s="50"/>
      <c r="J39" s="50"/>
      <c r="K39" s="34" t="s">
        <v>10135</v>
      </c>
    </row>
    <row r="40" spans="1:11" s="22" customFormat="1" ht="15.5">
      <c r="A40" s="33"/>
      <c r="B40" s="87"/>
      <c r="C40" s="86"/>
      <c r="D40" s="82" t="s">
        <v>10136</v>
      </c>
      <c r="E40" s="84" t="s">
        <v>10137</v>
      </c>
      <c r="F40" s="49" t="s">
        <v>38</v>
      </c>
      <c r="G40" t="s">
        <v>10138</v>
      </c>
      <c r="H40" s="49" t="s">
        <v>10042</v>
      </c>
      <c r="I40" s="49" t="s">
        <v>19</v>
      </c>
      <c r="J40" s="49" t="s">
        <v>10139</v>
      </c>
      <c r="K40" s="34" t="s">
        <v>10140</v>
      </c>
    </row>
    <row r="41" spans="1:11" s="22" customFormat="1" ht="15.5">
      <c r="A41" s="33"/>
      <c r="B41" s="87"/>
      <c r="C41" s="83"/>
      <c r="D41" s="83"/>
      <c r="E41" s="85"/>
      <c r="F41" s="50"/>
      <c r="G41" t="s">
        <v>10141</v>
      </c>
      <c r="H41" s="50"/>
      <c r="I41" s="50"/>
      <c r="J41" s="50"/>
      <c r="K41" s="34" t="s">
        <v>10142</v>
      </c>
    </row>
    <row r="42" spans="1:11" s="22" customFormat="1" ht="15.75" customHeight="1">
      <c r="A42" s="33"/>
      <c r="B42" s="87"/>
      <c r="C42" s="82" t="s">
        <v>10143</v>
      </c>
      <c r="D42" s="82" t="s">
        <v>10144</v>
      </c>
      <c r="E42" s="84" t="s">
        <v>10145</v>
      </c>
      <c r="F42" s="49" t="s">
        <v>38</v>
      </c>
      <c r="G42" s="22" t="s">
        <v>10146</v>
      </c>
      <c r="H42" s="49" t="s">
        <v>10147</v>
      </c>
      <c r="I42" s="49" t="s">
        <v>19</v>
      </c>
      <c r="J42" s="49" t="s">
        <v>10148</v>
      </c>
      <c r="K42" s="34" t="s">
        <v>10149</v>
      </c>
    </row>
    <row r="43" spans="1:11" s="22" customFormat="1" ht="15.5">
      <c r="A43" s="33"/>
      <c r="B43" s="87"/>
      <c r="C43" s="86"/>
      <c r="D43" s="83"/>
      <c r="E43" s="85"/>
      <c r="F43" s="50"/>
      <c r="G43" s="14" t="s">
        <v>10150</v>
      </c>
      <c r="H43" s="50"/>
      <c r="I43" s="50"/>
      <c r="J43" s="50"/>
      <c r="K43" s="34" t="s">
        <v>10151</v>
      </c>
    </row>
    <row r="44" spans="1:11" s="22" customFormat="1" ht="15.5">
      <c r="A44" s="33"/>
      <c r="B44" s="87"/>
      <c r="C44" s="86"/>
      <c r="D44" s="82" t="s">
        <v>10152</v>
      </c>
      <c r="E44" s="84" t="s">
        <v>10153</v>
      </c>
      <c r="F44" s="49" t="s">
        <v>38</v>
      </c>
      <c r="G44" s="14" t="s">
        <v>10154</v>
      </c>
      <c r="H44" s="49" t="s">
        <v>10155</v>
      </c>
      <c r="I44" s="49" t="s">
        <v>41</v>
      </c>
      <c r="J44" s="49" t="s">
        <v>10156</v>
      </c>
      <c r="K44" s="34" t="s">
        <v>10157</v>
      </c>
    </row>
    <row r="45" spans="1:11" s="22" customFormat="1" ht="15.5">
      <c r="A45" s="33"/>
      <c r="B45" s="87"/>
      <c r="C45" s="86"/>
      <c r="D45" s="83"/>
      <c r="E45" s="85"/>
      <c r="F45" s="50"/>
      <c r="G45" s="14" t="s">
        <v>10158</v>
      </c>
      <c r="H45" s="50"/>
      <c r="I45" s="50"/>
      <c r="J45" s="50"/>
      <c r="K45" s="34" t="s">
        <v>10159</v>
      </c>
    </row>
    <row r="46" spans="1:11" s="22" customFormat="1" ht="15.5">
      <c r="A46" s="33"/>
      <c r="B46" s="87"/>
      <c r="C46" s="86"/>
      <c r="D46" s="82" t="s">
        <v>10160</v>
      </c>
      <c r="E46" s="84" t="s">
        <v>10161</v>
      </c>
      <c r="F46" s="55" t="s">
        <v>16</v>
      </c>
      <c r="G46" s="14" t="s">
        <v>10162</v>
      </c>
      <c r="H46" s="55" t="s">
        <v>10163</v>
      </c>
      <c r="I46" s="55" t="s">
        <v>41</v>
      </c>
      <c r="J46" s="55" t="s">
        <v>10164</v>
      </c>
      <c r="K46" s="34" t="s">
        <v>10165</v>
      </c>
    </row>
    <row r="47" spans="1:11" s="22" customFormat="1" ht="15.5">
      <c r="A47" s="33"/>
      <c r="B47" s="87"/>
      <c r="C47" s="86"/>
      <c r="D47" s="83"/>
      <c r="E47" s="85"/>
      <c r="F47" s="56"/>
      <c r="G47" s="14" t="s">
        <v>10166</v>
      </c>
      <c r="H47" s="56"/>
      <c r="I47" s="56"/>
      <c r="J47" s="56"/>
      <c r="K47" s="34" t="s">
        <v>10167</v>
      </c>
    </row>
    <row r="48" spans="1:11" s="22" customFormat="1" ht="15.5">
      <c r="A48" s="33"/>
      <c r="B48" s="87"/>
      <c r="C48" s="86"/>
      <c r="D48" s="82" t="s">
        <v>10168</v>
      </c>
      <c r="E48" s="84" t="s">
        <v>10169</v>
      </c>
      <c r="F48" s="55" t="s">
        <v>16</v>
      </c>
      <c r="G48" s="14" t="s">
        <v>10170</v>
      </c>
      <c r="H48" s="55" t="s">
        <v>10171</v>
      </c>
      <c r="I48" s="55" t="s">
        <v>19</v>
      </c>
      <c r="J48" s="55" t="s">
        <v>10172</v>
      </c>
      <c r="K48" s="34" t="s">
        <v>10173</v>
      </c>
    </row>
    <row r="49" spans="1:11" s="22" customFormat="1" ht="15.5">
      <c r="A49" s="33"/>
      <c r="B49" s="87"/>
      <c r="C49" s="86"/>
      <c r="D49" s="83"/>
      <c r="E49" s="85"/>
      <c r="F49" s="56"/>
      <c r="G49" s="14" t="s">
        <v>10174</v>
      </c>
      <c r="H49" s="56"/>
      <c r="I49" s="56"/>
      <c r="J49" s="56"/>
      <c r="K49" t="s">
        <v>10175</v>
      </c>
    </row>
    <row r="50" spans="1:11" s="22" customFormat="1" ht="15.5">
      <c r="A50" s="33"/>
      <c r="B50" s="87"/>
      <c r="C50" s="86"/>
      <c r="D50" s="82" t="s">
        <v>10176</v>
      </c>
      <c r="E50" s="84" t="s">
        <v>10177</v>
      </c>
      <c r="F50" s="49" t="s">
        <v>16</v>
      </c>
      <c r="G50" s="14" t="s">
        <v>10178</v>
      </c>
      <c r="H50" s="49" t="s">
        <v>10179</v>
      </c>
      <c r="I50" s="49" t="s">
        <v>19</v>
      </c>
      <c r="J50" s="49" t="s">
        <v>10180</v>
      </c>
      <c r="K50" s="34" t="s">
        <v>10181</v>
      </c>
    </row>
    <row r="51" spans="1:11" s="22" customFormat="1" ht="15.5">
      <c r="A51" s="33"/>
      <c r="B51" s="87"/>
      <c r="C51" s="83"/>
      <c r="D51" s="83"/>
      <c r="E51" s="85"/>
      <c r="F51" s="50"/>
      <c r="G51" s="14" t="s">
        <v>10182</v>
      </c>
      <c r="H51" s="50"/>
      <c r="I51" s="50"/>
      <c r="J51" s="50"/>
      <c r="K51" s="34" t="s">
        <v>10183</v>
      </c>
    </row>
    <row r="52" spans="1:11" s="22" customFormat="1" ht="15.75" customHeight="1">
      <c r="A52" s="33"/>
      <c r="B52" s="87"/>
      <c r="C52" s="82" t="s">
        <v>10184</v>
      </c>
      <c r="D52" s="82" t="s">
        <v>10185</v>
      </c>
      <c r="E52" s="84" t="s">
        <v>10186</v>
      </c>
      <c r="F52" s="76" t="s">
        <v>16</v>
      </c>
      <c r="G52" s="14" t="s">
        <v>10187</v>
      </c>
      <c r="H52" s="76" t="s">
        <v>10188</v>
      </c>
      <c r="I52" s="76" t="s">
        <v>19</v>
      </c>
      <c r="J52" s="76" t="s">
        <v>10189</v>
      </c>
      <c r="K52" s="34" t="s">
        <v>10190</v>
      </c>
    </row>
    <row r="53" spans="1:11" s="22" customFormat="1" ht="15.5">
      <c r="A53" s="33"/>
      <c r="B53" s="87"/>
      <c r="C53" s="86"/>
      <c r="D53" s="83"/>
      <c r="E53" s="85"/>
      <c r="F53" s="77"/>
      <c r="G53" s="14" t="s">
        <v>10191</v>
      </c>
      <c r="H53" s="77"/>
      <c r="I53" s="77"/>
      <c r="J53" s="77"/>
      <c r="K53" s="34" t="s">
        <v>10192</v>
      </c>
    </row>
    <row r="54" spans="1:11" s="22" customFormat="1" ht="15.5">
      <c r="A54" s="33"/>
      <c r="B54" s="87"/>
      <c r="C54" s="86"/>
      <c r="D54" s="82" t="s">
        <v>10193</v>
      </c>
      <c r="E54" s="84" t="s">
        <v>10194</v>
      </c>
      <c r="F54" s="49" t="s">
        <v>38</v>
      </c>
      <c r="G54" s="14" t="s">
        <v>10195</v>
      </c>
      <c r="H54" s="49" t="s">
        <v>10196</v>
      </c>
      <c r="I54" s="49" t="s">
        <v>19</v>
      </c>
      <c r="J54" s="82" t="s">
        <v>10197</v>
      </c>
      <c r="K54" s="34" t="s">
        <v>10198</v>
      </c>
    </row>
    <row r="55" spans="1:11" s="22" customFormat="1" ht="15.5">
      <c r="A55" s="33"/>
      <c r="B55" s="87"/>
      <c r="C55" s="86"/>
      <c r="D55" s="83"/>
      <c r="E55" s="85"/>
      <c r="F55" s="50"/>
      <c r="G55" s="14" t="s">
        <v>10199</v>
      </c>
      <c r="H55" s="50"/>
      <c r="I55" s="50"/>
      <c r="J55" s="83"/>
      <c r="K55" s="34" t="s">
        <v>10200</v>
      </c>
    </row>
    <row r="56" spans="1:11" s="22" customFormat="1" ht="15.5">
      <c r="A56" s="33"/>
      <c r="B56" s="87"/>
      <c r="C56" s="86"/>
      <c r="D56" s="82" t="s">
        <v>10201</v>
      </c>
      <c r="E56" s="84" t="s">
        <v>10202</v>
      </c>
      <c r="F56" s="49" t="s">
        <v>38</v>
      </c>
      <c r="G56" s="13" t="s">
        <v>10203</v>
      </c>
      <c r="H56" s="49" t="s">
        <v>10204</v>
      </c>
      <c r="I56" s="49" t="s">
        <v>19</v>
      </c>
      <c r="J56" s="49" t="s">
        <v>10205</v>
      </c>
      <c r="K56" s="34" t="s">
        <v>10206</v>
      </c>
    </row>
    <row r="57" spans="1:11" s="22" customFormat="1" ht="15.5">
      <c r="A57" s="33"/>
      <c r="B57" s="87"/>
      <c r="C57" s="86"/>
      <c r="D57" s="83"/>
      <c r="E57" s="85"/>
      <c r="F57" s="50"/>
      <c r="G57" s="14" t="s">
        <v>10207</v>
      </c>
      <c r="H57" s="50"/>
      <c r="I57" s="50"/>
      <c r="J57" s="50"/>
      <c r="K57" s="34" t="s">
        <v>10208</v>
      </c>
    </row>
    <row r="58" spans="1:11" s="22" customFormat="1" ht="15.5">
      <c r="A58" s="33"/>
      <c r="B58" s="87"/>
      <c r="C58" s="86"/>
      <c r="D58" s="82" t="s">
        <v>10209</v>
      </c>
      <c r="E58" s="84" t="s">
        <v>10210</v>
      </c>
      <c r="F58" s="49" t="s">
        <v>38</v>
      </c>
      <c r="G58" s="13" t="s">
        <v>10211</v>
      </c>
      <c r="H58" s="49" t="s">
        <v>10212</v>
      </c>
      <c r="I58" s="49" t="s">
        <v>19</v>
      </c>
      <c r="J58" s="49" t="s">
        <v>10213</v>
      </c>
      <c r="K58" s="34" t="s">
        <v>10214</v>
      </c>
    </row>
    <row r="59" spans="1:11" s="22" customFormat="1" ht="15.5">
      <c r="A59" s="33"/>
      <c r="B59" s="87"/>
      <c r="C59" s="86"/>
      <c r="D59" s="83"/>
      <c r="E59" s="85"/>
      <c r="F59" s="50"/>
      <c r="G59" s="14" t="s">
        <v>10215</v>
      </c>
      <c r="H59" s="50"/>
      <c r="I59" s="50"/>
      <c r="J59" s="50"/>
      <c r="K59" s="34" t="s">
        <v>10216</v>
      </c>
    </row>
    <row r="60" spans="1:11" s="22" customFormat="1" ht="15.5">
      <c r="A60" s="33"/>
      <c r="B60" s="87"/>
      <c r="C60" s="86"/>
      <c r="D60" s="82" t="s">
        <v>10217</v>
      </c>
      <c r="E60" s="84" t="s">
        <v>10218</v>
      </c>
      <c r="F60" s="49" t="s">
        <v>16</v>
      </c>
      <c r="G60" s="13" t="s">
        <v>10219</v>
      </c>
      <c r="H60" s="49" t="s">
        <v>9329</v>
      </c>
      <c r="I60" s="49" t="s">
        <v>41</v>
      </c>
      <c r="J60" s="49" t="s">
        <v>10220</v>
      </c>
      <c r="K60" s="34" t="s">
        <v>10221</v>
      </c>
    </row>
    <row r="61" spans="1:11" s="22" customFormat="1" ht="15.5">
      <c r="A61" s="33"/>
      <c r="B61" s="87"/>
      <c r="C61" s="83"/>
      <c r="D61" s="83"/>
      <c r="E61" s="85"/>
      <c r="F61" s="50"/>
      <c r="G61" s="14" t="s">
        <v>10222</v>
      </c>
      <c r="H61" s="50"/>
      <c r="I61" s="50"/>
      <c r="J61" s="50"/>
      <c r="K61" s="34" t="s">
        <v>10223</v>
      </c>
    </row>
    <row r="62" spans="1:11" s="22" customFormat="1" ht="15.75" customHeight="1">
      <c r="A62" s="33"/>
      <c r="B62" s="87"/>
      <c r="C62" s="82" t="s">
        <v>10224</v>
      </c>
      <c r="D62" s="82" t="s">
        <v>10225</v>
      </c>
      <c r="E62" s="84" t="s">
        <v>10226</v>
      </c>
      <c r="F62" s="49" t="s">
        <v>16</v>
      </c>
      <c r="G62" s="13" t="s">
        <v>10227</v>
      </c>
      <c r="H62" s="49" t="s">
        <v>10228</v>
      </c>
      <c r="I62" s="49" t="s">
        <v>41</v>
      </c>
      <c r="J62" s="49" t="s">
        <v>10229</v>
      </c>
      <c r="K62" s="34" t="s">
        <v>10230</v>
      </c>
    </row>
    <row r="63" spans="1:11" s="22" customFormat="1" ht="15.5">
      <c r="A63" s="33"/>
      <c r="B63" s="87"/>
      <c r="C63" s="86"/>
      <c r="D63" s="83"/>
      <c r="E63" s="85"/>
      <c r="F63" s="50"/>
      <c r="G63" s="14" t="s">
        <v>8723</v>
      </c>
      <c r="H63" s="50"/>
      <c r="I63" s="50"/>
      <c r="J63" s="50"/>
      <c r="K63" s="34" t="s">
        <v>10231</v>
      </c>
    </row>
    <row r="64" spans="1:11" s="22" customFormat="1" ht="15.5">
      <c r="A64" s="33"/>
      <c r="B64" s="87"/>
      <c r="C64" s="86"/>
      <c r="D64" s="82" t="s">
        <v>10232</v>
      </c>
      <c r="E64" s="84" t="s">
        <v>10233</v>
      </c>
      <c r="F64" s="55" t="s">
        <v>38</v>
      </c>
      <c r="G64" s="13" t="s">
        <v>10234</v>
      </c>
      <c r="H64" s="49" t="s">
        <v>10235</v>
      </c>
      <c r="I64" s="55" t="s">
        <v>41</v>
      </c>
      <c r="J64" s="55" t="s">
        <v>10236</v>
      </c>
      <c r="K64" s="34" t="s">
        <v>10237</v>
      </c>
    </row>
    <row r="65" spans="1:11" s="22" customFormat="1" ht="15.5">
      <c r="A65" s="33"/>
      <c r="B65" s="87"/>
      <c r="C65" s="86"/>
      <c r="D65" s="83"/>
      <c r="E65" s="85"/>
      <c r="F65" s="73"/>
      <c r="G65" s="14" t="s">
        <v>10238</v>
      </c>
      <c r="H65" s="50"/>
      <c r="I65" s="73"/>
      <c r="J65" s="73"/>
      <c r="K65" s="34" t="s">
        <v>10239</v>
      </c>
    </row>
    <row r="66" spans="1:11" s="22" customFormat="1" ht="15.5">
      <c r="A66" s="33"/>
      <c r="B66" s="87"/>
      <c r="C66" s="86"/>
      <c r="D66" s="82" t="s">
        <v>10240</v>
      </c>
      <c r="E66" s="84" t="s">
        <v>10241</v>
      </c>
      <c r="F66" s="73" t="s">
        <v>16</v>
      </c>
      <c r="G66" s="13" t="s">
        <v>10242</v>
      </c>
      <c r="H66" s="49" t="s">
        <v>10243</v>
      </c>
      <c r="I66" s="73" t="s">
        <v>19</v>
      </c>
      <c r="J66" s="73" t="s">
        <v>10244</v>
      </c>
      <c r="K66" s="34" t="s">
        <v>10245</v>
      </c>
    </row>
    <row r="67" spans="1:11" s="22" customFormat="1" ht="15.5">
      <c r="A67" s="33"/>
      <c r="B67" s="87"/>
      <c r="C67" s="86"/>
      <c r="D67" s="83"/>
      <c r="E67" s="85"/>
      <c r="F67" s="56"/>
      <c r="G67" s="14" t="s">
        <v>10246</v>
      </c>
      <c r="H67" s="50"/>
      <c r="I67" s="56"/>
      <c r="J67" s="56"/>
      <c r="K67" s="34" t="s">
        <v>10247</v>
      </c>
    </row>
    <row r="68" spans="1:11" s="22" customFormat="1" ht="15.5">
      <c r="A68" s="33"/>
      <c r="B68" s="87"/>
      <c r="C68" s="86"/>
      <c r="D68" s="82" t="s">
        <v>10248</v>
      </c>
      <c r="E68" s="84" t="s">
        <v>10249</v>
      </c>
      <c r="F68" s="55" t="s">
        <v>16</v>
      </c>
      <c r="G68" s="13" t="s">
        <v>10250</v>
      </c>
      <c r="H68" s="55" t="s">
        <v>10251</v>
      </c>
      <c r="I68" s="55" t="s">
        <v>41</v>
      </c>
      <c r="J68" s="55" t="s">
        <v>10252</v>
      </c>
      <c r="K68" s="34" t="s">
        <v>10253</v>
      </c>
    </row>
    <row r="69" spans="1:11" s="22" customFormat="1" ht="15.5">
      <c r="A69" s="33"/>
      <c r="B69" s="87"/>
      <c r="C69" s="86"/>
      <c r="D69" s="83"/>
      <c r="E69" s="85"/>
      <c r="F69" s="56"/>
      <c r="G69" s="14" t="s">
        <v>10254</v>
      </c>
      <c r="H69" s="73"/>
      <c r="I69" s="56"/>
      <c r="J69" s="56"/>
      <c r="K69" s="34" t="s">
        <v>10255</v>
      </c>
    </row>
    <row r="70" spans="1:11" s="22" customFormat="1" ht="15.5">
      <c r="A70" s="33"/>
      <c r="B70" s="87"/>
      <c r="C70" s="86"/>
      <c r="D70" s="82" t="s">
        <v>10256</v>
      </c>
      <c r="E70" s="84" t="s">
        <v>10257</v>
      </c>
      <c r="F70" s="55" t="s">
        <v>38</v>
      </c>
      <c r="G70" s="13" t="s">
        <v>10258</v>
      </c>
      <c r="H70" s="73" t="s">
        <v>10259</v>
      </c>
      <c r="I70" s="55" t="s">
        <v>19</v>
      </c>
      <c r="J70" s="55" t="s">
        <v>10260</v>
      </c>
      <c r="K70" s="34" t="s">
        <v>10261</v>
      </c>
    </row>
    <row r="71" spans="1:11" s="22" customFormat="1" ht="15.5">
      <c r="A71" s="33"/>
      <c r="B71" s="50"/>
      <c r="C71" s="83"/>
      <c r="D71" s="83"/>
      <c r="E71" s="85"/>
      <c r="F71" s="56"/>
      <c r="G71" s="14" t="s">
        <v>10262</v>
      </c>
      <c r="H71" s="56"/>
      <c r="I71" s="56"/>
      <c r="J71" s="56"/>
      <c r="K71" s="34" t="s">
        <v>10263</v>
      </c>
    </row>
    <row r="72" spans="1:11" s="22" customFormat="1" ht="15.5" customHeight="1">
      <c r="A72" s="33"/>
      <c r="B72" s="49" t="s">
        <v>10264</v>
      </c>
      <c r="C72" s="90" t="s">
        <v>10265</v>
      </c>
      <c r="D72" s="82" t="s">
        <v>10266</v>
      </c>
      <c r="E72" s="84" t="s">
        <v>10267</v>
      </c>
      <c r="F72" s="49" t="s">
        <v>38</v>
      </c>
      <c r="G72" s="13" t="s">
        <v>10268</v>
      </c>
      <c r="H72" s="88" t="s">
        <v>10269</v>
      </c>
      <c r="I72" s="49" t="s">
        <v>41</v>
      </c>
      <c r="J72" s="49" t="s">
        <v>10270</v>
      </c>
      <c r="K72" s="34" t="s">
        <v>10271</v>
      </c>
    </row>
    <row r="73" spans="1:11" s="22" customFormat="1" ht="15.5">
      <c r="A73" s="33"/>
      <c r="B73" s="87"/>
      <c r="C73" s="91"/>
      <c r="D73" s="83"/>
      <c r="E73" s="85"/>
      <c r="F73" s="50"/>
      <c r="G73" s="14" t="s">
        <v>10272</v>
      </c>
      <c r="H73" s="89"/>
      <c r="I73" s="50"/>
      <c r="J73" s="50"/>
      <c r="K73" s="34" t="s">
        <v>10273</v>
      </c>
    </row>
    <row r="74" spans="1:11" s="22" customFormat="1" ht="15.5">
      <c r="A74" s="33"/>
      <c r="B74" s="87"/>
      <c r="C74" s="91"/>
      <c r="D74" s="82" t="s">
        <v>10274</v>
      </c>
      <c r="E74" s="84" t="s">
        <v>10275</v>
      </c>
      <c r="F74" s="49" t="s">
        <v>16</v>
      </c>
      <c r="G74" s="13" t="s">
        <v>335</v>
      </c>
      <c r="H74" s="55" t="s">
        <v>10276</v>
      </c>
      <c r="I74" s="49" t="s">
        <v>19</v>
      </c>
      <c r="J74" s="49" t="s">
        <v>10277</v>
      </c>
      <c r="K74" s="34" t="s">
        <v>10278</v>
      </c>
    </row>
    <row r="75" spans="1:11" s="22" customFormat="1" ht="15.5">
      <c r="A75" s="33"/>
      <c r="B75" s="87"/>
      <c r="C75" s="91"/>
      <c r="D75" s="83"/>
      <c r="E75" s="85"/>
      <c r="F75" s="50"/>
      <c r="G75" s="14" t="s">
        <v>10279</v>
      </c>
      <c r="H75" s="56"/>
      <c r="I75" s="50"/>
      <c r="J75" s="50"/>
      <c r="K75" s="34" t="s">
        <v>10280</v>
      </c>
    </row>
    <row r="76" spans="1:11" s="22" customFormat="1" ht="15.5">
      <c r="A76" s="33"/>
      <c r="B76" s="87"/>
      <c r="C76" s="91"/>
      <c r="D76" s="82" t="s">
        <v>10281</v>
      </c>
      <c r="E76" s="84" t="s">
        <v>10282</v>
      </c>
      <c r="F76" s="49" t="s">
        <v>16</v>
      </c>
      <c r="G76" s="13" t="s">
        <v>10283</v>
      </c>
      <c r="H76" s="49" t="s">
        <v>10284</v>
      </c>
      <c r="I76" s="49" t="s">
        <v>19</v>
      </c>
      <c r="J76" s="49" t="s">
        <v>10285</v>
      </c>
      <c r="K76" s="34" t="s">
        <v>10286</v>
      </c>
    </row>
    <row r="77" spans="1:11" s="22" customFormat="1" ht="15.5">
      <c r="A77" s="33"/>
      <c r="B77" s="87"/>
      <c r="C77" s="91"/>
      <c r="D77" s="83"/>
      <c r="E77" s="85"/>
      <c r="F77" s="50"/>
      <c r="G77" s="14" t="s">
        <v>10287</v>
      </c>
      <c r="H77" s="50"/>
      <c r="I77" s="50"/>
      <c r="J77" s="50"/>
      <c r="K77" s="34" t="s">
        <v>10288</v>
      </c>
    </row>
    <row r="78" spans="1:11" s="22" customFormat="1" ht="15.5">
      <c r="A78" s="33"/>
      <c r="B78" s="87"/>
      <c r="C78" s="91"/>
      <c r="D78" s="82" t="s">
        <v>10289</v>
      </c>
      <c r="E78" s="84" t="s">
        <v>10290</v>
      </c>
      <c r="F78" s="49" t="s">
        <v>16</v>
      </c>
      <c r="G78" s="13" t="s">
        <v>10291</v>
      </c>
      <c r="H78" s="49" t="s">
        <v>10292</v>
      </c>
      <c r="I78" s="49" t="s">
        <v>19</v>
      </c>
      <c r="J78" s="49" t="s">
        <v>10293</v>
      </c>
      <c r="K78" s="34" t="s">
        <v>10294</v>
      </c>
    </row>
    <row r="79" spans="1:11" s="22" customFormat="1" ht="15.5">
      <c r="A79" s="33"/>
      <c r="B79" s="87"/>
      <c r="C79" s="91"/>
      <c r="D79" s="83"/>
      <c r="E79" s="85"/>
      <c r="F79" s="50"/>
      <c r="G79" s="14" t="s">
        <v>10295</v>
      </c>
      <c r="H79" s="50"/>
      <c r="I79" s="50"/>
      <c r="J79" s="50"/>
      <c r="K79" s="34" t="s">
        <v>10296</v>
      </c>
    </row>
    <row r="80" spans="1:11" s="22" customFormat="1" ht="15.5">
      <c r="A80" s="33"/>
      <c r="B80" s="87"/>
      <c r="C80" s="91"/>
      <c r="D80" s="82" t="s">
        <v>10297</v>
      </c>
      <c r="E80" s="84" t="s">
        <v>10298</v>
      </c>
      <c r="F80" s="49" t="s">
        <v>38</v>
      </c>
      <c r="G80" s="13" t="s">
        <v>10299</v>
      </c>
      <c r="H80" s="49" t="s">
        <v>10300</v>
      </c>
      <c r="I80" s="49" t="s">
        <v>19</v>
      </c>
      <c r="J80" s="49" t="s">
        <v>10301</v>
      </c>
      <c r="K80" s="34" t="s">
        <v>10302</v>
      </c>
    </row>
    <row r="81" spans="1:11" s="22" customFormat="1" ht="15.5">
      <c r="A81" s="33"/>
      <c r="B81" s="87"/>
      <c r="C81" s="92"/>
      <c r="D81" s="83"/>
      <c r="E81" s="85"/>
      <c r="F81" s="50"/>
      <c r="G81" s="14" t="s">
        <v>10303</v>
      </c>
      <c r="H81" s="50"/>
      <c r="I81" s="50"/>
      <c r="J81" s="50"/>
      <c r="K81" s="34" t="s">
        <v>10304</v>
      </c>
    </row>
    <row r="82" spans="1:11" s="22" customFormat="1" ht="15.5" customHeight="1">
      <c r="A82" s="33"/>
      <c r="B82" s="87"/>
      <c r="C82" s="82" t="s">
        <v>10305</v>
      </c>
      <c r="D82" s="82" t="s">
        <v>10306</v>
      </c>
      <c r="E82" s="84" t="s">
        <v>10307</v>
      </c>
      <c r="F82" s="49" t="s">
        <v>16</v>
      </c>
      <c r="G82" s="13" t="s">
        <v>10308</v>
      </c>
      <c r="H82" s="49" t="s">
        <v>10309</v>
      </c>
      <c r="I82" s="49" t="s">
        <v>41</v>
      </c>
      <c r="J82" s="49" t="s">
        <v>10310</v>
      </c>
      <c r="K82" s="34" t="s">
        <v>10311</v>
      </c>
    </row>
    <row r="83" spans="1:11" s="22" customFormat="1" ht="15.5">
      <c r="A83" s="33"/>
      <c r="B83" s="87"/>
      <c r="C83" s="86"/>
      <c r="D83" s="83"/>
      <c r="E83" s="85"/>
      <c r="F83" s="50"/>
      <c r="G83" s="14" t="s">
        <v>10312</v>
      </c>
      <c r="H83" s="50"/>
      <c r="I83" s="50"/>
      <c r="J83" s="50"/>
      <c r="K83" s="34" t="s">
        <v>10313</v>
      </c>
    </row>
    <row r="84" spans="1:11" s="22" customFormat="1" ht="15.5">
      <c r="A84" s="33"/>
      <c r="B84" s="87"/>
      <c r="C84" s="86"/>
      <c r="D84" s="82" t="s">
        <v>10314</v>
      </c>
      <c r="E84" s="84" t="s">
        <v>10315</v>
      </c>
      <c r="F84" s="49" t="s">
        <v>16</v>
      </c>
      <c r="G84" s="13" t="s">
        <v>10316</v>
      </c>
      <c r="H84" s="49" t="s">
        <v>10317</v>
      </c>
      <c r="I84" s="49" t="s">
        <v>41</v>
      </c>
      <c r="J84" s="49" t="s">
        <v>10318</v>
      </c>
      <c r="K84" s="34" t="s">
        <v>10319</v>
      </c>
    </row>
    <row r="85" spans="1:11" s="22" customFormat="1" ht="15.5">
      <c r="A85" s="33"/>
      <c r="B85" s="87"/>
      <c r="C85" s="86"/>
      <c r="D85" s="83"/>
      <c r="E85" s="85"/>
      <c r="F85" s="50"/>
      <c r="G85" s="14" t="s">
        <v>10320</v>
      </c>
      <c r="H85" s="50"/>
      <c r="I85" s="50"/>
      <c r="J85" s="50"/>
      <c r="K85" s="34" t="s">
        <v>10321</v>
      </c>
    </row>
    <row r="86" spans="1:11" s="22" customFormat="1" ht="15.5">
      <c r="A86" s="33"/>
      <c r="B86" s="87"/>
      <c r="C86" s="86"/>
      <c r="D86" s="82" t="s">
        <v>10322</v>
      </c>
      <c r="E86" s="84" t="s">
        <v>10323</v>
      </c>
      <c r="F86" s="49" t="s">
        <v>38</v>
      </c>
      <c r="G86" s="13" t="s">
        <v>10324</v>
      </c>
      <c r="H86" s="49" t="s">
        <v>10325</v>
      </c>
      <c r="I86" s="49" t="s">
        <v>41</v>
      </c>
      <c r="J86" s="49" t="s">
        <v>10326</v>
      </c>
      <c r="K86" s="34" t="s">
        <v>10327</v>
      </c>
    </row>
    <row r="87" spans="1:11" s="22" customFormat="1" ht="15.5">
      <c r="A87" s="33"/>
      <c r="B87" s="87"/>
      <c r="C87" s="86"/>
      <c r="D87" s="83"/>
      <c r="E87" s="85"/>
      <c r="F87" s="50"/>
      <c r="G87" s="14" t="s">
        <v>10328</v>
      </c>
      <c r="H87" s="50"/>
      <c r="I87" s="50"/>
      <c r="J87" s="50"/>
      <c r="K87" s="34" t="s">
        <v>10329</v>
      </c>
    </row>
    <row r="88" spans="1:11" s="22" customFormat="1" ht="15.5">
      <c r="A88" s="33"/>
      <c r="B88" s="87"/>
      <c r="C88" s="86"/>
      <c r="D88" s="82" t="s">
        <v>10330</v>
      </c>
      <c r="E88" s="84" t="s">
        <v>10331</v>
      </c>
      <c r="F88" s="49" t="s">
        <v>38</v>
      </c>
      <c r="G88" s="13" t="s">
        <v>5901</v>
      </c>
      <c r="H88" s="49" t="s">
        <v>10332</v>
      </c>
      <c r="I88" s="49" t="s">
        <v>41</v>
      </c>
      <c r="J88" s="49" t="s">
        <v>10333</v>
      </c>
      <c r="K88" s="34" t="s">
        <v>10334</v>
      </c>
    </row>
    <row r="89" spans="1:11" s="22" customFormat="1" ht="15.5">
      <c r="A89" s="33"/>
      <c r="B89" s="87"/>
      <c r="C89" s="86"/>
      <c r="D89" s="83"/>
      <c r="E89" s="85"/>
      <c r="F89" s="50"/>
      <c r="G89" s="14" t="s">
        <v>10335</v>
      </c>
      <c r="H89" s="50"/>
      <c r="I89" s="50"/>
      <c r="J89" s="50"/>
      <c r="K89" s="34" t="s">
        <v>10336</v>
      </c>
    </row>
    <row r="90" spans="1:11" s="22" customFormat="1" ht="15.5">
      <c r="A90" s="33"/>
      <c r="B90" s="87"/>
      <c r="C90" s="86"/>
      <c r="D90" s="82" t="s">
        <v>10337</v>
      </c>
      <c r="E90" s="84" t="s">
        <v>10338</v>
      </c>
      <c r="F90" s="49" t="s">
        <v>16</v>
      </c>
      <c r="G90" s="13" t="s">
        <v>10339</v>
      </c>
      <c r="H90" s="49" t="s">
        <v>10340</v>
      </c>
      <c r="I90" s="49" t="s">
        <v>41</v>
      </c>
      <c r="J90" s="49" t="s">
        <v>10341</v>
      </c>
      <c r="K90" s="34" t="s">
        <v>10342</v>
      </c>
    </row>
    <row r="91" spans="1:11" s="22" customFormat="1" ht="15.5">
      <c r="A91" s="33"/>
      <c r="B91" s="87"/>
      <c r="C91" s="83"/>
      <c r="D91" s="83"/>
      <c r="E91" s="85"/>
      <c r="F91" s="50"/>
      <c r="G91" s="14" t="s">
        <v>10343</v>
      </c>
      <c r="H91" s="50"/>
      <c r="I91" s="50"/>
      <c r="J91" s="50"/>
      <c r="K91" s="34" t="s">
        <v>10344</v>
      </c>
    </row>
    <row r="92" spans="1:11" s="22" customFormat="1" ht="15.75" customHeight="1">
      <c r="A92" s="33"/>
      <c r="B92" s="87"/>
      <c r="C92" s="82" t="s">
        <v>10345</v>
      </c>
      <c r="D92" s="82" t="s">
        <v>10346</v>
      </c>
      <c r="E92" s="84" t="s">
        <v>10347</v>
      </c>
      <c r="F92" s="49" t="s">
        <v>16</v>
      </c>
      <c r="G92" s="13" t="s">
        <v>10348</v>
      </c>
      <c r="H92" s="49" t="s">
        <v>10349</v>
      </c>
      <c r="I92" s="49" t="s">
        <v>19</v>
      </c>
      <c r="J92" s="49" t="s">
        <v>10350</v>
      </c>
      <c r="K92" s="34" t="s">
        <v>10351</v>
      </c>
    </row>
    <row r="93" spans="1:11" s="22" customFormat="1" ht="15.5">
      <c r="A93" s="33"/>
      <c r="B93" s="87"/>
      <c r="C93" s="86"/>
      <c r="D93" s="83"/>
      <c r="E93" s="85"/>
      <c r="F93" s="50"/>
      <c r="G93" s="14" t="s">
        <v>10352</v>
      </c>
      <c r="H93" s="50"/>
      <c r="I93" s="50"/>
      <c r="J93" s="50"/>
      <c r="K93" s="34" t="s">
        <v>10353</v>
      </c>
    </row>
    <row r="94" spans="1:11" s="22" customFormat="1" ht="15.5">
      <c r="A94" s="33"/>
      <c r="B94" s="87"/>
      <c r="C94" s="86"/>
      <c r="D94" s="82" t="s">
        <v>10354</v>
      </c>
      <c r="E94" s="84" t="s">
        <v>10355</v>
      </c>
      <c r="F94" s="49" t="s">
        <v>38</v>
      </c>
      <c r="G94" s="13" t="s">
        <v>10356</v>
      </c>
      <c r="H94" s="49" t="s">
        <v>10357</v>
      </c>
      <c r="I94" s="49" t="s">
        <v>19</v>
      </c>
      <c r="J94" s="49" t="s">
        <v>10358</v>
      </c>
      <c r="K94" s="34" t="s">
        <v>10359</v>
      </c>
    </row>
    <row r="95" spans="1:11" s="22" customFormat="1" ht="15.5">
      <c r="A95" s="33"/>
      <c r="B95" s="87"/>
      <c r="C95" s="86"/>
      <c r="D95" s="83"/>
      <c r="E95" s="85"/>
      <c r="F95" s="50"/>
      <c r="G95" s="14" t="s">
        <v>10360</v>
      </c>
      <c r="H95" s="50"/>
      <c r="I95" s="50"/>
      <c r="J95" s="50"/>
      <c r="K95" s="34" t="s">
        <v>10361</v>
      </c>
    </row>
    <row r="96" spans="1:11" s="22" customFormat="1" ht="15.5">
      <c r="A96" s="33"/>
      <c r="B96" s="87"/>
      <c r="C96" s="86"/>
      <c r="D96" s="82" t="s">
        <v>10362</v>
      </c>
      <c r="E96" s="84" t="s">
        <v>10363</v>
      </c>
      <c r="F96" s="49" t="s">
        <v>38</v>
      </c>
      <c r="G96" s="13" t="s">
        <v>10364</v>
      </c>
      <c r="H96" s="49" t="s">
        <v>10365</v>
      </c>
      <c r="I96" s="49" t="s">
        <v>19</v>
      </c>
      <c r="J96" s="49" t="s">
        <v>10366</v>
      </c>
      <c r="K96" s="34" t="s">
        <v>10367</v>
      </c>
    </row>
    <row r="97" spans="1:11" s="22" customFormat="1" ht="15.5">
      <c r="A97" s="33"/>
      <c r="B97" s="87"/>
      <c r="C97" s="86"/>
      <c r="D97" s="83"/>
      <c r="E97" s="85"/>
      <c r="F97" s="50"/>
      <c r="G97" s="14" t="s">
        <v>10368</v>
      </c>
      <c r="H97" s="50"/>
      <c r="I97" s="50"/>
      <c r="J97" s="50"/>
      <c r="K97" s="34" t="s">
        <v>10369</v>
      </c>
    </row>
    <row r="98" spans="1:11" s="22" customFormat="1" ht="15.5">
      <c r="A98" s="33"/>
      <c r="B98" s="87"/>
      <c r="C98" s="86"/>
      <c r="D98" s="82" t="s">
        <v>10370</v>
      </c>
      <c r="E98" s="84" t="s">
        <v>10371</v>
      </c>
      <c r="F98" s="72" t="s">
        <v>16</v>
      </c>
      <c r="G98" s="13" t="s">
        <v>10372</v>
      </c>
      <c r="H98" s="72" t="s">
        <v>10373</v>
      </c>
      <c r="I98" s="72" t="s">
        <v>19</v>
      </c>
      <c r="J98" s="72" t="s">
        <v>10374</v>
      </c>
      <c r="K98" s="34" t="s">
        <v>10375</v>
      </c>
    </row>
    <row r="99" spans="1:11" s="22" customFormat="1" ht="15.5">
      <c r="A99" s="33"/>
      <c r="B99" s="87"/>
      <c r="C99" s="86"/>
      <c r="D99" s="83"/>
      <c r="E99" s="85"/>
      <c r="F99" s="72"/>
      <c r="G99" s="14" t="s">
        <v>10376</v>
      </c>
      <c r="H99" s="72"/>
      <c r="I99" s="72"/>
      <c r="J99" s="72"/>
      <c r="K99" s="34" t="s">
        <v>10377</v>
      </c>
    </row>
    <row r="100" spans="1:11" s="22" customFormat="1" ht="15.5">
      <c r="A100" s="33"/>
      <c r="B100" s="87"/>
      <c r="C100" s="86"/>
      <c r="D100" s="82" t="s">
        <v>10378</v>
      </c>
      <c r="E100" s="84" t="s">
        <v>10379</v>
      </c>
      <c r="F100" s="72" t="s">
        <v>16</v>
      </c>
      <c r="G100" s="13" t="s">
        <v>10380</v>
      </c>
      <c r="H100" s="72" t="s">
        <v>10381</v>
      </c>
      <c r="I100" s="72" t="s">
        <v>19</v>
      </c>
      <c r="J100" s="72" t="s">
        <v>10382</v>
      </c>
      <c r="K100" s="34" t="s">
        <v>10383</v>
      </c>
    </row>
    <row r="101" spans="1:11" s="22" customFormat="1" ht="15.5">
      <c r="A101" s="33"/>
      <c r="B101" s="87"/>
      <c r="C101" s="83"/>
      <c r="D101" s="83"/>
      <c r="E101" s="85"/>
      <c r="F101" s="72"/>
      <c r="G101" s="14" t="s">
        <v>10384</v>
      </c>
      <c r="H101" s="72"/>
      <c r="I101" s="72"/>
      <c r="J101" s="72"/>
      <c r="K101" s="34" t="s">
        <v>10385</v>
      </c>
    </row>
    <row r="102" spans="1:11" s="22" customFormat="1" ht="15.75" customHeight="1">
      <c r="A102" s="33"/>
      <c r="B102" s="87"/>
      <c r="C102" s="82" t="s">
        <v>10386</v>
      </c>
      <c r="D102" s="82" t="s">
        <v>10387</v>
      </c>
      <c r="E102" s="84" t="s">
        <v>10388</v>
      </c>
      <c r="F102" s="49" t="s">
        <v>16</v>
      </c>
      <c r="G102" s="13" t="s">
        <v>10057</v>
      </c>
      <c r="H102" s="49" t="s">
        <v>10389</v>
      </c>
      <c r="I102" s="49" t="s">
        <v>41</v>
      </c>
      <c r="J102" s="49" t="s">
        <v>10390</v>
      </c>
      <c r="K102" s="34" t="s">
        <v>10391</v>
      </c>
    </row>
    <row r="103" spans="1:11" s="22" customFormat="1" ht="15.5">
      <c r="A103" s="33"/>
      <c r="B103" s="87"/>
      <c r="C103" s="86"/>
      <c r="D103" s="83"/>
      <c r="E103" s="85"/>
      <c r="F103" s="50"/>
      <c r="G103" s="14" t="s">
        <v>10392</v>
      </c>
      <c r="H103" s="50"/>
      <c r="I103" s="50"/>
      <c r="J103" s="50"/>
      <c r="K103" s="34" t="s">
        <v>10393</v>
      </c>
    </row>
    <row r="104" spans="1:11" s="22" customFormat="1" ht="15.5">
      <c r="A104" s="33"/>
      <c r="B104" s="87"/>
      <c r="C104" s="86"/>
      <c r="D104" s="82" t="s">
        <v>10394</v>
      </c>
      <c r="E104" s="84" t="s">
        <v>10395</v>
      </c>
      <c r="F104" s="49" t="s">
        <v>16</v>
      </c>
      <c r="G104" s="13" t="s">
        <v>10396</v>
      </c>
      <c r="H104" s="49" t="s">
        <v>10397</v>
      </c>
      <c r="I104" s="49" t="s">
        <v>41</v>
      </c>
      <c r="J104" s="49" t="s">
        <v>10398</v>
      </c>
      <c r="K104" s="34" t="s">
        <v>10399</v>
      </c>
    </row>
    <row r="105" spans="1:11" s="22" customFormat="1" ht="15.5">
      <c r="A105" s="33"/>
      <c r="B105" s="87"/>
      <c r="C105" s="86"/>
      <c r="D105" s="83"/>
      <c r="E105" s="85"/>
      <c r="F105" s="50"/>
      <c r="G105" s="14" t="s">
        <v>10400</v>
      </c>
      <c r="H105" s="50"/>
      <c r="I105" s="50"/>
      <c r="J105" s="50"/>
      <c r="K105" s="34" t="s">
        <v>10401</v>
      </c>
    </row>
    <row r="106" spans="1:11" s="22" customFormat="1" ht="15.5">
      <c r="A106" s="33"/>
      <c r="B106" s="87"/>
      <c r="C106" s="86"/>
      <c r="D106" s="82" t="s">
        <v>10402</v>
      </c>
      <c r="E106" s="84" t="s">
        <v>10403</v>
      </c>
      <c r="F106" s="49" t="s">
        <v>16</v>
      </c>
      <c r="G106" s="34" t="s">
        <v>10404</v>
      </c>
      <c r="H106" s="49" t="s">
        <v>10405</v>
      </c>
      <c r="I106" s="49" t="s">
        <v>41</v>
      </c>
      <c r="J106" s="49" t="s">
        <v>10406</v>
      </c>
      <c r="K106" s="22" t="s">
        <v>10407</v>
      </c>
    </row>
    <row r="107" spans="1:11" s="22" customFormat="1" ht="15.5">
      <c r="A107" s="33"/>
      <c r="B107" s="87"/>
      <c r="C107" s="86"/>
      <c r="D107" s="83"/>
      <c r="E107" s="85"/>
      <c r="F107" s="50"/>
      <c r="G107" t="s">
        <v>10408</v>
      </c>
      <c r="H107" s="50"/>
      <c r="I107" s="50"/>
      <c r="J107" s="50"/>
      <c r="K107" s="22" t="s">
        <v>10409</v>
      </c>
    </row>
    <row r="108" spans="1:11" s="22" customFormat="1" ht="15.5">
      <c r="A108" s="33"/>
      <c r="B108" s="87"/>
      <c r="C108" s="86"/>
      <c r="D108" s="82" t="s">
        <v>10410</v>
      </c>
      <c r="E108" s="84" t="s">
        <v>10411</v>
      </c>
      <c r="F108" s="49" t="s">
        <v>16</v>
      </c>
      <c r="G108" s="34" t="s">
        <v>10412</v>
      </c>
      <c r="H108" s="49" t="s">
        <v>10413</v>
      </c>
      <c r="I108" s="49" t="s">
        <v>19</v>
      </c>
      <c r="J108" s="49" t="s">
        <v>10414</v>
      </c>
      <c r="K108" s="22" t="s">
        <v>10415</v>
      </c>
    </row>
    <row r="109" spans="1:11" s="22" customFormat="1" ht="15.5">
      <c r="A109" s="33"/>
      <c r="B109" s="87"/>
      <c r="C109" s="86"/>
      <c r="D109" s="83"/>
      <c r="E109" s="85"/>
      <c r="F109" s="50"/>
      <c r="G109" t="s">
        <v>10222</v>
      </c>
      <c r="H109" s="50"/>
      <c r="I109" s="50"/>
      <c r="J109" s="50"/>
      <c r="K109" s="22" t="s">
        <v>10416</v>
      </c>
    </row>
    <row r="110" spans="1:11" s="22" customFormat="1" ht="15.5">
      <c r="A110" s="33"/>
      <c r="B110" s="87"/>
      <c r="C110" s="86"/>
      <c r="D110" s="82" t="s">
        <v>10417</v>
      </c>
      <c r="E110" s="84" t="s">
        <v>10418</v>
      </c>
      <c r="F110" s="49" t="s">
        <v>38</v>
      </c>
      <c r="G110" s="34" t="s">
        <v>10419</v>
      </c>
      <c r="H110" s="49" t="s">
        <v>10420</v>
      </c>
      <c r="I110" s="49" t="s">
        <v>19</v>
      </c>
      <c r="J110" s="49" t="s">
        <v>10421</v>
      </c>
      <c r="K110" s="22" t="s">
        <v>10422</v>
      </c>
    </row>
    <row r="111" spans="1:11" s="22" customFormat="1" ht="15.5">
      <c r="A111" s="33"/>
      <c r="B111" s="87"/>
      <c r="C111" s="83"/>
      <c r="D111" s="83"/>
      <c r="E111" s="85"/>
      <c r="F111" s="50"/>
      <c r="G111" t="s">
        <v>10423</v>
      </c>
      <c r="H111" s="50"/>
      <c r="I111" s="50"/>
      <c r="J111" s="50"/>
      <c r="K111" s="22" t="s">
        <v>10424</v>
      </c>
    </row>
    <row r="112" spans="1:11" s="22" customFormat="1" ht="15.75" customHeight="1">
      <c r="A112" s="33"/>
      <c r="B112" s="87"/>
      <c r="C112" s="82" t="s">
        <v>10425</v>
      </c>
      <c r="D112" s="82" t="s">
        <v>10426</v>
      </c>
      <c r="E112" s="82" t="s">
        <v>10427</v>
      </c>
      <c r="F112" s="49" t="s">
        <v>38</v>
      </c>
      <c r="G112" s="34" t="s">
        <v>10428</v>
      </c>
      <c r="H112" s="49" t="s">
        <v>10429</v>
      </c>
      <c r="I112" s="49" t="s">
        <v>41</v>
      </c>
      <c r="J112" s="49" t="s">
        <v>10430</v>
      </c>
      <c r="K112" s="22" t="s">
        <v>10431</v>
      </c>
    </row>
    <row r="113" spans="1:11" s="22" customFormat="1" ht="15.5">
      <c r="A113" s="33"/>
      <c r="B113" s="87"/>
      <c r="C113" s="86"/>
      <c r="D113" s="83"/>
      <c r="E113" s="83"/>
      <c r="F113" s="50"/>
      <c r="G113" t="s">
        <v>9356</v>
      </c>
      <c r="H113" s="50"/>
      <c r="I113" s="50"/>
      <c r="J113" s="50"/>
      <c r="K113" s="22" t="s">
        <v>10432</v>
      </c>
    </row>
    <row r="114" spans="1:11" s="22" customFormat="1" ht="15.5">
      <c r="A114" s="33"/>
      <c r="B114" s="87"/>
      <c r="C114" s="86"/>
      <c r="D114" s="82" t="s">
        <v>10433</v>
      </c>
      <c r="E114" s="84" t="s">
        <v>10434</v>
      </c>
      <c r="F114" s="49" t="s">
        <v>38</v>
      </c>
      <c r="G114" s="34" t="s">
        <v>10435</v>
      </c>
      <c r="H114" s="49" t="s">
        <v>10436</v>
      </c>
      <c r="I114" s="49" t="s">
        <v>41</v>
      </c>
      <c r="J114" s="49" t="s">
        <v>10437</v>
      </c>
      <c r="K114" s="22" t="s">
        <v>10438</v>
      </c>
    </row>
    <row r="115" spans="1:11" s="22" customFormat="1" ht="15.5">
      <c r="A115" s="33"/>
      <c r="B115" s="87"/>
      <c r="C115" s="86"/>
      <c r="D115" s="83"/>
      <c r="E115" s="85"/>
      <c r="F115" s="50"/>
      <c r="G115" t="s">
        <v>10439</v>
      </c>
      <c r="H115" s="50"/>
      <c r="I115" s="50"/>
      <c r="J115" s="50"/>
      <c r="K115" s="22" t="s">
        <v>10440</v>
      </c>
    </row>
    <row r="116" spans="1:11" s="22" customFormat="1" ht="15.5">
      <c r="A116" s="33"/>
      <c r="B116" s="87"/>
      <c r="C116" s="86"/>
      <c r="D116" s="82" t="s">
        <v>10441</v>
      </c>
      <c r="E116" s="84" t="s">
        <v>10442</v>
      </c>
      <c r="F116" s="49" t="s">
        <v>38</v>
      </c>
      <c r="G116" s="34" t="s">
        <v>10443</v>
      </c>
      <c r="H116" s="49" t="s">
        <v>10444</v>
      </c>
      <c r="I116" s="49" t="s">
        <v>19</v>
      </c>
      <c r="J116" s="49" t="s">
        <v>10445</v>
      </c>
      <c r="K116" s="22" t="s">
        <v>10446</v>
      </c>
    </row>
    <row r="117" spans="1:11" s="22" customFormat="1" ht="15.5">
      <c r="A117" s="33"/>
      <c r="B117" s="87"/>
      <c r="C117" s="86"/>
      <c r="D117" s="83"/>
      <c r="E117" s="85"/>
      <c r="F117" s="50"/>
      <c r="G117" t="s">
        <v>10447</v>
      </c>
      <c r="H117" s="50"/>
      <c r="I117" s="50"/>
      <c r="J117" s="50"/>
      <c r="K117" s="22" t="s">
        <v>10448</v>
      </c>
    </row>
    <row r="118" spans="1:11" s="22" customFormat="1" ht="15.5">
      <c r="A118" s="33"/>
      <c r="B118" s="87"/>
      <c r="C118" s="86"/>
      <c r="D118" s="82" t="s">
        <v>10449</v>
      </c>
      <c r="E118" s="84" t="s">
        <v>10450</v>
      </c>
      <c r="F118" s="49" t="s">
        <v>16</v>
      </c>
      <c r="G118" s="34" t="s">
        <v>10451</v>
      </c>
      <c r="H118" s="49" t="s">
        <v>10452</v>
      </c>
      <c r="I118" s="49" t="s">
        <v>19</v>
      </c>
      <c r="J118" s="49" t="s">
        <v>10453</v>
      </c>
      <c r="K118" s="22" t="s">
        <v>10454</v>
      </c>
    </row>
    <row r="119" spans="1:11" s="22" customFormat="1" ht="15.5">
      <c r="A119" s="33"/>
      <c r="B119" s="87"/>
      <c r="C119" s="86"/>
      <c r="D119" s="83"/>
      <c r="E119" s="85"/>
      <c r="F119" s="50"/>
      <c r="G119" t="s">
        <v>10455</v>
      </c>
      <c r="H119" s="50"/>
      <c r="I119" s="50"/>
      <c r="J119" s="50"/>
      <c r="K119" s="22" t="s">
        <v>10456</v>
      </c>
    </row>
    <row r="120" spans="1:11" s="22" customFormat="1" ht="15.5">
      <c r="A120" s="33"/>
      <c r="B120" s="87"/>
      <c r="C120" s="86"/>
      <c r="D120" s="82" t="s">
        <v>10457</v>
      </c>
      <c r="E120" s="49" t="s">
        <v>10458</v>
      </c>
      <c r="F120" s="49" t="s">
        <v>16</v>
      </c>
      <c r="G120" s="34" t="s">
        <v>10459</v>
      </c>
      <c r="H120" s="49" t="s">
        <v>10460</v>
      </c>
      <c r="I120" s="49" t="s">
        <v>41</v>
      </c>
      <c r="J120" s="49" t="s">
        <v>10461</v>
      </c>
      <c r="K120" s="22" t="s">
        <v>10462</v>
      </c>
    </row>
    <row r="121" spans="1:11" s="22" customFormat="1" ht="15.5">
      <c r="A121" s="33"/>
      <c r="B121" s="87"/>
      <c r="C121" s="83"/>
      <c r="D121" s="83"/>
      <c r="E121" s="50"/>
      <c r="F121" s="50"/>
      <c r="G121" t="s">
        <v>10463</v>
      </c>
      <c r="H121" s="50"/>
      <c r="I121" s="50"/>
      <c r="J121" s="50"/>
      <c r="K121" s="22" t="s">
        <v>10464</v>
      </c>
    </row>
    <row r="122" spans="1:11" s="22" customFormat="1" ht="15.75" customHeight="1">
      <c r="A122" s="33"/>
      <c r="B122" s="87"/>
      <c r="C122" s="82" t="s">
        <v>10465</v>
      </c>
      <c r="D122" s="82" t="s">
        <v>10466</v>
      </c>
      <c r="E122" s="84" t="s">
        <v>10467</v>
      </c>
      <c r="F122" s="49" t="s">
        <v>16</v>
      </c>
      <c r="G122" s="34" t="s">
        <v>9702</v>
      </c>
      <c r="H122" s="49" t="s">
        <v>10468</v>
      </c>
      <c r="I122" s="49" t="s">
        <v>41</v>
      </c>
      <c r="J122" s="49" t="s">
        <v>10469</v>
      </c>
      <c r="K122" s="22" t="s">
        <v>10470</v>
      </c>
    </row>
    <row r="123" spans="1:11" s="22" customFormat="1" ht="15.5">
      <c r="A123" s="33"/>
      <c r="B123" s="87"/>
      <c r="C123" s="86"/>
      <c r="D123" s="83"/>
      <c r="E123" s="85"/>
      <c r="F123" s="50"/>
      <c r="G123" t="s">
        <v>10471</v>
      </c>
      <c r="H123" s="50"/>
      <c r="I123" s="50"/>
      <c r="J123" s="50"/>
      <c r="K123" s="22" t="s">
        <v>10472</v>
      </c>
    </row>
    <row r="124" spans="1:11" s="22" customFormat="1" ht="15.5">
      <c r="A124" s="33"/>
      <c r="B124" s="87"/>
      <c r="C124" s="86"/>
      <c r="D124" s="82" t="s">
        <v>10473</v>
      </c>
      <c r="E124" s="84" t="s">
        <v>10474</v>
      </c>
      <c r="F124" s="49" t="s">
        <v>16</v>
      </c>
      <c r="G124" s="34" t="s">
        <v>10475</v>
      </c>
      <c r="H124" s="49" t="s">
        <v>10476</v>
      </c>
      <c r="I124" s="49" t="s">
        <v>41</v>
      </c>
      <c r="J124" s="49" t="s">
        <v>10477</v>
      </c>
      <c r="K124" s="22" t="s">
        <v>10478</v>
      </c>
    </row>
    <row r="125" spans="1:11" s="22" customFormat="1" ht="15.5">
      <c r="A125" s="33"/>
      <c r="B125" s="87"/>
      <c r="C125" s="86"/>
      <c r="D125" s="83"/>
      <c r="E125" s="85"/>
      <c r="F125" s="50"/>
      <c r="G125" t="s">
        <v>10479</v>
      </c>
      <c r="H125" s="50"/>
      <c r="I125" s="50"/>
      <c r="J125" s="50"/>
      <c r="K125" s="22" t="s">
        <v>10480</v>
      </c>
    </row>
    <row r="126" spans="1:11" s="22" customFormat="1" ht="15.5">
      <c r="A126" s="33"/>
      <c r="B126" s="87"/>
      <c r="C126" s="86"/>
      <c r="D126" s="82" t="s">
        <v>10481</v>
      </c>
      <c r="E126" s="84" t="s">
        <v>10482</v>
      </c>
      <c r="F126" s="49" t="s">
        <v>16</v>
      </c>
      <c r="G126" t="s">
        <v>10483</v>
      </c>
      <c r="H126" s="49" t="s">
        <v>10484</v>
      </c>
      <c r="I126" s="49" t="s">
        <v>41</v>
      </c>
      <c r="J126" s="49" t="s">
        <v>10485</v>
      </c>
      <c r="K126" s="22" t="s">
        <v>10486</v>
      </c>
    </row>
    <row r="127" spans="1:11" s="22" customFormat="1" ht="15.5">
      <c r="A127" s="33"/>
      <c r="B127" s="87"/>
      <c r="C127" s="86"/>
      <c r="D127" s="83"/>
      <c r="E127" s="85"/>
      <c r="F127" s="50"/>
      <c r="G127" t="s">
        <v>10487</v>
      </c>
      <c r="H127" s="50"/>
      <c r="I127" s="50"/>
      <c r="J127" s="50"/>
      <c r="K127" s="22" t="s">
        <v>10488</v>
      </c>
    </row>
    <row r="128" spans="1:11" s="22" customFormat="1" ht="15.5">
      <c r="A128" s="33"/>
      <c r="B128" s="87"/>
      <c r="C128" s="86"/>
      <c r="D128" s="82" t="s">
        <v>10489</v>
      </c>
      <c r="E128" s="84" t="s">
        <v>10490</v>
      </c>
      <c r="F128" s="49" t="s">
        <v>38</v>
      </c>
      <c r="G128" s="34" t="s">
        <v>10491</v>
      </c>
      <c r="H128" s="49" t="s">
        <v>10492</v>
      </c>
      <c r="I128" s="49" t="s">
        <v>41</v>
      </c>
      <c r="J128" s="49" t="s">
        <v>10493</v>
      </c>
      <c r="K128" s="22" t="s">
        <v>10494</v>
      </c>
    </row>
    <row r="129" spans="1:11" s="22" customFormat="1" ht="15.5">
      <c r="A129" s="33"/>
      <c r="B129" s="87"/>
      <c r="C129" s="86"/>
      <c r="D129" s="83"/>
      <c r="E129" s="85"/>
      <c r="F129" s="50"/>
      <c r="G129" t="s">
        <v>8586</v>
      </c>
      <c r="H129" s="50"/>
      <c r="I129" s="50"/>
      <c r="J129" s="50"/>
      <c r="K129" s="22" t="s">
        <v>10495</v>
      </c>
    </row>
    <row r="130" spans="1:11" s="22" customFormat="1" ht="15.5">
      <c r="A130" s="33"/>
      <c r="B130" s="87"/>
      <c r="C130" s="86"/>
      <c r="D130" s="82" t="s">
        <v>10496</v>
      </c>
      <c r="E130" s="84" t="s">
        <v>10497</v>
      </c>
      <c r="F130" s="49" t="s">
        <v>16</v>
      </c>
      <c r="G130" s="34" t="s">
        <v>10498</v>
      </c>
      <c r="H130" s="49" t="s">
        <v>10499</v>
      </c>
      <c r="I130" s="49" t="s">
        <v>19</v>
      </c>
      <c r="J130" s="49" t="s">
        <v>10500</v>
      </c>
      <c r="K130" s="22" t="s">
        <v>10501</v>
      </c>
    </row>
    <row r="131" spans="1:11" s="22" customFormat="1" ht="15.5">
      <c r="A131" s="33"/>
      <c r="B131" s="87"/>
      <c r="C131" s="83"/>
      <c r="D131" s="83"/>
      <c r="E131" s="85"/>
      <c r="F131" s="50"/>
      <c r="G131" t="s">
        <v>10502</v>
      </c>
      <c r="H131" s="50"/>
      <c r="I131" s="50"/>
      <c r="J131" s="50"/>
      <c r="K131" s="22" t="s">
        <v>10503</v>
      </c>
    </row>
    <row r="132" spans="1:11" s="22" customFormat="1" ht="15.75" customHeight="1">
      <c r="A132" s="33"/>
      <c r="B132" s="87"/>
      <c r="C132" s="82" t="s">
        <v>10504</v>
      </c>
      <c r="D132" s="82" t="s">
        <v>10505</v>
      </c>
      <c r="E132" s="84" t="s">
        <v>10506</v>
      </c>
      <c r="F132" s="49" t="s">
        <v>38</v>
      </c>
      <c r="G132" s="34" t="s">
        <v>10507</v>
      </c>
      <c r="H132" s="49" t="s">
        <v>10508</v>
      </c>
      <c r="I132" s="49" t="s">
        <v>19</v>
      </c>
      <c r="J132" s="49" t="s">
        <v>10509</v>
      </c>
      <c r="K132" s="22" t="s">
        <v>10510</v>
      </c>
    </row>
    <row r="133" spans="1:11" s="22" customFormat="1" ht="15.5">
      <c r="A133" s="33"/>
      <c r="B133" s="87"/>
      <c r="C133" s="86"/>
      <c r="D133" s="83"/>
      <c r="E133" s="85"/>
      <c r="F133" s="50"/>
      <c r="G133" t="s">
        <v>10511</v>
      </c>
      <c r="H133" s="50"/>
      <c r="I133" s="50"/>
      <c r="J133" s="50"/>
      <c r="K133" s="22" t="s">
        <v>10512</v>
      </c>
    </row>
    <row r="134" spans="1:11" s="22" customFormat="1" ht="15.5">
      <c r="A134" s="33"/>
      <c r="B134" s="87"/>
      <c r="C134" s="86"/>
      <c r="D134" s="82" t="s">
        <v>10513</v>
      </c>
      <c r="E134" s="84" t="s">
        <v>10514</v>
      </c>
      <c r="F134" s="49" t="s">
        <v>16</v>
      </c>
      <c r="G134" s="34" t="s">
        <v>9854</v>
      </c>
      <c r="H134" s="49" t="s">
        <v>10515</v>
      </c>
      <c r="I134" s="49" t="s">
        <v>19</v>
      </c>
      <c r="J134" s="49" t="s">
        <v>10516</v>
      </c>
      <c r="K134" s="22" t="s">
        <v>10517</v>
      </c>
    </row>
    <row r="135" spans="1:11" s="22" customFormat="1" ht="15.5">
      <c r="A135" s="33"/>
      <c r="B135" s="87"/>
      <c r="C135" s="86"/>
      <c r="D135" s="83"/>
      <c r="E135" s="85"/>
      <c r="F135" s="50"/>
      <c r="G135" t="s">
        <v>10368</v>
      </c>
      <c r="H135" s="50"/>
      <c r="I135" s="50"/>
      <c r="J135" s="50"/>
      <c r="K135" s="22" t="s">
        <v>10518</v>
      </c>
    </row>
    <row r="136" spans="1:11" s="22" customFormat="1" ht="15.5">
      <c r="A136" s="33"/>
      <c r="B136" s="87"/>
      <c r="C136" s="86"/>
      <c r="D136" s="82" t="s">
        <v>10519</v>
      </c>
      <c r="E136" s="84" t="s">
        <v>10520</v>
      </c>
      <c r="F136" s="49" t="s">
        <v>38</v>
      </c>
      <c r="G136" s="34" t="s">
        <v>10521</v>
      </c>
      <c r="H136" s="49" t="s">
        <v>10522</v>
      </c>
      <c r="I136" s="49" t="s">
        <v>19</v>
      </c>
      <c r="J136" s="49" t="s">
        <v>10523</v>
      </c>
      <c r="K136" s="22" t="s">
        <v>10524</v>
      </c>
    </row>
    <row r="137" spans="1:11" s="22" customFormat="1" ht="15.5">
      <c r="A137" s="33"/>
      <c r="B137" s="87"/>
      <c r="C137" s="86"/>
      <c r="D137" s="83"/>
      <c r="E137" s="85"/>
      <c r="F137" s="50"/>
      <c r="G137" t="s">
        <v>10525</v>
      </c>
      <c r="H137" s="50"/>
      <c r="I137" s="50"/>
      <c r="J137" s="50"/>
      <c r="K137" s="22" t="s">
        <v>10526</v>
      </c>
    </row>
    <row r="138" spans="1:11" s="22" customFormat="1" ht="15.5">
      <c r="A138" s="33"/>
      <c r="B138" s="87"/>
      <c r="C138" s="86"/>
      <c r="D138" s="82" t="s">
        <v>10527</v>
      </c>
      <c r="E138" s="84" t="s">
        <v>10528</v>
      </c>
      <c r="F138" s="49" t="s">
        <v>16</v>
      </c>
      <c r="G138" s="34" t="s">
        <v>10529</v>
      </c>
      <c r="H138" s="49" t="s">
        <v>10530</v>
      </c>
      <c r="I138" s="49" t="s">
        <v>19</v>
      </c>
      <c r="J138" s="49" t="s">
        <v>10531</v>
      </c>
      <c r="K138" s="22" t="s">
        <v>10532</v>
      </c>
    </row>
    <row r="139" spans="1:11" s="22" customFormat="1" ht="15.5">
      <c r="A139" s="33"/>
      <c r="B139" s="87"/>
      <c r="C139" s="86"/>
      <c r="D139" s="83"/>
      <c r="E139" s="85"/>
      <c r="F139" s="50"/>
      <c r="G139" t="s">
        <v>10533</v>
      </c>
      <c r="H139" s="50"/>
      <c r="I139" s="50"/>
      <c r="J139" s="50"/>
      <c r="K139" s="22" t="s">
        <v>10534</v>
      </c>
    </row>
    <row r="140" spans="1:11" s="22" customFormat="1" ht="15.5">
      <c r="A140" s="33"/>
      <c r="B140" s="87"/>
      <c r="C140" s="86"/>
      <c r="D140" s="82" t="s">
        <v>10535</v>
      </c>
      <c r="E140" s="84" t="s">
        <v>10536</v>
      </c>
      <c r="F140" s="49" t="s">
        <v>16</v>
      </c>
      <c r="G140" s="34" t="s">
        <v>10537</v>
      </c>
      <c r="H140" s="49" t="s">
        <v>10538</v>
      </c>
      <c r="I140" s="49" t="s">
        <v>41</v>
      </c>
      <c r="J140" s="49" t="s">
        <v>10539</v>
      </c>
      <c r="K140" s="22" t="s">
        <v>10540</v>
      </c>
    </row>
    <row r="141" spans="1:11" s="22" customFormat="1" ht="15.5">
      <c r="A141" s="33"/>
      <c r="B141" s="87"/>
      <c r="C141" s="83"/>
      <c r="D141" s="83"/>
      <c r="E141" s="85"/>
      <c r="F141" s="50"/>
      <c r="G141" t="s">
        <v>10541</v>
      </c>
      <c r="H141" s="50"/>
      <c r="I141" s="50"/>
      <c r="J141" s="50"/>
      <c r="K141" s="22" t="s">
        <v>10542</v>
      </c>
    </row>
    <row r="142" spans="1:11" s="22" customFormat="1" ht="15.75" customHeight="1">
      <c r="A142" s="33"/>
      <c r="B142" s="87"/>
      <c r="C142" s="82" t="s">
        <v>10543</v>
      </c>
      <c r="D142" s="82" t="s">
        <v>10544</v>
      </c>
      <c r="E142" s="84" t="s">
        <v>10545</v>
      </c>
      <c r="F142" s="49" t="s">
        <v>16</v>
      </c>
      <c r="G142" s="34" t="s">
        <v>10546</v>
      </c>
      <c r="H142" s="49" t="s">
        <v>10547</v>
      </c>
      <c r="I142" s="49" t="s">
        <v>41</v>
      </c>
      <c r="J142" s="49" t="s">
        <v>10548</v>
      </c>
      <c r="K142" s="22" t="s">
        <v>10549</v>
      </c>
    </row>
    <row r="143" spans="1:11" s="22" customFormat="1" ht="15.5">
      <c r="A143" s="33"/>
      <c r="B143" s="87"/>
      <c r="C143" s="86"/>
      <c r="D143" s="83"/>
      <c r="E143" s="85"/>
      <c r="F143" s="50"/>
      <c r="G143" t="s">
        <v>10550</v>
      </c>
      <c r="H143" s="50"/>
      <c r="I143" s="50"/>
      <c r="J143" s="50"/>
      <c r="K143" s="22" t="s">
        <v>10551</v>
      </c>
    </row>
    <row r="144" spans="1:11" s="22" customFormat="1" ht="15.5">
      <c r="A144" s="33"/>
      <c r="B144" s="87"/>
      <c r="C144" s="86"/>
      <c r="D144" s="82" t="s">
        <v>10552</v>
      </c>
      <c r="E144" s="84" t="s">
        <v>10553</v>
      </c>
      <c r="F144" s="49" t="s">
        <v>38</v>
      </c>
      <c r="G144" s="34" t="s">
        <v>10554</v>
      </c>
      <c r="H144" s="49" t="s">
        <v>10555</v>
      </c>
      <c r="I144" s="49" t="s">
        <v>41</v>
      </c>
      <c r="J144" s="49" t="s">
        <v>10556</v>
      </c>
      <c r="K144" s="22" t="s">
        <v>10557</v>
      </c>
    </row>
    <row r="145" spans="1:11" s="22" customFormat="1" ht="15.5">
      <c r="A145" s="33"/>
      <c r="B145" s="87"/>
      <c r="C145" s="86"/>
      <c r="D145" s="83"/>
      <c r="E145" s="85"/>
      <c r="F145" s="50"/>
      <c r="G145" t="s">
        <v>10558</v>
      </c>
      <c r="H145" s="50"/>
      <c r="I145" s="50"/>
      <c r="J145" s="50"/>
      <c r="K145" s="22" t="s">
        <v>10559</v>
      </c>
    </row>
    <row r="146" spans="1:11" s="22" customFormat="1" ht="15.5">
      <c r="A146" s="33"/>
      <c r="B146" s="87"/>
      <c r="C146" s="86"/>
      <c r="D146" s="82" t="s">
        <v>10560</v>
      </c>
      <c r="E146" s="84" t="s">
        <v>10561</v>
      </c>
      <c r="F146" s="49" t="s">
        <v>38</v>
      </c>
      <c r="G146" s="34" t="s">
        <v>10562</v>
      </c>
      <c r="H146" s="49" t="s">
        <v>10563</v>
      </c>
      <c r="I146" s="49" t="s">
        <v>41</v>
      </c>
      <c r="J146" s="49" t="s">
        <v>10564</v>
      </c>
      <c r="K146" s="22" t="s">
        <v>10565</v>
      </c>
    </row>
    <row r="147" spans="1:11" s="22" customFormat="1" ht="15.5">
      <c r="A147" s="33"/>
      <c r="B147" s="87"/>
      <c r="C147" s="86"/>
      <c r="D147" s="83"/>
      <c r="E147" s="85"/>
      <c r="F147" s="50"/>
      <c r="G147" t="s">
        <v>10566</v>
      </c>
      <c r="H147" s="50"/>
      <c r="I147" s="50"/>
      <c r="J147" s="50"/>
      <c r="K147" s="22" t="s">
        <v>10567</v>
      </c>
    </row>
    <row r="148" spans="1:11" s="22" customFormat="1" ht="15.5">
      <c r="A148" s="33"/>
      <c r="B148" s="87"/>
      <c r="C148" s="86"/>
      <c r="D148" s="82" t="s">
        <v>10568</v>
      </c>
      <c r="E148" s="84" t="s">
        <v>10569</v>
      </c>
      <c r="F148" s="49" t="s">
        <v>38</v>
      </c>
      <c r="G148" s="34" t="s">
        <v>10570</v>
      </c>
      <c r="H148" s="49" t="s">
        <v>10571</v>
      </c>
      <c r="I148" s="49" t="s">
        <v>41</v>
      </c>
      <c r="J148" s="49" t="s">
        <v>10572</v>
      </c>
      <c r="K148" s="22" t="s">
        <v>10573</v>
      </c>
    </row>
    <row r="149" spans="1:11" s="22" customFormat="1" ht="15.5">
      <c r="A149" s="33"/>
      <c r="B149" s="87"/>
      <c r="C149" s="86"/>
      <c r="D149" s="83"/>
      <c r="E149" s="85"/>
      <c r="F149" s="50"/>
      <c r="G149" t="s">
        <v>10574</v>
      </c>
      <c r="H149" s="50"/>
      <c r="I149" s="50"/>
      <c r="J149" s="50"/>
      <c r="K149" s="22" t="s">
        <v>10575</v>
      </c>
    </row>
    <row r="150" spans="1:11" s="22" customFormat="1" ht="15.5">
      <c r="A150" s="33"/>
      <c r="B150" s="87"/>
      <c r="C150" s="86"/>
      <c r="D150" s="82" t="s">
        <v>10576</v>
      </c>
      <c r="E150" s="84" t="s">
        <v>10577</v>
      </c>
      <c r="F150" s="49" t="s">
        <v>16</v>
      </c>
      <c r="G150" s="34" t="s">
        <v>10578</v>
      </c>
      <c r="H150" s="49" t="s">
        <v>10579</v>
      </c>
      <c r="I150" s="49" t="s">
        <v>41</v>
      </c>
      <c r="J150" s="49" t="s">
        <v>10580</v>
      </c>
      <c r="K150" s="22" t="s">
        <v>10581</v>
      </c>
    </row>
    <row r="151" spans="1:11" s="22" customFormat="1" ht="15.5">
      <c r="A151" s="33"/>
      <c r="B151" s="87"/>
      <c r="C151" s="83"/>
      <c r="D151" s="83"/>
      <c r="E151" s="85"/>
      <c r="F151" s="50"/>
      <c r="G151" t="s">
        <v>10582</v>
      </c>
      <c r="H151" s="50"/>
      <c r="I151" s="50"/>
      <c r="J151" s="50"/>
      <c r="K151" s="22" t="s">
        <v>10583</v>
      </c>
    </row>
    <row r="152" spans="1:11" s="22" customFormat="1" ht="15.75" customHeight="1">
      <c r="A152" s="33"/>
      <c r="B152" s="87"/>
      <c r="C152" s="82" t="s">
        <v>10584</v>
      </c>
      <c r="D152" s="82" t="s">
        <v>10585</v>
      </c>
      <c r="E152" s="84" t="s">
        <v>10586</v>
      </c>
      <c r="F152" s="49" t="s">
        <v>16</v>
      </c>
      <c r="G152" s="34" t="s">
        <v>10587</v>
      </c>
      <c r="H152" s="49" t="s">
        <v>10588</v>
      </c>
      <c r="I152" s="49" t="s">
        <v>19</v>
      </c>
      <c r="J152" s="49" t="s">
        <v>10589</v>
      </c>
      <c r="K152" s="22" t="s">
        <v>10590</v>
      </c>
    </row>
    <row r="153" spans="1:11" s="22" customFormat="1" ht="15.5">
      <c r="A153" s="33"/>
      <c r="B153" s="87"/>
      <c r="C153" s="86"/>
      <c r="D153" s="83"/>
      <c r="E153" s="85"/>
      <c r="F153" s="50"/>
      <c r="G153" t="s">
        <v>10591</v>
      </c>
      <c r="H153" s="50"/>
      <c r="I153" s="50"/>
      <c r="J153" s="50"/>
      <c r="K153" s="22" t="s">
        <v>10592</v>
      </c>
    </row>
    <row r="154" spans="1:11" s="22" customFormat="1" ht="15.5">
      <c r="A154" s="33"/>
      <c r="B154" s="87"/>
      <c r="C154" s="86"/>
      <c r="D154" s="82" t="s">
        <v>10593</v>
      </c>
      <c r="E154" s="84" t="s">
        <v>10594</v>
      </c>
      <c r="F154" s="49" t="s">
        <v>16</v>
      </c>
      <c r="G154" s="34" t="s">
        <v>10595</v>
      </c>
      <c r="H154" s="49" t="s">
        <v>10596</v>
      </c>
      <c r="I154" s="49" t="s">
        <v>19</v>
      </c>
      <c r="J154" s="49" t="s">
        <v>10597</v>
      </c>
      <c r="K154" s="22" t="s">
        <v>10598</v>
      </c>
    </row>
    <row r="155" spans="1:11" s="22" customFormat="1" ht="15.5">
      <c r="A155" s="33"/>
      <c r="B155" s="87"/>
      <c r="C155" s="86"/>
      <c r="D155" s="83"/>
      <c r="E155" s="85"/>
      <c r="F155" s="50"/>
      <c r="G155" t="s">
        <v>10599</v>
      </c>
      <c r="H155" s="50"/>
      <c r="I155" s="50"/>
      <c r="J155" s="50"/>
      <c r="K155" s="22" t="s">
        <v>10600</v>
      </c>
    </row>
    <row r="156" spans="1:11" s="22" customFormat="1" ht="15.5">
      <c r="A156" s="33"/>
      <c r="B156" s="87"/>
      <c r="C156" s="86"/>
      <c r="D156" s="82" t="s">
        <v>10601</v>
      </c>
      <c r="E156" s="84" t="s">
        <v>10602</v>
      </c>
      <c r="F156" s="49" t="s">
        <v>16</v>
      </c>
      <c r="G156" s="34" t="s">
        <v>10603</v>
      </c>
      <c r="H156" s="49" t="s">
        <v>10604</v>
      </c>
      <c r="I156" s="49" t="s">
        <v>19</v>
      </c>
      <c r="J156" s="49" t="s">
        <v>10605</v>
      </c>
      <c r="K156" s="22" t="s">
        <v>10606</v>
      </c>
    </row>
    <row r="157" spans="1:11" s="22" customFormat="1" ht="15.5">
      <c r="A157" s="33"/>
      <c r="B157" s="87"/>
      <c r="C157" s="86"/>
      <c r="D157" s="83"/>
      <c r="E157" s="85"/>
      <c r="F157" s="50"/>
      <c r="G157" t="s">
        <v>10607</v>
      </c>
      <c r="H157" s="50"/>
      <c r="I157" s="50"/>
      <c r="J157" s="50"/>
      <c r="K157" s="22" t="s">
        <v>10608</v>
      </c>
    </row>
    <row r="158" spans="1:11" s="22" customFormat="1" ht="15.5">
      <c r="A158" s="33"/>
      <c r="B158" s="87"/>
      <c r="C158" s="86"/>
      <c r="D158" s="82" t="s">
        <v>10609</v>
      </c>
      <c r="E158" s="84" t="s">
        <v>10610</v>
      </c>
      <c r="F158" s="49" t="s">
        <v>16</v>
      </c>
      <c r="G158" s="34" t="s">
        <v>10611</v>
      </c>
      <c r="H158" s="49" t="s">
        <v>10612</v>
      </c>
      <c r="I158" s="49" t="s">
        <v>19</v>
      </c>
      <c r="J158" s="49" t="s">
        <v>10613</v>
      </c>
      <c r="K158" s="22" t="s">
        <v>10614</v>
      </c>
    </row>
    <row r="159" spans="1:11" s="22" customFormat="1" ht="15.5">
      <c r="A159" s="33"/>
      <c r="B159" s="87"/>
      <c r="C159" s="86"/>
      <c r="D159" s="83"/>
      <c r="E159" s="85"/>
      <c r="F159" s="50"/>
      <c r="G159" t="s">
        <v>10615</v>
      </c>
      <c r="H159" s="50"/>
      <c r="I159" s="50"/>
      <c r="J159" s="50"/>
      <c r="K159" s="22" t="s">
        <v>10616</v>
      </c>
    </row>
    <row r="160" spans="1:11" s="22" customFormat="1" ht="15.5">
      <c r="A160" s="33"/>
      <c r="B160" s="87"/>
      <c r="C160" s="86"/>
      <c r="D160" s="82" t="s">
        <v>10617</v>
      </c>
      <c r="E160" s="84" t="s">
        <v>10618</v>
      </c>
      <c r="F160" s="49" t="s">
        <v>38</v>
      </c>
      <c r="G160" s="34" t="s">
        <v>10619</v>
      </c>
      <c r="H160" s="49" t="s">
        <v>10620</v>
      </c>
      <c r="I160" s="49" t="s">
        <v>19</v>
      </c>
      <c r="J160" s="49" t="s">
        <v>10621</v>
      </c>
      <c r="K160" s="22" t="s">
        <v>10622</v>
      </c>
    </row>
    <row r="161" spans="1:11" s="22" customFormat="1" ht="15.5">
      <c r="A161" s="33"/>
      <c r="B161" s="50"/>
      <c r="C161" s="83"/>
      <c r="D161" s="83"/>
      <c r="E161" s="85"/>
      <c r="F161" s="50"/>
      <c r="G161" t="s">
        <v>10623</v>
      </c>
      <c r="H161" s="50"/>
      <c r="I161" s="50"/>
      <c r="J161" s="50"/>
      <c r="K161" s="22" t="s">
        <v>10624</v>
      </c>
    </row>
    <row r="162" spans="1:11" s="22" customFormat="1" ht="15.75" customHeight="1">
      <c r="A162" s="33"/>
      <c r="B162" s="49" t="s">
        <v>10625</v>
      </c>
      <c r="C162" s="82" t="s">
        <v>10626</v>
      </c>
      <c r="D162" s="82" t="s">
        <v>10627</v>
      </c>
      <c r="E162" s="84" t="s">
        <v>10628</v>
      </c>
      <c r="F162" s="49" t="s">
        <v>16</v>
      </c>
      <c r="G162" s="34" t="s">
        <v>10629</v>
      </c>
      <c r="H162" s="49" t="s">
        <v>10630</v>
      </c>
      <c r="I162" s="49" t="s">
        <v>19</v>
      </c>
      <c r="J162" s="49" t="s">
        <v>10631</v>
      </c>
      <c r="K162" s="22" t="s">
        <v>10632</v>
      </c>
    </row>
    <row r="163" spans="1:11" s="22" customFormat="1" ht="15.5">
      <c r="A163" s="33"/>
      <c r="B163" s="87"/>
      <c r="C163" s="86"/>
      <c r="D163" s="83"/>
      <c r="E163" s="85"/>
      <c r="F163" s="50"/>
      <c r="G163" t="s">
        <v>10633</v>
      </c>
      <c r="H163" s="50"/>
      <c r="I163" s="50"/>
      <c r="J163" s="50"/>
      <c r="K163" s="22" t="s">
        <v>10634</v>
      </c>
    </row>
    <row r="164" spans="1:11" s="22" customFormat="1" ht="15.5">
      <c r="A164" s="33"/>
      <c r="B164" s="87"/>
      <c r="C164" s="86"/>
      <c r="D164" s="82" t="s">
        <v>10635</v>
      </c>
      <c r="E164" s="84" t="s">
        <v>10636</v>
      </c>
      <c r="F164" s="49" t="s">
        <v>38</v>
      </c>
      <c r="G164" s="34" t="s">
        <v>5049</v>
      </c>
      <c r="H164" s="49" t="s">
        <v>10637</v>
      </c>
      <c r="I164" s="49" t="s">
        <v>41</v>
      </c>
      <c r="J164" s="49" t="s">
        <v>10638</v>
      </c>
      <c r="K164" s="22" t="s">
        <v>10639</v>
      </c>
    </row>
    <row r="165" spans="1:11" s="22" customFormat="1" ht="15.5">
      <c r="A165" s="33"/>
      <c r="B165" s="87"/>
      <c r="C165" s="86"/>
      <c r="D165" s="83"/>
      <c r="E165" s="85"/>
      <c r="F165" s="50"/>
      <c r="G165" t="s">
        <v>10640</v>
      </c>
      <c r="H165" s="50"/>
      <c r="I165" s="50"/>
      <c r="J165" s="50"/>
      <c r="K165" s="22" t="s">
        <v>10641</v>
      </c>
    </row>
    <row r="166" spans="1:11" s="22" customFormat="1" ht="15.5">
      <c r="A166" s="33"/>
      <c r="B166" s="87"/>
      <c r="C166" s="86"/>
      <c r="D166" s="82" t="s">
        <v>10642</v>
      </c>
      <c r="E166" s="84" t="s">
        <v>10643</v>
      </c>
      <c r="F166" s="49" t="s">
        <v>16</v>
      </c>
      <c r="G166" s="34" t="s">
        <v>10644</v>
      </c>
      <c r="H166" s="49" t="s">
        <v>10645</v>
      </c>
      <c r="I166" s="49" t="s">
        <v>41</v>
      </c>
      <c r="J166" s="49" t="s">
        <v>10646</v>
      </c>
      <c r="K166" s="22" t="s">
        <v>10647</v>
      </c>
    </row>
    <row r="167" spans="1:11" s="22" customFormat="1" ht="15.5">
      <c r="A167" s="33"/>
      <c r="B167" s="87"/>
      <c r="C167" s="86"/>
      <c r="D167" s="83"/>
      <c r="E167" s="85"/>
      <c r="F167" s="50"/>
      <c r="G167" t="s">
        <v>10648</v>
      </c>
      <c r="H167" s="50"/>
      <c r="I167" s="50"/>
      <c r="J167" s="50"/>
      <c r="K167" s="22" t="s">
        <v>10649</v>
      </c>
    </row>
    <row r="168" spans="1:11" s="22" customFormat="1" ht="15.5">
      <c r="A168" s="33"/>
      <c r="B168" s="87"/>
      <c r="C168" s="86"/>
      <c r="D168" s="82" t="s">
        <v>10650</v>
      </c>
      <c r="E168" s="84" t="s">
        <v>10651</v>
      </c>
      <c r="F168" s="49" t="s">
        <v>16</v>
      </c>
      <c r="G168" s="34" t="s">
        <v>10652</v>
      </c>
      <c r="H168" s="49" t="s">
        <v>10653</v>
      </c>
      <c r="I168" s="49" t="s">
        <v>41</v>
      </c>
      <c r="J168" s="49" t="s">
        <v>10654</v>
      </c>
      <c r="K168" s="22" t="s">
        <v>10655</v>
      </c>
    </row>
    <row r="169" spans="1:11" s="22" customFormat="1" ht="15.5">
      <c r="A169" s="33"/>
      <c r="B169" s="87"/>
      <c r="C169" s="86"/>
      <c r="D169" s="83"/>
      <c r="E169" s="85"/>
      <c r="F169" s="50"/>
      <c r="G169" t="s">
        <v>10656</v>
      </c>
      <c r="H169" s="50"/>
      <c r="I169" s="50"/>
      <c r="J169" s="50"/>
      <c r="K169" s="22" t="s">
        <v>10657</v>
      </c>
    </row>
    <row r="170" spans="1:11" s="22" customFormat="1" ht="15.5">
      <c r="A170" s="33"/>
      <c r="B170" s="87"/>
      <c r="C170" s="86"/>
      <c r="D170" s="82" t="s">
        <v>10658</v>
      </c>
      <c r="E170" s="84" t="s">
        <v>10659</v>
      </c>
      <c r="F170" s="49" t="s">
        <v>16</v>
      </c>
      <c r="G170" s="34" t="s">
        <v>10660</v>
      </c>
      <c r="H170" s="49" t="s">
        <v>10661</v>
      </c>
      <c r="I170" s="49" t="s">
        <v>19</v>
      </c>
      <c r="J170" s="49" t="s">
        <v>10662</v>
      </c>
      <c r="K170" s="22" t="s">
        <v>10663</v>
      </c>
    </row>
    <row r="171" spans="1:11" s="22" customFormat="1" ht="15.5">
      <c r="A171" s="33"/>
      <c r="B171" s="87"/>
      <c r="C171" s="83"/>
      <c r="D171" s="83"/>
      <c r="E171" s="85"/>
      <c r="F171" s="50"/>
      <c r="G171" t="s">
        <v>10664</v>
      </c>
      <c r="H171" s="50"/>
      <c r="I171" s="50"/>
      <c r="J171" s="50"/>
      <c r="K171" s="22" t="s">
        <v>10665</v>
      </c>
    </row>
    <row r="172" spans="1:11" s="22" customFormat="1" ht="15.75" customHeight="1">
      <c r="A172" s="33"/>
      <c r="B172" s="87"/>
      <c r="C172" s="82" t="s">
        <v>10666</v>
      </c>
      <c r="D172" s="82" t="s">
        <v>10667</v>
      </c>
      <c r="E172" s="84" t="s">
        <v>10668</v>
      </c>
      <c r="F172" s="49" t="s">
        <v>16</v>
      </c>
      <c r="G172" s="34" t="s">
        <v>10669</v>
      </c>
      <c r="H172" s="49" t="s">
        <v>10670</v>
      </c>
      <c r="I172" s="49" t="s">
        <v>19</v>
      </c>
      <c r="J172" s="49" t="s">
        <v>10671</v>
      </c>
      <c r="K172" s="22" t="s">
        <v>10672</v>
      </c>
    </row>
    <row r="173" spans="1:11" s="22" customFormat="1" ht="15.5">
      <c r="A173" s="33"/>
      <c r="B173" s="87"/>
      <c r="C173" s="86"/>
      <c r="D173" s="83"/>
      <c r="E173" s="85"/>
      <c r="F173" s="50"/>
      <c r="G173" t="s">
        <v>10673</v>
      </c>
      <c r="H173" s="50"/>
      <c r="I173" s="50"/>
      <c r="J173" s="50"/>
      <c r="K173" s="22" t="s">
        <v>10674</v>
      </c>
    </row>
    <row r="174" spans="1:11" s="22" customFormat="1" ht="15.5">
      <c r="A174" s="33"/>
      <c r="B174" s="87"/>
      <c r="C174" s="86"/>
      <c r="D174" s="82" t="s">
        <v>10675</v>
      </c>
      <c r="E174" s="84" t="s">
        <v>10676</v>
      </c>
      <c r="F174" s="49" t="s">
        <v>38</v>
      </c>
      <c r="G174" s="34" t="s">
        <v>10677</v>
      </c>
      <c r="H174" s="49" t="s">
        <v>10678</v>
      </c>
      <c r="I174" s="49" t="s">
        <v>19</v>
      </c>
      <c r="J174" s="49" t="s">
        <v>10679</v>
      </c>
      <c r="K174" s="22" t="s">
        <v>10680</v>
      </c>
    </row>
    <row r="175" spans="1:11" s="22" customFormat="1" ht="15.5">
      <c r="A175" s="33"/>
      <c r="B175" s="87"/>
      <c r="C175" s="86"/>
      <c r="D175" s="83"/>
      <c r="E175" s="85"/>
      <c r="F175" s="50"/>
      <c r="G175" t="s">
        <v>10681</v>
      </c>
      <c r="H175" s="50"/>
      <c r="I175" s="50"/>
      <c r="J175" s="50"/>
      <c r="K175" s="22" t="s">
        <v>10682</v>
      </c>
    </row>
    <row r="176" spans="1:11" s="22" customFormat="1" ht="15.5">
      <c r="A176" s="33"/>
      <c r="B176" s="87"/>
      <c r="C176" s="86"/>
      <c r="D176" s="82" t="s">
        <v>10683</v>
      </c>
      <c r="E176" s="84" t="s">
        <v>10684</v>
      </c>
      <c r="F176" s="49" t="s">
        <v>16</v>
      </c>
      <c r="G176" s="34" t="s">
        <v>10685</v>
      </c>
      <c r="H176" s="49" t="s">
        <v>10686</v>
      </c>
      <c r="I176" s="49" t="s">
        <v>19</v>
      </c>
      <c r="J176" s="49" t="s">
        <v>10687</v>
      </c>
      <c r="K176" s="22" t="s">
        <v>10688</v>
      </c>
    </row>
    <row r="177" spans="1:11" s="22" customFormat="1" ht="15.5">
      <c r="A177" s="33"/>
      <c r="B177" s="87"/>
      <c r="C177" s="86"/>
      <c r="D177" s="83"/>
      <c r="E177" s="85"/>
      <c r="F177" s="50"/>
      <c r="G177" t="s">
        <v>10689</v>
      </c>
      <c r="H177" s="50"/>
      <c r="I177" s="50"/>
      <c r="J177" s="50"/>
      <c r="K177" s="22" t="s">
        <v>10690</v>
      </c>
    </row>
    <row r="178" spans="1:11" s="22" customFormat="1" ht="15.5">
      <c r="A178" s="33"/>
      <c r="B178" s="87"/>
      <c r="C178" s="86"/>
      <c r="D178" s="82" t="s">
        <v>10691</v>
      </c>
      <c r="E178" s="84" t="s">
        <v>10692</v>
      </c>
      <c r="F178" s="49" t="s">
        <v>16</v>
      </c>
      <c r="G178" s="34" t="s">
        <v>10693</v>
      </c>
      <c r="H178" s="49" t="s">
        <v>10694</v>
      </c>
      <c r="I178" s="49" t="s">
        <v>19</v>
      </c>
      <c r="J178" s="49" t="s">
        <v>10695</v>
      </c>
      <c r="K178" t="s">
        <v>10696</v>
      </c>
    </row>
    <row r="179" spans="1:11" s="22" customFormat="1" ht="15.5">
      <c r="A179" s="33"/>
      <c r="B179" s="87"/>
      <c r="C179" s="86"/>
      <c r="D179" s="83"/>
      <c r="E179" s="85"/>
      <c r="F179" s="50"/>
      <c r="G179" t="s">
        <v>10697</v>
      </c>
      <c r="H179" s="50"/>
      <c r="I179" s="50"/>
      <c r="J179" s="50"/>
      <c r="K179" t="s">
        <v>10698</v>
      </c>
    </row>
    <row r="180" spans="1:11" s="22" customFormat="1" ht="15.5">
      <c r="A180" s="33"/>
      <c r="B180" s="87"/>
      <c r="C180" s="86"/>
      <c r="D180" s="82" t="s">
        <v>10699</v>
      </c>
      <c r="E180" s="84" t="s">
        <v>10700</v>
      </c>
      <c r="F180" s="49" t="s">
        <v>16</v>
      </c>
      <c r="G180" s="34" t="s">
        <v>5901</v>
      </c>
      <c r="H180" s="49" t="s">
        <v>10701</v>
      </c>
      <c r="I180" s="49" t="s">
        <v>19</v>
      </c>
      <c r="J180" s="49" t="s">
        <v>10702</v>
      </c>
      <c r="K180" t="s">
        <v>10703</v>
      </c>
    </row>
    <row r="181" spans="1:11" s="22" customFormat="1" ht="15.5">
      <c r="A181" s="33"/>
      <c r="B181" s="87"/>
      <c r="C181" s="83"/>
      <c r="D181" s="83"/>
      <c r="E181" s="85"/>
      <c r="F181" s="50"/>
      <c r="G181" t="s">
        <v>10704</v>
      </c>
      <c r="H181" s="50"/>
      <c r="I181" s="50"/>
      <c r="J181" s="50"/>
      <c r="K181" t="s">
        <v>10705</v>
      </c>
    </row>
    <row r="182" spans="1:11" s="22" customFormat="1" ht="15.75" customHeight="1">
      <c r="A182" s="33"/>
      <c r="B182" s="87"/>
      <c r="C182" s="82" t="s">
        <v>10706</v>
      </c>
      <c r="D182" s="82" t="s">
        <v>10707</v>
      </c>
      <c r="E182" s="84" t="s">
        <v>10708</v>
      </c>
      <c r="F182" s="49" t="s">
        <v>16</v>
      </c>
      <c r="G182" s="34" t="s">
        <v>10709</v>
      </c>
      <c r="H182" s="49" t="s">
        <v>10710</v>
      </c>
      <c r="I182" s="49" t="s">
        <v>19</v>
      </c>
      <c r="J182" s="49" t="s">
        <v>10711</v>
      </c>
      <c r="K182" t="s">
        <v>10712</v>
      </c>
    </row>
    <row r="183" spans="1:11" s="22" customFormat="1" ht="15.5">
      <c r="A183" s="33"/>
      <c r="B183" s="87"/>
      <c r="C183" s="86"/>
      <c r="D183" s="83"/>
      <c r="E183" s="85"/>
      <c r="F183" s="50"/>
      <c r="G183" t="s">
        <v>10713</v>
      </c>
      <c r="H183" s="50"/>
      <c r="I183" s="50"/>
      <c r="J183" s="50"/>
      <c r="K183" t="s">
        <v>10714</v>
      </c>
    </row>
    <row r="184" spans="1:11" s="22" customFormat="1" ht="15.5">
      <c r="A184" s="33"/>
      <c r="B184" s="87"/>
      <c r="C184" s="86"/>
      <c r="D184" s="82" t="s">
        <v>10715</v>
      </c>
      <c r="E184" s="84" t="s">
        <v>10716</v>
      </c>
      <c r="F184" s="49" t="s">
        <v>16</v>
      </c>
      <c r="G184" s="34" t="s">
        <v>10669</v>
      </c>
      <c r="H184" s="49" t="s">
        <v>10717</v>
      </c>
      <c r="I184" s="49" t="s">
        <v>19</v>
      </c>
      <c r="J184" s="49" t="s">
        <v>10718</v>
      </c>
      <c r="K184" t="s">
        <v>10719</v>
      </c>
    </row>
    <row r="185" spans="1:11" s="22" customFormat="1" ht="15.5">
      <c r="A185" s="33"/>
      <c r="B185" s="87"/>
      <c r="C185" s="86"/>
      <c r="D185" s="83"/>
      <c r="E185" s="85"/>
      <c r="F185" s="50"/>
      <c r="G185" t="s">
        <v>10720</v>
      </c>
      <c r="H185" s="50"/>
      <c r="I185" s="50"/>
      <c r="J185" s="50"/>
      <c r="K185" t="s">
        <v>10721</v>
      </c>
    </row>
    <row r="186" spans="1:11" s="22" customFormat="1" ht="15.5">
      <c r="A186" s="33"/>
      <c r="B186" s="87"/>
      <c r="C186" s="86"/>
      <c r="D186" s="82" t="s">
        <v>10722</v>
      </c>
      <c r="E186" s="84" t="s">
        <v>10723</v>
      </c>
      <c r="F186" s="49" t="s">
        <v>16</v>
      </c>
      <c r="G186" s="34" t="s">
        <v>10724</v>
      </c>
      <c r="H186" s="49" t="s">
        <v>10725</v>
      </c>
      <c r="I186" s="49" t="s">
        <v>41</v>
      </c>
      <c r="J186" s="49" t="s">
        <v>10726</v>
      </c>
      <c r="K186" t="s">
        <v>10727</v>
      </c>
    </row>
    <row r="187" spans="1:11" s="22" customFormat="1" ht="15.5">
      <c r="A187" s="33"/>
      <c r="B187" s="87"/>
      <c r="C187" s="86"/>
      <c r="D187" s="83"/>
      <c r="E187" s="85"/>
      <c r="F187" s="50"/>
      <c r="G187" t="s">
        <v>10728</v>
      </c>
      <c r="H187" s="50"/>
      <c r="I187" s="50"/>
      <c r="J187" s="50"/>
      <c r="K187" t="s">
        <v>10729</v>
      </c>
    </row>
    <row r="188" spans="1:11" s="22" customFormat="1" ht="15.5">
      <c r="A188" s="33"/>
      <c r="B188" s="87"/>
      <c r="C188" s="86"/>
      <c r="D188" s="82" t="s">
        <v>10730</v>
      </c>
      <c r="E188" s="84" t="s">
        <v>10731</v>
      </c>
      <c r="F188" s="49" t="s">
        <v>38</v>
      </c>
      <c r="G188" s="34" t="s">
        <v>10732</v>
      </c>
      <c r="H188" s="49" t="s">
        <v>10733</v>
      </c>
      <c r="I188" s="49" t="s">
        <v>41</v>
      </c>
      <c r="J188" s="49" t="s">
        <v>10734</v>
      </c>
      <c r="K188" t="s">
        <v>10735</v>
      </c>
    </row>
    <row r="189" spans="1:11" s="22" customFormat="1" ht="15.5">
      <c r="A189" s="33"/>
      <c r="B189" s="87"/>
      <c r="C189" s="86"/>
      <c r="D189" s="83"/>
      <c r="E189" s="85"/>
      <c r="F189" s="50"/>
      <c r="G189" t="s">
        <v>10736</v>
      </c>
      <c r="H189" s="50"/>
      <c r="I189" s="50"/>
      <c r="J189" s="50"/>
      <c r="K189" t="s">
        <v>10737</v>
      </c>
    </row>
    <row r="190" spans="1:11" s="22" customFormat="1" ht="15.5">
      <c r="A190" s="33"/>
      <c r="B190" s="87"/>
      <c r="C190" s="86"/>
      <c r="D190" s="82" t="s">
        <v>10738</v>
      </c>
      <c r="E190" s="84" t="s">
        <v>10739</v>
      </c>
      <c r="F190" s="49" t="s">
        <v>38</v>
      </c>
      <c r="G190" s="34" t="s">
        <v>10740</v>
      </c>
      <c r="H190" s="49" t="s">
        <v>10741</v>
      </c>
      <c r="I190" s="49" t="s">
        <v>19</v>
      </c>
      <c r="J190" s="49" t="s">
        <v>10742</v>
      </c>
      <c r="K190" t="s">
        <v>10743</v>
      </c>
    </row>
    <row r="191" spans="1:11" s="22" customFormat="1" ht="15.5">
      <c r="A191" s="33"/>
      <c r="B191" s="87"/>
      <c r="C191" s="83"/>
      <c r="D191" s="83"/>
      <c r="E191" s="85"/>
      <c r="F191" s="50"/>
      <c r="G191" t="s">
        <v>10744</v>
      </c>
      <c r="H191" s="50"/>
      <c r="I191" s="50"/>
      <c r="J191" s="50"/>
      <c r="K191" t="s">
        <v>10745</v>
      </c>
    </row>
    <row r="192" spans="1:11" s="22" customFormat="1" ht="15.75" customHeight="1">
      <c r="A192" s="33"/>
      <c r="B192" s="87"/>
      <c r="C192" s="82" t="s">
        <v>10746</v>
      </c>
      <c r="D192" s="82" t="s">
        <v>10747</v>
      </c>
      <c r="E192" s="84" t="s">
        <v>10748</v>
      </c>
      <c r="F192" s="49" t="s">
        <v>16</v>
      </c>
      <c r="G192" s="34" t="s">
        <v>10749</v>
      </c>
      <c r="H192" s="49" t="s">
        <v>10750</v>
      </c>
      <c r="I192" s="49" t="s">
        <v>19</v>
      </c>
      <c r="J192" s="49" t="s">
        <v>10751</v>
      </c>
      <c r="K192" t="s">
        <v>10752</v>
      </c>
    </row>
    <row r="193" spans="1:11" s="22" customFormat="1" ht="15.5">
      <c r="A193" s="33"/>
      <c r="B193" s="87"/>
      <c r="C193" s="86"/>
      <c r="D193" s="83"/>
      <c r="E193" s="85"/>
      <c r="F193" s="50"/>
      <c r="G193" t="s">
        <v>10753</v>
      </c>
      <c r="H193" s="50"/>
      <c r="I193" s="50"/>
      <c r="J193" s="50"/>
      <c r="K193" t="s">
        <v>10754</v>
      </c>
    </row>
    <row r="194" spans="1:11" s="22" customFormat="1" ht="15.5">
      <c r="A194" s="33"/>
      <c r="B194" s="87"/>
      <c r="C194" s="86"/>
      <c r="D194" s="82" t="s">
        <v>10755</v>
      </c>
      <c r="E194" s="84" t="s">
        <v>10756</v>
      </c>
      <c r="F194" s="49" t="s">
        <v>16</v>
      </c>
      <c r="G194" s="34" t="s">
        <v>10757</v>
      </c>
      <c r="H194" s="49" t="s">
        <v>10758</v>
      </c>
      <c r="I194" s="49" t="s">
        <v>41</v>
      </c>
      <c r="J194" s="49" t="s">
        <v>10759</v>
      </c>
      <c r="K194" t="s">
        <v>10760</v>
      </c>
    </row>
    <row r="195" spans="1:11" s="22" customFormat="1" ht="15.5">
      <c r="A195" s="33"/>
      <c r="B195" s="87"/>
      <c r="C195" s="86"/>
      <c r="D195" s="83"/>
      <c r="E195" s="85"/>
      <c r="F195" s="50"/>
      <c r="G195" t="s">
        <v>10761</v>
      </c>
      <c r="H195" s="50"/>
      <c r="I195" s="50"/>
      <c r="J195" s="50"/>
      <c r="K195" t="s">
        <v>10762</v>
      </c>
    </row>
    <row r="196" spans="1:11" s="22" customFormat="1" ht="15.5">
      <c r="A196" s="33"/>
      <c r="B196" s="87"/>
      <c r="C196" s="86"/>
      <c r="D196" s="82" t="s">
        <v>10763</v>
      </c>
      <c r="E196" s="84" t="s">
        <v>10764</v>
      </c>
      <c r="F196" s="49" t="s">
        <v>38</v>
      </c>
      <c r="G196" s="34" t="s">
        <v>10765</v>
      </c>
      <c r="H196" s="49" t="s">
        <v>10766</v>
      </c>
      <c r="I196" s="49" t="s">
        <v>41</v>
      </c>
      <c r="J196" s="49" t="s">
        <v>10767</v>
      </c>
      <c r="K196" t="s">
        <v>10768</v>
      </c>
    </row>
    <row r="197" spans="1:11" s="22" customFormat="1" ht="15.5">
      <c r="A197" s="33"/>
      <c r="B197" s="87"/>
      <c r="C197" s="86"/>
      <c r="D197" s="83"/>
      <c r="E197" s="85"/>
      <c r="F197" s="50"/>
      <c r="G197" t="s">
        <v>10633</v>
      </c>
      <c r="H197" s="50"/>
      <c r="I197" s="50"/>
      <c r="J197" s="50"/>
      <c r="K197" t="s">
        <v>10769</v>
      </c>
    </row>
    <row r="198" spans="1:11" s="22" customFormat="1" ht="15.5">
      <c r="A198" s="33"/>
      <c r="B198" s="87"/>
      <c r="C198" s="86"/>
      <c r="D198" s="82" t="s">
        <v>10770</v>
      </c>
      <c r="E198" s="84" t="s">
        <v>10771</v>
      </c>
      <c r="F198" s="49" t="s">
        <v>16</v>
      </c>
      <c r="G198" s="34" t="s">
        <v>9935</v>
      </c>
      <c r="H198" s="49" t="s">
        <v>10772</v>
      </c>
      <c r="I198" s="49" t="s">
        <v>19</v>
      </c>
      <c r="J198" s="49" t="s">
        <v>10773</v>
      </c>
      <c r="K198" t="s">
        <v>10774</v>
      </c>
    </row>
    <row r="199" spans="1:11" s="22" customFormat="1" ht="15.5">
      <c r="A199" s="33"/>
      <c r="B199" s="87"/>
      <c r="C199" s="86"/>
      <c r="D199" s="83"/>
      <c r="E199" s="85"/>
      <c r="F199" s="50"/>
      <c r="G199" t="s">
        <v>10775</v>
      </c>
      <c r="H199" s="50"/>
      <c r="I199" s="50"/>
      <c r="J199" s="50"/>
      <c r="K199" t="s">
        <v>10776</v>
      </c>
    </row>
    <row r="200" spans="1:11" s="22" customFormat="1" ht="15.5">
      <c r="A200" s="33"/>
      <c r="B200" s="87"/>
      <c r="C200" s="86"/>
      <c r="D200" s="82" t="s">
        <v>10777</v>
      </c>
      <c r="E200" s="84" t="s">
        <v>10778</v>
      </c>
      <c r="F200" s="49" t="s">
        <v>16</v>
      </c>
      <c r="G200" s="34" t="s">
        <v>10779</v>
      </c>
      <c r="H200" s="49" t="s">
        <v>10780</v>
      </c>
      <c r="I200" s="49" t="s">
        <v>19</v>
      </c>
      <c r="J200" s="49" t="s">
        <v>10781</v>
      </c>
      <c r="K200" t="s">
        <v>10782</v>
      </c>
    </row>
    <row r="201" spans="1:11" s="22" customFormat="1" ht="15.5">
      <c r="A201" s="33"/>
      <c r="B201" s="87"/>
      <c r="C201" s="83"/>
      <c r="D201" s="83"/>
      <c r="E201" s="85"/>
      <c r="F201" s="50"/>
      <c r="G201" t="s">
        <v>10697</v>
      </c>
      <c r="H201" s="50"/>
      <c r="I201" s="50"/>
      <c r="J201" s="50"/>
      <c r="K201" t="s">
        <v>10783</v>
      </c>
    </row>
    <row r="202" spans="1:11" s="22" customFormat="1" ht="15.75" customHeight="1">
      <c r="A202" s="33"/>
      <c r="B202" s="87"/>
      <c r="C202" s="82" t="s">
        <v>10784</v>
      </c>
      <c r="D202" s="82" t="s">
        <v>10785</v>
      </c>
      <c r="E202" s="84" t="s">
        <v>10786</v>
      </c>
      <c r="F202" s="49" t="s">
        <v>16</v>
      </c>
      <c r="G202" t="s">
        <v>10787</v>
      </c>
      <c r="H202" s="49" t="s">
        <v>10788</v>
      </c>
      <c r="I202" s="49" t="s">
        <v>41</v>
      </c>
      <c r="J202" s="49" t="s">
        <v>10789</v>
      </c>
      <c r="K202" t="s">
        <v>10790</v>
      </c>
    </row>
    <row r="203" spans="1:11" s="22" customFormat="1" ht="15.5">
      <c r="A203" s="33"/>
      <c r="B203" s="87"/>
      <c r="C203" s="86"/>
      <c r="D203" s="83"/>
      <c r="E203" s="85"/>
      <c r="F203" s="50"/>
      <c r="G203" t="s">
        <v>10791</v>
      </c>
      <c r="H203" s="50"/>
      <c r="I203" s="50"/>
      <c r="J203" s="50"/>
      <c r="K203" t="s">
        <v>10792</v>
      </c>
    </row>
    <row r="204" spans="1:11" s="22" customFormat="1" ht="15.5">
      <c r="A204" s="33"/>
      <c r="B204" s="87"/>
      <c r="C204" s="86"/>
      <c r="D204" s="82" t="s">
        <v>10793</v>
      </c>
      <c r="E204" s="84" t="s">
        <v>10794</v>
      </c>
      <c r="F204" s="49" t="s">
        <v>38</v>
      </c>
      <c r="G204" s="34" t="s">
        <v>8256</v>
      </c>
      <c r="H204" s="49" t="s">
        <v>10795</v>
      </c>
      <c r="I204" s="49" t="s">
        <v>19</v>
      </c>
      <c r="J204" s="49" t="s">
        <v>10796</v>
      </c>
      <c r="K204" t="s">
        <v>10797</v>
      </c>
    </row>
    <row r="205" spans="1:11" s="22" customFormat="1" ht="15.5">
      <c r="A205" s="33"/>
      <c r="B205" s="87"/>
      <c r="C205" s="86"/>
      <c r="D205" s="83"/>
      <c r="E205" s="85"/>
      <c r="F205" s="50"/>
      <c r="G205" t="s">
        <v>10798</v>
      </c>
      <c r="H205" s="50"/>
      <c r="I205" s="50"/>
      <c r="J205" s="50"/>
      <c r="K205" t="s">
        <v>10799</v>
      </c>
    </row>
    <row r="206" spans="1:11" s="22" customFormat="1" ht="15.5">
      <c r="A206" s="33"/>
      <c r="B206" s="87"/>
      <c r="C206" s="86"/>
      <c r="D206" s="82" t="s">
        <v>10800</v>
      </c>
      <c r="E206" s="84" t="s">
        <v>10801</v>
      </c>
      <c r="F206" s="49" t="s">
        <v>16</v>
      </c>
      <c r="G206" s="34" t="s">
        <v>10802</v>
      </c>
      <c r="H206" s="49" t="s">
        <v>10803</v>
      </c>
      <c r="I206" s="49" t="s">
        <v>41</v>
      </c>
      <c r="J206" s="49" t="s">
        <v>10804</v>
      </c>
      <c r="K206" t="s">
        <v>10805</v>
      </c>
    </row>
    <row r="207" spans="1:11" s="22" customFormat="1" ht="15.5">
      <c r="A207" s="33"/>
      <c r="B207" s="87"/>
      <c r="C207" s="86"/>
      <c r="D207" s="83"/>
      <c r="E207" s="85"/>
      <c r="F207" s="50"/>
      <c r="G207" t="s">
        <v>10806</v>
      </c>
      <c r="H207" s="50"/>
      <c r="I207" s="50"/>
      <c r="J207" s="50"/>
      <c r="K207" t="s">
        <v>10807</v>
      </c>
    </row>
    <row r="208" spans="1:11" s="22" customFormat="1" ht="15.5">
      <c r="A208" s="33"/>
      <c r="B208" s="87"/>
      <c r="C208" s="86"/>
      <c r="D208" s="82" t="s">
        <v>10808</v>
      </c>
      <c r="E208" s="84" t="s">
        <v>10809</v>
      </c>
      <c r="F208" s="49" t="s">
        <v>16</v>
      </c>
      <c r="G208" s="34" t="s">
        <v>10810</v>
      </c>
      <c r="H208" s="49" t="s">
        <v>10811</v>
      </c>
      <c r="I208" s="49" t="s">
        <v>41</v>
      </c>
      <c r="J208" s="49" t="s">
        <v>10812</v>
      </c>
      <c r="K208" t="s">
        <v>10813</v>
      </c>
    </row>
    <row r="209" spans="1:11" s="22" customFormat="1" ht="15.5">
      <c r="A209" s="33"/>
      <c r="B209" s="87"/>
      <c r="C209" s="86"/>
      <c r="D209" s="83"/>
      <c r="E209" s="85"/>
      <c r="F209" s="50"/>
      <c r="G209" t="s">
        <v>10814</v>
      </c>
      <c r="H209" s="50"/>
      <c r="I209" s="50"/>
      <c r="J209" s="50"/>
      <c r="K209" t="s">
        <v>10815</v>
      </c>
    </row>
    <row r="210" spans="1:11" s="22" customFormat="1" ht="15.5">
      <c r="A210" s="33"/>
      <c r="B210" s="87"/>
      <c r="C210" s="86"/>
      <c r="D210" s="82" t="s">
        <v>10816</v>
      </c>
      <c r="E210" s="84" t="s">
        <v>10817</v>
      </c>
      <c r="F210" s="49" t="s">
        <v>38</v>
      </c>
      <c r="G210" s="34" t="s">
        <v>9076</v>
      </c>
      <c r="H210" s="49" t="s">
        <v>10818</v>
      </c>
      <c r="I210" s="49" t="s">
        <v>41</v>
      </c>
      <c r="J210" s="49" t="s">
        <v>10819</v>
      </c>
      <c r="K210" t="s">
        <v>10820</v>
      </c>
    </row>
    <row r="211" spans="1:11" s="22" customFormat="1" ht="15.5">
      <c r="A211" s="33"/>
      <c r="B211" s="87"/>
      <c r="C211" s="83"/>
      <c r="D211" s="83"/>
      <c r="E211" s="85"/>
      <c r="F211" s="50"/>
      <c r="G211" t="s">
        <v>10821</v>
      </c>
      <c r="H211" s="50"/>
      <c r="I211" s="50"/>
      <c r="J211" s="50"/>
      <c r="K211" t="s">
        <v>10822</v>
      </c>
    </row>
    <row r="212" spans="1:11" s="22" customFormat="1" ht="15.75" customHeight="1">
      <c r="A212" s="33"/>
      <c r="B212" s="87"/>
      <c r="C212" s="82" t="s">
        <v>10823</v>
      </c>
      <c r="D212" s="82" t="s">
        <v>10635</v>
      </c>
      <c r="E212" s="84" t="s">
        <v>10824</v>
      </c>
      <c r="F212" s="49" t="s">
        <v>16</v>
      </c>
      <c r="G212" s="34" t="s">
        <v>10825</v>
      </c>
      <c r="H212" s="49" t="s">
        <v>10826</v>
      </c>
      <c r="I212" s="49" t="s">
        <v>19</v>
      </c>
      <c r="J212" s="49" t="s">
        <v>10827</v>
      </c>
      <c r="K212" t="s">
        <v>10828</v>
      </c>
    </row>
    <row r="213" spans="1:11" s="22" customFormat="1" ht="15.5">
      <c r="A213" s="33"/>
      <c r="B213" s="87"/>
      <c r="C213" s="86"/>
      <c r="D213" s="83"/>
      <c r="E213" s="85"/>
      <c r="F213" s="50"/>
      <c r="G213" t="s">
        <v>10829</v>
      </c>
      <c r="H213" s="50"/>
      <c r="I213" s="50"/>
      <c r="J213" s="50"/>
      <c r="K213" t="s">
        <v>10830</v>
      </c>
    </row>
    <row r="214" spans="1:11" s="22" customFormat="1" ht="15.5">
      <c r="A214" s="33"/>
      <c r="B214" s="87"/>
      <c r="C214" s="86"/>
      <c r="D214" s="82" t="s">
        <v>10831</v>
      </c>
      <c r="E214" s="84" t="s">
        <v>10832</v>
      </c>
      <c r="F214" s="49" t="s">
        <v>38</v>
      </c>
      <c r="G214" s="34" t="s">
        <v>10833</v>
      </c>
      <c r="H214" s="49" t="s">
        <v>10834</v>
      </c>
      <c r="I214" s="49" t="s">
        <v>19</v>
      </c>
      <c r="J214" s="49" t="s">
        <v>10835</v>
      </c>
      <c r="K214" t="s">
        <v>10836</v>
      </c>
    </row>
    <row r="215" spans="1:11" s="22" customFormat="1" ht="15.5">
      <c r="A215" s="33"/>
      <c r="B215" s="87"/>
      <c r="C215" s="86"/>
      <c r="D215" s="83"/>
      <c r="E215" s="85"/>
      <c r="F215" s="50"/>
      <c r="G215" t="s">
        <v>10837</v>
      </c>
      <c r="H215" s="50"/>
      <c r="I215" s="50"/>
      <c r="J215" s="50"/>
      <c r="K215" t="s">
        <v>10838</v>
      </c>
    </row>
    <row r="216" spans="1:11" s="22" customFormat="1" ht="15.5">
      <c r="A216" s="33"/>
      <c r="B216" s="87"/>
      <c r="C216" s="86"/>
      <c r="D216" s="82" t="s">
        <v>10839</v>
      </c>
      <c r="E216" s="84" t="s">
        <v>10840</v>
      </c>
      <c r="F216" s="49" t="s">
        <v>16</v>
      </c>
      <c r="G216" s="34" t="s">
        <v>10841</v>
      </c>
      <c r="H216" s="49" t="s">
        <v>10842</v>
      </c>
      <c r="I216" s="49" t="s">
        <v>19</v>
      </c>
      <c r="J216" s="49" t="s">
        <v>10843</v>
      </c>
      <c r="K216" t="s">
        <v>10844</v>
      </c>
    </row>
    <row r="217" spans="1:11" s="22" customFormat="1" ht="15.5">
      <c r="A217" s="33"/>
      <c r="B217" s="87"/>
      <c r="C217" s="86"/>
      <c r="D217" s="83"/>
      <c r="E217" s="85"/>
      <c r="F217" s="50"/>
      <c r="G217" t="s">
        <v>10845</v>
      </c>
      <c r="H217" s="50"/>
      <c r="I217" s="50"/>
      <c r="J217" s="50"/>
      <c r="K217" t="s">
        <v>10846</v>
      </c>
    </row>
    <row r="218" spans="1:11" s="22" customFormat="1" ht="15.5">
      <c r="A218" s="33"/>
      <c r="B218" s="87"/>
      <c r="C218" s="86"/>
      <c r="D218" s="82" t="s">
        <v>10847</v>
      </c>
      <c r="E218" s="84" t="s">
        <v>10848</v>
      </c>
      <c r="F218" s="49" t="s">
        <v>16</v>
      </c>
      <c r="G218" s="34" t="s">
        <v>10849</v>
      </c>
      <c r="H218" s="49" t="s">
        <v>10850</v>
      </c>
      <c r="I218" s="49" t="s">
        <v>19</v>
      </c>
      <c r="J218" s="49" t="s">
        <v>10851</v>
      </c>
      <c r="K218" t="s">
        <v>10727</v>
      </c>
    </row>
    <row r="219" spans="1:11" s="22" customFormat="1" ht="15.5">
      <c r="A219" s="33"/>
      <c r="B219" s="87"/>
      <c r="C219" s="86"/>
      <c r="D219" s="83"/>
      <c r="E219" s="85"/>
      <c r="F219" s="50"/>
      <c r="G219" t="s">
        <v>10713</v>
      </c>
      <c r="H219" s="50"/>
      <c r="I219" s="50"/>
      <c r="J219" s="50"/>
      <c r="K219" t="s">
        <v>10852</v>
      </c>
    </row>
    <row r="220" spans="1:11" s="22" customFormat="1" ht="15.5">
      <c r="A220" s="33"/>
      <c r="B220" s="87"/>
      <c r="C220" s="86"/>
      <c r="D220" s="82" t="s">
        <v>10853</v>
      </c>
      <c r="E220" s="84" t="s">
        <v>10854</v>
      </c>
      <c r="F220" s="49" t="s">
        <v>16</v>
      </c>
      <c r="G220" s="34" t="s">
        <v>10855</v>
      </c>
      <c r="H220" s="49" t="s">
        <v>10856</v>
      </c>
      <c r="I220" s="49" t="s">
        <v>19</v>
      </c>
      <c r="J220" s="49" t="s">
        <v>10857</v>
      </c>
      <c r="K220" t="s">
        <v>10858</v>
      </c>
    </row>
    <row r="221" spans="1:11" s="22" customFormat="1" ht="15.5">
      <c r="A221" s="33"/>
      <c r="B221" s="87"/>
      <c r="C221" s="83"/>
      <c r="D221" s="83"/>
      <c r="E221" s="85"/>
      <c r="F221" s="50"/>
      <c r="G221" t="s">
        <v>10859</v>
      </c>
      <c r="H221" s="50"/>
      <c r="I221" s="50"/>
      <c r="J221" s="50"/>
      <c r="K221" t="s">
        <v>10860</v>
      </c>
    </row>
    <row r="222" spans="1:11" s="22" customFormat="1" ht="15.75" customHeight="1">
      <c r="A222" s="33"/>
      <c r="B222" s="87"/>
      <c r="C222" s="82" t="s">
        <v>10861</v>
      </c>
      <c r="D222" s="82" t="s">
        <v>10862</v>
      </c>
      <c r="E222" s="84" t="s">
        <v>10863</v>
      </c>
      <c r="F222" s="49" t="s">
        <v>38</v>
      </c>
      <c r="G222" s="34" t="s">
        <v>10864</v>
      </c>
      <c r="H222" s="49" t="s">
        <v>10865</v>
      </c>
      <c r="I222" s="49" t="s">
        <v>41</v>
      </c>
      <c r="J222" s="49" t="s">
        <v>10866</v>
      </c>
      <c r="K222" t="s">
        <v>10867</v>
      </c>
    </row>
    <row r="223" spans="1:11" s="22" customFormat="1" ht="15.5">
      <c r="A223" s="33"/>
      <c r="B223" s="87"/>
      <c r="C223" s="86"/>
      <c r="D223" s="83"/>
      <c r="E223" s="85"/>
      <c r="F223" s="50"/>
      <c r="G223" t="s">
        <v>10868</v>
      </c>
      <c r="H223" s="50"/>
      <c r="I223" s="50"/>
      <c r="J223" s="50"/>
      <c r="K223" t="s">
        <v>10869</v>
      </c>
    </row>
    <row r="224" spans="1:11" s="22" customFormat="1" ht="15.5">
      <c r="A224" s="33"/>
      <c r="B224" s="87"/>
      <c r="C224" s="86"/>
      <c r="D224" s="82" t="s">
        <v>10870</v>
      </c>
      <c r="E224" s="84" t="s">
        <v>10871</v>
      </c>
      <c r="F224" s="49" t="s">
        <v>38</v>
      </c>
      <c r="G224" s="34" t="s">
        <v>10872</v>
      </c>
      <c r="H224" s="49" t="s">
        <v>10873</v>
      </c>
      <c r="I224" s="49" t="s">
        <v>41</v>
      </c>
      <c r="J224" s="49" t="s">
        <v>10874</v>
      </c>
      <c r="K224" t="s">
        <v>10875</v>
      </c>
    </row>
    <row r="225" spans="1:11" s="22" customFormat="1" ht="15.5">
      <c r="A225" s="33"/>
      <c r="B225" s="87"/>
      <c r="C225" s="86"/>
      <c r="D225" s="83"/>
      <c r="E225" s="85"/>
      <c r="F225" s="50"/>
      <c r="G225" t="s">
        <v>10876</v>
      </c>
      <c r="H225" s="50"/>
      <c r="I225" s="50"/>
      <c r="J225" s="50"/>
      <c r="K225" t="s">
        <v>10877</v>
      </c>
    </row>
    <row r="226" spans="1:11" s="22" customFormat="1" ht="15.5">
      <c r="A226" s="33"/>
      <c r="B226" s="87"/>
      <c r="C226" s="86"/>
      <c r="D226" s="82" t="s">
        <v>10878</v>
      </c>
      <c r="E226" s="84" t="s">
        <v>10879</v>
      </c>
      <c r="F226" s="49" t="s">
        <v>16</v>
      </c>
      <c r="G226" s="34" t="s">
        <v>10880</v>
      </c>
      <c r="H226" s="49" t="s">
        <v>10881</v>
      </c>
      <c r="I226" s="49" t="s">
        <v>41</v>
      </c>
      <c r="J226" s="49" t="s">
        <v>10882</v>
      </c>
      <c r="K226" t="s">
        <v>10883</v>
      </c>
    </row>
    <row r="227" spans="1:11" s="22" customFormat="1" ht="15.5">
      <c r="A227" s="33"/>
      <c r="B227" s="87"/>
      <c r="C227" s="86"/>
      <c r="D227" s="83"/>
      <c r="E227" s="85"/>
      <c r="F227" s="50"/>
      <c r="G227" t="s">
        <v>10884</v>
      </c>
      <c r="H227" s="50"/>
      <c r="I227" s="50"/>
      <c r="J227" s="50"/>
      <c r="K227" t="s">
        <v>10885</v>
      </c>
    </row>
    <row r="228" spans="1:11" s="22" customFormat="1" ht="15.5">
      <c r="A228" s="33"/>
      <c r="B228" s="87"/>
      <c r="C228" s="86"/>
      <c r="D228" s="82" t="s">
        <v>10886</v>
      </c>
      <c r="E228" s="84" t="s">
        <v>10887</v>
      </c>
      <c r="F228" s="49" t="s">
        <v>16</v>
      </c>
      <c r="G228" s="34" t="s">
        <v>10888</v>
      </c>
      <c r="H228" s="49" t="s">
        <v>10889</v>
      </c>
      <c r="I228" s="49" t="s">
        <v>41</v>
      </c>
      <c r="J228" s="49" t="s">
        <v>10890</v>
      </c>
      <c r="K228" t="s">
        <v>10891</v>
      </c>
    </row>
    <row r="229" spans="1:11" s="22" customFormat="1" ht="15.5">
      <c r="A229" s="33"/>
      <c r="B229" s="87"/>
      <c r="C229" s="86"/>
      <c r="D229" s="83"/>
      <c r="E229" s="85"/>
      <c r="F229" s="50"/>
      <c r="G229" t="s">
        <v>10892</v>
      </c>
      <c r="H229" s="50"/>
      <c r="I229" s="50"/>
      <c r="J229" s="50"/>
      <c r="K229" t="s">
        <v>10893</v>
      </c>
    </row>
    <row r="230" spans="1:11" s="22" customFormat="1" ht="15.5">
      <c r="A230" s="33"/>
      <c r="B230" s="87"/>
      <c r="C230" s="86"/>
      <c r="D230" s="82" t="s">
        <v>10894</v>
      </c>
      <c r="E230" s="84" t="s">
        <v>10895</v>
      </c>
      <c r="F230" s="49" t="s">
        <v>16</v>
      </c>
      <c r="G230" s="34" t="s">
        <v>10896</v>
      </c>
      <c r="H230" s="49" t="s">
        <v>10897</v>
      </c>
      <c r="I230" s="49" t="s">
        <v>19</v>
      </c>
      <c r="J230" s="49" t="s">
        <v>10898</v>
      </c>
      <c r="K230" t="s">
        <v>10899</v>
      </c>
    </row>
    <row r="231" spans="1:11" s="22" customFormat="1" ht="15.5">
      <c r="A231" s="33"/>
      <c r="B231" s="87"/>
      <c r="C231" s="83"/>
      <c r="D231" s="83"/>
      <c r="E231" s="85"/>
      <c r="F231" s="50"/>
      <c r="G231" t="s">
        <v>10900</v>
      </c>
      <c r="H231" s="50"/>
      <c r="I231" s="50"/>
      <c r="J231" s="50"/>
      <c r="K231" t="s">
        <v>10901</v>
      </c>
    </row>
    <row r="232" spans="1:11" s="22" customFormat="1" ht="15.75" customHeight="1">
      <c r="A232" s="33"/>
      <c r="B232" s="87"/>
      <c r="C232" s="82" t="s">
        <v>10902</v>
      </c>
      <c r="D232" s="82" t="s">
        <v>10903</v>
      </c>
      <c r="E232" s="84" t="s">
        <v>10904</v>
      </c>
      <c r="F232" s="49" t="s">
        <v>16</v>
      </c>
      <c r="G232" t="s">
        <v>10905</v>
      </c>
      <c r="H232" s="49" t="s">
        <v>10906</v>
      </c>
      <c r="I232" s="49" t="s">
        <v>19</v>
      </c>
      <c r="J232" s="49" t="s">
        <v>10907</v>
      </c>
      <c r="K232" t="s">
        <v>10908</v>
      </c>
    </row>
    <row r="233" spans="1:11" s="22" customFormat="1" ht="15.5">
      <c r="A233" s="33"/>
      <c r="B233" s="87"/>
      <c r="C233" s="86"/>
      <c r="D233" s="83"/>
      <c r="E233" s="85"/>
      <c r="F233" s="50"/>
      <c r="G233" s="34" t="s">
        <v>10909</v>
      </c>
      <c r="H233" s="50"/>
      <c r="I233" s="50"/>
      <c r="J233" s="50"/>
      <c r="K233" t="s">
        <v>10910</v>
      </c>
    </row>
    <row r="234" spans="1:11" s="22" customFormat="1" ht="15.5">
      <c r="A234" s="33"/>
      <c r="B234" s="87"/>
      <c r="C234" s="86"/>
      <c r="D234" s="82" t="s">
        <v>10911</v>
      </c>
      <c r="E234" s="84" t="s">
        <v>10912</v>
      </c>
      <c r="F234" s="49" t="s">
        <v>38</v>
      </c>
      <c r="G234" s="34" t="s">
        <v>10913</v>
      </c>
      <c r="H234" s="49" t="s">
        <v>10914</v>
      </c>
      <c r="I234" s="49" t="s">
        <v>41</v>
      </c>
      <c r="J234" s="49" t="s">
        <v>10915</v>
      </c>
      <c r="K234" t="s">
        <v>10916</v>
      </c>
    </row>
    <row r="235" spans="1:11" s="22" customFormat="1" ht="15.5">
      <c r="A235" s="33"/>
      <c r="B235" s="87"/>
      <c r="C235" s="86"/>
      <c r="D235" s="83"/>
      <c r="E235" s="85"/>
      <c r="F235" s="50"/>
      <c r="G235" t="s">
        <v>10917</v>
      </c>
      <c r="H235" s="50"/>
      <c r="I235" s="50"/>
      <c r="J235" s="50"/>
      <c r="K235" t="s">
        <v>10918</v>
      </c>
    </row>
    <row r="236" spans="1:11" s="22" customFormat="1" ht="15.5">
      <c r="A236" s="33"/>
      <c r="B236" s="87"/>
      <c r="C236" s="86"/>
      <c r="D236" s="82" t="s">
        <v>10919</v>
      </c>
      <c r="E236" s="84" t="s">
        <v>10920</v>
      </c>
      <c r="F236" s="49" t="s">
        <v>38</v>
      </c>
      <c r="G236" t="s">
        <v>10921</v>
      </c>
      <c r="H236" s="49" t="s">
        <v>10922</v>
      </c>
      <c r="I236" s="49" t="s">
        <v>19</v>
      </c>
      <c r="J236" s="49" t="s">
        <v>10923</v>
      </c>
      <c r="K236" t="s">
        <v>10924</v>
      </c>
    </row>
    <row r="237" spans="1:11" s="22" customFormat="1" ht="15.5">
      <c r="A237" s="33"/>
      <c r="B237" s="87"/>
      <c r="C237" s="86"/>
      <c r="D237" s="83"/>
      <c r="E237" s="85"/>
      <c r="F237" s="50"/>
      <c r="G237" s="34" t="s">
        <v>10925</v>
      </c>
      <c r="H237" s="50"/>
      <c r="I237" s="50"/>
      <c r="J237" s="50"/>
      <c r="K237" t="s">
        <v>10926</v>
      </c>
    </row>
    <row r="238" spans="1:11" s="22" customFormat="1" ht="15.5">
      <c r="A238" s="33"/>
      <c r="B238" s="87"/>
      <c r="C238" s="86"/>
      <c r="D238" s="82" t="s">
        <v>10927</v>
      </c>
      <c r="E238" s="84" t="s">
        <v>10928</v>
      </c>
      <c r="F238" s="49" t="s">
        <v>38</v>
      </c>
      <c r="G238" s="34" t="s">
        <v>10929</v>
      </c>
      <c r="H238" s="49" t="s">
        <v>10930</v>
      </c>
      <c r="I238" s="49" t="s">
        <v>41</v>
      </c>
      <c r="J238" s="49" t="s">
        <v>10931</v>
      </c>
      <c r="K238" t="s">
        <v>10932</v>
      </c>
    </row>
    <row r="239" spans="1:11" s="22" customFormat="1" ht="15.5">
      <c r="A239" s="33"/>
      <c r="B239" s="87"/>
      <c r="C239" s="86"/>
      <c r="D239" s="83"/>
      <c r="E239" s="85"/>
      <c r="F239" s="50"/>
      <c r="G239" t="s">
        <v>10933</v>
      </c>
      <c r="H239" s="50"/>
      <c r="I239" s="50"/>
      <c r="J239" s="50"/>
      <c r="K239" t="s">
        <v>10934</v>
      </c>
    </row>
    <row r="240" spans="1:11" s="22" customFormat="1" ht="15.5">
      <c r="A240" s="33"/>
      <c r="B240" s="87"/>
      <c r="C240" s="86"/>
      <c r="D240" s="88" t="s">
        <v>10935</v>
      </c>
      <c r="E240" s="84" t="s">
        <v>10936</v>
      </c>
      <c r="F240" s="49" t="s">
        <v>38</v>
      </c>
      <c r="G240" s="34" t="s">
        <v>10937</v>
      </c>
      <c r="H240" s="49" t="s">
        <v>10938</v>
      </c>
      <c r="I240" s="49" t="s">
        <v>19</v>
      </c>
      <c r="J240" s="49" t="s">
        <v>10939</v>
      </c>
      <c r="K240" t="s">
        <v>10940</v>
      </c>
    </row>
    <row r="241" spans="1:11" s="22" customFormat="1" ht="15.5">
      <c r="A241" s="33"/>
      <c r="B241" s="87"/>
      <c r="C241" s="83"/>
      <c r="D241" s="89"/>
      <c r="E241" s="85"/>
      <c r="F241" s="50"/>
      <c r="G241" t="s">
        <v>10941</v>
      </c>
      <c r="H241" s="50"/>
      <c r="I241" s="50"/>
      <c r="J241" s="50"/>
      <c r="K241" t="s">
        <v>10942</v>
      </c>
    </row>
    <row r="242" spans="1:11" s="22" customFormat="1" ht="15.75" customHeight="1">
      <c r="A242" s="33"/>
      <c r="B242" s="87"/>
      <c r="C242" s="82" t="s">
        <v>10943</v>
      </c>
      <c r="D242" s="82" t="s">
        <v>10944</v>
      </c>
      <c r="E242" s="84" t="s">
        <v>10945</v>
      </c>
      <c r="F242" s="49" t="s">
        <v>16</v>
      </c>
      <c r="G242" s="34" t="s">
        <v>10946</v>
      </c>
      <c r="H242" s="49" t="s">
        <v>10947</v>
      </c>
      <c r="I242" s="49" t="s">
        <v>41</v>
      </c>
      <c r="J242" s="49" t="s">
        <v>10948</v>
      </c>
      <c r="K242" t="s">
        <v>10949</v>
      </c>
    </row>
    <row r="243" spans="1:11" s="22" customFormat="1" ht="15.5">
      <c r="A243" s="33"/>
      <c r="B243" s="87"/>
      <c r="C243" s="86"/>
      <c r="D243" s="83"/>
      <c r="E243" s="85"/>
      <c r="F243" s="50"/>
      <c r="G243" t="s">
        <v>10950</v>
      </c>
      <c r="H243" s="50"/>
      <c r="I243" s="50"/>
      <c r="J243" s="50"/>
      <c r="K243" t="s">
        <v>10951</v>
      </c>
    </row>
    <row r="244" spans="1:11" s="22" customFormat="1" ht="15.5">
      <c r="A244" s="33"/>
      <c r="B244" s="87"/>
      <c r="C244" s="86"/>
      <c r="D244" s="82" t="s">
        <v>10952</v>
      </c>
      <c r="E244" s="84" t="s">
        <v>10953</v>
      </c>
      <c r="F244" s="49" t="s">
        <v>38</v>
      </c>
      <c r="G244" s="34" t="s">
        <v>10954</v>
      </c>
      <c r="H244" s="49" t="s">
        <v>10955</v>
      </c>
      <c r="I244" s="49" t="s">
        <v>19</v>
      </c>
      <c r="J244" s="49" t="s">
        <v>10956</v>
      </c>
      <c r="K244" t="s">
        <v>10957</v>
      </c>
    </row>
    <row r="245" spans="1:11" s="22" customFormat="1" ht="15.5">
      <c r="A245" s="33"/>
      <c r="B245" s="87"/>
      <c r="C245" s="86"/>
      <c r="D245" s="83"/>
      <c r="E245" s="85"/>
      <c r="F245" s="50"/>
      <c r="G245" t="s">
        <v>10958</v>
      </c>
      <c r="H245" s="50"/>
      <c r="I245" s="50"/>
      <c r="J245" s="50"/>
      <c r="K245" t="s">
        <v>10959</v>
      </c>
    </row>
    <row r="246" spans="1:11" s="22" customFormat="1" ht="15.5">
      <c r="A246" s="33"/>
      <c r="B246" s="87"/>
      <c r="C246" s="86"/>
      <c r="D246" s="82" t="s">
        <v>10960</v>
      </c>
      <c r="E246" s="84" t="s">
        <v>10961</v>
      </c>
      <c r="F246" s="49" t="s">
        <v>16</v>
      </c>
      <c r="G246" s="34" t="s">
        <v>10962</v>
      </c>
      <c r="H246" s="49" t="s">
        <v>10963</v>
      </c>
      <c r="I246" s="49" t="s">
        <v>41</v>
      </c>
      <c r="J246" s="49" t="s">
        <v>10964</v>
      </c>
      <c r="K246" t="s">
        <v>10965</v>
      </c>
    </row>
    <row r="247" spans="1:11" s="22" customFormat="1" ht="15.5">
      <c r="A247" s="33"/>
      <c r="B247" s="87"/>
      <c r="C247" s="86"/>
      <c r="D247" s="83"/>
      <c r="E247" s="85"/>
      <c r="F247" s="50"/>
      <c r="G247" t="s">
        <v>10966</v>
      </c>
      <c r="H247" s="50"/>
      <c r="I247" s="50"/>
      <c r="J247" s="50"/>
      <c r="K247" t="s">
        <v>10967</v>
      </c>
    </row>
    <row r="248" spans="1:11" s="22" customFormat="1" ht="15.5">
      <c r="A248" s="33"/>
      <c r="B248" s="87"/>
      <c r="C248" s="86"/>
      <c r="D248" s="82" t="s">
        <v>10968</v>
      </c>
      <c r="E248" s="84" t="s">
        <v>10969</v>
      </c>
      <c r="F248" s="49" t="s">
        <v>38</v>
      </c>
      <c r="G248" s="34" t="s">
        <v>10970</v>
      </c>
      <c r="H248" s="49" t="s">
        <v>10971</v>
      </c>
      <c r="I248" s="49" t="s">
        <v>41</v>
      </c>
      <c r="J248" s="49" t="s">
        <v>10972</v>
      </c>
      <c r="K248" t="s">
        <v>10973</v>
      </c>
    </row>
    <row r="249" spans="1:11" s="22" customFormat="1" ht="15.5">
      <c r="A249" s="33"/>
      <c r="B249" s="87"/>
      <c r="C249" s="86"/>
      <c r="D249" s="83"/>
      <c r="E249" s="85"/>
      <c r="F249" s="50"/>
      <c r="G249" t="s">
        <v>10974</v>
      </c>
      <c r="H249" s="50"/>
      <c r="I249" s="50"/>
      <c r="J249" s="50"/>
      <c r="K249" t="s">
        <v>10975</v>
      </c>
    </row>
    <row r="250" spans="1:11" s="22" customFormat="1" ht="15.5">
      <c r="A250" s="33"/>
      <c r="B250" s="87"/>
      <c r="C250" s="86"/>
      <c r="D250" s="82" t="s">
        <v>10976</v>
      </c>
      <c r="E250" s="84" t="s">
        <v>10969</v>
      </c>
      <c r="F250" s="49" t="s">
        <v>16</v>
      </c>
      <c r="G250" s="34" t="s">
        <v>10970</v>
      </c>
      <c r="H250" s="49" t="s">
        <v>10971</v>
      </c>
      <c r="I250" s="49" t="s">
        <v>41</v>
      </c>
      <c r="J250" s="49" t="s">
        <v>10972</v>
      </c>
      <c r="K250" t="s">
        <v>10973</v>
      </c>
    </row>
    <row r="251" spans="1:11" s="22" customFormat="1" ht="15.5">
      <c r="A251" s="33"/>
      <c r="B251" s="50"/>
      <c r="C251" s="83"/>
      <c r="D251" s="83"/>
      <c r="E251" s="85"/>
      <c r="F251" s="50"/>
      <c r="G251" t="s">
        <v>10974</v>
      </c>
      <c r="H251" s="50"/>
      <c r="I251" s="50"/>
      <c r="J251" s="50"/>
      <c r="K251" t="s">
        <v>10975</v>
      </c>
    </row>
    <row r="252" spans="1:11" s="22" customFormat="1" ht="15.75" customHeight="1">
      <c r="A252" s="33"/>
      <c r="B252" s="82" t="s">
        <v>10977</v>
      </c>
      <c r="C252" s="82" t="s">
        <v>10978</v>
      </c>
      <c r="D252" s="82" t="s">
        <v>10979</v>
      </c>
      <c r="E252" s="84" t="s">
        <v>10980</v>
      </c>
      <c r="F252" s="49" t="s">
        <v>38</v>
      </c>
      <c r="G252" s="34" t="s">
        <v>10981</v>
      </c>
      <c r="H252" s="49" t="s">
        <v>10982</v>
      </c>
      <c r="I252" s="49" t="s">
        <v>41</v>
      </c>
      <c r="J252" s="49" t="s">
        <v>10983</v>
      </c>
      <c r="K252" t="s">
        <v>10984</v>
      </c>
    </row>
    <row r="253" spans="1:11" s="22" customFormat="1" ht="15.5">
      <c r="A253" s="33"/>
      <c r="B253" s="87"/>
      <c r="C253" s="86"/>
      <c r="D253" s="83"/>
      <c r="E253" s="85"/>
      <c r="F253" s="50"/>
      <c r="G253" t="s">
        <v>10985</v>
      </c>
      <c r="H253" s="50"/>
      <c r="I253" s="50"/>
      <c r="J253" s="50"/>
      <c r="K253" t="s">
        <v>10986</v>
      </c>
    </row>
    <row r="254" spans="1:11" s="22" customFormat="1" ht="15.5">
      <c r="A254" s="33"/>
      <c r="B254" s="87"/>
      <c r="C254" s="86"/>
      <c r="D254" s="82" t="s">
        <v>10987</v>
      </c>
      <c r="E254" s="84" t="s">
        <v>10988</v>
      </c>
      <c r="F254" s="49" t="s">
        <v>16</v>
      </c>
      <c r="G254" t="s">
        <v>10989</v>
      </c>
      <c r="H254" s="49" t="s">
        <v>10990</v>
      </c>
      <c r="I254" s="49" t="s">
        <v>19</v>
      </c>
      <c r="J254" s="49" t="s">
        <v>10991</v>
      </c>
      <c r="K254" t="s">
        <v>10992</v>
      </c>
    </row>
    <row r="255" spans="1:11" s="22" customFormat="1" ht="15.5">
      <c r="A255" s="33"/>
      <c r="B255" s="87"/>
      <c r="C255" s="86"/>
      <c r="D255" s="83"/>
      <c r="E255" s="85"/>
      <c r="F255" s="50"/>
      <c r="G255" t="s">
        <v>10993</v>
      </c>
      <c r="H255" s="50"/>
      <c r="I255" s="50"/>
      <c r="J255" s="50"/>
      <c r="K255" t="s">
        <v>10994</v>
      </c>
    </row>
    <row r="256" spans="1:11" s="22" customFormat="1" ht="15.5">
      <c r="A256" s="33"/>
      <c r="B256" s="87"/>
      <c r="C256" s="86"/>
      <c r="D256" s="82" t="s">
        <v>10995</v>
      </c>
      <c r="E256" s="84" t="s">
        <v>10996</v>
      </c>
      <c r="F256" s="49" t="s">
        <v>16</v>
      </c>
      <c r="G256" s="34" t="s">
        <v>10997</v>
      </c>
      <c r="H256" s="49" t="s">
        <v>10998</v>
      </c>
      <c r="I256" s="49" t="s">
        <v>19</v>
      </c>
      <c r="J256" s="49" t="s">
        <v>10999</v>
      </c>
      <c r="K256" t="s">
        <v>11000</v>
      </c>
    </row>
    <row r="257" spans="1:11" s="22" customFormat="1" ht="15.5">
      <c r="A257" s="33"/>
      <c r="B257" s="87"/>
      <c r="C257" s="86"/>
      <c r="D257" s="83"/>
      <c r="E257" s="85"/>
      <c r="F257" s="50"/>
      <c r="G257" t="s">
        <v>11001</v>
      </c>
      <c r="H257" s="50"/>
      <c r="I257" s="50"/>
      <c r="J257" s="50"/>
      <c r="K257" t="s">
        <v>11002</v>
      </c>
    </row>
    <row r="258" spans="1:11" s="22" customFormat="1" ht="15.5">
      <c r="A258" s="33"/>
      <c r="B258" s="87"/>
      <c r="C258" s="86"/>
      <c r="D258" s="82" t="s">
        <v>11003</v>
      </c>
      <c r="E258" s="84" t="s">
        <v>11004</v>
      </c>
      <c r="F258" s="49" t="s">
        <v>16</v>
      </c>
      <c r="G258" t="s">
        <v>11005</v>
      </c>
      <c r="H258" s="49" t="s">
        <v>11006</v>
      </c>
      <c r="I258" s="49" t="s">
        <v>19</v>
      </c>
      <c r="J258" s="49" t="s">
        <v>11007</v>
      </c>
      <c r="K258" t="s">
        <v>11008</v>
      </c>
    </row>
    <row r="259" spans="1:11" s="22" customFormat="1" ht="15.5">
      <c r="A259" s="33"/>
      <c r="B259" s="87"/>
      <c r="C259" s="86"/>
      <c r="D259" s="83"/>
      <c r="E259" s="85"/>
      <c r="F259" s="50"/>
      <c r="G259" t="s">
        <v>11009</v>
      </c>
      <c r="H259" s="50"/>
      <c r="I259" s="50"/>
      <c r="J259" s="50"/>
      <c r="K259" t="s">
        <v>11010</v>
      </c>
    </row>
    <row r="260" spans="1:11" s="22" customFormat="1" ht="15.5">
      <c r="A260" s="33"/>
      <c r="B260" s="87"/>
      <c r="C260" s="86"/>
      <c r="D260" s="82" t="s">
        <v>11011</v>
      </c>
      <c r="E260" s="84" t="s">
        <v>11012</v>
      </c>
      <c r="F260" s="49" t="s">
        <v>16</v>
      </c>
      <c r="G260" s="34" t="s">
        <v>11013</v>
      </c>
      <c r="H260" s="49" t="s">
        <v>11014</v>
      </c>
      <c r="I260" s="49" t="s">
        <v>19</v>
      </c>
      <c r="J260" s="49" t="s">
        <v>11015</v>
      </c>
      <c r="K260" t="s">
        <v>11016</v>
      </c>
    </row>
    <row r="261" spans="1:11" s="22" customFormat="1" ht="15.5">
      <c r="A261" s="33"/>
      <c r="B261" s="87"/>
      <c r="C261" s="83"/>
      <c r="D261" s="83"/>
      <c r="E261" s="85"/>
      <c r="F261" s="50"/>
      <c r="G261" t="s">
        <v>11017</v>
      </c>
      <c r="H261" s="50"/>
      <c r="I261" s="50"/>
      <c r="J261" s="50"/>
      <c r="K261" t="s">
        <v>11018</v>
      </c>
    </row>
    <row r="262" spans="1:11" s="22" customFormat="1" ht="15.75" customHeight="1">
      <c r="A262" s="33"/>
      <c r="B262" s="87"/>
      <c r="C262" s="82" t="s">
        <v>11019</v>
      </c>
      <c r="D262" s="82" t="s">
        <v>11020</v>
      </c>
      <c r="E262" s="84" t="s">
        <v>11021</v>
      </c>
      <c r="F262" s="49" t="s">
        <v>16</v>
      </c>
      <c r="G262" s="34" t="s">
        <v>11022</v>
      </c>
      <c r="H262" s="49" t="s">
        <v>11023</v>
      </c>
      <c r="I262" s="49" t="s">
        <v>19</v>
      </c>
      <c r="J262" s="49" t="s">
        <v>11024</v>
      </c>
      <c r="K262" t="s">
        <v>11025</v>
      </c>
    </row>
    <row r="263" spans="1:11" s="22" customFormat="1" ht="15.5">
      <c r="A263" s="33"/>
      <c r="B263" s="87"/>
      <c r="C263" s="86"/>
      <c r="D263" s="83"/>
      <c r="E263" s="85"/>
      <c r="F263" s="50"/>
      <c r="G263" t="s">
        <v>11026</v>
      </c>
      <c r="H263" s="50"/>
      <c r="I263" s="50"/>
      <c r="J263" s="50"/>
      <c r="K263" t="s">
        <v>11027</v>
      </c>
    </row>
    <row r="264" spans="1:11" s="22" customFormat="1" ht="15.5">
      <c r="A264" s="33"/>
      <c r="B264" s="87"/>
      <c r="C264" s="86"/>
      <c r="D264" s="82" t="s">
        <v>11028</v>
      </c>
      <c r="E264" s="84" t="s">
        <v>11029</v>
      </c>
      <c r="F264" s="49" t="s">
        <v>38</v>
      </c>
      <c r="G264" s="34" t="s">
        <v>11030</v>
      </c>
      <c r="H264" s="49" t="s">
        <v>11031</v>
      </c>
      <c r="I264" s="49" t="s">
        <v>19</v>
      </c>
      <c r="J264" s="49" t="s">
        <v>11032</v>
      </c>
      <c r="K264" t="s">
        <v>11033</v>
      </c>
    </row>
    <row r="265" spans="1:11" s="22" customFormat="1" ht="15.5">
      <c r="A265" s="33"/>
      <c r="B265" s="87"/>
      <c r="C265" s="86"/>
      <c r="D265" s="83"/>
      <c r="E265" s="85"/>
      <c r="F265" s="50"/>
      <c r="G265" t="s">
        <v>11034</v>
      </c>
      <c r="H265" s="50"/>
      <c r="I265" s="50"/>
      <c r="J265" s="50"/>
      <c r="K265" t="s">
        <v>11035</v>
      </c>
    </row>
    <row r="266" spans="1:11" s="22" customFormat="1" ht="15.5">
      <c r="A266" s="33"/>
      <c r="B266" s="87"/>
      <c r="C266" s="86"/>
      <c r="D266" s="82" t="s">
        <v>11036</v>
      </c>
      <c r="E266" s="84" t="s">
        <v>11037</v>
      </c>
      <c r="F266" s="49" t="s">
        <v>38</v>
      </c>
      <c r="G266" s="34" t="s">
        <v>11038</v>
      </c>
      <c r="H266" s="49" t="s">
        <v>11039</v>
      </c>
      <c r="I266" s="49" t="s">
        <v>19</v>
      </c>
      <c r="J266" s="49" t="s">
        <v>11040</v>
      </c>
      <c r="K266" t="s">
        <v>11041</v>
      </c>
    </row>
    <row r="267" spans="1:11" s="22" customFormat="1" ht="15.5">
      <c r="A267" s="33"/>
      <c r="B267" s="87"/>
      <c r="C267" s="86"/>
      <c r="D267" s="83"/>
      <c r="E267" s="85"/>
      <c r="F267" s="50"/>
      <c r="G267" t="s">
        <v>11042</v>
      </c>
      <c r="H267" s="50"/>
      <c r="I267" s="50"/>
      <c r="J267" s="50"/>
      <c r="K267" t="s">
        <v>11043</v>
      </c>
    </row>
    <row r="268" spans="1:11" s="22" customFormat="1" ht="15.5">
      <c r="A268" s="33"/>
      <c r="B268" s="87"/>
      <c r="C268" s="86"/>
      <c r="D268" s="82" t="s">
        <v>11044</v>
      </c>
      <c r="E268" s="84" t="s">
        <v>11045</v>
      </c>
      <c r="F268" s="49" t="s">
        <v>38</v>
      </c>
      <c r="G268" t="s">
        <v>11046</v>
      </c>
      <c r="H268" s="49" t="s">
        <v>11047</v>
      </c>
      <c r="I268" s="49" t="s">
        <v>19</v>
      </c>
      <c r="J268" s="49" t="s">
        <v>11048</v>
      </c>
      <c r="K268" t="s">
        <v>11049</v>
      </c>
    </row>
    <row r="269" spans="1:11" s="22" customFormat="1" ht="15.5">
      <c r="A269" s="33"/>
      <c r="B269" s="87"/>
      <c r="C269" s="86"/>
      <c r="D269" s="83"/>
      <c r="E269" s="85"/>
      <c r="F269" s="50"/>
      <c r="G269" t="s">
        <v>11050</v>
      </c>
      <c r="H269" s="50"/>
      <c r="I269" s="50"/>
      <c r="J269" s="50"/>
      <c r="K269" t="s">
        <v>11051</v>
      </c>
    </row>
    <row r="270" spans="1:11" s="22" customFormat="1" ht="15.5">
      <c r="A270" s="33"/>
      <c r="B270" s="87"/>
      <c r="C270" s="86"/>
      <c r="D270" s="82" t="s">
        <v>11052</v>
      </c>
      <c r="E270" s="84" t="s">
        <v>11053</v>
      </c>
      <c r="F270" s="49" t="s">
        <v>16</v>
      </c>
      <c r="G270" s="34" t="s">
        <v>11054</v>
      </c>
      <c r="H270" s="49" t="s">
        <v>11055</v>
      </c>
      <c r="I270" s="49" t="s">
        <v>19</v>
      </c>
      <c r="J270" s="49" t="s">
        <v>11056</v>
      </c>
      <c r="K270" t="s">
        <v>11057</v>
      </c>
    </row>
    <row r="271" spans="1:11" s="22" customFormat="1" ht="15.5">
      <c r="A271" s="35"/>
      <c r="B271" s="87"/>
      <c r="C271" s="83"/>
      <c r="D271" s="83"/>
      <c r="E271" s="85"/>
      <c r="F271" s="50"/>
      <c r="G271" t="s">
        <v>11058</v>
      </c>
      <c r="H271" s="50"/>
      <c r="I271" s="50"/>
      <c r="J271" s="50"/>
      <c r="K271" t="s">
        <v>11059</v>
      </c>
    </row>
    <row r="272" spans="1:11" s="22" customFormat="1" ht="15.75" customHeight="1">
      <c r="A272" s="33"/>
      <c r="B272" s="87"/>
      <c r="C272" s="82" t="s">
        <v>11060</v>
      </c>
      <c r="D272" s="82" t="s">
        <v>11061</v>
      </c>
      <c r="E272" s="84" t="s">
        <v>11062</v>
      </c>
      <c r="F272" s="49" t="s">
        <v>38</v>
      </c>
      <c r="G272" s="34" t="s">
        <v>11063</v>
      </c>
      <c r="H272" s="49" t="s">
        <v>11064</v>
      </c>
      <c r="I272" s="49" t="s">
        <v>41</v>
      </c>
      <c r="J272" s="49" t="s">
        <v>11065</v>
      </c>
      <c r="K272" t="s">
        <v>11066</v>
      </c>
    </row>
    <row r="273" spans="1:11" s="22" customFormat="1" ht="15.5">
      <c r="A273" s="33"/>
      <c r="B273" s="87"/>
      <c r="C273" s="86"/>
      <c r="D273" s="83"/>
      <c r="E273" s="85"/>
      <c r="F273" s="50"/>
      <c r="G273" t="s">
        <v>11067</v>
      </c>
      <c r="H273" s="50"/>
      <c r="I273" s="50"/>
      <c r="J273" s="50"/>
      <c r="K273" t="s">
        <v>11068</v>
      </c>
    </row>
    <row r="274" spans="1:11" s="22" customFormat="1" ht="15.5">
      <c r="A274" s="33"/>
      <c r="B274" s="87"/>
      <c r="C274" s="86"/>
      <c r="D274" s="82" t="s">
        <v>11069</v>
      </c>
      <c r="E274" s="84" t="s">
        <v>11070</v>
      </c>
      <c r="F274" s="49" t="s">
        <v>16</v>
      </c>
      <c r="G274" s="34" t="s">
        <v>11071</v>
      </c>
      <c r="H274" s="49" t="s">
        <v>11072</v>
      </c>
      <c r="I274" s="49" t="s">
        <v>41</v>
      </c>
      <c r="J274" s="49" t="s">
        <v>11073</v>
      </c>
      <c r="K274" t="s">
        <v>11074</v>
      </c>
    </row>
    <row r="275" spans="1:11" s="22" customFormat="1" ht="15.5">
      <c r="A275" s="33"/>
      <c r="B275" s="87"/>
      <c r="C275" s="86"/>
      <c r="D275" s="83"/>
      <c r="E275" s="85"/>
      <c r="F275" s="50"/>
      <c r="G275" t="s">
        <v>11075</v>
      </c>
      <c r="H275" s="50"/>
      <c r="I275" s="50"/>
      <c r="J275" s="50"/>
      <c r="K275" t="s">
        <v>11076</v>
      </c>
    </row>
    <row r="276" spans="1:11" s="22" customFormat="1" ht="15.5">
      <c r="A276" s="33"/>
      <c r="B276" s="87"/>
      <c r="C276" s="86"/>
      <c r="D276" s="82" t="s">
        <v>11077</v>
      </c>
      <c r="E276" s="84" t="s">
        <v>11078</v>
      </c>
      <c r="F276" s="49" t="s">
        <v>16</v>
      </c>
      <c r="G276" s="34" t="s">
        <v>10419</v>
      </c>
      <c r="H276" s="49" t="s">
        <v>11079</v>
      </c>
      <c r="I276" s="49" t="s">
        <v>19</v>
      </c>
      <c r="J276" s="49" t="s">
        <v>11080</v>
      </c>
      <c r="K276" t="s">
        <v>11081</v>
      </c>
    </row>
    <row r="277" spans="1:11" s="22" customFormat="1" ht="15.5">
      <c r="A277" s="33"/>
      <c r="B277" s="87"/>
      <c r="C277" s="86"/>
      <c r="D277" s="83"/>
      <c r="E277" s="85"/>
      <c r="F277" s="50"/>
      <c r="G277" t="s">
        <v>11082</v>
      </c>
      <c r="H277" s="50"/>
      <c r="I277" s="50"/>
      <c r="J277" s="50"/>
      <c r="K277" t="s">
        <v>11083</v>
      </c>
    </row>
    <row r="278" spans="1:11" s="22" customFormat="1" ht="15.5">
      <c r="A278" s="33"/>
      <c r="B278" s="87"/>
      <c r="C278" s="86"/>
      <c r="D278" s="82" t="s">
        <v>11084</v>
      </c>
      <c r="E278" s="84" t="s">
        <v>11085</v>
      </c>
      <c r="F278" s="49" t="s">
        <v>16</v>
      </c>
      <c r="G278" s="34" t="s">
        <v>11086</v>
      </c>
      <c r="H278" s="49" t="s">
        <v>11087</v>
      </c>
      <c r="I278" s="49" t="s">
        <v>19</v>
      </c>
      <c r="J278" s="49" t="s">
        <v>11088</v>
      </c>
      <c r="K278" t="s">
        <v>11089</v>
      </c>
    </row>
    <row r="279" spans="1:11" s="22" customFormat="1" ht="15.5">
      <c r="A279" s="33"/>
      <c r="B279" s="87"/>
      <c r="C279" s="86"/>
      <c r="D279" s="83"/>
      <c r="E279" s="85"/>
      <c r="F279" s="50"/>
      <c r="G279" t="s">
        <v>10533</v>
      </c>
      <c r="H279" s="50"/>
      <c r="I279" s="50"/>
      <c r="J279" s="50"/>
      <c r="K279" t="s">
        <v>11090</v>
      </c>
    </row>
    <row r="280" spans="1:11" s="22" customFormat="1" ht="15.5" customHeight="1">
      <c r="A280" s="33"/>
      <c r="B280" s="87"/>
      <c r="C280" s="86"/>
      <c r="D280" s="82" t="s">
        <v>11091</v>
      </c>
      <c r="E280" s="84" t="s">
        <v>11092</v>
      </c>
      <c r="F280" s="49" t="s">
        <v>38</v>
      </c>
      <c r="G280" s="34" t="s">
        <v>11093</v>
      </c>
      <c r="H280" s="49" t="s">
        <v>11094</v>
      </c>
      <c r="I280" s="49" t="s">
        <v>19</v>
      </c>
      <c r="J280" s="49" t="s">
        <v>11095</v>
      </c>
      <c r="K280" t="s">
        <v>11096</v>
      </c>
    </row>
    <row r="281" spans="1:11" s="22" customFormat="1" ht="15.5">
      <c r="A281" s="33"/>
      <c r="B281" s="87"/>
      <c r="C281" s="83"/>
      <c r="D281" s="83"/>
      <c r="E281" s="85"/>
      <c r="F281" s="50"/>
      <c r="G281" t="s">
        <v>11097</v>
      </c>
      <c r="H281" s="50"/>
      <c r="I281" s="50"/>
      <c r="J281" s="50"/>
      <c r="K281" t="s">
        <v>11098</v>
      </c>
    </row>
    <row r="282" spans="1:11" s="22" customFormat="1" ht="15.75" customHeight="1">
      <c r="A282" s="33"/>
      <c r="B282" s="87"/>
      <c r="C282" s="82" t="s">
        <v>11099</v>
      </c>
      <c r="D282" s="82" t="s">
        <v>11100</v>
      </c>
      <c r="E282" s="84" t="s">
        <v>11101</v>
      </c>
      <c r="F282" s="49" t="s">
        <v>38</v>
      </c>
      <c r="G282" s="34" t="s">
        <v>11102</v>
      </c>
      <c r="H282" s="49" t="s">
        <v>11103</v>
      </c>
      <c r="I282" s="49" t="s">
        <v>19</v>
      </c>
      <c r="J282" s="49" t="s">
        <v>11104</v>
      </c>
      <c r="K282" t="s">
        <v>11105</v>
      </c>
    </row>
    <row r="283" spans="1:11" s="22" customFormat="1" ht="15.5">
      <c r="A283" s="33"/>
      <c r="B283" s="87"/>
      <c r="C283" s="86"/>
      <c r="D283" s="83"/>
      <c r="E283" s="85"/>
      <c r="F283" s="50"/>
      <c r="G283" t="s">
        <v>11106</v>
      </c>
      <c r="H283" s="50"/>
      <c r="I283" s="50"/>
      <c r="J283" s="50"/>
      <c r="K283" t="s">
        <v>11107</v>
      </c>
    </row>
    <row r="284" spans="1:11" s="22" customFormat="1" ht="15.5" customHeight="1">
      <c r="A284" s="33"/>
      <c r="B284" s="87"/>
      <c r="C284" s="86"/>
      <c r="D284" s="82" t="s">
        <v>11108</v>
      </c>
      <c r="E284" s="84" t="s">
        <v>11109</v>
      </c>
      <c r="F284" s="49" t="s">
        <v>16</v>
      </c>
      <c r="G284" t="s">
        <v>11110</v>
      </c>
      <c r="H284" s="49" t="s">
        <v>11111</v>
      </c>
      <c r="I284" s="49" t="s">
        <v>19</v>
      </c>
      <c r="J284" s="49" t="s">
        <v>11112</v>
      </c>
      <c r="K284" t="s">
        <v>11113</v>
      </c>
    </row>
    <row r="285" spans="1:11" s="22" customFormat="1" ht="15.5">
      <c r="A285" s="33"/>
      <c r="B285" s="87"/>
      <c r="C285" s="86"/>
      <c r="D285" s="83"/>
      <c r="E285" s="85"/>
      <c r="F285" s="50"/>
      <c r="G285" t="s">
        <v>11114</v>
      </c>
      <c r="H285" s="50"/>
      <c r="I285" s="50"/>
      <c r="J285" s="50"/>
      <c r="K285" t="s">
        <v>11115</v>
      </c>
    </row>
    <row r="286" spans="1:11" s="22" customFormat="1" ht="15.5" customHeight="1">
      <c r="A286" s="33"/>
      <c r="B286" s="87"/>
      <c r="C286" s="86"/>
      <c r="D286" s="82" t="s">
        <v>11116</v>
      </c>
      <c r="E286" s="84" t="s">
        <v>11117</v>
      </c>
      <c r="F286" s="49" t="s">
        <v>16</v>
      </c>
      <c r="G286" t="s">
        <v>11118</v>
      </c>
      <c r="H286" s="49" t="s">
        <v>11119</v>
      </c>
      <c r="I286" s="49" t="s">
        <v>19</v>
      </c>
      <c r="J286" s="49" t="s">
        <v>11120</v>
      </c>
      <c r="K286" t="s">
        <v>11121</v>
      </c>
    </row>
    <row r="287" spans="1:11" s="22" customFormat="1" ht="15.5">
      <c r="A287" s="33"/>
      <c r="B287" s="87"/>
      <c r="C287" s="86"/>
      <c r="D287" s="83"/>
      <c r="E287" s="85"/>
      <c r="F287" s="50"/>
      <c r="G287" t="s">
        <v>11122</v>
      </c>
      <c r="H287" s="50"/>
      <c r="I287" s="50"/>
      <c r="J287" s="50"/>
      <c r="K287" t="s">
        <v>11123</v>
      </c>
    </row>
    <row r="288" spans="1:11" s="22" customFormat="1" ht="15.5" customHeight="1">
      <c r="A288" s="33"/>
      <c r="B288" s="87"/>
      <c r="C288" s="86"/>
      <c r="D288" s="82" t="s">
        <v>11124</v>
      </c>
      <c r="E288" s="84" t="s">
        <v>11125</v>
      </c>
      <c r="F288" s="49" t="s">
        <v>38</v>
      </c>
      <c r="G288" s="34" t="s">
        <v>11126</v>
      </c>
      <c r="H288" s="49" t="s">
        <v>11127</v>
      </c>
      <c r="I288" s="49" t="s">
        <v>19</v>
      </c>
      <c r="J288" s="49" t="s">
        <v>11128</v>
      </c>
      <c r="K288" t="s">
        <v>11129</v>
      </c>
    </row>
    <row r="289" spans="1:11" s="22" customFormat="1" ht="15.5">
      <c r="A289" s="33"/>
      <c r="B289" s="87"/>
      <c r="C289" s="86"/>
      <c r="D289" s="83"/>
      <c r="E289" s="85"/>
      <c r="F289" s="50"/>
      <c r="G289" t="s">
        <v>11130</v>
      </c>
      <c r="H289" s="50"/>
      <c r="I289" s="50"/>
      <c r="J289" s="50"/>
      <c r="K289" t="s">
        <v>11131</v>
      </c>
    </row>
    <row r="290" spans="1:11" s="22" customFormat="1" ht="15.5" customHeight="1">
      <c r="A290" s="33"/>
      <c r="B290" s="87"/>
      <c r="C290" s="86"/>
      <c r="D290" s="82" t="s">
        <v>11132</v>
      </c>
      <c r="E290" s="84" t="s">
        <v>11133</v>
      </c>
      <c r="F290" s="49" t="s">
        <v>38</v>
      </c>
      <c r="G290" s="34" t="s">
        <v>9681</v>
      </c>
      <c r="H290" s="49" t="s">
        <v>11134</v>
      </c>
      <c r="I290" s="49" t="s">
        <v>19</v>
      </c>
      <c r="J290" s="49" t="s">
        <v>11135</v>
      </c>
      <c r="K290" t="s">
        <v>11136</v>
      </c>
    </row>
    <row r="291" spans="1:11" s="22" customFormat="1" ht="15.5">
      <c r="A291" s="33"/>
      <c r="B291" s="87"/>
      <c r="C291" s="83"/>
      <c r="D291" s="83"/>
      <c r="E291" s="85"/>
      <c r="F291" s="50"/>
      <c r="G291" t="s">
        <v>11137</v>
      </c>
      <c r="H291" s="50"/>
      <c r="I291" s="50"/>
      <c r="J291" s="50"/>
      <c r="K291" t="s">
        <v>11138</v>
      </c>
    </row>
    <row r="292" spans="1:11" s="22" customFormat="1" ht="15.75" customHeight="1">
      <c r="A292" s="33"/>
      <c r="B292" s="87"/>
      <c r="C292" s="82" t="s">
        <v>11139</v>
      </c>
      <c r="D292" s="82" t="s">
        <v>11140</v>
      </c>
      <c r="E292" s="84" t="s">
        <v>11141</v>
      </c>
      <c r="F292" s="49" t="s">
        <v>16</v>
      </c>
      <c r="G292" s="34" t="s">
        <v>10459</v>
      </c>
      <c r="H292" s="49" t="s">
        <v>11142</v>
      </c>
      <c r="I292" s="49" t="s">
        <v>41</v>
      </c>
      <c r="J292" s="49" t="s">
        <v>11143</v>
      </c>
      <c r="K292" t="s">
        <v>11144</v>
      </c>
    </row>
    <row r="293" spans="1:11" s="22" customFormat="1" ht="15.5">
      <c r="A293" s="33"/>
      <c r="B293" s="87"/>
      <c r="C293" s="86"/>
      <c r="D293" s="83"/>
      <c r="E293" s="85"/>
      <c r="F293" s="50"/>
      <c r="G293" t="s">
        <v>11145</v>
      </c>
      <c r="H293" s="50"/>
      <c r="I293" s="50"/>
      <c r="J293" s="50"/>
      <c r="K293" t="s">
        <v>11146</v>
      </c>
    </row>
    <row r="294" spans="1:11" s="22" customFormat="1" ht="15.5">
      <c r="A294" s="33"/>
      <c r="B294" s="87"/>
      <c r="C294" s="86"/>
      <c r="D294" s="82" t="s">
        <v>11147</v>
      </c>
      <c r="E294" s="84" t="s">
        <v>11148</v>
      </c>
      <c r="F294" s="49" t="s">
        <v>16</v>
      </c>
      <c r="G294" s="34" t="s">
        <v>11149</v>
      </c>
      <c r="H294" s="49" t="s">
        <v>11150</v>
      </c>
      <c r="I294" s="49" t="s">
        <v>41</v>
      </c>
      <c r="J294" s="49" t="s">
        <v>11151</v>
      </c>
      <c r="K294" t="s">
        <v>11152</v>
      </c>
    </row>
    <row r="295" spans="1:11" s="22" customFormat="1" ht="15.5">
      <c r="A295" s="33"/>
      <c r="B295" s="87"/>
      <c r="C295" s="86"/>
      <c r="D295" s="83"/>
      <c r="E295" s="85"/>
      <c r="F295" s="50"/>
      <c r="G295" t="s">
        <v>11153</v>
      </c>
      <c r="H295" s="50"/>
      <c r="I295" s="50"/>
      <c r="J295" s="50"/>
      <c r="K295" t="s">
        <v>11154</v>
      </c>
    </row>
    <row r="296" spans="1:11" s="22" customFormat="1" ht="15.5">
      <c r="A296" s="33"/>
      <c r="B296" s="87"/>
      <c r="C296" s="86"/>
      <c r="D296" s="82" t="s">
        <v>11155</v>
      </c>
      <c r="E296" s="84" t="s">
        <v>11156</v>
      </c>
      <c r="F296" s="49" t="s">
        <v>38</v>
      </c>
      <c r="G296" s="34" t="s">
        <v>11157</v>
      </c>
      <c r="H296" s="49" t="s">
        <v>11158</v>
      </c>
      <c r="I296" s="49" t="s">
        <v>41</v>
      </c>
      <c r="J296" s="49" t="s">
        <v>11159</v>
      </c>
      <c r="K296" t="s">
        <v>11160</v>
      </c>
    </row>
    <row r="297" spans="1:11" s="22" customFormat="1" ht="15.5">
      <c r="A297" s="33"/>
      <c r="B297" s="87"/>
      <c r="C297" s="86"/>
      <c r="D297" s="83"/>
      <c r="E297" s="85"/>
      <c r="F297" s="50"/>
      <c r="G297" t="s">
        <v>11161</v>
      </c>
      <c r="H297" s="50"/>
      <c r="I297" s="50"/>
      <c r="J297" s="50"/>
      <c r="K297" t="s">
        <v>11162</v>
      </c>
    </row>
    <row r="298" spans="1:11" s="22" customFormat="1" ht="15.5">
      <c r="A298" s="33"/>
      <c r="B298" s="87"/>
      <c r="C298" s="86"/>
      <c r="D298" s="82" t="s">
        <v>11163</v>
      </c>
      <c r="E298" s="84" t="s">
        <v>11164</v>
      </c>
      <c r="F298" s="49" t="s">
        <v>38</v>
      </c>
      <c r="G298" s="34" t="s">
        <v>9184</v>
      </c>
      <c r="H298" s="49" t="s">
        <v>11165</v>
      </c>
      <c r="I298" s="49" t="s">
        <v>41</v>
      </c>
      <c r="J298" s="49" t="s">
        <v>11166</v>
      </c>
      <c r="K298" t="s">
        <v>11167</v>
      </c>
    </row>
    <row r="299" spans="1:11" s="22" customFormat="1" ht="15.5">
      <c r="A299" s="33"/>
      <c r="B299" s="87"/>
      <c r="C299" s="86"/>
      <c r="D299" s="83"/>
      <c r="E299" s="85"/>
      <c r="F299" s="50"/>
      <c r="G299" t="s">
        <v>11168</v>
      </c>
      <c r="H299" s="50"/>
      <c r="I299" s="50"/>
      <c r="J299" s="50"/>
      <c r="K299" t="s">
        <v>11169</v>
      </c>
    </row>
    <row r="300" spans="1:11" s="22" customFormat="1" ht="15.5">
      <c r="A300" s="33"/>
      <c r="B300" s="87"/>
      <c r="C300" s="86"/>
      <c r="D300" s="82" t="s">
        <v>11170</v>
      </c>
      <c r="E300" s="84" t="s">
        <v>11171</v>
      </c>
      <c r="F300" s="49" t="s">
        <v>16</v>
      </c>
      <c r="G300" s="34" t="s">
        <v>11172</v>
      </c>
      <c r="H300" s="49" t="s">
        <v>11173</v>
      </c>
      <c r="I300" s="49" t="s">
        <v>19</v>
      </c>
      <c r="J300" s="49" t="s">
        <v>11174</v>
      </c>
      <c r="K300" t="s">
        <v>11175</v>
      </c>
    </row>
    <row r="301" spans="1:11" s="22" customFormat="1" ht="15.5">
      <c r="A301" s="33"/>
      <c r="B301" s="87"/>
      <c r="C301" s="83"/>
      <c r="D301" s="83"/>
      <c r="E301" s="85"/>
      <c r="F301" s="50"/>
      <c r="G301" t="s">
        <v>11176</v>
      </c>
      <c r="H301" s="50"/>
      <c r="I301" s="50"/>
      <c r="J301" s="50"/>
      <c r="K301" t="s">
        <v>11177</v>
      </c>
    </row>
    <row r="302" spans="1:11" s="22" customFormat="1" ht="15.75" customHeight="1">
      <c r="A302" s="33"/>
      <c r="B302" s="87"/>
      <c r="C302" s="82" t="s">
        <v>11178</v>
      </c>
      <c r="D302" s="82" t="s">
        <v>11179</v>
      </c>
      <c r="E302" s="84" t="s">
        <v>11180</v>
      </c>
      <c r="F302" s="49" t="s">
        <v>16</v>
      </c>
      <c r="G302" s="34" t="s">
        <v>11181</v>
      </c>
      <c r="H302" s="49" t="s">
        <v>11182</v>
      </c>
      <c r="I302" s="49" t="s">
        <v>19</v>
      </c>
      <c r="J302" s="49" t="s">
        <v>11183</v>
      </c>
      <c r="K302" t="s">
        <v>11184</v>
      </c>
    </row>
    <row r="303" spans="1:11" s="22" customFormat="1" ht="15.5">
      <c r="A303" s="33"/>
      <c r="B303" s="87"/>
      <c r="C303" s="86"/>
      <c r="D303" s="83"/>
      <c r="E303" s="85"/>
      <c r="F303" s="50"/>
      <c r="G303" t="s">
        <v>11185</v>
      </c>
      <c r="H303" s="50"/>
      <c r="I303" s="50"/>
      <c r="J303" s="50"/>
      <c r="K303" t="s">
        <v>11186</v>
      </c>
    </row>
    <row r="304" spans="1:11" s="22" customFormat="1" ht="15.5">
      <c r="A304" s="33"/>
      <c r="B304" s="87"/>
      <c r="C304" s="86"/>
      <c r="D304" s="82" t="s">
        <v>11187</v>
      </c>
      <c r="E304" s="84" t="s">
        <v>11188</v>
      </c>
      <c r="F304" s="49" t="s">
        <v>16</v>
      </c>
      <c r="G304" s="34" t="s">
        <v>11181</v>
      </c>
      <c r="H304" s="49" t="s">
        <v>11189</v>
      </c>
      <c r="I304" s="49" t="s">
        <v>19</v>
      </c>
      <c r="J304" s="49" t="s">
        <v>11190</v>
      </c>
      <c r="K304" t="s">
        <v>11191</v>
      </c>
    </row>
    <row r="305" spans="1:11" s="22" customFormat="1" ht="15.5">
      <c r="A305" s="33"/>
      <c r="B305" s="87"/>
      <c r="C305" s="86"/>
      <c r="D305" s="83"/>
      <c r="E305" s="85"/>
      <c r="F305" s="50"/>
      <c r="G305" t="s">
        <v>11192</v>
      </c>
      <c r="H305" s="50"/>
      <c r="I305" s="50"/>
      <c r="J305" s="50"/>
      <c r="K305" t="s">
        <v>11193</v>
      </c>
    </row>
    <row r="306" spans="1:11" s="22" customFormat="1" ht="15.5">
      <c r="A306" s="33"/>
      <c r="B306" s="87"/>
      <c r="C306" s="86"/>
      <c r="D306" s="82" t="s">
        <v>11194</v>
      </c>
      <c r="E306" s="84" t="s">
        <v>11195</v>
      </c>
      <c r="F306" s="49" t="s">
        <v>16</v>
      </c>
      <c r="G306" s="34" t="s">
        <v>10595</v>
      </c>
      <c r="H306" s="49" t="s">
        <v>11196</v>
      </c>
      <c r="I306" s="49" t="s">
        <v>19</v>
      </c>
      <c r="J306" s="49" t="s">
        <v>11197</v>
      </c>
      <c r="K306" t="s">
        <v>11198</v>
      </c>
    </row>
    <row r="307" spans="1:11" s="22" customFormat="1" ht="15.5">
      <c r="A307" s="33"/>
      <c r="B307" s="87"/>
      <c r="C307" s="86"/>
      <c r="D307" s="83"/>
      <c r="E307" s="85"/>
      <c r="F307" s="50"/>
      <c r="G307" t="s">
        <v>11199</v>
      </c>
      <c r="H307" s="50"/>
      <c r="I307" s="50"/>
      <c r="J307" s="50"/>
      <c r="K307" t="s">
        <v>11200</v>
      </c>
    </row>
    <row r="308" spans="1:11" s="22" customFormat="1" ht="15.5">
      <c r="A308" s="33"/>
      <c r="B308" s="87"/>
      <c r="C308" s="86"/>
      <c r="D308" s="82" t="s">
        <v>11201</v>
      </c>
      <c r="E308" s="84" t="s">
        <v>11202</v>
      </c>
      <c r="F308" s="55" t="s">
        <v>38</v>
      </c>
      <c r="G308" s="34" t="s">
        <v>11203</v>
      </c>
      <c r="H308" s="55" t="s">
        <v>11204</v>
      </c>
      <c r="I308" s="55" t="s">
        <v>19</v>
      </c>
      <c r="J308" s="55" t="s">
        <v>11205</v>
      </c>
      <c r="K308" t="s">
        <v>11206</v>
      </c>
    </row>
    <row r="309" spans="1:11" s="22" customFormat="1" ht="15.5">
      <c r="A309" s="33"/>
      <c r="B309" s="87"/>
      <c r="C309" s="86"/>
      <c r="D309" s="83"/>
      <c r="E309" s="85"/>
      <c r="F309" s="56"/>
      <c r="G309" t="s">
        <v>11207</v>
      </c>
      <c r="H309" s="56"/>
      <c r="I309" s="56"/>
      <c r="J309" s="56"/>
      <c r="K309" t="s">
        <v>11208</v>
      </c>
    </row>
    <row r="310" spans="1:11" s="22" customFormat="1" ht="15.5">
      <c r="A310" s="33"/>
      <c r="B310" s="87"/>
      <c r="C310" s="86"/>
      <c r="D310" s="82" t="s">
        <v>11209</v>
      </c>
      <c r="E310" s="84" t="s">
        <v>11210</v>
      </c>
      <c r="F310" s="49" t="s">
        <v>38</v>
      </c>
      <c r="G310" s="34" t="s">
        <v>11211</v>
      </c>
      <c r="H310" s="49" t="s">
        <v>11212</v>
      </c>
      <c r="I310" s="49" t="s">
        <v>19</v>
      </c>
      <c r="J310" s="49" t="s">
        <v>11213</v>
      </c>
      <c r="K310" t="s">
        <v>11214</v>
      </c>
    </row>
    <row r="311" spans="1:11" s="22" customFormat="1" ht="15.5">
      <c r="A311" s="33"/>
      <c r="B311" s="87"/>
      <c r="C311" s="83"/>
      <c r="D311" s="83"/>
      <c r="E311" s="85"/>
      <c r="F311" s="50"/>
      <c r="G311" t="s">
        <v>11215</v>
      </c>
      <c r="H311" s="50"/>
      <c r="I311" s="50"/>
      <c r="J311" s="50"/>
      <c r="K311" t="s">
        <v>11216</v>
      </c>
    </row>
    <row r="312" spans="1:11" s="22" customFormat="1" ht="15.75" customHeight="1">
      <c r="A312" s="33"/>
      <c r="B312" s="87"/>
      <c r="C312" s="82" t="s">
        <v>11217</v>
      </c>
      <c r="D312" s="82" t="s">
        <v>11218</v>
      </c>
      <c r="E312" s="84" t="s">
        <v>11219</v>
      </c>
      <c r="F312" s="49" t="s">
        <v>38</v>
      </c>
      <c r="G312" t="s">
        <v>9944</v>
      </c>
      <c r="H312" s="49" t="s">
        <v>11220</v>
      </c>
      <c r="I312" s="49" t="s">
        <v>19</v>
      </c>
      <c r="J312" s="49" t="s">
        <v>11221</v>
      </c>
      <c r="K312" t="s">
        <v>11222</v>
      </c>
    </row>
    <row r="313" spans="1:11" s="22" customFormat="1" ht="15.5">
      <c r="A313" s="33"/>
      <c r="B313" s="87"/>
      <c r="C313" s="86"/>
      <c r="D313" s="83"/>
      <c r="E313" s="85"/>
      <c r="F313" s="50"/>
      <c r="G313" t="s">
        <v>9948</v>
      </c>
      <c r="H313" s="50"/>
      <c r="I313" s="50"/>
      <c r="J313" s="50"/>
      <c r="K313" t="s">
        <v>11223</v>
      </c>
    </row>
    <row r="314" spans="1:11" s="22" customFormat="1" ht="15.5">
      <c r="A314" s="33"/>
      <c r="B314" s="87"/>
      <c r="C314" s="86"/>
      <c r="D314" s="82" t="s">
        <v>11224</v>
      </c>
      <c r="E314" s="84" t="s">
        <v>11225</v>
      </c>
      <c r="F314" s="49" t="s">
        <v>38</v>
      </c>
      <c r="G314" s="34" t="s">
        <v>11226</v>
      </c>
      <c r="H314" s="49" t="s">
        <v>11227</v>
      </c>
      <c r="I314" s="49" t="s">
        <v>19</v>
      </c>
      <c r="J314" s="49" t="s">
        <v>11228</v>
      </c>
      <c r="K314" t="s">
        <v>11229</v>
      </c>
    </row>
    <row r="315" spans="1:11" s="22" customFormat="1" ht="15.5">
      <c r="A315" s="33"/>
      <c r="B315" s="87"/>
      <c r="C315" s="86"/>
      <c r="D315" s="83"/>
      <c r="E315" s="85"/>
      <c r="F315" s="50"/>
      <c r="G315" t="s">
        <v>8886</v>
      </c>
      <c r="H315" s="50"/>
      <c r="I315" s="50"/>
      <c r="J315" s="50"/>
      <c r="K315" t="s">
        <v>11230</v>
      </c>
    </row>
    <row r="316" spans="1:11" s="22" customFormat="1" ht="15.5" customHeight="1">
      <c r="A316" s="33"/>
      <c r="B316" s="87"/>
      <c r="C316" s="86"/>
      <c r="D316" s="82" t="s">
        <v>11231</v>
      </c>
      <c r="E316" s="84" t="s">
        <v>11232</v>
      </c>
      <c r="F316" s="49" t="s">
        <v>38</v>
      </c>
      <c r="G316" t="s">
        <v>11233</v>
      </c>
      <c r="H316" s="49" t="s">
        <v>11234</v>
      </c>
      <c r="I316" s="49" t="s">
        <v>19</v>
      </c>
      <c r="J316" s="49" t="s">
        <v>11235</v>
      </c>
      <c r="K316" t="s">
        <v>11236</v>
      </c>
    </row>
    <row r="317" spans="1:11" s="22" customFormat="1" ht="15.5">
      <c r="A317" s="33"/>
      <c r="B317" s="87"/>
      <c r="C317" s="86"/>
      <c r="D317" s="83"/>
      <c r="E317" s="85"/>
      <c r="F317" s="50"/>
      <c r="G317" t="s">
        <v>11237</v>
      </c>
      <c r="H317" s="50"/>
      <c r="I317" s="50"/>
      <c r="J317" s="50"/>
      <c r="K317" t="s">
        <v>11238</v>
      </c>
    </row>
    <row r="318" spans="1:11" s="22" customFormat="1" ht="15.5" customHeight="1">
      <c r="A318" s="33"/>
      <c r="B318" s="87"/>
      <c r="C318" s="86"/>
      <c r="D318" s="82" t="s">
        <v>11239</v>
      </c>
      <c r="E318" s="84" t="s">
        <v>11240</v>
      </c>
      <c r="F318" s="49" t="s">
        <v>16</v>
      </c>
      <c r="G318" s="34" t="s">
        <v>8890</v>
      </c>
      <c r="H318" s="49" t="s">
        <v>11241</v>
      </c>
      <c r="I318" s="49" t="s">
        <v>41</v>
      </c>
      <c r="J318" s="49" t="s">
        <v>11242</v>
      </c>
      <c r="K318" t="s">
        <v>11243</v>
      </c>
    </row>
    <row r="319" spans="1:11" s="22" customFormat="1" ht="15.5">
      <c r="A319" s="33"/>
      <c r="B319" s="87"/>
      <c r="C319" s="86"/>
      <c r="D319" s="83"/>
      <c r="E319" s="85"/>
      <c r="F319" s="50"/>
      <c r="G319" t="s">
        <v>11244</v>
      </c>
      <c r="H319" s="50"/>
      <c r="I319" s="50"/>
      <c r="J319" s="50"/>
      <c r="K319" t="s">
        <v>11245</v>
      </c>
    </row>
    <row r="320" spans="1:11" s="22" customFormat="1" ht="15.5">
      <c r="A320" s="33"/>
      <c r="B320" s="87"/>
      <c r="C320" s="86"/>
      <c r="D320" s="82" t="s">
        <v>11246</v>
      </c>
      <c r="E320" s="84" t="s">
        <v>11247</v>
      </c>
      <c r="F320" s="49" t="s">
        <v>16</v>
      </c>
      <c r="G320" s="34" t="s">
        <v>11248</v>
      </c>
      <c r="H320" s="49" t="s">
        <v>11249</v>
      </c>
      <c r="I320" s="49" t="s">
        <v>41</v>
      </c>
      <c r="J320" s="49" t="s">
        <v>11250</v>
      </c>
      <c r="K320" t="s">
        <v>11251</v>
      </c>
    </row>
    <row r="321" spans="1:11" s="22" customFormat="1" ht="15.5">
      <c r="A321" s="33"/>
      <c r="B321" s="87"/>
      <c r="C321" s="83"/>
      <c r="D321" s="83"/>
      <c r="E321" s="85"/>
      <c r="F321" s="50"/>
      <c r="G321" t="s">
        <v>11252</v>
      </c>
      <c r="H321" s="50"/>
      <c r="I321" s="50"/>
      <c r="J321" s="50"/>
      <c r="K321" t="s">
        <v>11253</v>
      </c>
    </row>
  </sheetData>
  <mergeCells count="996">
    <mergeCell ref="I2:I3"/>
    <mergeCell ref="J2:J3"/>
    <mergeCell ref="D4:D5"/>
    <mergeCell ref="E4:E5"/>
    <mergeCell ref="F4:F5"/>
    <mergeCell ref="H4:H5"/>
    <mergeCell ref="I4:I5"/>
    <mergeCell ref="J4:J5"/>
    <mergeCell ref="B2:B71"/>
    <mergeCell ref="C2:C11"/>
    <mergeCell ref="D2:D3"/>
    <mergeCell ref="E2:E3"/>
    <mergeCell ref="F2:F3"/>
    <mergeCell ref="H2:H3"/>
    <mergeCell ref="D6:D7"/>
    <mergeCell ref="E6:E7"/>
    <mergeCell ref="F6:F7"/>
    <mergeCell ref="H6:H7"/>
    <mergeCell ref="D10:D11"/>
    <mergeCell ref="E10:E11"/>
    <mergeCell ref="F10:F11"/>
    <mergeCell ref="H10:H11"/>
    <mergeCell ref="I10:I11"/>
    <mergeCell ref="J10:J11"/>
    <mergeCell ref="I6:I7"/>
    <mergeCell ref="J6:J7"/>
    <mergeCell ref="D8:D9"/>
    <mergeCell ref="E8:E9"/>
    <mergeCell ref="F8:F9"/>
    <mergeCell ref="H8:H9"/>
    <mergeCell ref="I8:I9"/>
    <mergeCell ref="J8:J9"/>
    <mergeCell ref="J12:J13"/>
    <mergeCell ref="D14:D15"/>
    <mergeCell ref="E14:E15"/>
    <mergeCell ref="F14:F15"/>
    <mergeCell ref="H14:H15"/>
    <mergeCell ref="I14:I15"/>
    <mergeCell ref="J14:J15"/>
    <mergeCell ref="C12:C21"/>
    <mergeCell ref="D12:D13"/>
    <mergeCell ref="E12:E13"/>
    <mergeCell ref="F12:F13"/>
    <mergeCell ref="H12:H13"/>
    <mergeCell ref="I12:I13"/>
    <mergeCell ref="D16:D17"/>
    <mergeCell ref="E16:E17"/>
    <mergeCell ref="F16:F17"/>
    <mergeCell ref="H16:H17"/>
    <mergeCell ref="D20:D21"/>
    <mergeCell ref="E20:E21"/>
    <mergeCell ref="F20:F21"/>
    <mergeCell ref="H20:H21"/>
    <mergeCell ref="I20:I21"/>
    <mergeCell ref="J20:J21"/>
    <mergeCell ref="I16:I17"/>
    <mergeCell ref="J16:J17"/>
    <mergeCell ref="D18:D19"/>
    <mergeCell ref="E18:E19"/>
    <mergeCell ref="F18:F19"/>
    <mergeCell ref="H18:H19"/>
    <mergeCell ref="I18:I19"/>
    <mergeCell ref="J18:J19"/>
    <mergeCell ref="J22:J23"/>
    <mergeCell ref="D24:D25"/>
    <mergeCell ref="E24:E25"/>
    <mergeCell ref="F24:F25"/>
    <mergeCell ref="H24:H25"/>
    <mergeCell ref="I24:I25"/>
    <mergeCell ref="J24:J25"/>
    <mergeCell ref="C22:C31"/>
    <mergeCell ref="D22:D23"/>
    <mergeCell ref="E22:E23"/>
    <mergeCell ref="F22:F23"/>
    <mergeCell ref="H22:H23"/>
    <mergeCell ref="I22:I23"/>
    <mergeCell ref="D26:D27"/>
    <mergeCell ref="E26:E27"/>
    <mergeCell ref="F26:F27"/>
    <mergeCell ref="H26:H27"/>
    <mergeCell ref="D30:D31"/>
    <mergeCell ref="E30:E31"/>
    <mergeCell ref="F30:F31"/>
    <mergeCell ref="H30:H31"/>
    <mergeCell ref="I30:I31"/>
    <mergeCell ref="J30:J31"/>
    <mergeCell ref="I26:I27"/>
    <mergeCell ref="J26:J27"/>
    <mergeCell ref="D28:D29"/>
    <mergeCell ref="E28:E29"/>
    <mergeCell ref="F28:F29"/>
    <mergeCell ref="H28:H29"/>
    <mergeCell ref="I28:I29"/>
    <mergeCell ref="J28:J29"/>
    <mergeCell ref="J32:J33"/>
    <mergeCell ref="D34:D35"/>
    <mergeCell ref="E34:E35"/>
    <mergeCell ref="F34:F35"/>
    <mergeCell ref="H34:H35"/>
    <mergeCell ref="I34:I35"/>
    <mergeCell ref="J34:J35"/>
    <mergeCell ref="C32:C41"/>
    <mergeCell ref="D32:D33"/>
    <mergeCell ref="E32:E33"/>
    <mergeCell ref="F32:F33"/>
    <mergeCell ref="H32:H33"/>
    <mergeCell ref="I32:I33"/>
    <mergeCell ref="D36:D37"/>
    <mergeCell ref="E36:E37"/>
    <mergeCell ref="F36:F37"/>
    <mergeCell ref="H36:H37"/>
    <mergeCell ref="D40:D41"/>
    <mergeCell ref="E40:E41"/>
    <mergeCell ref="F40:F41"/>
    <mergeCell ref="H40:H41"/>
    <mergeCell ref="I40:I41"/>
    <mergeCell ref="J40:J41"/>
    <mergeCell ref="I36:I37"/>
    <mergeCell ref="J36:J37"/>
    <mergeCell ref="D38:D39"/>
    <mergeCell ref="E38:E39"/>
    <mergeCell ref="F38:F39"/>
    <mergeCell ref="H38:H39"/>
    <mergeCell ref="I38:I39"/>
    <mergeCell ref="J38:J39"/>
    <mergeCell ref="J42:J43"/>
    <mergeCell ref="D44:D45"/>
    <mergeCell ref="E44:E45"/>
    <mergeCell ref="F44:F45"/>
    <mergeCell ref="H44:H45"/>
    <mergeCell ref="I44:I45"/>
    <mergeCell ref="J44:J45"/>
    <mergeCell ref="C42:C51"/>
    <mergeCell ref="D42:D43"/>
    <mergeCell ref="E42:E43"/>
    <mergeCell ref="F42:F43"/>
    <mergeCell ref="H42:H43"/>
    <mergeCell ref="I42:I43"/>
    <mergeCell ref="D46:D47"/>
    <mergeCell ref="E46:E47"/>
    <mergeCell ref="F46:F47"/>
    <mergeCell ref="H46:H47"/>
    <mergeCell ref="D50:D51"/>
    <mergeCell ref="E50:E51"/>
    <mergeCell ref="F50:F51"/>
    <mergeCell ref="H50:H51"/>
    <mergeCell ref="I50:I51"/>
    <mergeCell ref="J50:J51"/>
    <mergeCell ref="I46:I47"/>
    <mergeCell ref="J46:J47"/>
    <mergeCell ref="D48:D49"/>
    <mergeCell ref="E48:E49"/>
    <mergeCell ref="F48:F49"/>
    <mergeCell ref="H48:H49"/>
    <mergeCell ref="I48:I49"/>
    <mergeCell ref="J48:J49"/>
    <mergeCell ref="J52:J53"/>
    <mergeCell ref="D54:D55"/>
    <mergeCell ref="E54:E55"/>
    <mergeCell ref="F54:F55"/>
    <mergeCell ref="H54:H55"/>
    <mergeCell ref="I54:I55"/>
    <mergeCell ref="J54:J55"/>
    <mergeCell ref="C52:C61"/>
    <mergeCell ref="D52:D53"/>
    <mergeCell ref="E52:E53"/>
    <mergeCell ref="F52:F53"/>
    <mergeCell ref="H52:H53"/>
    <mergeCell ref="I52:I53"/>
    <mergeCell ref="D56:D57"/>
    <mergeCell ref="E56:E57"/>
    <mergeCell ref="F56:F57"/>
    <mergeCell ref="H56:H57"/>
    <mergeCell ref="D60:D61"/>
    <mergeCell ref="E60:E61"/>
    <mergeCell ref="F60:F61"/>
    <mergeCell ref="H60:H61"/>
    <mergeCell ref="I60:I61"/>
    <mergeCell ref="J60:J61"/>
    <mergeCell ref="I56:I57"/>
    <mergeCell ref="J56:J57"/>
    <mergeCell ref="D58:D59"/>
    <mergeCell ref="E58:E59"/>
    <mergeCell ref="F58:F59"/>
    <mergeCell ref="H58:H59"/>
    <mergeCell ref="I58:I59"/>
    <mergeCell ref="J58:J59"/>
    <mergeCell ref="J62:J63"/>
    <mergeCell ref="D64:D65"/>
    <mergeCell ref="E64:E65"/>
    <mergeCell ref="F64:F65"/>
    <mergeCell ref="H64:H65"/>
    <mergeCell ref="I64:I65"/>
    <mergeCell ref="J64:J65"/>
    <mergeCell ref="C62:C71"/>
    <mergeCell ref="D62:D63"/>
    <mergeCell ref="E62:E63"/>
    <mergeCell ref="F62:F63"/>
    <mergeCell ref="H62:H63"/>
    <mergeCell ref="I62:I63"/>
    <mergeCell ref="D66:D67"/>
    <mergeCell ref="E66:E67"/>
    <mergeCell ref="F66:F67"/>
    <mergeCell ref="H66:H67"/>
    <mergeCell ref="D70:D71"/>
    <mergeCell ref="E70:E71"/>
    <mergeCell ref="F70:F71"/>
    <mergeCell ref="H70:H71"/>
    <mergeCell ref="I70:I71"/>
    <mergeCell ref="J70:J71"/>
    <mergeCell ref="I66:I67"/>
    <mergeCell ref="J66:J67"/>
    <mergeCell ref="D68:D69"/>
    <mergeCell ref="E68:E69"/>
    <mergeCell ref="F68:F69"/>
    <mergeCell ref="H68:H69"/>
    <mergeCell ref="I68:I69"/>
    <mergeCell ref="J68:J69"/>
    <mergeCell ref="I72:I73"/>
    <mergeCell ref="J72:J73"/>
    <mergeCell ref="D74:D75"/>
    <mergeCell ref="E74:E75"/>
    <mergeCell ref="F74:F75"/>
    <mergeCell ref="H74:H75"/>
    <mergeCell ref="I74:I75"/>
    <mergeCell ref="J74:J75"/>
    <mergeCell ref="B72:B161"/>
    <mergeCell ref="C72:C81"/>
    <mergeCell ref="D72:D73"/>
    <mergeCell ref="E72:E73"/>
    <mergeCell ref="F72:F73"/>
    <mergeCell ref="H72:H73"/>
    <mergeCell ref="D76:D77"/>
    <mergeCell ref="E76:E77"/>
    <mergeCell ref="F76:F77"/>
    <mergeCell ref="H76:H77"/>
    <mergeCell ref="D80:D81"/>
    <mergeCell ref="E80:E81"/>
    <mergeCell ref="F80:F81"/>
    <mergeCell ref="H80:H81"/>
    <mergeCell ref="I80:I81"/>
    <mergeCell ref="J80:J81"/>
    <mergeCell ref="I76:I77"/>
    <mergeCell ref="J76:J77"/>
    <mergeCell ref="D78:D79"/>
    <mergeCell ref="E78:E79"/>
    <mergeCell ref="F78:F79"/>
    <mergeCell ref="H78:H79"/>
    <mergeCell ref="I78:I79"/>
    <mergeCell ref="J78:J79"/>
    <mergeCell ref="J82:J83"/>
    <mergeCell ref="D84:D85"/>
    <mergeCell ref="E84:E85"/>
    <mergeCell ref="F84:F85"/>
    <mergeCell ref="H84:H85"/>
    <mergeCell ref="I84:I85"/>
    <mergeCell ref="J84:J85"/>
    <mergeCell ref="C82:C91"/>
    <mergeCell ref="D82:D83"/>
    <mergeCell ref="E82:E83"/>
    <mergeCell ref="F82:F83"/>
    <mergeCell ref="H82:H83"/>
    <mergeCell ref="I82:I83"/>
    <mergeCell ref="D86:D87"/>
    <mergeCell ref="E86:E87"/>
    <mergeCell ref="F86:F87"/>
    <mergeCell ref="H86:H87"/>
    <mergeCell ref="D90:D91"/>
    <mergeCell ref="E90:E91"/>
    <mergeCell ref="F90:F91"/>
    <mergeCell ref="H90:H91"/>
    <mergeCell ref="I90:I91"/>
    <mergeCell ref="J90:J91"/>
    <mergeCell ref="I86:I87"/>
    <mergeCell ref="J86:J87"/>
    <mergeCell ref="D88:D89"/>
    <mergeCell ref="E88:E89"/>
    <mergeCell ref="F88:F89"/>
    <mergeCell ref="H88:H89"/>
    <mergeCell ref="I88:I89"/>
    <mergeCell ref="J88:J89"/>
    <mergeCell ref="J92:J93"/>
    <mergeCell ref="D94:D95"/>
    <mergeCell ref="E94:E95"/>
    <mergeCell ref="F94:F95"/>
    <mergeCell ref="H94:H95"/>
    <mergeCell ref="I94:I95"/>
    <mergeCell ref="J94:J95"/>
    <mergeCell ref="C92:C101"/>
    <mergeCell ref="D92:D93"/>
    <mergeCell ref="E92:E93"/>
    <mergeCell ref="F92:F93"/>
    <mergeCell ref="H92:H93"/>
    <mergeCell ref="I92:I93"/>
    <mergeCell ref="D96:D97"/>
    <mergeCell ref="E96:E97"/>
    <mergeCell ref="F96:F97"/>
    <mergeCell ref="H96:H97"/>
    <mergeCell ref="D100:D101"/>
    <mergeCell ref="E100:E101"/>
    <mergeCell ref="F100:F101"/>
    <mergeCell ref="H100:H101"/>
    <mergeCell ref="I100:I101"/>
    <mergeCell ref="J100:J101"/>
    <mergeCell ref="I96:I97"/>
    <mergeCell ref="J96:J97"/>
    <mergeCell ref="D98:D99"/>
    <mergeCell ref="E98:E99"/>
    <mergeCell ref="F98:F99"/>
    <mergeCell ref="H98:H99"/>
    <mergeCell ref="I98:I99"/>
    <mergeCell ref="J98:J99"/>
    <mergeCell ref="J102:J103"/>
    <mergeCell ref="D104:D105"/>
    <mergeCell ref="E104:E105"/>
    <mergeCell ref="F104:F105"/>
    <mergeCell ref="H104:H105"/>
    <mergeCell ref="I104:I105"/>
    <mergeCell ref="J104:J105"/>
    <mergeCell ref="C102:C111"/>
    <mergeCell ref="D102:D103"/>
    <mergeCell ref="E102:E103"/>
    <mergeCell ref="F102:F103"/>
    <mergeCell ref="H102:H103"/>
    <mergeCell ref="I102:I103"/>
    <mergeCell ref="D106:D107"/>
    <mergeCell ref="E106:E107"/>
    <mergeCell ref="F106:F107"/>
    <mergeCell ref="H106:H107"/>
    <mergeCell ref="D110:D111"/>
    <mergeCell ref="E110:E111"/>
    <mergeCell ref="F110:F111"/>
    <mergeCell ref="H110:H111"/>
    <mergeCell ref="I110:I111"/>
    <mergeCell ref="J110:J111"/>
    <mergeCell ref="I106:I107"/>
    <mergeCell ref="J106:J107"/>
    <mergeCell ref="D108:D109"/>
    <mergeCell ref="E108:E109"/>
    <mergeCell ref="F108:F109"/>
    <mergeCell ref="H108:H109"/>
    <mergeCell ref="I108:I109"/>
    <mergeCell ref="J108:J109"/>
    <mergeCell ref="J112:J113"/>
    <mergeCell ref="D114:D115"/>
    <mergeCell ref="E114:E115"/>
    <mergeCell ref="F114:F115"/>
    <mergeCell ref="H114:H115"/>
    <mergeCell ref="I114:I115"/>
    <mergeCell ref="J114:J115"/>
    <mergeCell ref="C112:C121"/>
    <mergeCell ref="D112:D113"/>
    <mergeCell ref="E112:E113"/>
    <mergeCell ref="F112:F113"/>
    <mergeCell ref="H112:H113"/>
    <mergeCell ref="I112:I113"/>
    <mergeCell ref="D116:D117"/>
    <mergeCell ref="E116:E117"/>
    <mergeCell ref="F116:F117"/>
    <mergeCell ref="H116:H117"/>
    <mergeCell ref="D120:D121"/>
    <mergeCell ref="E120:E121"/>
    <mergeCell ref="F120:F121"/>
    <mergeCell ref="H120:H121"/>
    <mergeCell ref="I120:I121"/>
    <mergeCell ref="J120:J121"/>
    <mergeCell ref="I116:I117"/>
    <mergeCell ref="J116:J117"/>
    <mergeCell ref="D118:D119"/>
    <mergeCell ref="E118:E119"/>
    <mergeCell ref="F118:F119"/>
    <mergeCell ref="H118:H119"/>
    <mergeCell ref="I118:I119"/>
    <mergeCell ref="J118:J119"/>
    <mergeCell ref="J122:J123"/>
    <mergeCell ref="D124:D125"/>
    <mergeCell ref="E124:E125"/>
    <mergeCell ref="F124:F125"/>
    <mergeCell ref="H124:H125"/>
    <mergeCell ref="I124:I125"/>
    <mergeCell ref="J124:J125"/>
    <mergeCell ref="C122:C131"/>
    <mergeCell ref="D122:D123"/>
    <mergeCell ref="E122:E123"/>
    <mergeCell ref="F122:F123"/>
    <mergeCell ref="H122:H123"/>
    <mergeCell ref="I122:I123"/>
    <mergeCell ref="D126:D127"/>
    <mergeCell ref="E126:E127"/>
    <mergeCell ref="F126:F127"/>
    <mergeCell ref="H126:H127"/>
    <mergeCell ref="D130:D131"/>
    <mergeCell ref="E130:E131"/>
    <mergeCell ref="F130:F131"/>
    <mergeCell ref="H130:H131"/>
    <mergeCell ref="I130:I131"/>
    <mergeCell ref="J130:J131"/>
    <mergeCell ref="I126:I127"/>
    <mergeCell ref="J126:J127"/>
    <mergeCell ref="D128:D129"/>
    <mergeCell ref="E128:E129"/>
    <mergeCell ref="F128:F129"/>
    <mergeCell ref="H128:H129"/>
    <mergeCell ref="I128:I129"/>
    <mergeCell ref="J128:J129"/>
    <mergeCell ref="J132:J133"/>
    <mergeCell ref="D134:D135"/>
    <mergeCell ref="E134:E135"/>
    <mergeCell ref="F134:F135"/>
    <mergeCell ref="H134:H135"/>
    <mergeCell ref="I134:I135"/>
    <mergeCell ref="J134:J135"/>
    <mergeCell ref="C132:C141"/>
    <mergeCell ref="D132:D133"/>
    <mergeCell ref="E132:E133"/>
    <mergeCell ref="F132:F133"/>
    <mergeCell ref="H132:H133"/>
    <mergeCell ref="I132:I133"/>
    <mergeCell ref="D136:D137"/>
    <mergeCell ref="E136:E137"/>
    <mergeCell ref="F136:F137"/>
    <mergeCell ref="H136:H137"/>
    <mergeCell ref="D140:D141"/>
    <mergeCell ref="E140:E141"/>
    <mergeCell ref="F140:F141"/>
    <mergeCell ref="H140:H141"/>
    <mergeCell ref="I140:I141"/>
    <mergeCell ref="J140:J141"/>
    <mergeCell ref="I136:I137"/>
    <mergeCell ref="J136:J137"/>
    <mergeCell ref="D138:D139"/>
    <mergeCell ref="E138:E139"/>
    <mergeCell ref="F138:F139"/>
    <mergeCell ref="H138:H139"/>
    <mergeCell ref="I138:I139"/>
    <mergeCell ref="J138:J139"/>
    <mergeCell ref="J142:J143"/>
    <mergeCell ref="D144:D145"/>
    <mergeCell ref="E144:E145"/>
    <mergeCell ref="F144:F145"/>
    <mergeCell ref="H144:H145"/>
    <mergeCell ref="I144:I145"/>
    <mergeCell ref="J144:J145"/>
    <mergeCell ref="C142:C151"/>
    <mergeCell ref="D142:D143"/>
    <mergeCell ref="E142:E143"/>
    <mergeCell ref="F142:F143"/>
    <mergeCell ref="H142:H143"/>
    <mergeCell ref="I142:I143"/>
    <mergeCell ref="D146:D147"/>
    <mergeCell ref="E146:E147"/>
    <mergeCell ref="F146:F147"/>
    <mergeCell ref="H146:H147"/>
    <mergeCell ref="D150:D151"/>
    <mergeCell ref="E150:E151"/>
    <mergeCell ref="F150:F151"/>
    <mergeCell ref="H150:H151"/>
    <mergeCell ref="I150:I151"/>
    <mergeCell ref="J150:J151"/>
    <mergeCell ref="I146:I147"/>
    <mergeCell ref="J146:J147"/>
    <mergeCell ref="D148:D149"/>
    <mergeCell ref="E148:E149"/>
    <mergeCell ref="F148:F149"/>
    <mergeCell ref="H148:H149"/>
    <mergeCell ref="I148:I149"/>
    <mergeCell ref="J148:J149"/>
    <mergeCell ref="J152:J153"/>
    <mergeCell ref="D154:D155"/>
    <mergeCell ref="E154:E155"/>
    <mergeCell ref="F154:F155"/>
    <mergeCell ref="H154:H155"/>
    <mergeCell ref="I154:I155"/>
    <mergeCell ref="J154:J155"/>
    <mergeCell ref="C152:C161"/>
    <mergeCell ref="D152:D153"/>
    <mergeCell ref="E152:E153"/>
    <mergeCell ref="F152:F153"/>
    <mergeCell ref="H152:H153"/>
    <mergeCell ref="I152:I153"/>
    <mergeCell ref="D156:D157"/>
    <mergeCell ref="E156:E157"/>
    <mergeCell ref="F156:F157"/>
    <mergeCell ref="H156:H157"/>
    <mergeCell ref="D160:D161"/>
    <mergeCell ref="E160:E161"/>
    <mergeCell ref="F160:F161"/>
    <mergeCell ref="H160:H161"/>
    <mergeCell ref="I160:I161"/>
    <mergeCell ref="J160:J161"/>
    <mergeCell ref="I156:I157"/>
    <mergeCell ref="J156:J157"/>
    <mergeCell ref="D158:D159"/>
    <mergeCell ref="E158:E159"/>
    <mergeCell ref="F158:F159"/>
    <mergeCell ref="H158:H159"/>
    <mergeCell ref="I158:I159"/>
    <mergeCell ref="J158:J159"/>
    <mergeCell ref="I162:I163"/>
    <mergeCell ref="J162:J163"/>
    <mergeCell ref="D164:D165"/>
    <mergeCell ref="E164:E165"/>
    <mergeCell ref="F164:F165"/>
    <mergeCell ref="H164:H165"/>
    <mergeCell ref="I164:I165"/>
    <mergeCell ref="J164:J165"/>
    <mergeCell ref="B162:B251"/>
    <mergeCell ref="C162:C171"/>
    <mergeCell ref="D162:D163"/>
    <mergeCell ref="E162:E163"/>
    <mergeCell ref="F162:F163"/>
    <mergeCell ref="H162:H163"/>
    <mergeCell ref="D166:D167"/>
    <mergeCell ref="E166:E167"/>
    <mergeCell ref="F166:F167"/>
    <mergeCell ref="H166:H167"/>
    <mergeCell ref="D170:D171"/>
    <mergeCell ref="E170:E171"/>
    <mergeCell ref="F170:F171"/>
    <mergeCell ref="H170:H171"/>
    <mergeCell ref="I170:I171"/>
    <mergeCell ref="J170:J171"/>
    <mergeCell ref="I166:I167"/>
    <mergeCell ref="J166:J167"/>
    <mergeCell ref="D168:D169"/>
    <mergeCell ref="E168:E169"/>
    <mergeCell ref="F168:F169"/>
    <mergeCell ref="H168:H169"/>
    <mergeCell ref="I168:I169"/>
    <mergeCell ref="J168:J169"/>
    <mergeCell ref="J172:J173"/>
    <mergeCell ref="D174:D175"/>
    <mergeCell ref="E174:E175"/>
    <mergeCell ref="F174:F175"/>
    <mergeCell ref="H174:H175"/>
    <mergeCell ref="I174:I175"/>
    <mergeCell ref="J174:J175"/>
    <mergeCell ref="C172:C181"/>
    <mergeCell ref="D172:D173"/>
    <mergeCell ref="E172:E173"/>
    <mergeCell ref="F172:F173"/>
    <mergeCell ref="H172:H173"/>
    <mergeCell ref="I172:I173"/>
    <mergeCell ref="D176:D177"/>
    <mergeCell ref="E176:E177"/>
    <mergeCell ref="F176:F177"/>
    <mergeCell ref="H176:H177"/>
    <mergeCell ref="D180:D181"/>
    <mergeCell ref="E180:E181"/>
    <mergeCell ref="F180:F181"/>
    <mergeCell ref="H180:H181"/>
    <mergeCell ref="I180:I181"/>
    <mergeCell ref="J180:J181"/>
    <mergeCell ref="I176:I177"/>
    <mergeCell ref="J176:J177"/>
    <mergeCell ref="D178:D179"/>
    <mergeCell ref="E178:E179"/>
    <mergeCell ref="F178:F179"/>
    <mergeCell ref="H178:H179"/>
    <mergeCell ref="I178:I179"/>
    <mergeCell ref="J178:J179"/>
    <mergeCell ref="J182:J183"/>
    <mergeCell ref="D184:D185"/>
    <mergeCell ref="E184:E185"/>
    <mergeCell ref="F184:F185"/>
    <mergeCell ref="H184:H185"/>
    <mergeCell ref="I184:I185"/>
    <mergeCell ref="J184:J185"/>
    <mergeCell ref="C182:C191"/>
    <mergeCell ref="D182:D183"/>
    <mergeCell ref="E182:E183"/>
    <mergeCell ref="F182:F183"/>
    <mergeCell ref="H182:H183"/>
    <mergeCell ref="I182:I183"/>
    <mergeCell ref="D186:D187"/>
    <mergeCell ref="E186:E187"/>
    <mergeCell ref="F186:F187"/>
    <mergeCell ref="H186:H187"/>
    <mergeCell ref="D190:D191"/>
    <mergeCell ref="E190:E191"/>
    <mergeCell ref="F190:F191"/>
    <mergeCell ref="H190:H191"/>
    <mergeCell ref="I190:I191"/>
    <mergeCell ref="J190:J191"/>
    <mergeCell ref="I186:I187"/>
    <mergeCell ref="J186:J187"/>
    <mergeCell ref="D188:D189"/>
    <mergeCell ref="E188:E189"/>
    <mergeCell ref="F188:F189"/>
    <mergeCell ref="H188:H189"/>
    <mergeCell ref="I188:I189"/>
    <mergeCell ref="J188:J189"/>
    <mergeCell ref="J192:J193"/>
    <mergeCell ref="D194:D195"/>
    <mergeCell ref="E194:E195"/>
    <mergeCell ref="F194:F195"/>
    <mergeCell ref="H194:H195"/>
    <mergeCell ref="I194:I195"/>
    <mergeCell ref="J194:J195"/>
    <mergeCell ref="C192:C201"/>
    <mergeCell ref="D192:D193"/>
    <mergeCell ref="E192:E193"/>
    <mergeCell ref="F192:F193"/>
    <mergeCell ref="H192:H193"/>
    <mergeCell ref="I192:I193"/>
    <mergeCell ref="D196:D197"/>
    <mergeCell ref="E196:E197"/>
    <mergeCell ref="F196:F197"/>
    <mergeCell ref="H196:H197"/>
    <mergeCell ref="D200:D201"/>
    <mergeCell ref="E200:E201"/>
    <mergeCell ref="F200:F201"/>
    <mergeCell ref="H200:H201"/>
    <mergeCell ref="I200:I201"/>
    <mergeCell ref="J200:J201"/>
    <mergeCell ref="I196:I197"/>
    <mergeCell ref="J196:J197"/>
    <mergeCell ref="D198:D199"/>
    <mergeCell ref="E198:E199"/>
    <mergeCell ref="F198:F199"/>
    <mergeCell ref="H198:H199"/>
    <mergeCell ref="I198:I199"/>
    <mergeCell ref="J198:J199"/>
    <mergeCell ref="J202:J203"/>
    <mergeCell ref="D204:D205"/>
    <mergeCell ref="E204:E205"/>
    <mergeCell ref="F204:F205"/>
    <mergeCell ref="H204:H205"/>
    <mergeCell ref="I204:I205"/>
    <mergeCell ref="J204:J205"/>
    <mergeCell ref="C202:C211"/>
    <mergeCell ref="D202:D203"/>
    <mergeCell ref="E202:E203"/>
    <mergeCell ref="F202:F203"/>
    <mergeCell ref="H202:H203"/>
    <mergeCell ref="I202:I203"/>
    <mergeCell ref="D206:D207"/>
    <mergeCell ref="E206:E207"/>
    <mergeCell ref="F206:F207"/>
    <mergeCell ref="H206:H207"/>
    <mergeCell ref="D210:D211"/>
    <mergeCell ref="E210:E211"/>
    <mergeCell ref="F210:F211"/>
    <mergeCell ref="H210:H211"/>
    <mergeCell ref="I210:I211"/>
    <mergeCell ref="J210:J211"/>
    <mergeCell ref="I206:I207"/>
    <mergeCell ref="J206:J207"/>
    <mergeCell ref="D208:D209"/>
    <mergeCell ref="E208:E209"/>
    <mergeCell ref="F208:F209"/>
    <mergeCell ref="H208:H209"/>
    <mergeCell ref="I208:I209"/>
    <mergeCell ref="J208:J209"/>
    <mergeCell ref="J212:J213"/>
    <mergeCell ref="D214:D215"/>
    <mergeCell ref="E214:E215"/>
    <mergeCell ref="F214:F215"/>
    <mergeCell ref="H214:H215"/>
    <mergeCell ref="I214:I215"/>
    <mergeCell ref="J214:J215"/>
    <mergeCell ref="C212:C221"/>
    <mergeCell ref="D212:D213"/>
    <mergeCell ref="E212:E213"/>
    <mergeCell ref="F212:F213"/>
    <mergeCell ref="H212:H213"/>
    <mergeCell ref="I212:I213"/>
    <mergeCell ref="D216:D217"/>
    <mergeCell ref="E216:E217"/>
    <mergeCell ref="F216:F217"/>
    <mergeCell ref="H216:H217"/>
    <mergeCell ref="D220:D221"/>
    <mergeCell ref="E220:E221"/>
    <mergeCell ref="F220:F221"/>
    <mergeCell ref="H220:H221"/>
    <mergeCell ref="I220:I221"/>
    <mergeCell ref="J220:J221"/>
    <mergeCell ref="I216:I217"/>
    <mergeCell ref="J216:J217"/>
    <mergeCell ref="D218:D219"/>
    <mergeCell ref="E218:E219"/>
    <mergeCell ref="F218:F219"/>
    <mergeCell ref="H218:H219"/>
    <mergeCell ref="I218:I219"/>
    <mergeCell ref="J218:J219"/>
    <mergeCell ref="J222:J223"/>
    <mergeCell ref="D224:D225"/>
    <mergeCell ref="E224:E225"/>
    <mergeCell ref="F224:F225"/>
    <mergeCell ref="H224:H225"/>
    <mergeCell ref="I224:I225"/>
    <mergeCell ref="J224:J225"/>
    <mergeCell ref="C222:C231"/>
    <mergeCell ref="D222:D223"/>
    <mergeCell ref="E222:E223"/>
    <mergeCell ref="F222:F223"/>
    <mergeCell ref="H222:H223"/>
    <mergeCell ref="I222:I223"/>
    <mergeCell ref="D226:D227"/>
    <mergeCell ref="E226:E227"/>
    <mergeCell ref="F226:F227"/>
    <mergeCell ref="H226:H227"/>
    <mergeCell ref="D230:D231"/>
    <mergeCell ref="E230:E231"/>
    <mergeCell ref="F230:F231"/>
    <mergeCell ref="H230:H231"/>
    <mergeCell ref="I230:I231"/>
    <mergeCell ref="J230:J231"/>
    <mergeCell ref="I226:I227"/>
    <mergeCell ref="J226:J227"/>
    <mergeCell ref="D228:D229"/>
    <mergeCell ref="E228:E229"/>
    <mergeCell ref="F228:F229"/>
    <mergeCell ref="H228:H229"/>
    <mergeCell ref="I228:I229"/>
    <mergeCell ref="J228:J229"/>
    <mergeCell ref="J232:J233"/>
    <mergeCell ref="D234:D235"/>
    <mergeCell ref="E234:E235"/>
    <mergeCell ref="F234:F235"/>
    <mergeCell ref="H234:H235"/>
    <mergeCell ref="I234:I235"/>
    <mergeCell ref="J234:J235"/>
    <mergeCell ref="C232:C241"/>
    <mergeCell ref="D232:D233"/>
    <mergeCell ref="E232:E233"/>
    <mergeCell ref="F232:F233"/>
    <mergeCell ref="H232:H233"/>
    <mergeCell ref="I232:I233"/>
    <mergeCell ref="D236:D237"/>
    <mergeCell ref="E236:E237"/>
    <mergeCell ref="F236:F237"/>
    <mergeCell ref="H236:H237"/>
    <mergeCell ref="D240:D241"/>
    <mergeCell ref="E240:E241"/>
    <mergeCell ref="F240:F241"/>
    <mergeCell ref="H240:H241"/>
    <mergeCell ref="I240:I241"/>
    <mergeCell ref="J240:J241"/>
    <mergeCell ref="I236:I237"/>
    <mergeCell ref="J236:J237"/>
    <mergeCell ref="D238:D239"/>
    <mergeCell ref="E238:E239"/>
    <mergeCell ref="F238:F239"/>
    <mergeCell ref="H238:H239"/>
    <mergeCell ref="I238:I239"/>
    <mergeCell ref="J238:J239"/>
    <mergeCell ref="J242:J243"/>
    <mergeCell ref="D244:D245"/>
    <mergeCell ref="E244:E245"/>
    <mergeCell ref="F244:F245"/>
    <mergeCell ref="H244:H245"/>
    <mergeCell ref="I244:I245"/>
    <mergeCell ref="J244:J245"/>
    <mergeCell ref="C242:C251"/>
    <mergeCell ref="D242:D243"/>
    <mergeCell ref="E242:E243"/>
    <mergeCell ref="F242:F243"/>
    <mergeCell ref="H242:H243"/>
    <mergeCell ref="I242:I243"/>
    <mergeCell ref="D246:D247"/>
    <mergeCell ref="E246:E247"/>
    <mergeCell ref="F246:F247"/>
    <mergeCell ref="H246:H247"/>
    <mergeCell ref="D250:D251"/>
    <mergeCell ref="E250:E251"/>
    <mergeCell ref="F250:F251"/>
    <mergeCell ref="H250:H251"/>
    <mergeCell ref="I250:I251"/>
    <mergeCell ref="J250:J251"/>
    <mergeCell ref="I246:I247"/>
    <mergeCell ref="J246:J247"/>
    <mergeCell ref="D248:D249"/>
    <mergeCell ref="E248:E249"/>
    <mergeCell ref="F248:F249"/>
    <mergeCell ref="H248:H249"/>
    <mergeCell ref="I248:I249"/>
    <mergeCell ref="J248:J249"/>
    <mergeCell ref="I252:I253"/>
    <mergeCell ref="J252:J253"/>
    <mergeCell ref="D254:D255"/>
    <mergeCell ref="E254:E255"/>
    <mergeCell ref="F254:F255"/>
    <mergeCell ref="H254:H255"/>
    <mergeCell ref="I254:I255"/>
    <mergeCell ref="J254:J255"/>
    <mergeCell ref="B252:B321"/>
    <mergeCell ref="C252:C261"/>
    <mergeCell ref="D252:D253"/>
    <mergeCell ref="E252:E253"/>
    <mergeCell ref="F252:F253"/>
    <mergeCell ref="H252:H253"/>
    <mergeCell ref="D256:D257"/>
    <mergeCell ref="E256:E257"/>
    <mergeCell ref="F256:F257"/>
    <mergeCell ref="H256:H257"/>
    <mergeCell ref="D260:D261"/>
    <mergeCell ref="E260:E261"/>
    <mergeCell ref="F260:F261"/>
    <mergeCell ref="H260:H261"/>
    <mergeCell ref="I260:I261"/>
    <mergeCell ref="J260:J261"/>
    <mergeCell ref="I256:I257"/>
    <mergeCell ref="J256:J257"/>
    <mergeCell ref="D258:D259"/>
    <mergeCell ref="E258:E259"/>
    <mergeCell ref="F258:F259"/>
    <mergeCell ref="H258:H259"/>
    <mergeCell ref="I258:I259"/>
    <mergeCell ref="J258:J259"/>
    <mergeCell ref="J262:J263"/>
    <mergeCell ref="D264:D265"/>
    <mergeCell ref="E264:E265"/>
    <mergeCell ref="F264:F265"/>
    <mergeCell ref="H264:H265"/>
    <mergeCell ref="I264:I265"/>
    <mergeCell ref="J264:J265"/>
    <mergeCell ref="C262:C271"/>
    <mergeCell ref="D262:D263"/>
    <mergeCell ref="E262:E263"/>
    <mergeCell ref="F262:F263"/>
    <mergeCell ref="H262:H263"/>
    <mergeCell ref="I262:I263"/>
    <mergeCell ref="D266:D267"/>
    <mergeCell ref="E266:E267"/>
    <mergeCell ref="F266:F267"/>
    <mergeCell ref="H266:H267"/>
    <mergeCell ref="D270:D271"/>
    <mergeCell ref="E270:E271"/>
    <mergeCell ref="F270:F271"/>
    <mergeCell ref="H270:H271"/>
    <mergeCell ref="I270:I271"/>
    <mergeCell ref="J270:J271"/>
    <mergeCell ref="I266:I267"/>
    <mergeCell ref="J266:J267"/>
    <mergeCell ref="D268:D269"/>
    <mergeCell ref="E268:E269"/>
    <mergeCell ref="F268:F269"/>
    <mergeCell ref="H268:H269"/>
    <mergeCell ref="I268:I269"/>
    <mergeCell ref="J268:J269"/>
    <mergeCell ref="J272:J273"/>
    <mergeCell ref="D274:D275"/>
    <mergeCell ref="E274:E275"/>
    <mergeCell ref="F274:F275"/>
    <mergeCell ref="H274:H275"/>
    <mergeCell ref="I274:I275"/>
    <mergeCell ref="J274:J275"/>
    <mergeCell ref="C272:C281"/>
    <mergeCell ref="D272:D273"/>
    <mergeCell ref="E272:E273"/>
    <mergeCell ref="F272:F273"/>
    <mergeCell ref="H272:H273"/>
    <mergeCell ref="I272:I273"/>
    <mergeCell ref="D276:D277"/>
    <mergeCell ref="E276:E277"/>
    <mergeCell ref="F276:F277"/>
    <mergeCell ref="H276:H277"/>
    <mergeCell ref="D280:D281"/>
    <mergeCell ref="E280:E281"/>
    <mergeCell ref="F280:F281"/>
    <mergeCell ref="H280:H281"/>
    <mergeCell ref="I280:I281"/>
    <mergeCell ref="J280:J281"/>
    <mergeCell ref="I276:I277"/>
    <mergeCell ref="J276:J277"/>
    <mergeCell ref="D278:D279"/>
    <mergeCell ref="E278:E279"/>
    <mergeCell ref="F278:F279"/>
    <mergeCell ref="H278:H279"/>
    <mergeCell ref="I278:I279"/>
    <mergeCell ref="J278:J279"/>
    <mergeCell ref="J282:J283"/>
    <mergeCell ref="D284:D285"/>
    <mergeCell ref="E284:E285"/>
    <mergeCell ref="F284:F285"/>
    <mergeCell ref="H284:H285"/>
    <mergeCell ref="I284:I285"/>
    <mergeCell ref="J284:J285"/>
    <mergeCell ref="C282:C291"/>
    <mergeCell ref="D282:D283"/>
    <mergeCell ref="E282:E283"/>
    <mergeCell ref="F282:F283"/>
    <mergeCell ref="H282:H283"/>
    <mergeCell ref="I282:I283"/>
    <mergeCell ref="D286:D287"/>
    <mergeCell ref="E286:E287"/>
    <mergeCell ref="F286:F287"/>
    <mergeCell ref="H286:H287"/>
    <mergeCell ref="D290:D291"/>
    <mergeCell ref="E290:E291"/>
    <mergeCell ref="F290:F291"/>
    <mergeCell ref="H290:H291"/>
    <mergeCell ref="I290:I291"/>
    <mergeCell ref="J290:J291"/>
    <mergeCell ref="I286:I287"/>
    <mergeCell ref="J286:J287"/>
    <mergeCell ref="D288:D289"/>
    <mergeCell ref="E288:E289"/>
    <mergeCell ref="F288:F289"/>
    <mergeCell ref="H288:H289"/>
    <mergeCell ref="I288:I289"/>
    <mergeCell ref="J288:J289"/>
    <mergeCell ref="J292:J293"/>
    <mergeCell ref="D294:D295"/>
    <mergeCell ref="E294:E295"/>
    <mergeCell ref="F294:F295"/>
    <mergeCell ref="H294:H295"/>
    <mergeCell ref="I294:I295"/>
    <mergeCell ref="J294:J295"/>
    <mergeCell ref="C292:C301"/>
    <mergeCell ref="D292:D293"/>
    <mergeCell ref="E292:E293"/>
    <mergeCell ref="F292:F293"/>
    <mergeCell ref="H292:H293"/>
    <mergeCell ref="I292:I293"/>
    <mergeCell ref="D296:D297"/>
    <mergeCell ref="E296:E297"/>
    <mergeCell ref="F296:F297"/>
    <mergeCell ref="H296:H297"/>
    <mergeCell ref="D300:D301"/>
    <mergeCell ref="E300:E301"/>
    <mergeCell ref="F300:F301"/>
    <mergeCell ref="H300:H301"/>
    <mergeCell ref="I300:I301"/>
    <mergeCell ref="J300:J301"/>
    <mergeCell ref="I296:I297"/>
    <mergeCell ref="J296:J297"/>
    <mergeCell ref="D298:D299"/>
    <mergeCell ref="E298:E299"/>
    <mergeCell ref="F298:F299"/>
    <mergeCell ref="H298:H299"/>
    <mergeCell ref="I298:I299"/>
    <mergeCell ref="J298:J299"/>
    <mergeCell ref="J302:J303"/>
    <mergeCell ref="D304:D305"/>
    <mergeCell ref="E304:E305"/>
    <mergeCell ref="F304:F305"/>
    <mergeCell ref="H304:H305"/>
    <mergeCell ref="I304:I305"/>
    <mergeCell ref="J304:J305"/>
    <mergeCell ref="C302:C311"/>
    <mergeCell ref="D302:D303"/>
    <mergeCell ref="E302:E303"/>
    <mergeCell ref="F302:F303"/>
    <mergeCell ref="H302:H303"/>
    <mergeCell ref="I302:I303"/>
    <mergeCell ref="D306:D307"/>
    <mergeCell ref="E306:E307"/>
    <mergeCell ref="F306:F307"/>
    <mergeCell ref="H306:H307"/>
    <mergeCell ref="D310:D311"/>
    <mergeCell ref="E310:E311"/>
    <mergeCell ref="F310:F311"/>
    <mergeCell ref="H310:H311"/>
    <mergeCell ref="I310:I311"/>
    <mergeCell ref="J310:J311"/>
    <mergeCell ref="I306:I307"/>
    <mergeCell ref="J306:J307"/>
    <mergeCell ref="D308:D309"/>
    <mergeCell ref="E308:E309"/>
    <mergeCell ref="F308:F309"/>
    <mergeCell ref="H308:H309"/>
    <mergeCell ref="I308:I309"/>
    <mergeCell ref="J308:J309"/>
    <mergeCell ref="J312:J313"/>
    <mergeCell ref="D314:D315"/>
    <mergeCell ref="E314:E315"/>
    <mergeCell ref="F314:F315"/>
    <mergeCell ref="H314:H315"/>
    <mergeCell ref="I314:I315"/>
    <mergeCell ref="J314:J315"/>
    <mergeCell ref="C312:C321"/>
    <mergeCell ref="D312:D313"/>
    <mergeCell ref="E312:E313"/>
    <mergeCell ref="F312:F313"/>
    <mergeCell ref="H312:H313"/>
    <mergeCell ref="I312:I313"/>
    <mergeCell ref="D316:D317"/>
    <mergeCell ref="E316:E317"/>
    <mergeCell ref="F316:F317"/>
    <mergeCell ref="H316:H317"/>
    <mergeCell ref="D320:D321"/>
    <mergeCell ref="E320:E321"/>
    <mergeCell ref="F320:F321"/>
    <mergeCell ref="H320:H321"/>
    <mergeCell ref="I320:I321"/>
    <mergeCell ref="J320:J321"/>
    <mergeCell ref="I316:I317"/>
    <mergeCell ref="J316:J317"/>
    <mergeCell ref="D318:D319"/>
    <mergeCell ref="E318:E319"/>
    <mergeCell ref="F318:F319"/>
    <mergeCell ref="H318:H319"/>
    <mergeCell ref="I318:I319"/>
    <mergeCell ref="J318:J319"/>
  </mergeCells>
  <conditionalFormatting sqref="I1:I1048576">
    <cfRule type="colorScale" priority="4">
      <colorScale>
        <cfvo type="min"/>
        <cfvo type="percentile" val="50"/>
        <cfvo type="max"/>
        <color rgb="FFF8696B"/>
        <color rgb="FFFFEB84"/>
        <color rgb="FF63BE7B"/>
      </colorScale>
    </cfRule>
  </conditionalFormatting>
  <conditionalFormatting sqref="F1:F1048576">
    <cfRule type="colorScale" priority="5">
      <colorScale>
        <cfvo type="min"/>
        <cfvo type="percentile" val="50"/>
        <cfvo type="max"/>
        <color rgb="FFF8696B"/>
        <color rgb="FFFFEB84"/>
        <color rgb="FF63BE7B"/>
      </colorScale>
    </cfRule>
  </conditionalFormatting>
  <conditionalFormatting sqref="E112:E113">
    <cfRule type="colorScale" priority="3">
      <colorScale>
        <cfvo type="min"/>
        <cfvo type="percentile" val="50"/>
        <cfvo type="max"/>
        <color rgb="FFF8696B"/>
        <color rgb="FFFFEB84"/>
        <color rgb="FF63BE7B"/>
      </colorScale>
    </cfRule>
  </conditionalFormatting>
  <conditionalFormatting sqref="E120:E121">
    <cfRule type="colorScale" priority="2">
      <colorScale>
        <cfvo type="min"/>
        <cfvo type="percentile" val="50"/>
        <cfvo type="max"/>
        <color rgb="FFF8696B"/>
        <color rgb="FFFFEB84"/>
        <color rgb="FF63BE7B"/>
      </colorScale>
    </cfRule>
  </conditionalFormatting>
  <conditionalFormatting sqref="H180:H181">
    <cfRule type="colorScale" priority="1">
      <colorScale>
        <cfvo type="min"/>
        <cfvo type="percentile" val="50"/>
        <cfvo type="max"/>
        <color rgb="FFF8696B"/>
        <color rgb="FFFFEB84"/>
        <color rgb="FF63BE7B"/>
      </colorScale>
    </cfRule>
  </conditionalFormatting>
  <dataValidations count="2">
    <dataValidation type="list" allowBlank="1" showInputMessage="1" showErrorMessage="1" sqref="F1:F1048576" xr:uid="{2992A8B7-1BB9-4907-9988-B4AB6FBCF11A}">
      <formula1>"OUI, NON"</formula1>
    </dataValidation>
    <dataValidation type="list" allowBlank="1" showInputMessage="1" showErrorMessage="1" sqref="I2:I321 H180:H181" xr:uid="{0E3A91D6-C667-4A7F-9CDD-C19A6F52114A}">
      <formula1>"Faible, Moyenne, Elevée"</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FB96-9F9F-444A-82A1-E80F5F6D82FA}">
  <dimension ref="A1:K692"/>
  <sheetViews>
    <sheetView topLeftCell="F1" zoomScale="80" zoomScaleNormal="80" workbookViewId="0">
      <selection activeCell="I2" sqref="I2:I13"/>
    </sheetView>
  </sheetViews>
  <sheetFormatPr baseColWidth="10" defaultRowHeight="14.5"/>
  <cols>
    <col min="2" max="2" width="33.1796875" customWidth="1"/>
    <col min="3" max="3" width="50.7265625" customWidth="1"/>
    <col min="4" max="4" width="66.54296875" style="34" customWidth="1"/>
    <col min="5" max="5" width="65.36328125" customWidth="1"/>
    <col min="7" max="7" width="33" style="14" customWidth="1"/>
    <col min="8" max="8" width="56.36328125" customWidth="1"/>
    <col min="10" max="10" width="54.54296875" customWidth="1"/>
    <col min="11" max="11" width="65.26953125" customWidth="1"/>
  </cols>
  <sheetData>
    <row r="1" spans="1:11" s="37" customFormat="1" ht="15.5">
      <c r="A1" s="36" t="s">
        <v>0</v>
      </c>
      <c r="B1" s="30" t="s">
        <v>1</v>
      </c>
      <c r="C1" s="37" t="s">
        <v>8527</v>
      </c>
      <c r="D1" s="38" t="s">
        <v>9982</v>
      </c>
      <c r="E1" s="39" t="s">
        <v>4</v>
      </c>
      <c r="F1" s="40" t="s">
        <v>5</v>
      </c>
      <c r="G1" s="41" t="s">
        <v>6</v>
      </c>
      <c r="H1" s="36" t="s">
        <v>7</v>
      </c>
      <c r="I1" s="37" t="s">
        <v>8</v>
      </c>
      <c r="J1" s="37" t="s">
        <v>9</v>
      </c>
      <c r="K1" s="37" t="s">
        <v>10</v>
      </c>
    </row>
    <row r="2" spans="1:11" s="22" customFormat="1" ht="15.75" customHeight="1">
      <c r="A2" s="33"/>
      <c r="B2" s="49" t="s">
        <v>11254</v>
      </c>
      <c r="C2" s="82" t="s">
        <v>11255</v>
      </c>
      <c r="D2" s="82" t="s">
        <v>11256</v>
      </c>
      <c r="E2" s="84" t="s">
        <v>11257</v>
      </c>
      <c r="F2" s="78" t="s">
        <v>16</v>
      </c>
      <c r="G2" s="14" t="s">
        <v>11258</v>
      </c>
      <c r="H2" s="80" t="s">
        <v>11259</v>
      </c>
      <c r="I2" s="76" t="s">
        <v>19</v>
      </c>
      <c r="J2" s="76" t="s">
        <v>11260</v>
      </c>
      <c r="K2" t="s">
        <v>11261</v>
      </c>
    </row>
    <row r="3" spans="1:11" s="22" customFormat="1" ht="15.5">
      <c r="A3" s="33"/>
      <c r="B3" s="87"/>
      <c r="C3" s="86"/>
      <c r="D3" s="83"/>
      <c r="E3" s="85"/>
      <c r="F3" s="79"/>
      <c r="G3" s="14" t="s">
        <v>11262</v>
      </c>
      <c r="H3" s="81"/>
      <c r="I3" s="77"/>
      <c r="J3" s="77"/>
      <c r="K3" t="s">
        <v>11263</v>
      </c>
    </row>
    <row r="4" spans="1:11" s="22" customFormat="1" ht="15.5">
      <c r="A4" s="33"/>
      <c r="B4" s="87"/>
      <c r="C4" s="86"/>
      <c r="D4" s="82" t="s">
        <v>11264</v>
      </c>
      <c r="E4" s="84" t="s">
        <v>11265</v>
      </c>
      <c r="F4" s="45" t="s">
        <v>16</v>
      </c>
      <c r="G4" s="14" t="s">
        <v>11266</v>
      </c>
      <c r="H4" s="47" t="s">
        <v>11267</v>
      </c>
      <c r="I4" s="49" t="s">
        <v>19</v>
      </c>
      <c r="J4" s="49" t="s">
        <v>11268</v>
      </c>
      <c r="K4" t="s">
        <v>11269</v>
      </c>
    </row>
    <row r="5" spans="1:11" s="22" customFormat="1" ht="15.5">
      <c r="A5" s="33"/>
      <c r="B5" s="87"/>
      <c r="C5" s="86"/>
      <c r="D5" s="83"/>
      <c r="E5" s="85"/>
      <c r="F5" s="46"/>
      <c r="G5" s="14" t="s">
        <v>11270</v>
      </c>
      <c r="H5" s="48"/>
      <c r="I5" s="50"/>
      <c r="J5" s="50"/>
      <c r="K5" t="s">
        <v>11271</v>
      </c>
    </row>
    <row r="6" spans="1:11" s="22" customFormat="1" ht="15.5">
      <c r="A6" s="33"/>
      <c r="B6" s="87"/>
      <c r="C6" s="86"/>
      <c r="D6" s="82" t="s">
        <v>11272</v>
      </c>
      <c r="E6" s="84" t="s">
        <v>11273</v>
      </c>
      <c r="F6" s="45" t="s">
        <v>16</v>
      </c>
      <c r="G6" s="14" t="s">
        <v>11274</v>
      </c>
      <c r="H6" s="47" t="s">
        <v>11275</v>
      </c>
      <c r="I6" s="49" t="s">
        <v>19</v>
      </c>
      <c r="J6" s="49" t="s">
        <v>11276</v>
      </c>
      <c r="K6" t="s">
        <v>11277</v>
      </c>
    </row>
    <row r="7" spans="1:11" s="22" customFormat="1" ht="15.5">
      <c r="A7" s="33"/>
      <c r="B7" s="87"/>
      <c r="C7" s="86"/>
      <c r="D7" s="83"/>
      <c r="E7" s="85"/>
      <c r="F7" s="46"/>
      <c r="G7" s="14" t="s">
        <v>11278</v>
      </c>
      <c r="H7" s="48"/>
      <c r="I7" s="50"/>
      <c r="J7" s="50"/>
      <c r="K7" t="s">
        <v>11279</v>
      </c>
    </row>
    <row r="8" spans="1:11" s="22" customFormat="1" ht="15.5">
      <c r="A8" s="33"/>
      <c r="B8" s="87"/>
      <c r="C8" s="86"/>
      <c r="D8" s="82" t="s">
        <v>11280</v>
      </c>
      <c r="E8" s="84" t="s">
        <v>11281</v>
      </c>
      <c r="F8" s="45" t="s">
        <v>38</v>
      </c>
      <c r="G8" s="14" t="s">
        <v>11282</v>
      </c>
      <c r="H8" s="47" t="s">
        <v>11283</v>
      </c>
      <c r="I8" s="49" t="s">
        <v>33</v>
      </c>
      <c r="J8" s="49" t="s">
        <v>11284</v>
      </c>
      <c r="K8" t="s">
        <v>11285</v>
      </c>
    </row>
    <row r="9" spans="1:11" s="22" customFormat="1" ht="15.5">
      <c r="A9" s="33"/>
      <c r="B9" s="87"/>
      <c r="C9" s="86"/>
      <c r="D9" s="83"/>
      <c r="E9" s="85"/>
      <c r="F9" s="46"/>
      <c r="G9" s="14" t="s">
        <v>11286</v>
      </c>
      <c r="H9" s="48"/>
      <c r="I9" s="50"/>
      <c r="J9" s="50"/>
      <c r="K9" t="s">
        <v>11287</v>
      </c>
    </row>
    <row r="10" spans="1:11" s="22" customFormat="1" ht="15.5">
      <c r="A10" s="33"/>
      <c r="B10" s="87"/>
      <c r="C10" s="86"/>
      <c r="D10" s="82" t="s">
        <v>11288</v>
      </c>
      <c r="E10" s="84" t="s">
        <v>11289</v>
      </c>
      <c r="F10" s="45" t="s">
        <v>38</v>
      </c>
      <c r="G10" s="14" t="s">
        <v>8597</v>
      </c>
      <c r="H10" s="47" t="s">
        <v>11290</v>
      </c>
      <c r="I10" s="49" t="s">
        <v>19</v>
      </c>
      <c r="J10" s="49" t="s">
        <v>11291</v>
      </c>
      <c r="K10" t="s">
        <v>11292</v>
      </c>
    </row>
    <row r="11" spans="1:11" s="22" customFormat="1" ht="15.5">
      <c r="A11" s="33"/>
      <c r="B11" s="87"/>
      <c r="C11" s="83"/>
      <c r="D11" s="83"/>
      <c r="E11" s="85"/>
      <c r="F11" s="46"/>
      <c r="G11" s="14" t="s">
        <v>11293</v>
      </c>
      <c r="H11" s="48"/>
      <c r="I11" s="50"/>
      <c r="J11" s="50"/>
      <c r="K11" t="s">
        <v>11294</v>
      </c>
    </row>
    <row r="12" spans="1:11" s="22" customFormat="1" ht="15.75" customHeight="1">
      <c r="A12" s="33"/>
      <c r="B12" s="87"/>
      <c r="C12" s="82" t="s">
        <v>11295</v>
      </c>
      <c r="D12" s="82" t="s">
        <v>11296</v>
      </c>
      <c r="E12" s="84" t="s">
        <v>11297</v>
      </c>
      <c r="F12" s="45" t="s">
        <v>200</v>
      </c>
      <c r="G12" s="14" t="s">
        <v>11298</v>
      </c>
      <c r="H12" s="47" t="s">
        <v>11299</v>
      </c>
      <c r="I12" s="49" t="s">
        <v>41</v>
      </c>
      <c r="J12" s="49" t="s">
        <v>11300</v>
      </c>
      <c r="K12" t="s">
        <v>11301</v>
      </c>
    </row>
    <row r="13" spans="1:11" s="22" customFormat="1" ht="15.5">
      <c r="A13" s="33"/>
      <c r="B13" s="87"/>
      <c r="C13" s="86"/>
      <c r="D13" s="83"/>
      <c r="E13" s="85"/>
      <c r="F13" s="46"/>
      <c r="G13" s="14" t="s">
        <v>11302</v>
      </c>
      <c r="H13" s="48"/>
      <c r="I13" s="50"/>
      <c r="J13" s="50"/>
      <c r="K13" t="s">
        <v>11303</v>
      </c>
    </row>
    <row r="14" spans="1:11" s="22" customFormat="1" ht="15.5">
      <c r="A14" s="33"/>
      <c r="B14" s="87"/>
      <c r="C14" s="86"/>
      <c r="D14" s="82" t="s">
        <v>11304</v>
      </c>
      <c r="E14" s="84" t="s">
        <v>11305</v>
      </c>
      <c r="F14" s="51" t="s">
        <v>16</v>
      </c>
      <c r="G14" s="14" t="s">
        <v>11306</v>
      </c>
      <c r="H14" s="53" t="s">
        <v>11307</v>
      </c>
      <c r="I14" s="55" t="s">
        <v>41</v>
      </c>
      <c r="J14" s="55" t="s">
        <v>11308</v>
      </c>
      <c r="K14" t="s">
        <v>11309</v>
      </c>
    </row>
    <row r="15" spans="1:11" s="22" customFormat="1" ht="15.5">
      <c r="A15" s="33"/>
      <c r="B15" s="87"/>
      <c r="C15" s="86"/>
      <c r="D15" s="83"/>
      <c r="E15" s="85"/>
      <c r="F15" s="74"/>
      <c r="G15" s="14" t="s">
        <v>11270</v>
      </c>
      <c r="H15" s="75"/>
      <c r="I15" s="73"/>
      <c r="J15" s="73"/>
      <c r="K15" t="s">
        <v>11310</v>
      </c>
    </row>
    <row r="16" spans="1:11" s="22" customFormat="1" ht="15.5">
      <c r="A16" s="33"/>
      <c r="B16" s="87"/>
      <c r="C16" s="86"/>
      <c r="D16" s="82" t="s">
        <v>11311</v>
      </c>
      <c r="E16" s="84" t="s">
        <v>11312</v>
      </c>
      <c r="F16" s="74" t="s">
        <v>16</v>
      </c>
      <c r="G16" s="14" t="s">
        <v>11313</v>
      </c>
      <c r="H16" s="75" t="s">
        <v>11314</v>
      </c>
      <c r="I16" s="73" t="s">
        <v>41</v>
      </c>
      <c r="J16" s="73" t="s">
        <v>11315</v>
      </c>
      <c r="K16" t="s">
        <v>11316</v>
      </c>
    </row>
    <row r="17" spans="1:11" s="22" customFormat="1" ht="15.5">
      <c r="A17" s="33"/>
      <c r="B17" s="87"/>
      <c r="C17" s="86"/>
      <c r="D17" s="83"/>
      <c r="E17" s="85"/>
      <c r="F17" s="52"/>
      <c r="G17" s="14" t="s">
        <v>11317</v>
      </c>
      <c r="H17" s="54"/>
      <c r="I17" s="56"/>
      <c r="J17" s="56"/>
      <c r="K17" t="s">
        <v>11318</v>
      </c>
    </row>
    <row r="18" spans="1:11" s="22" customFormat="1" ht="15.5">
      <c r="A18" s="33"/>
      <c r="B18" s="87"/>
      <c r="C18" s="86"/>
      <c r="D18" s="82" t="s">
        <v>11319</v>
      </c>
      <c r="E18" s="84" t="s">
        <v>11320</v>
      </c>
      <c r="F18" s="51" t="s">
        <v>16</v>
      </c>
      <c r="G18" s="14" t="s">
        <v>11321</v>
      </c>
      <c r="H18" s="53" t="s">
        <v>11322</v>
      </c>
      <c r="I18" s="55" t="s">
        <v>41</v>
      </c>
      <c r="J18" s="55" t="s">
        <v>11323</v>
      </c>
      <c r="K18" t="s">
        <v>11324</v>
      </c>
    </row>
    <row r="19" spans="1:11" s="22" customFormat="1" ht="15.5">
      <c r="A19" s="33"/>
      <c r="B19" s="87"/>
      <c r="C19" s="86"/>
      <c r="D19" s="83"/>
      <c r="E19" s="85"/>
      <c r="F19" s="52"/>
      <c r="G19" s="14" t="s">
        <v>11325</v>
      </c>
      <c r="H19" s="54"/>
      <c r="I19" s="56"/>
      <c r="J19" s="56"/>
      <c r="K19" t="s">
        <v>11326</v>
      </c>
    </row>
    <row r="20" spans="1:11" s="22" customFormat="1" ht="15.5">
      <c r="A20" s="33"/>
      <c r="B20" s="87"/>
      <c r="C20" s="86"/>
      <c r="D20" s="82" t="s">
        <v>11327</v>
      </c>
      <c r="E20" s="84" t="s">
        <v>11328</v>
      </c>
      <c r="F20" s="51" t="s">
        <v>16</v>
      </c>
      <c r="G20" s="14" t="s">
        <v>11329</v>
      </c>
      <c r="H20" s="53" t="s">
        <v>11330</v>
      </c>
      <c r="I20" s="55" t="s">
        <v>19</v>
      </c>
      <c r="J20" s="55" t="s">
        <v>11331</v>
      </c>
      <c r="K20" t="s">
        <v>11332</v>
      </c>
    </row>
    <row r="21" spans="1:11" s="22" customFormat="1" ht="15.5">
      <c r="A21" s="33"/>
      <c r="B21" s="87"/>
      <c r="C21" s="83"/>
      <c r="D21" s="83"/>
      <c r="E21" s="85"/>
      <c r="F21" s="52"/>
      <c r="G21" s="14" t="s">
        <v>11333</v>
      </c>
      <c r="H21" s="54"/>
      <c r="I21" s="56"/>
      <c r="J21" s="56"/>
      <c r="K21" t="s">
        <v>11334</v>
      </c>
    </row>
    <row r="22" spans="1:11" s="22" customFormat="1" ht="15.75" customHeight="1">
      <c r="A22" s="33"/>
      <c r="B22" s="87"/>
      <c r="C22" s="82" t="s">
        <v>11335</v>
      </c>
      <c r="D22" s="82" t="s">
        <v>11336</v>
      </c>
      <c r="E22" s="84" t="s">
        <v>11337</v>
      </c>
      <c r="F22" s="51" t="s">
        <v>38</v>
      </c>
      <c r="G22" s="14" t="s">
        <v>11338</v>
      </c>
      <c r="H22" s="53" t="s">
        <v>11339</v>
      </c>
      <c r="I22" s="55" t="s">
        <v>19</v>
      </c>
      <c r="J22" s="55" t="s">
        <v>11340</v>
      </c>
      <c r="K22" t="s">
        <v>11341</v>
      </c>
    </row>
    <row r="23" spans="1:11" s="22" customFormat="1" ht="15.5">
      <c r="A23" s="33"/>
      <c r="B23" s="87"/>
      <c r="C23" s="86"/>
      <c r="D23" s="83"/>
      <c r="E23" s="85"/>
      <c r="F23" s="52"/>
      <c r="G23" s="14" t="s">
        <v>11342</v>
      </c>
      <c r="H23" s="54"/>
      <c r="I23" s="56"/>
      <c r="J23" s="56"/>
      <c r="K23" t="s">
        <v>11343</v>
      </c>
    </row>
    <row r="24" spans="1:11" s="22" customFormat="1" ht="15.5">
      <c r="A24" s="33"/>
      <c r="B24" s="87"/>
      <c r="C24" s="86"/>
      <c r="D24" s="82" t="s">
        <v>11344</v>
      </c>
      <c r="E24" s="84" t="s">
        <v>11345</v>
      </c>
      <c r="F24" s="45" t="s">
        <v>16</v>
      </c>
      <c r="G24" s="14" t="s">
        <v>11346</v>
      </c>
      <c r="H24" s="47" t="s">
        <v>11347</v>
      </c>
      <c r="I24" s="49" t="s">
        <v>19</v>
      </c>
      <c r="J24" s="49" t="s">
        <v>11348</v>
      </c>
      <c r="K24" t="s">
        <v>11349</v>
      </c>
    </row>
    <row r="25" spans="1:11" s="22" customFormat="1" ht="15.5">
      <c r="A25" s="33"/>
      <c r="B25" s="87"/>
      <c r="C25" s="86"/>
      <c r="D25" s="83"/>
      <c r="E25" s="85"/>
      <c r="F25" s="46"/>
      <c r="G25" s="14" t="s">
        <v>11350</v>
      </c>
      <c r="H25" s="48"/>
      <c r="I25" s="50"/>
      <c r="J25" s="50"/>
      <c r="K25" t="s">
        <v>11351</v>
      </c>
    </row>
    <row r="26" spans="1:11" s="22" customFormat="1" ht="15.5">
      <c r="A26" s="33"/>
      <c r="B26" s="87"/>
      <c r="C26" s="86"/>
      <c r="D26" s="82" t="s">
        <v>11352</v>
      </c>
      <c r="E26" s="84" t="s">
        <v>11353</v>
      </c>
      <c r="F26" s="45" t="s">
        <v>38</v>
      </c>
      <c r="G26" s="14" t="s">
        <v>11354</v>
      </c>
      <c r="H26" s="47" t="s">
        <v>11355</v>
      </c>
      <c r="I26" s="49" t="s">
        <v>19</v>
      </c>
      <c r="J26" s="49" t="s">
        <v>11356</v>
      </c>
      <c r="K26" t="s">
        <v>11357</v>
      </c>
    </row>
    <row r="27" spans="1:11" s="22" customFormat="1" ht="15.5">
      <c r="A27" s="33"/>
      <c r="B27" s="87"/>
      <c r="C27" s="86"/>
      <c r="D27" s="83"/>
      <c r="E27" s="85"/>
      <c r="F27" s="46"/>
      <c r="G27" s="14" t="s">
        <v>11358</v>
      </c>
      <c r="H27" s="48"/>
      <c r="I27" s="50"/>
      <c r="J27" s="50"/>
      <c r="K27" t="s">
        <v>11359</v>
      </c>
    </row>
    <row r="28" spans="1:11" s="22" customFormat="1" ht="15.5">
      <c r="A28" s="33"/>
      <c r="B28" s="87"/>
      <c r="C28" s="86"/>
      <c r="D28" s="82" t="s">
        <v>11360</v>
      </c>
      <c r="E28" s="84" t="s">
        <v>11361</v>
      </c>
      <c r="F28" s="45" t="s">
        <v>16</v>
      </c>
      <c r="G28" s="14" t="s">
        <v>11362</v>
      </c>
      <c r="H28" s="47" t="s">
        <v>11363</v>
      </c>
      <c r="I28" s="49" t="s">
        <v>41</v>
      </c>
      <c r="J28" s="49" t="s">
        <v>11364</v>
      </c>
      <c r="K28" t="s">
        <v>11365</v>
      </c>
    </row>
    <row r="29" spans="1:11" s="22" customFormat="1" ht="15.5">
      <c r="A29" s="33"/>
      <c r="B29" s="87"/>
      <c r="C29" s="86"/>
      <c r="D29" s="83"/>
      <c r="E29" s="85"/>
      <c r="F29" s="46"/>
      <c r="G29" s="14" t="s">
        <v>8569</v>
      </c>
      <c r="H29" s="48"/>
      <c r="I29" s="50"/>
      <c r="J29" s="50"/>
      <c r="K29" t="s">
        <v>11366</v>
      </c>
    </row>
    <row r="30" spans="1:11" s="22" customFormat="1" ht="15.5">
      <c r="A30" s="33"/>
      <c r="B30" s="87"/>
      <c r="C30" s="86"/>
      <c r="D30" s="82" t="s">
        <v>11367</v>
      </c>
      <c r="E30" s="84" t="s">
        <v>11368</v>
      </c>
      <c r="F30" s="45" t="s">
        <v>16</v>
      </c>
      <c r="G30" s="14" t="s">
        <v>11369</v>
      </c>
      <c r="H30" s="47" t="s">
        <v>11370</v>
      </c>
      <c r="I30" s="49" t="s">
        <v>19</v>
      </c>
      <c r="J30" s="49" t="s">
        <v>11371</v>
      </c>
      <c r="K30" t="s">
        <v>11372</v>
      </c>
    </row>
    <row r="31" spans="1:11" s="22" customFormat="1" ht="15.5">
      <c r="A31" s="33"/>
      <c r="B31" s="87"/>
      <c r="C31" s="83"/>
      <c r="D31" s="83"/>
      <c r="E31" s="85"/>
      <c r="F31" s="46"/>
      <c r="G31" s="14" t="s">
        <v>11373</v>
      </c>
      <c r="H31" s="48"/>
      <c r="I31" s="50"/>
      <c r="J31" s="50"/>
      <c r="K31" t="s">
        <v>11374</v>
      </c>
    </row>
    <row r="32" spans="1:11" s="22" customFormat="1" ht="15.75" customHeight="1">
      <c r="A32" s="33"/>
      <c r="B32" s="87"/>
      <c r="C32" s="82" t="s">
        <v>11375</v>
      </c>
      <c r="D32" s="82" t="s">
        <v>11376</v>
      </c>
      <c r="E32" s="84" t="s">
        <v>11377</v>
      </c>
      <c r="F32" s="45" t="s">
        <v>16</v>
      </c>
      <c r="G32" s="14" t="s">
        <v>11378</v>
      </c>
      <c r="H32" s="47" t="s">
        <v>11379</v>
      </c>
      <c r="I32" s="49" t="s">
        <v>19</v>
      </c>
      <c r="J32" s="49" t="s">
        <v>11380</v>
      </c>
      <c r="K32" t="s">
        <v>11381</v>
      </c>
    </row>
    <row r="33" spans="1:11" s="22" customFormat="1" ht="15.5">
      <c r="A33" s="33"/>
      <c r="B33" s="87"/>
      <c r="C33" s="86"/>
      <c r="D33" s="83"/>
      <c r="E33" s="85"/>
      <c r="F33" s="46"/>
      <c r="G33" s="14" t="s">
        <v>11382</v>
      </c>
      <c r="H33" s="48"/>
      <c r="I33" s="50"/>
      <c r="J33" s="50"/>
      <c r="K33" t="s">
        <v>11383</v>
      </c>
    </row>
    <row r="34" spans="1:11" s="22" customFormat="1" ht="15.5">
      <c r="A34" s="33"/>
      <c r="B34" s="87"/>
      <c r="C34" s="86"/>
      <c r="D34" s="82" t="s">
        <v>11384</v>
      </c>
      <c r="E34" s="84" t="s">
        <v>11385</v>
      </c>
      <c r="F34" s="45" t="s">
        <v>16</v>
      </c>
      <c r="G34" s="14" t="s">
        <v>11386</v>
      </c>
      <c r="H34" s="47" t="s">
        <v>11387</v>
      </c>
      <c r="I34" s="49" t="s">
        <v>41</v>
      </c>
      <c r="J34" s="49" t="s">
        <v>11388</v>
      </c>
      <c r="K34" t="s">
        <v>11389</v>
      </c>
    </row>
    <row r="35" spans="1:11" s="22" customFormat="1" ht="15.5">
      <c r="A35" s="33"/>
      <c r="B35" s="87"/>
      <c r="C35" s="86"/>
      <c r="D35" s="83"/>
      <c r="E35" s="85"/>
      <c r="F35" s="46"/>
      <c r="G35" s="14" t="s">
        <v>11390</v>
      </c>
      <c r="H35" s="48"/>
      <c r="I35" s="50"/>
      <c r="J35" s="50"/>
      <c r="K35" t="s">
        <v>11391</v>
      </c>
    </row>
    <row r="36" spans="1:11" s="22" customFormat="1" ht="15.5">
      <c r="A36" s="33"/>
      <c r="B36" s="87"/>
      <c r="C36" s="86"/>
      <c r="D36" s="82" t="s">
        <v>11392</v>
      </c>
      <c r="E36" s="84" t="s">
        <v>11393</v>
      </c>
      <c r="F36" s="45" t="s">
        <v>16</v>
      </c>
      <c r="G36" s="14" t="s">
        <v>11394</v>
      </c>
      <c r="H36" s="47" t="s">
        <v>11395</v>
      </c>
      <c r="I36" s="49" t="s">
        <v>19</v>
      </c>
      <c r="J36" s="49" t="s">
        <v>11396</v>
      </c>
      <c r="K36" t="s">
        <v>11397</v>
      </c>
    </row>
    <row r="37" spans="1:11" s="22" customFormat="1" ht="15.5">
      <c r="A37" s="33"/>
      <c r="B37" s="87"/>
      <c r="C37" s="86"/>
      <c r="D37" s="83"/>
      <c r="E37" s="85"/>
      <c r="F37" s="46"/>
      <c r="G37" s="14" t="s">
        <v>11398</v>
      </c>
      <c r="H37" s="48"/>
      <c r="I37" s="50"/>
      <c r="J37" s="50"/>
      <c r="K37" t="s">
        <v>11399</v>
      </c>
    </row>
    <row r="38" spans="1:11" s="22" customFormat="1" ht="15.5">
      <c r="A38" s="33"/>
      <c r="B38" s="87"/>
      <c r="C38" s="86"/>
      <c r="D38" s="82" t="s">
        <v>11400</v>
      </c>
      <c r="E38" s="84" t="s">
        <v>11401</v>
      </c>
      <c r="F38" s="45" t="s">
        <v>16</v>
      </c>
      <c r="G38" s="14" t="s">
        <v>11402</v>
      </c>
      <c r="H38" s="47" t="s">
        <v>11403</v>
      </c>
      <c r="I38" s="49" t="s">
        <v>41</v>
      </c>
      <c r="J38" s="49" t="s">
        <v>11404</v>
      </c>
      <c r="K38" t="s">
        <v>11405</v>
      </c>
    </row>
    <row r="39" spans="1:11" s="22" customFormat="1" ht="15.5">
      <c r="A39" s="33"/>
      <c r="B39" s="87"/>
      <c r="C39" s="86"/>
      <c r="D39" s="83"/>
      <c r="E39" s="85"/>
      <c r="F39" s="46"/>
      <c r="G39" s="14" t="s">
        <v>9321</v>
      </c>
      <c r="H39" s="48"/>
      <c r="I39" s="50"/>
      <c r="J39" s="50"/>
      <c r="K39" t="s">
        <v>11406</v>
      </c>
    </row>
    <row r="40" spans="1:11" s="22" customFormat="1" ht="15.5">
      <c r="A40" s="33"/>
      <c r="B40" s="87"/>
      <c r="C40" s="86"/>
      <c r="D40" s="82" t="s">
        <v>11407</v>
      </c>
      <c r="E40" s="84" t="s">
        <v>11408</v>
      </c>
      <c r="F40" s="45" t="s">
        <v>16</v>
      </c>
      <c r="G40" s="14" t="s">
        <v>11409</v>
      </c>
      <c r="H40" s="47" t="s">
        <v>11410</v>
      </c>
      <c r="I40" s="49" t="s">
        <v>33</v>
      </c>
      <c r="J40" s="49" t="s">
        <v>11411</v>
      </c>
      <c r="K40" t="s">
        <v>11412</v>
      </c>
    </row>
    <row r="41" spans="1:11" s="22" customFormat="1" ht="15.5">
      <c r="A41" s="33"/>
      <c r="B41" s="87"/>
      <c r="C41" s="83"/>
      <c r="D41" s="83"/>
      <c r="E41" s="85"/>
      <c r="F41" s="46"/>
      <c r="G41" s="14" t="s">
        <v>11413</v>
      </c>
      <c r="H41" s="48"/>
      <c r="I41" s="50"/>
      <c r="J41" s="50"/>
      <c r="K41" t="s">
        <v>11414</v>
      </c>
    </row>
    <row r="42" spans="1:11" s="22" customFormat="1" ht="15.75" customHeight="1">
      <c r="A42" s="33"/>
      <c r="B42" s="87"/>
      <c r="C42" s="82" t="s">
        <v>11415</v>
      </c>
      <c r="D42" s="82" t="s">
        <v>11416</v>
      </c>
      <c r="E42" s="84" t="s">
        <v>11417</v>
      </c>
      <c r="F42" s="45" t="s">
        <v>38</v>
      </c>
      <c r="G42" s="14" t="s">
        <v>11418</v>
      </c>
      <c r="H42" s="47" t="s">
        <v>11419</v>
      </c>
      <c r="I42" s="49" t="s">
        <v>19</v>
      </c>
      <c r="J42" s="49" t="s">
        <v>11420</v>
      </c>
      <c r="K42" t="s">
        <v>11421</v>
      </c>
    </row>
    <row r="43" spans="1:11" s="22" customFormat="1" ht="15.5">
      <c r="A43" s="33"/>
      <c r="B43" s="87"/>
      <c r="C43" s="86"/>
      <c r="D43" s="83"/>
      <c r="E43" s="85"/>
      <c r="F43" s="46"/>
      <c r="G43" s="14" t="s">
        <v>11422</v>
      </c>
      <c r="H43" s="48"/>
      <c r="I43" s="50"/>
      <c r="J43" s="50"/>
      <c r="K43" t="s">
        <v>11423</v>
      </c>
    </row>
    <row r="44" spans="1:11" s="22" customFormat="1" ht="15.5">
      <c r="A44" s="33"/>
      <c r="B44" s="87"/>
      <c r="C44" s="86"/>
      <c r="D44" s="82" t="s">
        <v>11424</v>
      </c>
      <c r="E44" s="84" t="s">
        <v>11425</v>
      </c>
      <c r="F44" s="45" t="s">
        <v>38</v>
      </c>
      <c r="G44" s="14" t="s">
        <v>9791</v>
      </c>
      <c r="H44" s="47" t="s">
        <v>11426</v>
      </c>
      <c r="I44" s="49" t="s">
        <v>41</v>
      </c>
      <c r="J44" s="49" t="s">
        <v>11427</v>
      </c>
      <c r="K44" t="s">
        <v>11428</v>
      </c>
    </row>
    <row r="45" spans="1:11" s="22" customFormat="1" ht="15.5">
      <c r="A45" s="33"/>
      <c r="B45" s="87"/>
      <c r="C45" s="86"/>
      <c r="D45" s="83"/>
      <c r="E45" s="85"/>
      <c r="F45" s="46"/>
      <c r="G45" s="14" t="s">
        <v>9972</v>
      </c>
      <c r="H45" s="48"/>
      <c r="I45" s="50"/>
      <c r="J45" s="50"/>
      <c r="K45" t="s">
        <v>11429</v>
      </c>
    </row>
    <row r="46" spans="1:11" s="22" customFormat="1" ht="15.5">
      <c r="A46" s="33"/>
      <c r="B46" s="87"/>
      <c r="C46" s="86"/>
      <c r="D46" s="82" t="s">
        <v>11430</v>
      </c>
      <c r="E46" s="84" t="s">
        <v>11431</v>
      </c>
      <c r="F46" s="51" t="s">
        <v>16</v>
      </c>
      <c r="G46" s="14" t="s">
        <v>11432</v>
      </c>
      <c r="H46" s="53" t="s">
        <v>11433</v>
      </c>
      <c r="I46" s="55" t="s">
        <v>41</v>
      </c>
      <c r="J46" s="55" t="s">
        <v>11434</v>
      </c>
      <c r="K46" t="s">
        <v>11435</v>
      </c>
    </row>
    <row r="47" spans="1:11" s="22" customFormat="1" ht="15.5">
      <c r="A47" s="33"/>
      <c r="B47" s="87"/>
      <c r="C47" s="86"/>
      <c r="D47" s="83"/>
      <c r="E47" s="85"/>
      <c r="F47" s="52"/>
      <c r="G47" s="14" t="s">
        <v>11436</v>
      </c>
      <c r="H47" s="54"/>
      <c r="I47" s="56"/>
      <c r="J47" s="56"/>
      <c r="K47" t="s">
        <v>11437</v>
      </c>
    </row>
    <row r="48" spans="1:11" s="22" customFormat="1" ht="15.5">
      <c r="A48" s="33"/>
      <c r="B48" s="87"/>
      <c r="C48" s="86"/>
      <c r="D48" s="82" t="s">
        <v>11438</v>
      </c>
      <c r="E48" s="84" t="s">
        <v>11439</v>
      </c>
      <c r="F48" s="51" t="s">
        <v>16</v>
      </c>
      <c r="G48" s="14" t="s">
        <v>11440</v>
      </c>
      <c r="H48" s="53" t="s">
        <v>11441</v>
      </c>
      <c r="I48" s="55" t="s">
        <v>19</v>
      </c>
      <c r="J48" s="55" t="s">
        <v>11442</v>
      </c>
      <c r="K48" t="s">
        <v>11443</v>
      </c>
    </row>
    <row r="49" spans="1:11" s="22" customFormat="1" ht="15.5">
      <c r="A49" s="33"/>
      <c r="B49" s="87"/>
      <c r="C49" s="86"/>
      <c r="D49" s="83"/>
      <c r="E49" s="85"/>
      <c r="F49" s="52"/>
      <c r="G49" s="14" t="s">
        <v>11444</v>
      </c>
      <c r="H49" s="54"/>
      <c r="I49" s="56"/>
      <c r="J49" s="56"/>
      <c r="K49" t="s">
        <v>11445</v>
      </c>
    </row>
    <row r="50" spans="1:11" s="22" customFormat="1" ht="15.5" customHeight="1">
      <c r="A50" s="33"/>
      <c r="B50" s="87"/>
      <c r="C50" s="86"/>
      <c r="D50" s="82" t="s">
        <v>11446</v>
      </c>
      <c r="E50" s="84" t="s">
        <v>11447</v>
      </c>
      <c r="F50" s="45" t="s">
        <v>16</v>
      </c>
      <c r="G50" s="14" t="s">
        <v>11448</v>
      </c>
      <c r="H50" s="53" t="s">
        <v>11449</v>
      </c>
      <c r="I50" s="49" t="s">
        <v>19</v>
      </c>
      <c r="J50" s="55" t="s">
        <v>11450</v>
      </c>
      <c r="K50" t="s">
        <v>11451</v>
      </c>
    </row>
    <row r="51" spans="1:11" s="22" customFormat="1" ht="15.5">
      <c r="A51" s="33"/>
      <c r="B51" s="87"/>
      <c r="C51" s="83"/>
      <c r="D51" s="83"/>
      <c r="E51" s="85"/>
      <c r="F51" s="46"/>
      <c r="G51" s="14" t="s">
        <v>11452</v>
      </c>
      <c r="H51" s="54"/>
      <c r="I51" s="50"/>
      <c r="J51" s="56"/>
      <c r="K51" t="s">
        <v>11453</v>
      </c>
    </row>
    <row r="52" spans="1:11" s="22" customFormat="1" ht="15.75" customHeight="1">
      <c r="A52" s="33"/>
      <c r="B52" s="87"/>
      <c r="C52" s="82" t="s">
        <v>11454</v>
      </c>
      <c r="D52" s="82" t="s">
        <v>11455</v>
      </c>
      <c r="E52" s="84" t="s">
        <v>11456</v>
      </c>
      <c r="F52" s="78" t="s">
        <v>16</v>
      </c>
      <c r="G52" s="14" t="s">
        <v>11457</v>
      </c>
      <c r="H52" s="47" t="s">
        <v>11458</v>
      </c>
      <c r="I52" s="76" t="s">
        <v>41</v>
      </c>
      <c r="J52" s="49" t="s">
        <v>11459</v>
      </c>
      <c r="K52" t="s">
        <v>11460</v>
      </c>
    </row>
    <row r="53" spans="1:11" s="22" customFormat="1" ht="15.5">
      <c r="A53" s="33"/>
      <c r="B53" s="87"/>
      <c r="C53" s="86"/>
      <c r="D53" s="83"/>
      <c r="E53" s="85"/>
      <c r="F53" s="79"/>
      <c r="G53" s="14" t="s">
        <v>10574</v>
      </c>
      <c r="H53" s="48"/>
      <c r="I53" s="77"/>
      <c r="J53" s="50"/>
      <c r="K53" t="s">
        <v>11461</v>
      </c>
    </row>
    <row r="54" spans="1:11" s="22" customFormat="1" ht="15.5">
      <c r="A54" s="33"/>
      <c r="B54" s="87"/>
      <c r="C54" s="86"/>
      <c r="D54" s="82" t="s">
        <v>11462</v>
      </c>
      <c r="E54" s="84" t="s">
        <v>11463</v>
      </c>
      <c r="F54" s="45" t="s">
        <v>16</v>
      </c>
      <c r="G54" s="14" t="s">
        <v>11464</v>
      </c>
      <c r="H54" s="47" t="s">
        <v>11465</v>
      </c>
      <c r="I54" s="49" t="s">
        <v>41</v>
      </c>
      <c r="J54" s="49" t="s">
        <v>11466</v>
      </c>
      <c r="K54" t="s">
        <v>11467</v>
      </c>
    </row>
    <row r="55" spans="1:11" s="22" customFormat="1" ht="15.5">
      <c r="A55" s="33"/>
      <c r="B55" s="87"/>
      <c r="C55" s="86"/>
      <c r="D55" s="83"/>
      <c r="E55" s="85"/>
      <c r="F55" s="46"/>
      <c r="G55" s="14" t="s">
        <v>11468</v>
      </c>
      <c r="H55" s="48"/>
      <c r="I55" s="50"/>
      <c r="J55" s="50"/>
      <c r="K55" t="s">
        <v>11469</v>
      </c>
    </row>
    <row r="56" spans="1:11" s="22" customFormat="1" ht="15.5">
      <c r="A56" s="33"/>
      <c r="B56" s="87"/>
      <c r="C56" s="86"/>
      <c r="D56" s="82" t="s">
        <v>11470</v>
      </c>
      <c r="E56" s="84" t="s">
        <v>11471</v>
      </c>
      <c r="F56" s="45" t="s">
        <v>38</v>
      </c>
      <c r="G56" s="14" t="s">
        <v>11472</v>
      </c>
      <c r="H56" s="47" t="s">
        <v>11473</v>
      </c>
      <c r="I56" s="49" t="s">
        <v>19</v>
      </c>
      <c r="J56" s="49" t="s">
        <v>11474</v>
      </c>
      <c r="K56" t="s">
        <v>11475</v>
      </c>
    </row>
    <row r="57" spans="1:11" s="22" customFormat="1" ht="15.5">
      <c r="A57" s="33"/>
      <c r="B57" s="87"/>
      <c r="C57" s="86"/>
      <c r="D57" s="83"/>
      <c r="E57" s="85"/>
      <c r="F57" s="46"/>
      <c r="G57" s="14" t="s">
        <v>11476</v>
      </c>
      <c r="H57" s="48"/>
      <c r="I57" s="50"/>
      <c r="J57" s="50"/>
      <c r="K57" t="s">
        <v>11477</v>
      </c>
    </row>
    <row r="58" spans="1:11" s="22" customFormat="1" ht="15.5">
      <c r="A58" s="33"/>
      <c r="B58" s="87"/>
      <c r="C58" s="86"/>
      <c r="D58" s="82" t="s">
        <v>11478</v>
      </c>
      <c r="E58" s="84" t="s">
        <v>11479</v>
      </c>
      <c r="F58" s="45" t="s">
        <v>38</v>
      </c>
      <c r="G58" s="14" t="s">
        <v>11480</v>
      </c>
      <c r="H58" s="47" t="s">
        <v>11481</v>
      </c>
      <c r="I58" s="49" t="s">
        <v>19</v>
      </c>
      <c r="J58" s="49" t="s">
        <v>11482</v>
      </c>
      <c r="K58" t="s">
        <v>11483</v>
      </c>
    </row>
    <row r="59" spans="1:11" s="22" customFormat="1" ht="15.5">
      <c r="A59" s="33"/>
      <c r="B59" s="87"/>
      <c r="C59" s="86"/>
      <c r="D59" s="83"/>
      <c r="E59" s="85"/>
      <c r="F59" s="46"/>
      <c r="G59" s="14" t="s">
        <v>9948</v>
      </c>
      <c r="H59" s="48"/>
      <c r="I59" s="50"/>
      <c r="J59" s="50"/>
      <c r="K59" t="s">
        <v>11484</v>
      </c>
    </row>
    <row r="60" spans="1:11" s="22" customFormat="1" ht="15.5">
      <c r="A60" s="33"/>
      <c r="B60" s="87"/>
      <c r="C60" s="86"/>
      <c r="D60" s="82" t="s">
        <v>11485</v>
      </c>
      <c r="E60" s="84" t="s">
        <v>11486</v>
      </c>
      <c r="F60" s="45" t="s">
        <v>38</v>
      </c>
      <c r="G60" s="14" t="s">
        <v>8597</v>
      </c>
      <c r="H60" s="47" t="s">
        <v>11487</v>
      </c>
      <c r="I60" s="49" t="s">
        <v>41</v>
      </c>
      <c r="J60" s="49" t="s">
        <v>11488</v>
      </c>
      <c r="K60" t="s">
        <v>11489</v>
      </c>
    </row>
    <row r="61" spans="1:11" s="22" customFormat="1" ht="15.5">
      <c r="A61" s="33"/>
      <c r="B61" s="87"/>
      <c r="C61" s="83"/>
      <c r="D61" s="83"/>
      <c r="E61" s="85"/>
      <c r="F61" s="46"/>
      <c r="G61" s="14" t="s">
        <v>11490</v>
      </c>
      <c r="H61" s="48"/>
      <c r="I61" s="50"/>
      <c r="J61" s="50"/>
      <c r="K61" t="s">
        <v>11491</v>
      </c>
    </row>
    <row r="62" spans="1:11" s="22" customFormat="1" ht="15.75" customHeight="1">
      <c r="A62" s="33"/>
      <c r="B62" s="87"/>
      <c r="C62" s="82" t="s">
        <v>11492</v>
      </c>
      <c r="D62" s="82" t="s">
        <v>11493</v>
      </c>
      <c r="E62" s="84" t="s">
        <v>11494</v>
      </c>
      <c r="F62" s="45" t="s">
        <v>16</v>
      </c>
      <c r="G62" s="14" t="s">
        <v>11495</v>
      </c>
      <c r="H62" s="47" t="s">
        <v>11496</v>
      </c>
      <c r="I62" s="49" t="s">
        <v>41</v>
      </c>
      <c r="J62" s="49" t="s">
        <v>11497</v>
      </c>
      <c r="K62" t="s">
        <v>11498</v>
      </c>
    </row>
    <row r="63" spans="1:11" s="22" customFormat="1" ht="15.5">
      <c r="A63" s="33"/>
      <c r="B63" s="87"/>
      <c r="C63" s="86"/>
      <c r="D63" s="83"/>
      <c r="E63" s="85"/>
      <c r="F63" s="46"/>
      <c r="G63" s="14" t="s">
        <v>8586</v>
      </c>
      <c r="H63" s="48"/>
      <c r="I63" s="50"/>
      <c r="J63" s="50"/>
      <c r="K63" t="s">
        <v>11499</v>
      </c>
    </row>
    <row r="64" spans="1:11" s="22" customFormat="1" ht="15.5">
      <c r="A64" s="33"/>
      <c r="B64" s="87"/>
      <c r="C64" s="86"/>
      <c r="D64" s="82" t="s">
        <v>11500</v>
      </c>
      <c r="E64" s="84" t="s">
        <v>11501</v>
      </c>
      <c r="F64" s="51" t="s">
        <v>16</v>
      </c>
      <c r="G64" s="14" t="s">
        <v>10459</v>
      </c>
      <c r="H64" s="53" t="s">
        <v>11502</v>
      </c>
      <c r="I64" s="55" t="s">
        <v>19</v>
      </c>
      <c r="J64" s="55" t="s">
        <v>11503</v>
      </c>
      <c r="K64" t="s">
        <v>11504</v>
      </c>
    </row>
    <row r="65" spans="1:11" s="22" customFormat="1" ht="15.5">
      <c r="A65" s="33"/>
      <c r="B65" s="87"/>
      <c r="C65" s="86"/>
      <c r="D65" s="83"/>
      <c r="E65" s="85"/>
      <c r="F65" s="74"/>
      <c r="G65" s="14" t="s">
        <v>11505</v>
      </c>
      <c r="H65" s="75"/>
      <c r="I65" s="73"/>
      <c r="J65" s="73"/>
      <c r="K65" t="s">
        <v>11506</v>
      </c>
    </row>
    <row r="66" spans="1:11" s="22" customFormat="1" ht="15.5">
      <c r="A66" s="33"/>
      <c r="B66" s="87"/>
      <c r="C66" s="86"/>
      <c r="D66" s="82" t="s">
        <v>11507</v>
      </c>
      <c r="E66" s="84" t="s">
        <v>11508</v>
      </c>
      <c r="F66" s="74" t="s">
        <v>38</v>
      </c>
      <c r="G66" s="14" t="s">
        <v>10529</v>
      </c>
      <c r="H66" s="75" t="s">
        <v>11509</v>
      </c>
      <c r="I66" s="73" t="s">
        <v>19</v>
      </c>
      <c r="J66" s="73" t="s">
        <v>11510</v>
      </c>
      <c r="K66" t="s">
        <v>11511</v>
      </c>
    </row>
    <row r="67" spans="1:11" s="22" customFormat="1" ht="15.5">
      <c r="A67" s="33"/>
      <c r="B67" s="87"/>
      <c r="C67" s="86"/>
      <c r="D67" s="83"/>
      <c r="E67" s="85"/>
      <c r="F67" s="52"/>
      <c r="G67" s="14" t="s">
        <v>11512</v>
      </c>
      <c r="H67" s="54"/>
      <c r="I67" s="56"/>
      <c r="J67" s="56"/>
      <c r="K67" t="s">
        <v>11513</v>
      </c>
    </row>
    <row r="68" spans="1:11" s="22" customFormat="1" ht="15.5">
      <c r="A68" s="33"/>
      <c r="B68" s="87"/>
      <c r="C68" s="86"/>
      <c r="D68" s="82" t="s">
        <v>11514</v>
      </c>
      <c r="E68" s="84" t="s">
        <v>11515</v>
      </c>
      <c r="F68" s="51" t="s">
        <v>16</v>
      </c>
      <c r="G68" s="14" t="s">
        <v>11516</v>
      </c>
      <c r="H68" s="53" t="s">
        <v>11517</v>
      </c>
      <c r="I68" s="55" t="s">
        <v>19</v>
      </c>
      <c r="J68" s="55" t="s">
        <v>11518</v>
      </c>
      <c r="K68" t="s">
        <v>11519</v>
      </c>
    </row>
    <row r="69" spans="1:11" s="22" customFormat="1" ht="15.5">
      <c r="A69" s="33"/>
      <c r="B69" s="87"/>
      <c r="C69" s="86"/>
      <c r="D69" s="83"/>
      <c r="E69" s="85"/>
      <c r="F69" s="52"/>
      <c r="G69" s="14" t="s">
        <v>11520</v>
      </c>
      <c r="H69" s="54"/>
      <c r="I69" s="56"/>
      <c r="J69" s="56"/>
      <c r="K69" t="s">
        <v>11521</v>
      </c>
    </row>
    <row r="70" spans="1:11" s="22" customFormat="1" ht="15.5">
      <c r="A70" s="33"/>
      <c r="B70" s="87"/>
      <c r="C70" s="86"/>
      <c r="D70" s="82" t="s">
        <v>11522</v>
      </c>
      <c r="E70" s="84" t="s">
        <v>11523</v>
      </c>
      <c r="F70" s="51" t="s">
        <v>38</v>
      </c>
      <c r="G70" s="14" t="s">
        <v>11524</v>
      </c>
      <c r="H70" s="53" t="s">
        <v>11525</v>
      </c>
      <c r="I70" s="55" t="s">
        <v>19</v>
      </c>
      <c r="J70" s="55" t="s">
        <v>11526</v>
      </c>
      <c r="K70" t="s">
        <v>11527</v>
      </c>
    </row>
    <row r="71" spans="1:11" s="22" customFormat="1" ht="15.5">
      <c r="A71" s="33"/>
      <c r="B71" s="87"/>
      <c r="C71" s="83"/>
      <c r="D71" s="83"/>
      <c r="E71" s="85"/>
      <c r="F71" s="52"/>
      <c r="G71" s="14" t="s">
        <v>11528</v>
      </c>
      <c r="H71" s="54"/>
      <c r="I71" s="56"/>
      <c r="J71" s="56"/>
      <c r="K71" t="s">
        <v>11529</v>
      </c>
    </row>
    <row r="72" spans="1:11" s="22" customFormat="1" ht="15.75" customHeight="1">
      <c r="A72" s="33"/>
      <c r="B72" s="87"/>
      <c r="C72" s="82" t="s">
        <v>11530</v>
      </c>
      <c r="D72" s="82" t="s">
        <v>11531</v>
      </c>
      <c r="E72" s="84" t="s">
        <v>11532</v>
      </c>
      <c r="F72" s="45" t="s">
        <v>16</v>
      </c>
      <c r="G72" s="14" t="s">
        <v>10094</v>
      </c>
      <c r="H72" s="47" t="s">
        <v>11533</v>
      </c>
      <c r="I72" s="49" t="s">
        <v>19</v>
      </c>
      <c r="J72" s="49" t="s">
        <v>11534</v>
      </c>
      <c r="K72" t="s">
        <v>11535</v>
      </c>
    </row>
    <row r="73" spans="1:11" s="22" customFormat="1" ht="15.5">
      <c r="A73" s="33"/>
      <c r="B73" s="87"/>
      <c r="C73" s="86"/>
      <c r="D73" s="83"/>
      <c r="E73" s="85"/>
      <c r="F73" s="46"/>
      <c r="G73" s="14" t="s">
        <v>11536</v>
      </c>
      <c r="H73" s="48"/>
      <c r="I73" s="50"/>
      <c r="J73" s="50"/>
      <c r="K73" t="s">
        <v>11537</v>
      </c>
    </row>
    <row r="74" spans="1:11" s="22" customFormat="1" ht="15.5">
      <c r="A74" s="33"/>
      <c r="B74" s="87"/>
      <c r="C74" s="86"/>
      <c r="D74" s="82" t="s">
        <v>11538</v>
      </c>
      <c r="E74" s="84" t="s">
        <v>11539</v>
      </c>
      <c r="F74" s="51" t="s">
        <v>16</v>
      </c>
      <c r="G74" s="14" t="s">
        <v>11540</v>
      </c>
      <c r="H74" s="53" t="s">
        <v>11541</v>
      </c>
      <c r="I74" s="55" t="s">
        <v>19</v>
      </c>
      <c r="J74" s="55" t="s">
        <v>11542</v>
      </c>
      <c r="K74" t="s">
        <v>11543</v>
      </c>
    </row>
    <row r="75" spans="1:11" s="22" customFormat="1" ht="15.5">
      <c r="A75" s="33"/>
      <c r="B75" s="87"/>
      <c r="C75" s="86"/>
      <c r="D75" s="83"/>
      <c r="E75" s="85"/>
      <c r="F75" s="74"/>
      <c r="G75" s="14" t="s">
        <v>11544</v>
      </c>
      <c r="H75" s="75"/>
      <c r="I75" s="73"/>
      <c r="J75" s="73"/>
      <c r="K75" t="s">
        <v>11545</v>
      </c>
    </row>
    <row r="76" spans="1:11" s="22" customFormat="1" ht="15.5">
      <c r="A76" s="33"/>
      <c r="B76" s="87"/>
      <c r="C76" s="86"/>
      <c r="D76" s="82" t="s">
        <v>11546</v>
      </c>
      <c r="E76" s="84" t="s">
        <v>11547</v>
      </c>
      <c r="F76" s="74" t="s">
        <v>16</v>
      </c>
      <c r="G76" s="14" t="s">
        <v>11548</v>
      </c>
      <c r="H76" s="75" t="s">
        <v>11549</v>
      </c>
      <c r="I76" s="73" t="s">
        <v>19</v>
      </c>
      <c r="J76" s="73" t="s">
        <v>11550</v>
      </c>
      <c r="K76" t="s">
        <v>11551</v>
      </c>
    </row>
    <row r="77" spans="1:11" s="22" customFormat="1" ht="15.5">
      <c r="A77" s="33"/>
      <c r="B77" s="87"/>
      <c r="C77" s="86"/>
      <c r="D77" s="83"/>
      <c r="E77" s="85"/>
      <c r="F77" s="52"/>
      <c r="G77" s="14" t="s">
        <v>11552</v>
      </c>
      <c r="H77" s="54"/>
      <c r="I77" s="56"/>
      <c r="J77" s="56"/>
      <c r="K77" t="s">
        <v>11553</v>
      </c>
    </row>
    <row r="78" spans="1:11" s="22" customFormat="1" ht="15.5">
      <c r="A78" s="33"/>
      <c r="B78" s="87"/>
      <c r="C78" s="86"/>
      <c r="D78" s="82" t="s">
        <v>11554</v>
      </c>
      <c r="E78" s="84" t="s">
        <v>11555</v>
      </c>
      <c r="F78" s="51" t="s">
        <v>16</v>
      </c>
      <c r="G78" s="14" t="s">
        <v>11556</v>
      </c>
      <c r="H78" s="53" t="s">
        <v>11557</v>
      </c>
      <c r="I78" s="55" t="s">
        <v>41</v>
      </c>
      <c r="J78" s="55" t="s">
        <v>11558</v>
      </c>
      <c r="K78" t="s">
        <v>11559</v>
      </c>
    </row>
    <row r="79" spans="1:11" s="22" customFormat="1" ht="15.5">
      <c r="A79" s="33"/>
      <c r="B79" s="87"/>
      <c r="C79" s="86"/>
      <c r="D79" s="83"/>
      <c r="E79" s="85"/>
      <c r="F79" s="52"/>
      <c r="G79" s="14" t="s">
        <v>11560</v>
      </c>
      <c r="H79" s="54"/>
      <c r="I79" s="56"/>
      <c r="J79" s="56"/>
      <c r="K79" t="s">
        <v>11561</v>
      </c>
    </row>
    <row r="80" spans="1:11" s="22" customFormat="1" ht="15.5">
      <c r="A80" s="33"/>
      <c r="B80" s="87"/>
      <c r="C80" s="86"/>
      <c r="D80" s="82" t="s">
        <v>11562</v>
      </c>
      <c r="E80" s="84" t="s">
        <v>11563</v>
      </c>
      <c r="F80" s="51" t="s">
        <v>38</v>
      </c>
      <c r="G80" s="14" t="s">
        <v>11564</v>
      </c>
      <c r="H80" s="53" t="s">
        <v>11565</v>
      </c>
      <c r="I80" s="55" t="s">
        <v>19</v>
      </c>
      <c r="J80" s="55" t="s">
        <v>11566</v>
      </c>
      <c r="K80" t="s">
        <v>11567</v>
      </c>
    </row>
    <row r="81" spans="1:11" s="22" customFormat="1" ht="15.5">
      <c r="A81" s="33"/>
      <c r="B81" s="50"/>
      <c r="C81" s="83"/>
      <c r="D81" s="83"/>
      <c r="E81" s="85"/>
      <c r="F81" s="52"/>
      <c r="G81" s="14" t="s">
        <v>11568</v>
      </c>
      <c r="H81" s="54"/>
      <c r="I81" s="56"/>
      <c r="J81" s="56"/>
      <c r="K81" t="s">
        <v>11569</v>
      </c>
    </row>
    <row r="82" spans="1:11" s="22" customFormat="1" ht="15.5" customHeight="1">
      <c r="A82" s="33"/>
      <c r="B82" s="49" t="s">
        <v>11258</v>
      </c>
      <c r="C82" s="90" t="s">
        <v>11570</v>
      </c>
      <c r="D82" s="82" t="s">
        <v>11571</v>
      </c>
      <c r="E82" s="84" t="s">
        <v>11572</v>
      </c>
      <c r="F82" s="45" t="s">
        <v>38</v>
      </c>
      <c r="G82" s="14" t="s">
        <v>11573</v>
      </c>
      <c r="H82" s="47" t="s">
        <v>11574</v>
      </c>
      <c r="I82" s="49" t="s">
        <v>19</v>
      </c>
      <c r="J82" s="49" t="s">
        <v>11575</v>
      </c>
      <c r="K82" t="s">
        <v>11576</v>
      </c>
    </row>
    <row r="83" spans="1:11" s="22" customFormat="1" ht="15.5">
      <c r="A83" s="33"/>
      <c r="B83" s="87"/>
      <c r="C83" s="91"/>
      <c r="D83" s="83"/>
      <c r="E83" s="85"/>
      <c r="F83" s="46"/>
      <c r="G83" s="14" t="s">
        <v>8715</v>
      </c>
      <c r="H83" s="48"/>
      <c r="I83" s="50"/>
      <c r="J83" s="50"/>
      <c r="K83" t="s">
        <v>11577</v>
      </c>
    </row>
    <row r="84" spans="1:11" s="22" customFormat="1" ht="15.5">
      <c r="A84" s="33"/>
      <c r="B84" s="87"/>
      <c r="C84" s="91"/>
      <c r="D84" s="82" t="s">
        <v>11578</v>
      </c>
      <c r="E84" s="84" t="s">
        <v>11579</v>
      </c>
      <c r="F84" s="45" t="s">
        <v>38</v>
      </c>
      <c r="G84" s="14" t="s">
        <v>11258</v>
      </c>
      <c r="H84" s="47" t="s">
        <v>11580</v>
      </c>
      <c r="I84" s="49" t="s">
        <v>19</v>
      </c>
      <c r="J84" s="49" t="s">
        <v>11581</v>
      </c>
      <c r="K84" t="s">
        <v>11582</v>
      </c>
    </row>
    <row r="85" spans="1:11" s="22" customFormat="1" ht="15.5">
      <c r="A85" s="33"/>
      <c r="B85" s="87"/>
      <c r="C85" s="91"/>
      <c r="D85" s="83"/>
      <c r="E85" s="85"/>
      <c r="F85" s="46"/>
      <c r="G85" s="14" t="s">
        <v>11302</v>
      </c>
      <c r="H85" s="48"/>
      <c r="I85" s="50"/>
      <c r="J85" s="50"/>
      <c r="K85" t="s">
        <v>11583</v>
      </c>
    </row>
    <row r="86" spans="1:11" s="22" customFormat="1" ht="15.5">
      <c r="A86" s="33"/>
      <c r="B86" s="87"/>
      <c r="C86" s="91"/>
      <c r="D86" s="82" t="s">
        <v>11584</v>
      </c>
      <c r="E86" s="84" t="s">
        <v>11585</v>
      </c>
      <c r="F86" s="45" t="s">
        <v>16</v>
      </c>
      <c r="G86" s="14" t="s">
        <v>11586</v>
      </c>
      <c r="H86" s="47" t="s">
        <v>11587</v>
      </c>
      <c r="I86" s="49" t="s">
        <v>19</v>
      </c>
      <c r="J86" s="49" t="s">
        <v>11588</v>
      </c>
      <c r="K86" t="s">
        <v>11589</v>
      </c>
    </row>
    <row r="87" spans="1:11" s="22" customFormat="1" ht="15.5">
      <c r="A87" s="33"/>
      <c r="B87" s="87"/>
      <c r="C87" s="91"/>
      <c r="D87" s="83"/>
      <c r="E87" s="85"/>
      <c r="F87" s="46"/>
      <c r="G87" s="14" t="s">
        <v>11590</v>
      </c>
      <c r="H87" s="48"/>
      <c r="I87" s="50"/>
      <c r="J87" s="50"/>
      <c r="K87" t="s">
        <v>11591</v>
      </c>
    </row>
    <row r="88" spans="1:11" s="22" customFormat="1" ht="15.5">
      <c r="A88" s="33"/>
      <c r="B88" s="87"/>
      <c r="C88" s="91"/>
      <c r="D88" s="82" t="s">
        <v>11592</v>
      </c>
      <c r="E88" s="84" t="s">
        <v>11593</v>
      </c>
      <c r="F88" s="45" t="s">
        <v>200</v>
      </c>
      <c r="G88" s="14" t="s">
        <v>9466</v>
      </c>
      <c r="H88" s="47" t="s">
        <v>11594</v>
      </c>
      <c r="I88" s="49" t="s">
        <v>41</v>
      </c>
      <c r="J88" s="49" t="s">
        <v>11595</v>
      </c>
      <c r="K88" t="s">
        <v>11596</v>
      </c>
    </row>
    <row r="89" spans="1:11" s="22" customFormat="1" ht="15.5">
      <c r="A89" s="33"/>
      <c r="B89" s="87"/>
      <c r="C89" s="91"/>
      <c r="D89" s="83"/>
      <c r="E89" s="85"/>
      <c r="F89" s="46"/>
      <c r="G89" s="14" t="s">
        <v>9470</v>
      </c>
      <c r="H89" s="48"/>
      <c r="I89" s="50"/>
      <c r="J89" s="50"/>
      <c r="K89" t="s">
        <v>11597</v>
      </c>
    </row>
    <row r="90" spans="1:11" s="22" customFormat="1" ht="15.5">
      <c r="A90" s="33"/>
      <c r="B90" s="87"/>
      <c r="C90" s="91"/>
      <c r="D90" s="82" t="s">
        <v>11598</v>
      </c>
      <c r="E90" s="84" t="s">
        <v>11599</v>
      </c>
      <c r="F90" s="45" t="s">
        <v>200</v>
      </c>
      <c r="G90" s="14" t="s">
        <v>11600</v>
      </c>
      <c r="H90" s="47" t="s">
        <v>11601</v>
      </c>
      <c r="I90" s="49" t="s">
        <v>41</v>
      </c>
      <c r="J90" s="49" t="s">
        <v>11602</v>
      </c>
      <c r="K90" t="s">
        <v>11603</v>
      </c>
    </row>
    <row r="91" spans="1:11" s="22" customFormat="1" ht="15.5">
      <c r="A91" s="33"/>
      <c r="B91" s="87"/>
      <c r="C91" s="92"/>
      <c r="D91" s="83"/>
      <c r="E91" s="85"/>
      <c r="F91" s="46"/>
      <c r="G91" s="14" t="s">
        <v>11604</v>
      </c>
      <c r="H91" s="48"/>
      <c r="I91" s="50"/>
      <c r="J91" s="50"/>
      <c r="K91" t="s">
        <v>11605</v>
      </c>
    </row>
    <row r="92" spans="1:11" s="22" customFormat="1" ht="15.5" customHeight="1">
      <c r="A92" s="33"/>
      <c r="B92" s="87"/>
      <c r="C92" s="82" t="s">
        <v>11606</v>
      </c>
      <c r="D92" s="82" t="s">
        <v>11607</v>
      </c>
      <c r="E92" s="84" t="s">
        <v>11608</v>
      </c>
      <c r="F92" s="45" t="s">
        <v>16</v>
      </c>
      <c r="G92" s="14" t="s">
        <v>11609</v>
      </c>
      <c r="H92" s="47" t="s">
        <v>11610</v>
      </c>
      <c r="I92" s="49" t="s">
        <v>41</v>
      </c>
      <c r="J92" s="49" t="s">
        <v>11611</v>
      </c>
      <c r="K92" t="s">
        <v>11612</v>
      </c>
    </row>
    <row r="93" spans="1:11" s="22" customFormat="1" ht="15.5">
      <c r="A93" s="33"/>
      <c r="B93" s="87"/>
      <c r="C93" s="86"/>
      <c r="D93" s="83"/>
      <c r="E93" s="85"/>
      <c r="F93" s="46"/>
      <c r="G93" s="14" t="s">
        <v>11613</v>
      </c>
      <c r="H93" s="48"/>
      <c r="I93" s="50"/>
      <c r="J93" s="50"/>
      <c r="K93" t="s">
        <v>11614</v>
      </c>
    </row>
    <row r="94" spans="1:11" s="22" customFormat="1" ht="15.5">
      <c r="A94" s="33"/>
      <c r="B94" s="87"/>
      <c r="C94" s="86"/>
      <c r="D94" s="82" t="s">
        <v>11615</v>
      </c>
      <c r="E94" s="84" t="s">
        <v>11616</v>
      </c>
      <c r="F94" s="45" t="s">
        <v>16</v>
      </c>
      <c r="G94" s="14" t="s">
        <v>11258</v>
      </c>
      <c r="H94" s="47" t="s">
        <v>11617</v>
      </c>
      <c r="I94" s="49" t="s">
        <v>41</v>
      </c>
      <c r="J94" s="49" t="s">
        <v>11618</v>
      </c>
      <c r="K94" t="s">
        <v>11619</v>
      </c>
    </row>
    <row r="95" spans="1:11" s="22" customFormat="1" ht="15.5">
      <c r="A95" s="33"/>
      <c r="B95" s="87"/>
      <c r="C95" s="86"/>
      <c r="D95" s="83"/>
      <c r="E95" s="85"/>
      <c r="F95" s="46"/>
      <c r="G95" s="14" t="s">
        <v>11620</v>
      </c>
      <c r="H95" s="48"/>
      <c r="I95" s="50"/>
      <c r="J95" s="50"/>
      <c r="K95" t="s">
        <v>11621</v>
      </c>
    </row>
    <row r="96" spans="1:11" s="22" customFormat="1" ht="15.5">
      <c r="A96" s="33"/>
      <c r="B96" s="87"/>
      <c r="C96" s="86"/>
      <c r="D96" s="82" t="s">
        <v>11622</v>
      </c>
      <c r="E96" s="84" t="s">
        <v>11623</v>
      </c>
      <c r="F96" s="45" t="s">
        <v>200</v>
      </c>
      <c r="G96" s="14" t="s">
        <v>11624</v>
      </c>
      <c r="H96" s="47" t="s">
        <v>11625</v>
      </c>
      <c r="I96" s="49" t="s">
        <v>41</v>
      </c>
      <c r="J96" s="49" t="s">
        <v>11626</v>
      </c>
      <c r="K96" t="s">
        <v>11627</v>
      </c>
    </row>
    <row r="97" spans="1:11" s="22" customFormat="1" ht="15.5">
      <c r="A97" s="33"/>
      <c r="B97" s="87"/>
      <c r="C97" s="86"/>
      <c r="D97" s="83"/>
      <c r="E97" s="85"/>
      <c r="F97" s="46"/>
      <c r="G97" s="14" t="s">
        <v>11628</v>
      </c>
      <c r="H97" s="48"/>
      <c r="I97" s="50"/>
      <c r="J97" s="50"/>
      <c r="K97" t="s">
        <v>11629</v>
      </c>
    </row>
    <row r="98" spans="1:11" s="22" customFormat="1" ht="15.5">
      <c r="A98" s="33"/>
      <c r="B98" s="87"/>
      <c r="C98" s="86"/>
      <c r="D98" s="82" t="s">
        <v>11630</v>
      </c>
      <c r="E98" s="84" t="s">
        <v>11631</v>
      </c>
      <c r="F98" s="45" t="s">
        <v>38</v>
      </c>
      <c r="G98" s="14" t="s">
        <v>11632</v>
      </c>
      <c r="H98" s="47" t="s">
        <v>11633</v>
      </c>
      <c r="I98" s="49" t="s">
        <v>19</v>
      </c>
      <c r="J98" s="49" t="s">
        <v>11634</v>
      </c>
      <c r="K98" t="s">
        <v>11635</v>
      </c>
    </row>
    <row r="99" spans="1:11" s="22" customFormat="1" ht="15.5">
      <c r="A99" s="33"/>
      <c r="B99" s="87"/>
      <c r="C99" s="86"/>
      <c r="D99" s="83"/>
      <c r="E99" s="85"/>
      <c r="F99" s="46"/>
      <c r="G99" s="14" t="s">
        <v>11636</v>
      </c>
      <c r="H99" s="48"/>
      <c r="I99" s="50"/>
      <c r="J99" s="50"/>
      <c r="K99" t="s">
        <v>11637</v>
      </c>
    </row>
    <row r="100" spans="1:11" s="22" customFormat="1" ht="15.5">
      <c r="A100" s="33"/>
      <c r="B100" s="87"/>
      <c r="C100" s="86"/>
      <c r="D100" s="82" t="s">
        <v>11638</v>
      </c>
      <c r="E100" s="84" t="s">
        <v>11639</v>
      </c>
      <c r="F100" s="45" t="s">
        <v>38</v>
      </c>
      <c r="G100" s="14" t="s">
        <v>11640</v>
      </c>
      <c r="H100" s="47" t="s">
        <v>11641</v>
      </c>
      <c r="I100" s="49" t="s">
        <v>19</v>
      </c>
      <c r="J100" s="49" t="s">
        <v>11642</v>
      </c>
      <c r="K100" t="s">
        <v>11643</v>
      </c>
    </row>
    <row r="101" spans="1:11" s="22" customFormat="1" ht="15.5">
      <c r="A101" s="33"/>
      <c r="B101" s="87"/>
      <c r="C101" s="83"/>
      <c r="D101" s="83"/>
      <c r="E101" s="85"/>
      <c r="F101" s="46"/>
      <c r="G101" s="14" t="s">
        <v>11644</v>
      </c>
      <c r="H101" s="48"/>
      <c r="I101" s="50"/>
      <c r="J101" s="50"/>
      <c r="K101" t="s">
        <v>11645</v>
      </c>
    </row>
    <row r="102" spans="1:11" s="22" customFormat="1" ht="15.75" customHeight="1">
      <c r="A102" s="33"/>
      <c r="B102" s="87"/>
      <c r="C102" s="82" t="s">
        <v>11646</v>
      </c>
      <c r="D102" s="82" t="s">
        <v>11647</v>
      </c>
      <c r="E102" s="84" t="s">
        <v>11648</v>
      </c>
      <c r="F102" s="45" t="s">
        <v>38</v>
      </c>
      <c r="G102" s="14" t="s">
        <v>11258</v>
      </c>
      <c r="H102" s="47" t="s">
        <v>11649</v>
      </c>
      <c r="I102" s="49" t="s">
        <v>41</v>
      </c>
      <c r="J102" s="49" t="s">
        <v>11650</v>
      </c>
      <c r="K102" t="s">
        <v>11651</v>
      </c>
    </row>
    <row r="103" spans="1:11" s="22" customFormat="1" ht="15.5">
      <c r="A103" s="33"/>
      <c r="B103" s="87"/>
      <c r="C103" s="86"/>
      <c r="D103" s="83"/>
      <c r="E103" s="85"/>
      <c r="F103" s="46"/>
      <c r="G103" s="14" t="s">
        <v>11244</v>
      </c>
      <c r="H103" s="48"/>
      <c r="I103" s="50"/>
      <c r="J103" s="50"/>
      <c r="K103" t="s">
        <v>11652</v>
      </c>
    </row>
    <row r="104" spans="1:11" s="22" customFormat="1" ht="15.5">
      <c r="A104" s="33"/>
      <c r="B104" s="87"/>
      <c r="C104" s="86"/>
      <c r="D104" s="82" t="s">
        <v>11653</v>
      </c>
      <c r="E104" s="84" t="s">
        <v>11654</v>
      </c>
      <c r="F104" s="45" t="s">
        <v>38</v>
      </c>
      <c r="G104" s="14" t="s">
        <v>8597</v>
      </c>
      <c r="H104" s="47" t="s">
        <v>11290</v>
      </c>
      <c r="I104" s="49" t="s">
        <v>19</v>
      </c>
      <c r="J104" s="49" t="s">
        <v>11655</v>
      </c>
      <c r="K104" t="s">
        <v>11656</v>
      </c>
    </row>
    <row r="105" spans="1:11" s="22" customFormat="1" ht="15.5">
      <c r="A105" s="33"/>
      <c r="B105" s="87"/>
      <c r="C105" s="86"/>
      <c r="D105" s="83"/>
      <c r="E105" s="85"/>
      <c r="F105" s="46"/>
      <c r="G105" s="14" t="s">
        <v>11657</v>
      </c>
      <c r="H105" s="48"/>
      <c r="I105" s="50"/>
      <c r="J105" s="50"/>
      <c r="K105" t="s">
        <v>11658</v>
      </c>
    </row>
    <row r="106" spans="1:11" s="22" customFormat="1" ht="15.5">
      <c r="A106" s="33"/>
      <c r="B106" s="87"/>
      <c r="C106" s="86"/>
      <c r="D106" s="82" t="s">
        <v>11659</v>
      </c>
      <c r="E106" s="84" t="s">
        <v>11660</v>
      </c>
      <c r="F106" s="45" t="s">
        <v>16</v>
      </c>
      <c r="G106" s="14" t="s">
        <v>11661</v>
      </c>
      <c r="H106" s="47" t="s">
        <v>11275</v>
      </c>
      <c r="I106" s="49" t="s">
        <v>41</v>
      </c>
      <c r="J106" s="49" t="s">
        <v>11662</v>
      </c>
      <c r="K106" t="s">
        <v>11663</v>
      </c>
    </row>
    <row r="107" spans="1:11" s="22" customFormat="1" ht="15.5">
      <c r="A107" s="33"/>
      <c r="B107" s="87"/>
      <c r="C107" s="86"/>
      <c r="D107" s="83"/>
      <c r="E107" s="85"/>
      <c r="F107" s="46"/>
      <c r="G107" s="14" t="s">
        <v>11664</v>
      </c>
      <c r="H107" s="48"/>
      <c r="I107" s="50"/>
      <c r="J107" s="50"/>
      <c r="K107" t="s">
        <v>11665</v>
      </c>
    </row>
    <row r="108" spans="1:11" s="22" customFormat="1" ht="15.5">
      <c r="A108" s="33"/>
      <c r="B108" s="87"/>
      <c r="C108" s="86"/>
      <c r="D108" s="82" t="s">
        <v>11666</v>
      </c>
      <c r="E108" s="84" t="s">
        <v>11667</v>
      </c>
      <c r="F108" s="70" t="s">
        <v>16</v>
      </c>
      <c r="G108" s="14" t="s">
        <v>11668</v>
      </c>
      <c r="H108" s="71" t="s">
        <v>11669</v>
      </c>
      <c r="I108" s="72" t="s">
        <v>19</v>
      </c>
      <c r="J108" s="72" t="s">
        <v>11670</v>
      </c>
      <c r="K108" t="s">
        <v>11671</v>
      </c>
    </row>
    <row r="109" spans="1:11" s="22" customFormat="1" ht="15.5">
      <c r="A109" s="33"/>
      <c r="B109" s="87"/>
      <c r="C109" s="86"/>
      <c r="D109" s="83"/>
      <c r="E109" s="85"/>
      <c r="F109" s="70"/>
      <c r="G109" s="14" t="s">
        <v>9237</v>
      </c>
      <c r="H109" s="71"/>
      <c r="I109" s="72"/>
      <c r="J109" s="72"/>
      <c r="K109" t="s">
        <v>11672</v>
      </c>
    </row>
    <row r="110" spans="1:11" s="22" customFormat="1" ht="15.5">
      <c r="A110" s="33"/>
      <c r="B110" s="87"/>
      <c r="C110" s="86"/>
      <c r="D110" s="82" t="s">
        <v>11673</v>
      </c>
      <c r="E110" s="84" t="s">
        <v>11674</v>
      </c>
      <c r="F110" s="70" t="s">
        <v>16</v>
      </c>
      <c r="G110" s="14" t="s">
        <v>8597</v>
      </c>
      <c r="H110" s="71" t="s">
        <v>11675</v>
      </c>
      <c r="I110" s="72" t="s">
        <v>41</v>
      </c>
      <c r="J110" s="72" t="s">
        <v>11676</v>
      </c>
      <c r="K110" t="s">
        <v>11677</v>
      </c>
    </row>
    <row r="111" spans="1:11" s="22" customFormat="1" ht="15.5">
      <c r="A111" s="33"/>
      <c r="B111" s="87"/>
      <c r="C111" s="83"/>
      <c r="D111" s="83"/>
      <c r="E111" s="85"/>
      <c r="F111" s="70"/>
      <c r="G111" s="14" t="s">
        <v>11678</v>
      </c>
      <c r="H111" s="71"/>
      <c r="I111" s="72"/>
      <c r="J111" s="72"/>
      <c r="K111" t="s">
        <v>11679</v>
      </c>
    </row>
    <row r="112" spans="1:11" s="22" customFormat="1" ht="15.75" customHeight="1">
      <c r="A112" s="33"/>
      <c r="B112" s="87"/>
      <c r="C112" s="90" t="s">
        <v>11680</v>
      </c>
      <c r="D112" s="82" t="s">
        <v>11681</v>
      </c>
      <c r="E112" s="84" t="s">
        <v>11682</v>
      </c>
      <c r="F112" s="45" t="s">
        <v>16</v>
      </c>
      <c r="G112" s="14" t="s">
        <v>11258</v>
      </c>
      <c r="H112" s="47" t="s">
        <v>11683</v>
      </c>
      <c r="I112" s="49" t="s">
        <v>19</v>
      </c>
      <c r="J112" s="49" t="s">
        <v>11684</v>
      </c>
      <c r="K112" t="s">
        <v>11685</v>
      </c>
    </row>
    <row r="113" spans="1:11" s="22" customFormat="1" ht="15.5">
      <c r="A113" s="33"/>
      <c r="B113" s="87"/>
      <c r="C113" s="91"/>
      <c r="D113" s="83"/>
      <c r="E113" s="85"/>
      <c r="F113" s="46"/>
      <c r="G113" s="14" t="s">
        <v>11686</v>
      </c>
      <c r="H113" s="48"/>
      <c r="I113" s="50"/>
      <c r="J113" s="50"/>
      <c r="K113" t="s">
        <v>11687</v>
      </c>
    </row>
    <row r="114" spans="1:11" s="22" customFormat="1" ht="15.5">
      <c r="A114" s="33"/>
      <c r="B114" s="87"/>
      <c r="C114" s="91"/>
      <c r="D114" s="82" t="s">
        <v>11688</v>
      </c>
      <c r="E114" s="84" t="s">
        <v>11689</v>
      </c>
      <c r="F114" s="45" t="s">
        <v>38</v>
      </c>
      <c r="G114" s="14" t="s">
        <v>11690</v>
      </c>
      <c r="H114" s="47" t="s">
        <v>11691</v>
      </c>
      <c r="I114" s="49" t="s">
        <v>41</v>
      </c>
      <c r="J114" s="49" t="s">
        <v>11692</v>
      </c>
      <c r="K114" t="s">
        <v>11693</v>
      </c>
    </row>
    <row r="115" spans="1:11" s="22" customFormat="1" ht="15.5">
      <c r="A115" s="33"/>
      <c r="B115" s="87"/>
      <c r="C115" s="91"/>
      <c r="D115" s="83"/>
      <c r="E115" s="85"/>
      <c r="F115" s="46"/>
      <c r="G115" s="14" t="s">
        <v>11694</v>
      </c>
      <c r="H115" s="48"/>
      <c r="I115" s="50"/>
      <c r="J115" s="50"/>
      <c r="K115" t="s">
        <v>11695</v>
      </c>
    </row>
    <row r="116" spans="1:11" s="22" customFormat="1" ht="15.5">
      <c r="A116" s="33"/>
      <c r="B116" s="87"/>
      <c r="C116" s="91"/>
      <c r="D116" s="82" t="s">
        <v>11696</v>
      </c>
      <c r="E116" s="84" t="s">
        <v>11697</v>
      </c>
      <c r="F116" s="45" t="s">
        <v>38</v>
      </c>
      <c r="G116" s="14" t="s">
        <v>11386</v>
      </c>
      <c r="H116" s="47" t="s">
        <v>11698</v>
      </c>
      <c r="I116" s="49" t="s">
        <v>41</v>
      </c>
      <c r="J116" s="49" t="s">
        <v>11699</v>
      </c>
      <c r="K116" t="s">
        <v>11700</v>
      </c>
    </row>
    <row r="117" spans="1:11" s="22" customFormat="1" ht="15.5">
      <c r="A117" s="33"/>
      <c r="B117" s="87"/>
      <c r="C117" s="91"/>
      <c r="D117" s="83"/>
      <c r="E117" s="85"/>
      <c r="F117" s="46"/>
      <c r="G117" s="14" t="s">
        <v>11701</v>
      </c>
      <c r="H117" s="48"/>
      <c r="I117" s="50"/>
      <c r="J117" s="50"/>
      <c r="K117" t="s">
        <v>11702</v>
      </c>
    </row>
    <row r="118" spans="1:11" s="22" customFormat="1" ht="15.5">
      <c r="A118" s="33"/>
      <c r="B118" s="87"/>
      <c r="C118" s="91"/>
      <c r="D118" s="82" t="s">
        <v>11703</v>
      </c>
      <c r="E118" s="84" t="s">
        <v>11704</v>
      </c>
      <c r="F118" s="45" t="s">
        <v>16</v>
      </c>
      <c r="G118" s="14" t="s">
        <v>11705</v>
      </c>
      <c r="H118" s="47" t="s">
        <v>11706</v>
      </c>
      <c r="I118" s="49" t="s">
        <v>41</v>
      </c>
      <c r="J118" s="49" t="s">
        <v>11707</v>
      </c>
      <c r="K118" t="s">
        <v>11708</v>
      </c>
    </row>
    <row r="119" spans="1:11" s="22" customFormat="1" ht="15.5">
      <c r="A119" s="33"/>
      <c r="B119" s="87"/>
      <c r="C119" s="91"/>
      <c r="D119" s="83"/>
      <c r="E119" s="85"/>
      <c r="F119" s="46"/>
      <c r="G119" s="14" t="s">
        <v>11709</v>
      </c>
      <c r="H119" s="48"/>
      <c r="I119" s="50"/>
      <c r="J119" s="50"/>
      <c r="K119" t="s">
        <v>11710</v>
      </c>
    </row>
    <row r="120" spans="1:11" s="22" customFormat="1" ht="15.5">
      <c r="A120" s="33"/>
      <c r="B120" s="87"/>
      <c r="C120" s="91"/>
      <c r="D120" s="82" t="s">
        <v>11711</v>
      </c>
      <c r="E120" s="84" t="s">
        <v>11712</v>
      </c>
      <c r="F120" s="45" t="s">
        <v>16</v>
      </c>
      <c r="G120" s="14" t="s">
        <v>9935</v>
      </c>
      <c r="H120" s="47" t="s">
        <v>11713</v>
      </c>
      <c r="I120" s="49" t="s">
        <v>19</v>
      </c>
      <c r="J120" s="49" t="s">
        <v>11714</v>
      </c>
      <c r="K120" t="s">
        <v>11715</v>
      </c>
    </row>
    <row r="121" spans="1:11" s="22" customFormat="1" ht="15.5">
      <c r="A121" s="33"/>
      <c r="B121" s="87"/>
      <c r="C121" s="92"/>
      <c r="D121" s="83"/>
      <c r="E121" s="85"/>
      <c r="F121" s="46"/>
      <c r="G121" s="14" t="s">
        <v>11716</v>
      </c>
      <c r="H121" s="48"/>
      <c r="I121" s="50"/>
      <c r="J121" s="50"/>
      <c r="K121" t="s">
        <v>11717</v>
      </c>
    </row>
    <row r="122" spans="1:11" s="22" customFormat="1" ht="15.75" customHeight="1">
      <c r="A122" s="33"/>
      <c r="B122" s="87"/>
      <c r="C122" s="82" t="s">
        <v>11718</v>
      </c>
      <c r="D122" s="82" t="s">
        <v>11719</v>
      </c>
      <c r="E122" s="84" t="s">
        <v>11720</v>
      </c>
      <c r="F122" s="45" t="s">
        <v>200</v>
      </c>
      <c r="G122" s="14" t="s">
        <v>11721</v>
      </c>
      <c r="H122" s="47" t="s">
        <v>11722</v>
      </c>
      <c r="I122" s="49" t="s">
        <v>19</v>
      </c>
      <c r="J122" s="49" t="s">
        <v>11723</v>
      </c>
      <c r="K122" t="s">
        <v>11724</v>
      </c>
    </row>
    <row r="123" spans="1:11" s="22" customFormat="1" ht="15.5">
      <c r="A123" s="33"/>
      <c r="B123" s="87"/>
      <c r="C123" s="86"/>
      <c r="D123" s="83"/>
      <c r="E123" s="85"/>
      <c r="F123" s="46"/>
      <c r="G123" s="14" t="s">
        <v>11270</v>
      </c>
      <c r="H123" s="48"/>
      <c r="I123" s="50"/>
      <c r="J123" s="50"/>
      <c r="K123" t="s">
        <v>11725</v>
      </c>
    </row>
    <row r="124" spans="1:11" s="22" customFormat="1" ht="15.5">
      <c r="A124" s="33"/>
      <c r="B124" s="87"/>
      <c r="C124" s="86"/>
      <c r="D124" s="82" t="s">
        <v>11726</v>
      </c>
      <c r="E124" s="84" t="s">
        <v>11727</v>
      </c>
      <c r="F124" s="45" t="s">
        <v>200</v>
      </c>
      <c r="G124" s="14" t="s">
        <v>335</v>
      </c>
      <c r="H124" s="47" t="s">
        <v>11728</v>
      </c>
      <c r="I124" s="49" t="s">
        <v>19</v>
      </c>
      <c r="J124" s="49" t="s">
        <v>11729</v>
      </c>
      <c r="K124" t="s">
        <v>11730</v>
      </c>
    </row>
    <row r="125" spans="1:11" s="22" customFormat="1" ht="15.5">
      <c r="A125" s="33"/>
      <c r="B125" s="87"/>
      <c r="C125" s="86"/>
      <c r="D125" s="83"/>
      <c r="E125" s="85"/>
      <c r="F125" s="46"/>
      <c r="G125" s="14" t="s">
        <v>10272</v>
      </c>
      <c r="H125" s="48"/>
      <c r="I125" s="50"/>
      <c r="J125" s="50"/>
      <c r="K125" t="s">
        <v>11731</v>
      </c>
    </row>
    <row r="126" spans="1:11" s="22" customFormat="1" ht="15.5">
      <c r="A126" s="33"/>
      <c r="B126" s="87"/>
      <c r="C126" s="86"/>
      <c r="D126" s="82" t="s">
        <v>11732</v>
      </c>
      <c r="E126" s="84" t="s">
        <v>11733</v>
      </c>
      <c r="F126" s="45" t="s">
        <v>38</v>
      </c>
      <c r="G126" s="14" t="s">
        <v>11734</v>
      </c>
      <c r="H126" s="47" t="s">
        <v>11735</v>
      </c>
      <c r="I126" s="49" t="s">
        <v>19</v>
      </c>
      <c r="J126" s="49" t="s">
        <v>11736</v>
      </c>
      <c r="K126" t="s">
        <v>11737</v>
      </c>
    </row>
    <row r="127" spans="1:11" s="22" customFormat="1" ht="15.5">
      <c r="A127" s="33"/>
      <c r="B127" s="87"/>
      <c r="C127" s="86"/>
      <c r="D127" s="83"/>
      <c r="E127" s="85"/>
      <c r="F127" s="46"/>
      <c r="G127" s="14" t="s">
        <v>11738</v>
      </c>
      <c r="H127" s="48"/>
      <c r="I127" s="50"/>
      <c r="J127" s="50"/>
      <c r="K127" t="s">
        <v>11739</v>
      </c>
    </row>
    <row r="128" spans="1:11" s="22" customFormat="1" ht="15.5">
      <c r="A128" s="33"/>
      <c r="B128" s="87"/>
      <c r="C128" s="86"/>
      <c r="D128" s="82" t="s">
        <v>11740</v>
      </c>
      <c r="E128" s="84" t="s">
        <v>11741</v>
      </c>
      <c r="F128" s="45" t="s">
        <v>38</v>
      </c>
      <c r="G128" s="14" t="s">
        <v>11742</v>
      </c>
      <c r="H128" s="47" t="s">
        <v>11743</v>
      </c>
      <c r="I128" s="49" t="s">
        <v>41</v>
      </c>
      <c r="J128" s="49" t="s">
        <v>11744</v>
      </c>
      <c r="K128" t="s">
        <v>11745</v>
      </c>
    </row>
    <row r="129" spans="1:11" s="22" customFormat="1" ht="15.5">
      <c r="A129" s="33"/>
      <c r="B129" s="87"/>
      <c r="C129" s="86"/>
      <c r="D129" s="83"/>
      <c r="E129" s="85"/>
      <c r="F129" s="46"/>
      <c r="G129" s="14" t="s">
        <v>11746</v>
      </c>
      <c r="H129" s="48"/>
      <c r="I129" s="50"/>
      <c r="J129" s="50"/>
      <c r="K129" t="s">
        <v>11747</v>
      </c>
    </row>
    <row r="130" spans="1:11" s="22" customFormat="1" ht="15.5">
      <c r="A130" s="33"/>
      <c r="B130" s="87"/>
      <c r="C130" s="86"/>
      <c r="D130" s="82" t="s">
        <v>11748</v>
      </c>
      <c r="E130" s="84" t="s">
        <v>11749</v>
      </c>
      <c r="F130" s="45" t="s">
        <v>16</v>
      </c>
      <c r="G130" s="14" t="s">
        <v>8646</v>
      </c>
      <c r="H130" s="47" t="s">
        <v>11750</v>
      </c>
      <c r="I130" s="49" t="s">
        <v>41</v>
      </c>
      <c r="J130" s="49" t="s">
        <v>11751</v>
      </c>
      <c r="K130" t="s">
        <v>11752</v>
      </c>
    </row>
    <row r="131" spans="1:11" s="22" customFormat="1" ht="15.5">
      <c r="A131" s="33"/>
      <c r="B131" s="50"/>
      <c r="C131" s="83"/>
      <c r="D131" s="83"/>
      <c r="E131" s="85"/>
      <c r="F131" s="46"/>
      <c r="G131" s="14" t="s">
        <v>11753</v>
      </c>
      <c r="H131" s="48"/>
      <c r="I131" s="50"/>
      <c r="J131" s="50"/>
      <c r="K131" t="s">
        <v>11754</v>
      </c>
    </row>
    <row r="132" spans="1:11" s="22" customFormat="1" ht="15.75" customHeight="1">
      <c r="A132" s="33"/>
      <c r="B132" s="49" t="s">
        <v>11755</v>
      </c>
      <c r="C132" s="82" t="s">
        <v>11756</v>
      </c>
      <c r="D132" s="82" t="s">
        <v>11757</v>
      </c>
      <c r="E132" s="84" t="s">
        <v>11758</v>
      </c>
      <c r="F132" s="45" t="s">
        <v>16</v>
      </c>
      <c r="G132" s="14" t="s">
        <v>9225</v>
      </c>
      <c r="H132" s="47" t="s">
        <v>11759</v>
      </c>
      <c r="I132" s="49" t="s">
        <v>19</v>
      </c>
      <c r="J132" s="49" t="s">
        <v>11760</v>
      </c>
      <c r="K132" t="s">
        <v>11761</v>
      </c>
    </row>
    <row r="133" spans="1:11" s="22" customFormat="1" ht="15.5">
      <c r="A133" s="33"/>
      <c r="B133" s="87"/>
      <c r="C133" s="86"/>
      <c r="D133" s="83"/>
      <c r="E133" s="85"/>
      <c r="F133" s="46"/>
      <c r="G133" s="14" t="s">
        <v>11762</v>
      </c>
      <c r="H133" s="48"/>
      <c r="I133" s="50"/>
      <c r="J133" s="50"/>
      <c r="K133" t="s">
        <v>11763</v>
      </c>
    </row>
    <row r="134" spans="1:11" s="22" customFormat="1" ht="15.5">
      <c r="A134" s="33"/>
      <c r="B134" s="87"/>
      <c r="C134" s="86"/>
      <c r="D134" s="82" t="s">
        <v>11764</v>
      </c>
      <c r="E134" s="84" t="s">
        <v>11765</v>
      </c>
      <c r="F134" s="45" t="s">
        <v>200</v>
      </c>
      <c r="G134" s="14" t="s">
        <v>11586</v>
      </c>
      <c r="H134" s="47" t="s">
        <v>11766</v>
      </c>
      <c r="I134" s="49" t="s">
        <v>19</v>
      </c>
      <c r="J134" s="49" t="s">
        <v>11767</v>
      </c>
      <c r="K134" t="s">
        <v>11768</v>
      </c>
    </row>
    <row r="135" spans="1:11" s="22" customFormat="1" ht="15.5">
      <c r="A135" s="33"/>
      <c r="B135" s="87"/>
      <c r="C135" s="86"/>
      <c r="D135" s="83"/>
      <c r="E135" s="85"/>
      <c r="F135" s="46"/>
      <c r="G135" s="14" t="s">
        <v>11769</v>
      </c>
      <c r="H135" s="48"/>
      <c r="I135" s="50"/>
      <c r="J135" s="50"/>
      <c r="K135" t="s">
        <v>11770</v>
      </c>
    </row>
    <row r="136" spans="1:11" s="22" customFormat="1" ht="15.5">
      <c r="A136" s="33"/>
      <c r="B136" s="87"/>
      <c r="C136" s="86"/>
      <c r="D136" s="82" t="s">
        <v>11771</v>
      </c>
      <c r="E136" s="84" t="s">
        <v>11772</v>
      </c>
      <c r="F136" s="45" t="s">
        <v>38</v>
      </c>
      <c r="G136" s="14" t="s">
        <v>11773</v>
      </c>
      <c r="H136" s="47" t="s">
        <v>11774</v>
      </c>
      <c r="I136" s="49" t="s">
        <v>41</v>
      </c>
      <c r="J136" s="49" t="s">
        <v>11775</v>
      </c>
      <c r="K136" t="s">
        <v>11776</v>
      </c>
    </row>
    <row r="137" spans="1:11" s="22" customFormat="1" ht="15.5">
      <c r="A137" s="33"/>
      <c r="B137" s="87"/>
      <c r="C137" s="86"/>
      <c r="D137" s="83"/>
      <c r="E137" s="85"/>
      <c r="F137" s="46"/>
      <c r="G137" s="14" t="s">
        <v>11777</v>
      </c>
      <c r="H137" s="48"/>
      <c r="I137" s="50"/>
      <c r="J137" s="50"/>
      <c r="K137" t="s">
        <v>11778</v>
      </c>
    </row>
    <row r="138" spans="1:11" s="22" customFormat="1" ht="15.5">
      <c r="A138" s="33"/>
      <c r="B138" s="87"/>
      <c r="C138" s="86"/>
      <c r="D138" s="82" t="s">
        <v>11779</v>
      </c>
      <c r="E138" s="84" t="s">
        <v>11780</v>
      </c>
      <c r="F138" s="45" t="s">
        <v>16</v>
      </c>
      <c r="G138" s="14" t="s">
        <v>8541</v>
      </c>
      <c r="H138" s="47" t="s">
        <v>11781</v>
      </c>
      <c r="I138" s="49" t="s">
        <v>41</v>
      </c>
      <c r="J138" s="49" t="s">
        <v>11782</v>
      </c>
      <c r="K138" t="s">
        <v>11783</v>
      </c>
    </row>
    <row r="139" spans="1:11" s="22" customFormat="1" ht="15.5">
      <c r="A139" s="33"/>
      <c r="B139" s="87"/>
      <c r="C139" s="86"/>
      <c r="D139" s="83"/>
      <c r="E139" s="85"/>
      <c r="F139" s="46"/>
      <c r="G139" s="14" t="s">
        <v>11784</v>
      </c>
      <c r="H139" s="48"/>
      <c r="I139" s="50"/>
      <c r="J139" s="50"/>
      <c r="K139" t="s">
        <v>11785</v>
      </c>
    </row>
    <row r="140" spans="1:11" s="22" customFormat="1" ht="15.5">
      <c r="A140" s="33"/>
      <c r="B140" s="87"/>
      <c r="C140" s="86"/>
      <c r="D140" s="82" t="s">
        <v>11786</v>
      </c>
      <c r="E140" s="84" t="s">
        <v>11787</v>
      </c>
      <c r="F140" s="45" t="s">
        <v>16</v>
      </c>
      <c r="G140" s="14" t="s">
        <v>11788</v>
      </c>
      <c r="H140" s="47" t="s">
        <v>11789</v>
      </c>
      <c r="I140" s="49" t="s">
        <v>41</v>
      </c>
      <c r="J140" s="49" t="s">
        <v>11790</v>
      </c>
      <c r="K140" t="s">
        <v>11791</v>
      </c>
    </row>
    <row r="141" spans="1:11" s="22" customFormat="1" ht="15.5">
      <c r="A141" s="33"/>
      <c r="B141" s="87"/>
      <c r="C141" s="83"/>
      <c r="D141" s="83"/>
      <c r="E141" s="85"/>
      <c r="F141" s="46"/>
      <c r="G141" s="14" t="s">
        <v>11792</v>
      </c>
      <c r="H141" s="48"/>
      <c r="I141" s="50"/>
      <c r="J141" s="50"/>
      <c r="K141" t="s">
        <v>11793</v>
      </c>
    </row>
    <row r="142" spans="1:11" s="22" customFormat="1" ht="15.75" customHeight="1">
      <c r="A142" s="33"/>
      <c r="B142" s="87"/>
      <c r="C142" s="82" t="s">
        <v>11794</v>
      </c>
      <c r="D142" s="82" t="s">
        <v>11795</v>
      </c>
      <c r="E142" s="84" t="s">
        <v>11796</v>
      </c>
      <c r="F142" s="45" t="s">
        <v>16</v>
      </c>
      <c r="G142" s="14" t="s">
        <v>11797</v>
      </c>
      <c r="H142" s="47" t="s">
        <v>11798</v>
      </c>
      <c r="I142" s="49" t="s">
        <v>41</v>
      </c>
      <c r="J142" s="49" t="s">
        <v>11799</v>
      </c>
      <c r="K142" t="s">
        <v>11800</v>
      </c>
    </row>
    <row r="143" spans="1:11" s="22" customFormat="1" ht="15.5">
      <c r="A143" s="33"/>
      <c r="B143" s="87"/>
      <c r="C143" s="86"/>
      <c r="D143" s="83"/>
      <c r="E143" s="85"/>
      <c r="F143" s="46"/>
      <c r="G143" s="14" t="s">
        <v>11801</v>
      </c>
      <c r="H143" s="48"/>
      <c r="I143" s="50"/>
      <c r="J143" s="50"/>
      <c r="K143" t="s">
        <v>11802</v>
      </c>
    </row>
    <row r="144" spans="1:11" s="22" customFormat="1" ht="15.5">
      <c r="A144" s="33"/>
      <c r="B144" s="87"/>
      <c r="C144" s="86"/>
      <c r="D144" s="82" t="s">
        <v>11803</v>
      </c>
      <c r="E144" s="84" t="s">
        <v>11804</v>
      </c>
      <c r="F144" s="45" t="s">
        <v>38</v>
      </c>
      <c r="G144" s="14" t="s">
        <v>9466</v>
      </c>
      <c r="H144" s="47" t="s">
        <v>9259</v>
      </c>
      <c r="I144" s="49" t="s">
        <v>41</v>
      </c>
      <c r="J144" s="49" t="s">
        <v>11805</v>
      </c>
      <c r="K144" t="s">
        <v>11806</v>
      </c>
    </row>
    <row r="145" spans="1:11" s="22" customFormat="1" ht="15.5">
      <c r="A145" s="33"/>
      <c r="B145" s="87"/>
      <c r="C145" s="86"/>
      <c r="D145" s="83"/>
      <c r="E145" s="85"/>
      <c r="F145" s="46"/>
      <c r="G145" s="14" t="s">
        <v>9470</v>
      </c>
      <c r="H145" s="48"/>
      <c r="I145" s="50"/>
      <c r="J145" s="50"/>
      <c r="K145" t="s">
        <v>11807</v>
      </c>
    </row>
    <row r="146" spans="1:11" s="22" customFormat="1" ht="15.5">
      <c r="A146" s="33"/>
      <c r="B146" s="87"/>
      <c r="C146" s="86"/>
      <c r="D146" s="82" t="s">
        <v>11808</v>
      </c>
      <c r="E146" s="84" t="s">
        <v>11809</v>
      </c>
      <c r="F146" s="45" t="s">
        <v>16</v>
      </c>
      <c r="G146" s="14" t="s">
        <v>11810</v>
      </c>
      <c r="H146" s="47" t="s">
        <v>11811</v>
      </c>
      <c r="I146" s="49" t="s">
        <v>19</v>
      </c>
      <c r="J146" s="49" t="s">
        <v>11812</v>
      </c>
      <c r="K146" t="s">
        <v>11813</v>
      </c>
    </row>
    <row r="147" spans="1:11" s="22" customFormat="1" ht="15.5">
      <c r="A147" s="33"/>
      <c r="B147" s="87"/>
      <c r="C147" s="86"/>
      <c r="D147" s="83"/>
      <c r="E147" s="85"/>
      <c r="F147" s="46"/>
      <c r="G147" s="14" t="s">
        <v>11814</v>
      </c>
      <c r="H147" s="48"/>
      <c r="I147" s="50"/>
      <c r="J147" s="50"/>
      <c r="K147" t="s">
        <v>11815</v>
      </c>
    </row>
    <row r="148" spans="1:11" s="22" customFormat="1" ht="15.5">
      <c r="A148" s="33"/>
      <c r="B148" s="87"/>
      <c r="C148" s="86"/>
      <c r="D148" s="82" t="s">
        <v>11816</v>
      </c>
      <c r="E148" s="84" t="s">
        <v>11817</v>
      </c>
      <c r="F148" s="45" t="s">
        <v>16</v>
      </c>
      <c r="G148" s="14" t="s">
        <v>11818</v>
      </c>
      <c r="H148" s="47" t="s">
        <v>11819</v>
      </c>
      <c r="I148" s="49" t="s">
        <v>41</v>
      </c>
      <c r="J148" s="49" t="s">
        <v>11820</v>
      </c>
      <c r="K148" t="s">
        <v>11821</v>
      </c>
    </row>
    <row r="149" spans="1:11" s="22" customFormat="1" ht="15.5">
      <c r="A149" s="33"/>
      <c r="B149" s="87"/>
      <c r="C149" s="86"/>
      <c r="D149" s="83"/>
      <c r="E149" s="85"/>
      <c r="F149" s="46"/>
      <c r="G149" s="14" t="s">
        <v>11822</v>
      </c>
      <c r="H149" s="48"/>
      <c r="I149" s="50"/>
      <c r="J149" s="50"/>
      <c r="K149" t="s">
        <v>11823</v>
      </c>
    </row>
    <row r="150" spans="1:11" s="22" customFormat="1" ht="15.5">
      <c r="A150" s="33"/>
      <c r="B150" s="87"/>
      <c r="C150" s="86"/>
      <c r="D150" s="82" t="s">
        <v>11824</v>
      </c>
      <c r="E150" s="84" t="s">
        <v>11825</v>
      </c>
      <c r="F150" s="45" t="s">
        <v>200</v>
      </c>
      <c r="G150" s="14" t="s">
        <v>10459</v>
      </c>
      <c r="H150" s="47" t="s">
        <v>11826</v>
      </c>
      <c r="I150" s="49" t="s">
        <v>19</v>
      </c>
      <c r="J150" s="49" t="s">
        <v>11827</v>
      </c>
      <c r="K150" t="s">
        <v>11828</v>
      </c>
    </row>
    <row r="151" spans="1:11" s="22" customFormat="1" ht="15.5">
      <c r="A151" s="33"/>
      <c r="B151" s="87"/>
      <c r="C151" s="83"/>
      <c r="D151" s="83"/>
      <c r="E151" s="85"/>
      <c r="F151" s="46"/>
      <c r="G151" s="14" t="s">
        <v>10303</v>
      </c>
      <c r="H151" s="48"/>
      <c r="I151" s="50"/>
      <c r="J151" s="50"/>
      <c r="K151" t="s">
        <v>11829</v>
      </c>
    </row>
    <row r="152" spans="1:11" s="22" customFormat="1" ht="15.75" customHeight="1">
      <c r="A152" s="33"/>
      <c r="B152" s="87"/>
      <c r="C152" s="82" t="s">
        <v>11830</v>
      </c>
      <c r="D152" s="82" t="s">
        <v>11831</v>
      </c>
      <c r="E152" s="84" t="s">
        <v>11832</v>
      </c>
      <c r="F152" s="45" t="s">
        <v>38</v>
      </c>
      <c r="G152" s="14" t="s">
        <v>11833</v>
      </c>
      <c r="H152" s="47" t="s">
        <v>11834</v>
      </c>
      <c r="I152" s="49" t="s">
        <v>41</v>
      </c>
      <c r="J152" s="49" t="s">
        <v>11835</v>
      </c>
      <c r="K152" t="s">
        <v>11836</v>
      </c>
    </row>
    <row r="153" spans="1:11" s="22" customFormat="1" ht="15.5">
      <c r="A153" s="33"/>
      <c r="B153" s="87"/>
      <c r="C153" s="86"/>
      <c r="D153" s="83"/>
      <c r="E153" s="85"/>
      <c r="F153" s="46"/>
      <c r="G153" s="14" t="s">
        <v>11837</v>
      </c>
      <c r="H153" s="48"/>
      <c r="I153" s="50"/>
      <c r="J153" s="50"/>
      <c r="K153" t="s">
        <v>11838</v>
      </c>
    </row>
    <row r="154" spans="1:11" s="22" customFormat="1" ht="15.5">
      <c r="A154" s="33"/>
      <c r="B154" s="87"/>
      <c r="C154" s="86"/>
      <c r="D154" s="82" t="s">
        <v>11839</v>
      </c>
      <c r="E154" s="84" t="s">
        <v>11840</v>
      </c>
      <c r="F154" s="45" t="s">
        <v>16</v>
      </c>
      <c r="G154" s="14" t="s">
        <v>8541</v>
      </c>
      <c r="H154" s="47" t="s">
        <v>11841</v>
      </c>
      <c r="I154" s="49" t="s">
        <v>41</v>
      </c>
      <c r="J154" s="49" t="s">
        <v>11842</v>
      </c>
      <c r="K154" t="s">
        <v>11843</v>
      </c>
    </row>
    <row r="155" spans="1:11" s="22" customFormat="1" ht="15.5">
      <c r="A155" s="33"/>
      <c r="B155" s="87"/>
      <c r="C155" s="86"/>
      <c r="D155" s="83"/>
      <c r="E155" s="85"/>
      <c r="F155" s="46"/>
      <c r="G155" s="14" t="s">
        <v>11844</v>
      </c>
      <c r="H155" s="48"/>
      <c r="I155" s="50"/>
      <c r="J155" s="50"/>
      <c r="K155" t="s">
        <v>11845</v>
      </c>
    </row>
    <row r="156" spans="1:11" s="22" customFormat="1" ht="15.5">
      <c r="A156" s="33"/>
      <c r="B156" s="87"/>
      <c r="C156" s="86"/>
      <c r="D156" s="82" t="s">
        <v>11846</v>
      </c>
      <c r="E156" s="84" t="s">
        <v>11847</v>
      </c>
      <c r="F156" s="45" t="s">
        <v>16</v>
      </c>
      <c r="G156" s="14" t="s">
        <v>11848</v>
      </c>
      <c r="H156" s="47" t="s">
        <v>11849</v>
      </c>
      <c r="I156" s="49" t="s">
        <v>41</v>
      </c>
      <c r="J156" s="49" t="s">
        <v>11850</v>
      </c>
      <c r="K156" t="s">
        <v>11851</v>
      </c>
    </row>
    <row r="157" spans="1:11" s="22" customFormat="1" ht="15.5">
      <c r="A157" s="33"/>
      <c r="B157" s="87"/>
      <c r="C157" s="86"/>
      <c r="D157" s="83"/>
      <c r="E157" s="85"/>
      <c r="F157" s="46"/>
      <c r="G157" s="14" t="s">
        <v>11852</v>
      </c>
      <c r="H157" s="48"/>
      <c r="I157" s="50"/>
      <c r="J157" s="50"/>
      <c r="K157" t="s">
        <v>11853</v>
      </c>
    </row>
    <row r="158" spans="1:11" s="22" customFormat="1" ht="15.5">
      <c r="A158" s="33"/>
      <c r="B158" s="87"/>
      <c r="C158" s="86"/>
      <c r="D158" s="82" t="s">
        <v>11854</v>
      </c>
      <c r="E158" s="84" t="s">
        <v>11855</v>
      </c>
      <c r="F158" s="45" t="s">
        <v>16</v>
      </c>
      <c r="G158" s="14" t="s">
        <v>11856</v>
      </c>
      <c r="H158" s="47" t="s">
        <v>11857</v>
      </c>
      <c r="I158" s="49" t="s">
        <v>19</v>
      </c>
      <c r="J158" s="49" t="s">
        <v>11858</v>
      </c>
      <c r="K158" t="s">
        <v>11859</v>
      </c>
    </row>
    <row r="159" spans="1:11" s="22" customFormat="1" ht="15.5">
      <c r="A159" s="33"/>
      <c r="B159" s="87"/>
      <c r="C159" s="86"/>
      <c r="D159" s="83"/>
      <c r="E159" s="85"/>
      <c r="F159" s="46"/>
      <c r="G159" s="14" t="s">
        <v>11860</v>
      </c>
      <c r="H159" s="48"/>
      <c r="I159" s="50"/>
      <c r="J159" s="50"/>
      <c r="K159" t="s">
        <v>11861</v>
      </c>
    </row>
    <row r="160" spans="1:11" s="22" customFormat="1" ht="15.5">
      <c r="A160" s="33"/>
      <c r="B160" s="87"/>
      <c r="C160" s="86"/>
      <c r="D160" s="82" t="s">
        <v>11862</v>
      </c>
      <c r="E160" s="84" t="s">
        <v>11863</v>
      </c>
      <c r="F160" s="45" t="s">
        <v>16</v>
      </c>
      <c r="G160" s="14" t="s">
        <v>11864</v>
      </c>
      <c r="H160" s="47" t="s">
        <v>11865</v>
      </c>
      <c r="I160" s="49" t="s">
        <v>19</v>
      </c>
      <c r="J160" s="49" t="s">
        <v>11866</v>
      </c>
      <c r="K160" t="s">
        <v>11867</v>
      </c>
    </row>
    <row r="161" spans="1:11" s="22" customFormat="1" ht="15.5">
      <c r="A161" s="33"/>
      <c r="B161" s="87"/>
      <c r="C161" s="83"/>
      <c r="D161" s="83"/>
      <c r="E161" s="85"/>
      <c r="F161" s="46"/>
      <c r="G161" s="14" t="s">
        <v>11868</v>
      </c>
      <c r="H161" s="48"/>
      <c r="I161" s="50"/>
      <c r="J161" s="50"/>
      <c r="K161" t="s">
        <v>11869</v>
      </c>
    </row>
    <row r="162" spans="1:11" s="22" customFormat="1" ht="15.75" customHeight="1">
      <c r="A162" s="33"/>
      <c r="B162" s="87"/>
      <c r="C162" s="82" t="s">
        <v>11870</v>
      </c>
      <c r="D162" s="82" t="s">
        <v>11871</v>
      </c>
      <c r="E162" s="84" t="s">
        <v>11872</v>
      </c>
      <c r="F162" s="45" t="s">
        <v>16</v>
      </c>
      <c r="G162" s="14" t="s">
        <v>11873</v>
      </c>
      <c r="H162" s="47" t="s">
        <v>11874</v>
      </c>
      <c r="I162" s="49" t="s">
        <v>19</v>
      </c>
      <c r="J162" s="49" t="s">
        <v>11875</v>
      </c>
      <c r="K162" t="s">
        <v>11876</v>
      </c>
    </row>
    <row r="163" spans="1:11" s="22" customFormat="1" ht="15.5">
      <c r="A163" s="33"/>
      <c r="B163" s="87"/>
      <c r="C163" s="86"/>
      <c r="D163" s="83"/>
      <c r="E163" s="85"/>
      <c r="F163" s="46"/>
      <c r="G163" s="14" t="s">
        <v>11877</v>
      </c>
      <c r="H163" s="48"/>
      <c r="I163" s="50"/>
      <c r="J163" s="50"/>
      <c r="K163" t="s">
        <v>11878</v>
      </c>
    </row>
    <row r="164" spans="1:11" s="22" customFormat="1" ht="15.5">
      <c r="A164" s="33"/>
      <c r="B164" s="87"/>
      <c r="C164" s="86"/>
      <c r="D164" s="82" t="s">
        <v>11879</v>
      </c>
      <c r="E164" s="84" t="s">
        <v>11880</v>
      </c>
      <c r="F164" s="45" t="s">
        <v>16</v>
      </c>
      <c r="G164" s="14" t="s">
        <v>11881</v>
      </c>
      <c r="H164" s="47" t="s">
        <v>11882</v>
      </c>
      <c r="I164" s="49" t="s">
        <v>19</v>
      </c>
      <c r="J164" s="49" t="s">
        <v>11883</v>
      </c>
      <c r="K164" t="s">
        <v>11884</v>
      </c>
    </row>
    <row r="165" spans="1:11" s="22" customFormat="1" ht="15.5">
      <c r="A165" s="33"/>
      <c r="B165" s="87"/>
      <c r="C165" s="86"/>
      <c r="D165" s="83"/>
      <c r="E165" s="85"/>
      <c r="F165" s="46"/>
      <c r="G165" s="14" t="s">
        <v>11885</v>
      </c>
      <c r="H165" s="48"/>
      <c r="I165" s="50"/>
      <c r="J165" s="50"/>
      <c r="K165" t="s">
        <v>11886</v>
      </c>
    </row>
    <row r="166" spans="1:11" s="22" customFormat="1" ht="15.5">
      <c r="A166" s="33"/>
      <c r="B166" s="87"/>
      <c r="C166" s="86"/>
      <c r="D166" s="82" t="s">
        <v>11887</v>
      </c>
      <c r="E166" s="84" t="s">
        <v>11888</v>
      </c>
      <c r="F166" s="45" t="s">
        <v>38</v>
      </c>
      <c r="G166" s="14" t="s">
        <v>11889</v>
      </c>
      <c r="H166" s="47" t="s">
        <v>11890</v>
      </c>
      <c r="I166" s="49" t="s">
        <v>19</v>
      </c>
      <c r="J166" s="49" t="s">
        <v>11891</v>
      </c>
      <c r="K166" t="s">
        <v>11892</v>
      </c>
    </row>
    <row r="167" spans="1:11" s="22" customFormat="1" ht="15.5">
      <c r="A167" s="33"/>
      <c r="B167" s="87"/>
      <c r="C167" s="86"/>
      <c r="D167" s="83"/>
      <c r="E167" s="85"/>
      <c r="F167" s="46"/>
      <c r="G167" s="14" t="s">
        <v>11893</v>
      </c>
      <c r="H167" s="48"/>
      <c r="I167" s="50"/>
      <c r="J167" s="50"/>
      <c r="K167" t="s">
        <v>11894</v>
      </c>
    </row>
    <row r="168" spans="1:11" s="22" customFormat="1" ht="15.5">
      <c r="A168" s="33"/>
      <c r="B168" s="87"/>
      <c r="C168" s="86"/>
      <c r="D168" s="82" t="s">
        <v>11895</v>
      </c>
      <c r="E168" s="84" t="s">
        <v>11896</v>
      </c>
      <c r="F168" s="45" t="s">
        <v>38</v>
      </c>
      <c r="G168" s="14" t="s">
        <v>11897</v>
      </c>
      <c r="H168" s="47" t="s">
        <v>11898</v>
      </c>
      <c r="I168" s="49" t="s">
        <v>19</v>
      </c>
      <c r="J168" s="49" t="s">
        <v>11899</v>
      </c>
      <c r="K168" t="s">
        <v>11900</v>
      </c>
    </row>
    <row r="169" spans="1:11" s="22" customFormat="1" ht="15.5">
      <c r="A169" s="33"/>
      <c r="B169" s="87"/>
      <c r="C169" s="86"/>
      <c r="D169" s="83"/>
      <c r="E169" s="85"/>
      <c r="F169" s="46"/>
      <c r="G169" s="14" t="s">
        <v>11901</v>
      </c>
      <c r="H169" s="48"/>
      <c r="I169" s="50"/>
      <c r="J169" s="50"/>
      <c r="K169" t="s">
        <v>11902</v>
      </c>
    </row>
    <row r="170" spans="1:11" s="22" customFormat="1" ht="15.5">
      <c r="A170" s="33"/>
      <c r="B170" s="87"/>
      <c r="C170" s="86"/>
      <c r="D170" s="82" t="s">
        <v>11903</v>
      </c>
      <c r="E170" s="84" t="s">
        <v>11904</v>
      </c>
      <c r="F170" s="45" t="s">
        <v>16</v>
      </c>
      <c r="G170" s="14" t="s">
        <v>11905</v>
      </c>
      <c r="H170" s="47" t="s">
        <v>11906</v>
      </c>
      <c r="I170" s="49" t="s">
        <v>19</v>
      </c>
      <c r="J170" s="49" t="s">
        <v>11907</v>
      </c>
      <c r="K170" t="s">
        <v>11908</v>
      </c>
    </row>
    <row r="171" spans="1:11" s="22" customFormat="1" ht="15.5">
      <c r="A171" s="33"/>
      <c r="B171" s="87"/>
      <c r="C171" s="83"/>
      <c r="D171" s="83"/>
      <c r="E171" s="85"/>
      <c r="F171" s="46"/>
      <c r="G171" s="14" t="s">
        <v>11909</v>
      </c>
      <c r="H171" s="48"/>
      <c r="I171" s="50"/>
      <c r="J171" s="50"/>
      <c r="K171" t="s">
        <v>11910</v>
      </c>
    </row>
    <row r="172" spans="1:11" s="22" customFormat="1" ht="15.75" customHeight="1">
      <c r="A172" s="33"/>
      <c r="B172" s="87"/>
      <c r="C172" s="82" t="s">
        <v>11911</v>
      </c>
      <c r="D172" s="82" t="s">
        <v>11912</v>
      </c>
      <c r="E172" s="84" t="s">
        <v>11913</v>
      </c>
      <c r="F172" s="45" t="s">
        <v>16</v>
      </c>
      <c r="G172" s="14" t="s">
        <v>11914</v>
      </c>
      <c r="H172" s="47" t="s">
        <v>11915</v>
      </c>
      <c r="I172" s="49" t="s">
        <v>19</v>
      </c>
      <c r="J172" s="49" t="s">
        <v>11916</v>
      </c>
      <c r="K172" t="s">
        <v>11917</v>
      </c>
    </row>
    <row r="173" spans="1:11" s="22" customFormat="1" ht="15.5">
      <c r="A173" s="33"/>
      <c r="B173" s="87"/>
      <c r="C173" s="86"/>
      <c r="D173" s="83"/>
      <c r="E173" s="85"/>
      <c r="F173" s="46"/>
      <c r="G173" s="14" t="s">
        <v>11918</v>
      </c>
      <c r="H173" s="48"/>
      <c r="I173" s="50"/>
      <c r="J173" s="50"/>
      <c r="K173" t="s">
        <v>11919</v>
      </c>
    </row>
    <row r="174" spans="1:11" s="22" customFormat="1" ht="15.5">
      <c r="A174" s="33"/>
      <c r="B174" s="87"/>
      <c r="C174" s="86"/>
      <c r="D174" s="82" t="s">
        <v>11920</v>
      </c>
      <c r="E174" s="84" t="s">
        <v>11921</v>
      </c>
      <c r="F174" s="45" t="s">
        <v>200</v>
      </c>
      <c r="G174" s="14" t="s">
        <v>11922</v>
      </c>
      <c r="H174" s="47" t="s">
        <v>11923</v>
      </c>
      <c r="I174" s="49" t="s">
        <v>41</v>
      </c>
      <c r="J174" s="49" t="s">
        <v>11924</v>
      </c>
      <c r="K174" t="s">
        <v>11925</v>
      </c>
    </row>
    <row r="175" spans="1:11" s="22" customFormat="1" ht="15.5">
      <c r="A175" s="33"/>
      <c r="B175" s="87"/>
      <c r="C175" s="86"/>
      <c r="D175" s="83"/>
      <c r="E175" s="85"/>
      <c r="F175" s="46"/>
      <c r="G175" s="14" t="s">
        <v>11926</v>
      </c>
      <c r="H175" s="48"/>
      <c r="I175" s="50"/>
      <c r="J175" s="50"/>
      <c r="K175" t="s">
        <v>11927</v>
      </c>
    </row>
    <row r="176" spans="1:11" s="22" customFormat="1" ht="15.5">
      <c r="A176" s="33"/>
      <c r="B176" s="87"/>
      <c r="C176" s="86"/>
      <c r="D176" s="82" t="s">
        <v>11928</v>
      </c>
      <c r="E176" s="84" t="s">
        <v>11929</v>
      </c>
      <c r="F176" s="45" t="s">
        <v>38</v>
      </c>
      <c r="G176" s="14" t="s">
        <v>11930</v>
      </c>
      <c r="H176" s="47" t="s">
        <v>11931</v>
      </c>
      <c r="I176" s="49" t="s">
        <v>41</v>
      </c>
      <c r="J176" s="49" t="s">
        <v>11932</v>
      </c>
      <c r="K176" t="s">
        <v>11933</v>
      </c>
    </row>
    <row r="177" spans="1:11" s="22" customFormat="1" ht="15.5">
      <c r="A177" s="33"/>
      <c r="B177" s="87"/>
      <c r="C177" s="86"/>
      <c r="D177" s="83"/>
      <c r="E177" s="85"/>
      <c r="F177" s="46"/>
      <c r="G177" s="14" t="s">
        <v>11934</v>
      </c>
      <c r="H177" s="48"/>
      <c r="I177" s="50"/>
      <c r="J177" s="50"/>
      <c r="K177" t="s">
        <v>11935</v>
      </c>
    </row>
    <row r="178" spans="1:11" s="22" customFormat="1" ht="15.5">
      <c r="A178" s="33"/>
      <c r="B178" s="87"/>
      <c r="C178" s="86"/>
      <c r="D178" s="82" t="s">
        <v>11936</v>
      </c>
      <c r="E178" s="84" t="s">
        <v>11937</v>
      </c>
      <c r="F178" s="45" t="s">
        <v>16</v>
      </c>
      <c r="G178" s="14" t="s">
        <v>11938</v>
      </c>
      <c r="H178" s="47" t="s">
        <v>11939</v>
      </c>
      <c r="I178" s="49" t="s">
        <v>41</v>
      </c>
      <c r="J178" s="49" t="s">
        <v>11940</v>
      </c>
      <c r="K178" t="s">
        <v>11941</v>
      </c>
    </row>
    <row r="179" spans="1:11" s="22" customFormat="1" ht="15.5">
      <c r="A179" s="33"/>
      <c r="B179" s="87"/>
      <c r="C179" s="86"/>
      <c r="D179" s="83"/>
      <c r="E179" s="85"/>
      <c r="F179" s="46"/>
      <c r="G179" s="14" t="s">
        <v>11942</v>
      </c>
      <c r="H179" s="48"/>
      <c r="I179" s="50"/>
      <c r="J179" s="50"/>
      <c r="K179" t="s">
        <v>11943</v>
      </c>
    </row>
    <row r="180" spans="1:11" s="22" customFormat="1" ht="15.5">
      <c r="A180" s="33"/>
      <c r="B180" s="87"/>
      <c r="C180" s="86"/>
      <c r="D180" s="82" t="s">
        <v>11944</v>
      </c>
      <c r="E180" s="84" t="s">
        <v>11945</v>
      </c>
      <c r="F180" s="45" t="s">
        <v>38</v>
      </c>
      <c r="G180" s="14" t="s">
        <v>11946</v>
      </c>
      <c r="H180" s="47" t="s">
        <v>11947</v>
      </c>
      <c r="I180" s="49" t="s">
        <v>41</v>
      </c>
      <c r="J180" s="49" t="s">
        <v>11948</v>
      </c>
      <c r="K180" t="s">
        <v>11949</v>
      </c>
    </row>
    <row r="181" spans="1:11" s="22" customFormat="1" ht="15.5">
      <c r="A181" s="33"/>
      <c r="B181" s="87"/>
      <c r="C181" s="83"/>
      <c r="D181" s="83"/>
      <c r="E181" s="85"/>
      <c r="F181" s="46"/>
      <c r="G181" s="14" t="s">
        <v>11950</v>
      </c>
      <c r="H181" s="48"/>
      <c r="I181" s="50"/>
      <c r="J181" s="50"/>
      <c r="K181" t="s">
        <v>11951</v>
      </c>
    </row>
    <row r="182" spans="1:11" s="22" customFormat="1" ht="15.75" customHeight="1">
      <c r="A182" s="33"/>
      <c r="B182" s="87"/>
      <c r="C182" s="82" t="s">
        <v>11952</v>
      </c>
      <c r="D182" s="82" t="s">
        <v>11953</v>
      </c>
      <c r="E182" s="84" t="s">
        <v>11954</v>
      </c>
      <c r="F182" s="45" t="s">
        <v>16</v>
      </c>
      <c r="G182" s="14" t="s">
        <v>11955</v>
      </c>
      <c r="H182" s="47" t="s">
        <v>11956</v>
      </c>
      <c r="I182" s="49" t="s">
        <v>19</v>
      </c>
      <c r="J182" s="49" t="s">
        <v>11957</v>
      </c>
      <c r="K182" t="s">
        <v>11958</v>
      </c>
    </row>
    <row r="183" spans="1:11" s="22" customFormat="1" ht="15.5">
      <c r="A183" s="33"/>
      <c r="B183" s="87"/>
      <c r="C183" s="86"/>
      <c r="D183" s="83"/>
      <c r="E183" s="85"/>
      <c r="F183" s="46"/>
      <c r="G183" s="14" t="s">
        <v>11959</v>
      </c>
      <c r="H183" s="48"/>
      <c r="I183" s="50"/>
      <c r="J183" s="50"/>
      <c r="K183" t="s">
        <v>11960</v>
      </c>
    </row>
    <row r="184" spans="1:11" s="22" customFormat="1" ht="15.5">
      <c r="A184" s="33"/>
      <c r="B184" s="87"/>
      <c r="C184" s="86"/>
      <c r="D184" s="82" t="s">
        <v>11961</v>
      </c>
      <c r="E184" s="84" t="s">
        <v>11962</v>
      </c>
      <c r="F184" s="45" t="s">
        <v>16</v>
      </c>
      <c r="G184" s="14" t="s">
        <v>11963</v>
      </c>
      <c r="H184" s="47" t="s">
        <v>11964</v>
      </c>
      <c r="I184" s="49" t="s">
        <v>19</v>
      </c>
      <c r="J184" s="49" t="s">
        <v>11965</v>
      </c>
      <c r="K184" t="s">
        <v>11966</v>
      </c>
    </row>
    <row r="185" spans="1:11" s="22" customFormat="1" ht="15.5">
      <c r="A185" s="33"/>
      <c r="B185" s="87"/>
      <c r="C185" s="86"/>
      <c r="D185" s="83"/>
      <c r="E185" s="85"/>
      <c r="F185" s="46"/>
      <c r="G185" s="14" t="s">
        <v>10574</v>
      </c>
      <c r="H185" s="48"/>
      <c r="I185" s="50"/>
      <c r="J185" s="50"/>
      <c r="K185" t="s">
        <v>11967</v>
      </c>
    </row>
    <row r="186" spans="1:11" s="22" customFormat="1" ht="15.5">
      <c r="A186" s="33"/>
      <c r="B186" s="87"/>
      <c r="C186" s="86"/>
      <c r="D186" s="82" t="s">
        <v>11968</v>
      </c>
      <c r="E186" s="84" t="s">
        <v>11969</v>
      </c>
      <c r="F186" s="45" t="s">
        <v>38</v>
      </c>
      <c r="G186" s="14" t="s">
        <v>9935</v>
      </c>
      <c r="H186" s="47" t="s">
        <v>11970</v>
      </c>
      <c r="I186" s="49" t="s">
        <v>19</v>
      </c>
      <c r="J186" s="49" t="s">
        <v>11971</v>
      </c>
      <c r="K186" t="s">
        <v>11972</v>
      </c>
    </row>
    <row r="187" spans="1:11" s="22" customFormat="1" ht="15.5">
      <c r="A187" s="33"/>
      <c r="B187" s="87"/>
      <c r="C187" s="86"/>
      <c r="D187" s="83"/>
      <c r="E187" s="85"/>
      <c r="F187" s="46"/>
      <c r="G187" s="14" t="s">
        <v>11973</v>
      </c>
      <c r="H187" s="48"/>
      <c r="I187" s="50"/>
      <c r="J187" s="50"/>
      <c r="K187" t="s">
        <v>11974</v>
      </c>
    </row>
    <row r="188" spans="1:11" s="22" customFormat="1" ht="15.5">
      <c r="A188" s="33"/>
      <c r="B188" s="87"/>
      <c r="C188" s="86"/>
      <c r="D188" s="82" t="s">
        <v>11975</v>
      </c>
      <c r="E188" s="84" t="s">
        <v>11976</v>
      </c>
      <c r="F188" s="45" t="s">
        <v>200</v>
      </c>
      <c r="G188" s="14" t="s">
        <v>11977</v>
      </c>
      <c r="H188" s="47" t="s">
        <v>11978</v>
      </c>
      <c r="I188" s="49" t="s">
        <v>19</v>
      </c>
      <c r="J188" s="49" t="s">
        <v>11979</v>
      </c>
      <c r="K188" t="s">
        <v>11980</v>
      </c>
    </row>
    <row r="189" spans="1:11" s="22" customFormat="1" ht="15.5">
      <c r="A189" s="33"/>
      <c r="B189" s="87"/>
      <c r="C189" s="86"/>
      <c r="D189" s="83"/>
      <c r="E189" s="85"/>
      <c r="F189" s="46"/>
      <c r="G189" s="14" t="s">
        <v>11981</v>
      </c>
      <c r="H189" s="48"/>
      <c r="I189" s="50"/>
      <c r="J189" s="50"/>
      <c r="K189" t="s">
        <v>11982</v>
      </c>
    </row>
    <row r="190" spans="1:11" s="22" customFormat="1" ht="15.5">
      <c r="A190" s="33"/>
      <c r="B190" s="87"/>
      <c r="C190" s="86"/>
      <c r="D190" s="82" t="s">
        <v>11983</v>
      </c>
      <c r="E190" s="84" t="s">
        <v>11984</v>
      </c>
      <c r="F190" s="45" t="s">
        <v>38</v>
      </c>
      <c r="G190" s="14" t="s">
        <v>11985</v>
      </c>
      <c r="H190" s="47" t="s">
        <v>11986</v>
      </c>
      <c r="I190" s="49" t="s">
        <v>19</v>
      </c>
      <c r="J190" s="49" t="s">
        <v>11987</v>
      </c>
      <c r="K190" t="s">
        <v>11988</v>
      </c>
    </row>
    <row r="191" spans="1:11" s="22" customFormat="1" ht="15.5">
      <c r="A191" s="33"/>
      <c r="B191" s="87"/>
      <c r="C191" s="83"/>
      <c r="D191" s="83"/>
      <c r="E191" s="85"/>
      <c r="F191" s="46"/>
      <c r="G191" s="14" t="s">
        <v>9795</v>
      </c>
      <c r="H191" s="48"/>
      <c r="I191" s="50"/>
      <c r="J191" s="50"/>
      <c r="K191" t="s">
        <v>11989</v>
      </c>
    </row>
    <row r="192" spans="1:11" s="22" customFormat="1" ht="15.75" customHeight="1">
      <c r="A192" s="33"/>
      <c r="B192" s="87"/>
      <c r="C192" s="82" t="s">
        <v>11990</v>
      </c>
      <c r="D192" s="82" t="s">
        <v>11991</v>
      </c>
      <c r="E192" s="84" t="s">
        <v>11992</v>
      </c>
      <c r="F192" s="45" t="s">
        <v>16</v>
      </c>
      <c r="G192" s="14" t="s">
        <v>11993</v>
      </c>
      <c r="H192" s="47" t="s">
        <v>11994</v>
      </c>
      <c r="I192" s="49" t="s">
        <v>19</v>
      </c>
      <c r="J192" s="49" t="s">
        <v>11995</v>
      </c>
      <c r="K192" t="s">
        <v>11996</v>
      </c>
    </row>
    <row r="193" spans="1:11" s="22" customFormat="1" ht="15.5">
      <c r="A193" s="33"/>
      <c r="B193" s="87"/>
      <c r="C193" s="86"/>
      <c r="D193" s="83"/>
      <c r="E193" s="85"/>
      <c r="F193" s="46"/>
      <c r="G193" s="14" t="s">
        <v>11997</v>
      </c>
      <c r="H193" s="48"/>
      <c r="I193" s="50"/>
      <c r="J193" s="50"/>
      <c r="K193" t="s">
        <v>11998</v>
      </c>
    </row>
    <row r="194" spans="1:11" s="22" customFormat="1" ht="15.5">
      <c r="A194" s="33"/>
      <c r="B194" s="87"/>
      <c r="C194" s="86"/>
      <c r="D194" s="82" t="s">
        <v>11999</v>
      </c>
      <c r="E194" s="84" t="s">
        <v>12000</v>
      </c>
      <c r="F194" s="45" t="s">
        <v>16</v>
      </c>
      <c r="G194" s="14" t="s">
        <v>12001</v>
      </c>
      <c r="H194" s="47" t="s">
        <v>12002</v>
      </c>
      <c r="I194" s="49" t="s">
        <v>41</v>
      </c>
      <c r="J194" s="49" t="s">
        <v>12003</v>
      </c>
      <c r="K194" t="s">
        <v>12004</v>
      </c>
    </row>
    <row r="195" spans="1:11" s="22" customFormat="1" ht="15.5">
      <c r="A195" s="33"/>
      <c r="B195" s="87"/>
      <c r="C195" s="86"/>
      <c r="D195" s="83"/>
      <c r="E195" s="85"/>
      <c r="F195" s="46"/>
      <c r="G195" s="14" t="s">
        <v>12005</v>
      </c>
      <c r="H195" s="48"/>
      <c r="I195" s="50"/>
      <c r="J195" s="50"/>
      <c r="K195" t="s">
        <v>12006</v>
      </c>
    </row>
    <row r="196" spans="1:11" s="22" customFormat="1" ht="15.5">
      <c r="A196" s="33"/>
      <c r="B196" s="87"/>
      <c r="C196" s="86"/>
      <c r="D196" s="82" t="s">
        <v>12007</v>
      </c>
      <c r="E196" s="49" t="s">
        <v>12008</v>
      </c>
      <c r="F196" s="45" t="s">
        <v>38</v>
      </c>
      <c r="G196" s="14" t="s">
        <v>8541</v>
      </c>
      <c r="H196" s="47" t="s">
        <v>12009</v>
      </c>
      <c r="I196" s="49" t="s">
        <v>19</v>
      </c>
      <c r="J196" s="49" t="s">
        <v>12010</v>
      </c>
      <c r="K196" t="s">
        <v>12011</v>
      </c>
    </row>
    <row r="197" spans="1:11" s="22" customFormat="1" ht="15.5">
      <c r="A197" s="33"/>
      <c r="B197" s="87"/>
      <c r="C197" s="86"/>
      <c r="D197" s="83"/>
      <c r="E197" s="50"/>
      <c r="F197" s="46"/>
      <c r="G197" s="14" t="s">
        <v>12012</v>
      </c>
      <c r="H197" s="48"/>
      <c r="I197" s="50"/>
      <c r="J197" s="50"/>
      <c r="K197" t="s">
        <v>12013</v>
      </c>
    </row>
    <row r="198" spans="1:11" s="22" customFormat="1" ht="15.5">
      <c r="A198" s="33"/>
      <c r="B198" s="87"/>
      <c r="C198" s="86"/>
      <c r="D198" s="82" t="s">
        <v>12014</v>
      </c>
      <c r="E198" s="84" t="s">
        <v>12015</v>
      </c>
      <c r="F198" s="45" t="s">
        <v>200</v>
      </c>
      <c r="G198" s="14" t="s">
        <v>12016</v>
      </c>
      <c r="H198" s="47" t="s">
        <v>9856</v>
      </c>
      <c r="I198" s="49" t="s">
        <v>19</v>
      </c>
      <c r="J198" s="49" t="s">
        <v>12017</v>
      </c>
      <c r="K198" t="s">
        <v>12018</v>
      </c>
    </row>
    <row r="199" spans="1:11" s="22" customFormat="1" ht="15.5">
      <c r="A199" s="33"/>
      <c r="B199" s="87"/>
      <c r="C199" s="86"/>
      <c r="D199" s="83"/>
      <c r="E199" s="85"/>
      <c r="F199" s="46"/>
      <c r="G199" s="14" t="s">
        <v>12019</v>
      </c>
      <c r="H199" s="48"/>
      <c r="I199" s="50"/>
      <c r="J199" s="50"/>
      <c r="K199" t="s">
        <v>12020</v>
      </c>
    </row>
    <row r="200" spans="1:11" s="22" customFormat="1" ht="15.5">
      <c r="A200" s="33"/>
      <c r="B200" s="87"/>
      <c r="C200" s="86"/>
      <c r="D200" s="55" t="s">
        <v>12021</v>
      </c>
      <c r="E200" s="84" t="s">
        <v>12022</v>
      </c>
      <c r="F200" s="45" t="s">
        <v>200</v>
      </c>
      <c r="G200" s="14" t="s">
        <v>12023</v>
      </c>
      <c r="H200" s="47" t="s">
        <v>12024</v>
      </c>
      <c r="I200" s="49" t="s">
        <v>41</v>
      </c>
      <c r="J200" s="49" t="s">
        <v>12025</v>
      </c>
      <c r="K200" t="s">
        <v>12026</v>
      </c>
    </row>
    <row r="201" spans="1:11" s="22" customFormat="1" ht="15.5">
      <c r="A201" s="33"/>
      <c r="B201" s="87"/>
      <c r="C201" s="83"/>
      <c r="D201" s="56"/>
      <c r="E201" s="85"/>
      <c r="F201" s="46"/>
      <c r="G201" s="14" t="s">
        <v>12027</v>
      </c>
      <c r="H201" s="48"/>
      <c r="I201" s="50"/>
      <c r="J201" s="50"/>
      <c r="K201" t="s">
        <v>12028</v>
      </c>
    </row>
    <row r="202" spans="1:11" s="22" customFormat="1" ht="15.75" customHeight="1">
      <c r="A202" s="33"/>
      <c r="B202" s="87"/>
      <c r="C202" s="82" t="s">
        <v>12029</v>
      </c>
      <c r="D202" s="82" t="s">
        <v>12030</v>
      </c>
      <c r="E202" s="84" t="s">
        <v>12031</v>
      </c>
      <c r="F202" s="45" t="s">
        <v>38</v>
      </c>
      <c r="G202" s="14" t="s">
        <v>11524</v>
      </c>
      <c r="H202" s="47" t="s">
        <v>12032</v>
      </c>
      <c r="I202" s="49" t="s">
        <v>41</v>
      </c>
      <c r="J202" s="49" t="s">
        <v>12033</v>
      </c>
      <c r="K202" t="s">
        <v>12034</v>
      </c>
    </row>
    <row r="203" spans="1:11" s="22" customFormat="1" ht="15.5">
      <c r="A203" s="33"/>
      <c r="B203" s="87"/>
      <c r="C203" s="86"/>
      <c r="D203" s="83"/>
      <c r="E203" s="85"/>
      <c r="F203" s="46"/>
      <c r="G203" s="14" t="s">
        <v>8715</v>
      </c>
      <c r="H203" s="48"/>
      <c r="I203" s="50"/>
      <c r="J203" s="50"/>
      <c r="K203" t="s">
        <v>12035</v>
      </c>
    </row>
    <row r="204" spans="1:11" s="22" customFormat="1" ht="15.5">
      <c r="A204" s="33"/>
      <c r="B204" s="87"/>
      <c r="C204" s="86"/>
      <c r="D204" s="82" t="s">
        <v>12036</v>
      </c>
      <c r="E204" s="84" t="s">
        <v>12037</v>
      </c>
      <c r="F204" s="45" t="s">
        <v>16</v>
      </c>
      <c r="G204" s="14" t="s">
        <v>9935</v>
      </c>
      <c r="H204" s="47" t="s">
        <v>12038</v>
      </c>
      <c r="I204" s="49" t="s">
        <v>19</v>
      </c>
      <c r="J204" s="49" t="s">
        <v>12039</v>
      </c>
      <c r="K204" t="s">
        <v>12040</v>
      </c>
    </row>
    <row r="205" spans="1:11" s="22" customFormat="1" ht="15.5">
      <c r="A205" s="33"/>
      <c r="B205" s="87"/>
      <c r="C205" s="86"/>
      <c r="D205" s="83"/>
      <c r="E205" s="85"/>
      <c r="F205" s="46"/>
      <c r="G205" s="14" t="s">
        <v>12041</v>
      </c>
      <c r="H205" s="48"/>
      <c r="I205" s="50"/>
      <c r="J205" s="50"/>
      <c r="K205" t="s">
        <v>12042</v>
      </c>
    </row>
    <row r="206" spans="1:11" s="22" customFormat="1" ht="15.5">
      <c r="A206" s="33"/>
      <c r="B206" s="87"/>
      <c r="C206" s="86"/>
      <c r="D206" s="82" t="s">
        <v>12043</v>
      </c>
      <c r="E206" s="84" t="s">
        <v>12044</v>
      </c>
      <c r="F206" s="45" t="s">
        <v>16</v>
      </c>
      <c r="G206" s="14" t="s">
        <v>12045</v>
      </c>
      <c r="H206" s="47" t="s">
        <v>3904</v>
      </c>
      <c r="I206" s="49" t="s">
        <v>19</v>
      </c>
      <c r="J206" s="49" t="s">
        <v>12046</v>
      </c>
      <c r="K206" t="s">
        <v>12047</v>
      </c>
    </row>
    <row r="207" spans="1:11" s="22" customFormat="1" ht="15.5">
      <c r="A207" s="33"/>
      <c r="B207" s="87"/>
      <c r="C207" s="86"/>
      <c r="D207" s="83"/>
      <c r="E207" s="85"/>
      <c r="F207" s="46"/>
      <c r="G207" s="14" t="s">
        <v>9956</v>
      </c>
      <c r="H207" s="48"/>
      <c r="I207" s="50"/>
      <c r="J207" s="50"/>
      <c r="K207" t="s">
        <v>12048</v>
      </c>
    </row>
    <row r="208" spans="1:11" s="22" customFormat="1" ht="15.5">
      <c r="A208" s="33"/>
      <c r="B208" s="87"/>
      <c r="C208" s="86"/>
      <c r="D208" s="82" t="s">
        <v>12049</v>
      </c>
      <c r="E208" s="84" t="s">
        <v>12050</v>
      </c>
      <c r="F208" s="45" t="s">
        <v>38</v>
      </c>
      <c r="G208" s="14" t="s">
        <v>12051</v>
      </c>
      <c r="H208" s="47" t="s">
        <v>12052</v>
      </c>
      <c r="I208" s="49" t="s">
        <v>19</v>
      </c>
      <c r="J208" s="49" t="s">
        <v>12053</v>
      </c>
      <c r="K208" t="s">
        <v>12054</v>
      </c>
    </row>
    <row r="209" spans="1:11" s="22" customFormat="1" ht="15.5">
      <c r="A209" s="33"/>
      <c r="B209" s="87"/>
      <c r="C209" s="86"/>
      <c r="D209" s="83"/>
      <c r="E209" s="85"/>
      <c r="F209" s="46"/>
      <c r="G209" s="14" t="s">
        <v>12055</v>
      </c>
      <c r="H209" s="48"/>
      <c r="I209" s="50"/>
      <c r="J209" s="50"/>
      <c r="K209" t="s">
        <v>12056</v>
      </c>
    </row>
    <row r="210" spans="1:11" s="22" customFormat="1" ht="15.5">
      <c r="A210" s="33"/>
      <c r="B210" s="87"/>
      <c r="C210" s="86"/>
      <c r="D210" s="88" t="s">
        <v>12057</v>
      </c>
      <c r="E210" s="84" t="s">
        <v>12058</v>
      </c>
      <c r="F210" s="45" t="s">
        <v>16</v>
      </c>
      <c r="G210" s="14" t="s">
        <v>11181</v>
      </c>
      <c r="H210" s="47" t="s">
        <v>12059</v>
      </c>
      <c r="I210" s="49" t="s">
        <v>41</v>
      </c>
      <c r="J210" s="49" t="s">
        <v>12060</v>
      </c>
      <c r="K210" t="s">
        <v>12061</v>
      </c>
    </row>
    <row r="211" spans="1:11" s="22" customFormat="1" ht="15.5">
      <c r="A211" s="33"/>
      <c r="B211" s="87"/>
      <c r="C211" s="83"/>
      <c r="D211" s="89"/>
      <c r="E211" s="85"/>
      <c r="F211" s="46"/>
      <c r="G211" s="14" t="s">
        <v>12062</v>
      </c>
      <c r="H211" s="48"/>
      <c r="I211" s="50"/>
      <c r="J211" s="50"/>
      <c r="K211" t="s">
        <v>12063</v>
      </c>
    </row>
    <row r="212" spans="1:11" s="22" customFormat="1" ht="15.75" customHeight="1">
      <c r="A212" s="33"/>
      <c r="B212" s="49" t="s">
        <v>12064</v>
      </c>
      <c r="C212" s="82" t="s">
        <v>12065</v>
      </c>
      <c r="D212" s="82" t="s">
        <v>12066</v>
      </c>
      <c r="E212" s="84" t="s">
        <v>12067</v>
      </c>
      <c r="F212" s="45" t="s">
        <v>38</v>
      </c>
      <c r="G212" s="14" t="s">
        <v>12068</v>
      </c>
      <c r="H212" s="47" t="s">
        <v>12069</v>
      </c>
      <c r="I212" s="49" t="s">
        <v>41</v>
      </c>
      <c r="J212" s="49" t="s">
        <v>12070</v>
      </c>
      <c r="K212" t="s">
        <v>12071</v>
      </c>
    </row>
    <row r="213" spans="1:11" s="22" customFormat="1" ht="15.5">
      <c r="A213" s="33"/>
      <c r="B213" s="87"/>
      <c r="C213" s="86"/>
      <c r="D213" s="83"/>
      <c r="E213" s="85"/>
      <c r="F213" s="46"/>
      <c r="G213" s="14" t="s">
        <v>12072</v>
      </c>
      <c r="H213" s="48"/>
      <c r="I213" s="50"/>
      <c r="J213" s="50"/>
      <c r="K213" t="s">
        <v>12073</v>
      </c>
    </row>
    <row r="214" spans="1:11" s="22" customFormat="1" ht="15.5">
      <c r="A214" s="33"/>
      <c r="B214" s="87"/>
      <c r="C214" s="86"/>
      <c r="D214" s="82" t="s">
        <v>12074</v>
      </c>
      <c r="E214" s="84" t="s">
        <v>12075</v>
      </c>
      <c r="F214" s="45" t="s">
        <v>16</v>
      </c>
      <c r="G214" s="14" t="s">
        <v>8737</v>
      </c>
      <c r="H214" s="47" t="s">
        <v>12076</v>
      </c>
      <c r="I214" s="49" t="s">
        <v>19</v>
      </c>
      <c r="J214" s="49" t="s">
        <v>12077</v>
      </c>
      <c r="K214" t="s">
        <v>12078</v>
      </c>
    </row>
    <row r="215" spans="1:11" s="22" customFormat="1" ht="15.5">
      <c r="A215" s="33"/>
      <c r="B215" s="87"/>
      <c r="C215" s="86"/>
      <c r="D215" s="83"/>
      <c r="E215" s="85"/>
      <c r="F215" s="46"/>
      <c r="G215" s="14" t="s">
        <v>12079</v>
      </c>
      <c r="H215" s="48"/>
      <c r="I215" s="50"/>
      <c r="J215" s="50"/>
      <c r="K215" t="s">
        <v>12080</v>
      </c>
    </row>
    <row r="216" spans="1:11" s="22" customFormat="1" ht="15.5">
      <c r="A216" s="33"/>
      <c r="B216" s="87"/>
      <c r="C216" s="86"/>
      <c r="D216" s="82" t="s">
        <v>12081</v>
      </c>
      <c r="E216" s="84" t="s">
        <v>12082</v>
      </c>
      <c r="F216" s="45" t="s">
        <v>38</v>
      </c>
      <c r="G216" s="14" t="s">
        <v>12083</v>
      </c>
      <c r="H216" s="47" t="s">
        <v>12084</v>
      </c>
      <c r="I216" s="49" t="s">
        <v>41</v>
      </c>
      <c r="J216" s="49" t="s">
        <v>12085</v>
      </c>
      <c r="K216" t="s">
        <v>12086</v>
      </c>
    </row>
    <row r="217" spans="1:11" s="22" customFormat="1" ht="15.5">
      <c r="A217" s="33"/>
      <c r="B217" s="87"/>
      <c r="C217" s="86"/>
      <c r="D217" s="83"/>
      <c r="E217" s="85"/>
      <c r="F217" s="46"/>
      <c r="G217" s="14" t="s">
        <v>12087</v>
      </c>
      <c r="H217" s="48"/>
      <c r="I217" s="50"/>
      <c r="J217" s="50"/>
      <c r="K217" t="s">
        <v>12088</v>
      </c>
    </row>
    <row r="218" spans="1:11" s="22" customFormat="1" ht="15.5">
      <c r="A218" s="33"/>
      <c r="B218" s="87"/>
      <c r="C218" s="86"/>
      <c r="D218" s="82" t="s">
        <v>12089</v>
      </c>
      <c r="E218" s="84" t="s">
        <v>12090</v>
      </c>
      <c r="F218" s="45" t="s">
        <v>16</v>
      </c>
      <c r="G218" s="14" t="s">
        <v>12091</v>
      </c>
      <c r="H218" s="47" t="s">
        <v>12092</v>
      </c>
      <c r="I218" s="49" t="s">
        <v>19</v>
      </c>
      <c r="J218" s="49" t="s">
        <v>12093</v>
      </c>
      <c r="K218" t="s">
        <v>12094</v>
      </c>
    </row>
    <row r="219" spans="1:11" s="22" customFormat="1" ht="15.5">
      <c r="A219" s="33"/>
      <c r="B219" s="87"/>
      <c r="C219" s="86"/>
      <c r="D219" s="83"/>
      <c r="E219" s="85"/>
      <c r="F219" s="46"/>
      <c r="G219" s="14" t="s">
        <v>12095</v>
      </c>
      <c r="H219" s="48"/>
      <c r="I219" s="50"/>
      <c r="J219" s="50"/>
      <c r="K219" t="s">
        <v>12096</v>
      </c>
    </row>
    <row r="220" spans="1:11" s="22" customFormat="1" ht="15.5">
      <c r="A220" s="33"/>
      <c r="B220" s="87"/>
      <c r="C220" s="86"/>
      <c r="D220" s="82" t="s">
        <v>12097</v>
      </c>
      <c r="E220" s="84" t="s">
        <v>12098</v>
      </c>
      <c r="F220" s="45" t="s">
        <v>38</v>
      </c>
      <c r="G220" s="14" t="s">
        <v>12099</v>
      </c>
      <c r="H220" s="47" t="s">
        <v>12100</v>
      </c>
      <c r="I220" s="49" t="s">
        <v>41</v>
      </c>
      <c r="J220" s="49" t="s">
        <v>12101</v>
      </c>
      <c r="K220" t="s">
        <v>12102</v>
      </c>
    </row>
    <row r="221" spans="1:11" s="22" customFormat="1" ht="15.5">
      <c r="A221" s="33"/>
      <c r="B221" s="87"/>
      <c r="C221" s="83"/>
      <c r="D221" s="83"/>
      <c r="E221" s="85"/>
      <c r="F221" s="46"/>
      <c r="G221" s="14" t="s">
        <v>12103</v>
      </c>
      <c r="H221" s="48"/>
      <c r="I221" s="50"/>
      <c r="J221" s="50"/>
      <c r="K221" t="s">
        <v>12104</v>
      </c>
    </row>
    <row r="222" spans="1:11" s="22" customFormat="1" ht="15.75" customHeight="1">
      <c r="A222" s="33"/>
      <c r="B222" s="87"/>
      <c r="C222" s="82" t="s">
        <v>12105</v>
      </c>
      <c r="D222" s="82" t="s">
        <v>12106</v>
      </c>
      <c r="E222" s="84" t="s">
        <v>12107</v>
      </c>
      <c r="F222" s="45" t="s">
        <v>200</v>
      </c>
      <c r="G222" s="14" t="s">
        <v>12108</v>
      </c>
      <c r="H222" s="47" t="s">
        <v>12109</v>
      </c>
      <c r="I222" s="49" t="s">
        <v>19</v>
      </c>
      <c r="J222" s="49" t="s">
        <v>12110</v>
      </c>
      <c r="K222" t="s">
        <v>12111</v>
      </c>
    </row>
    <row r="223" spans="1:11" s="22" customFormat="1" ht="15.5">
      <c r="A223" s="33"/>
      <c r="B223" s="87"/>
      <c r="C223" s="86"/>
      <c r="D223" s="83"/>
      <c r="E223" s="85"/>
      <c r="F223" s="46"/>
      <c r="G223" s="14" t="s">
        <v>12112</v>
      </c>
      <c r="H223" s="48"/>
      <c r="I223" s="50"/>
      <c r="J223" s="50"/>
      <c r="K223" t="s">
        <v>12113</v>
      </c>
    </row>
    <row r="224" spans="1:11" s="22" customFormat="1" ht="15.5">
      <c r="A224" s="33"/>
      <c r="B224" s="87"/>
      <c r="C224" s="86"/>
      <c r="D224" s="82" t="s">
        <v>12114</v>
      </c>
      <c r="E224" s="84" t="s">
        <v>12115</v>
      </c>
      <c r="F224" s="45" t="s">
        <v>200</v>
      </c>
      <c r="G224" s="14" t="s">
        <v>12116</v>
      </c>
      <c r="H224" s="47" t="s">
        <v>12117</v>
      </c>
      <c r="I224" s="49" t="s">
        <v>41</v>
      </c>
      <c r="J224" s="49" t="s">
        <v>12118</v>
      </c>
      <c r="K224" t="s">
        <v>12119</v>
      </c>
    </row>
    <row r="225" spans="1:11" s="22" customFormat="1" ht="15.5">
      <c r="A225" s="33"/>
      <c r="B225" s="87"/>
      <c r="C225" s="86"/>
      <c r="D225" s="83"/>
      <c r="E225" s="85"/>
      <c r="F225" s="46"/>
      <c r="G225" s="14" t="s">
        <v>12120</v>
      </c>
      <c r="H225" s="48"/>
      <c r="I225" s="50"/>
      <c r="J225" s="50"/>
      <c r="K225" t="s">
        <v>12121</v>
      </c>
    </row>
    <row r="226" spans="1:11" s="22" customFormat="1" ht="15.5">
      <c r="A226" s="33"/>
      <c r="B226" s="87"/>
      <c r="C226" s="86"/>
      <c r="D226" s="82" t="s">
        <v>12122</v>
      </c>
      <c r="E226" s="84" t="s">
        <v>12123</v>
      </c>
      <c r="F226" s="45" t="s">
        <v>38</v>
      </c>
      <c r="G226" s="14" t="s">
        <v>12124</v>
      </c>
      <c r="H226" s="47" t="s">
        <v>12125</v>
      </c>
      <c r="I226" s="49" t="s">
        <v>19</v>
      </c>
      <c r="J226" s="49" t="s">
        <v>12126</v>
      </c>
      <c r="K226" t="s">
        <v>12127</v>
      </c>
    </row>
    <row r="227" spans="1:11" s="22" customFormat="1" ht="15.5">
      <c r="A227" s="33"/>
      <c r="B227" s="87"/>
      <c r="C227" s="86"/>
      <c r="D227" s="83"/>
      <c r="E227" s="85"/>
      <c r="F227" s="46"/>
      <c r="G227" s="14" t="s">
        <v>9907</v>
      </c>
      <c r="H227" s="48"/>
      <c r="I227" s="50"/>
      <c r="J227" s="50"/>
      <c r="K227" t="s">
        <v>12128</v>
      </c>
    </row>
    <row r="228" spans="1:11" s="22" customFormat="1" ht="15.5">
      <c r="A228" s="33"/>
      <c r="B228" s="87"/>
      <c r="C228" s="86"/>
      <c r="D228" s="82" t="s">
        <v>12129</v>
      </c>
      <c r="E228" s="84" t="s">
        <v>12130</v>
      </c>
      <c r="F228" s="45" t="s">
        <v>16</v>
      </c>
      <c r="G228" s="14" t="s">
        <v>10962</v>
      </c>
      <c r="H228" s="47" t="s">
        <v>12131</v>
      </c>
      <c r="I228" s="49" t="s">
        <v>19</v>
      </c>
      <c r="J228" s="49" t="s">
        <v>12132</v>
      </c>
      <c r="K228" t="s">
        <v>12133</v>
      </c>
    </row>
    <row r="229" spans="1:11" s="22" customFormat="1" ht="15.5">
      <c r="A229" s="33"/>
      <c r="B229" s="87"/>
      <c r="C229" s="86"/>
      <c r="D229" s="83"/>
      <c r="E229" s="85"/>
      <c r="F229" s="46"/>
      <c r="G229" s="14" t="s">
        <v>12134</v>
      </c>
      <c r="H229" s="48"/>
      <c r="I229" s="50"/>
      <c r="J229" s="50"/>
      <c r="K229" t="s">
        <v>12135</v>
      </c>
    </row>
    <row r="230" spans="1:11" s="22" customFormat="1" ht="15.5">
      <c r="A230" s="33"/>
      <c r="B230" s="87"/>
      <c r="C230" s="86"/>
      <c r="D230" s="82" t="s">
        <v>12136</v>
      </c>
      <c r="E230" s="84" t="s">
        <v>12137</v>
      </c>
      <c r="F230" s="45" t="s">
        <v>38</v>
      </c>
      <c r="G230" s="14" t="s">
        <v>12138</v>
      </c>
      <c r="H230" s="47" t="s">
        <v>12139</v>
      </c>
      <c r="I230" s="49" t="s">
        <v>19</v>
      </c>
      <c r="J230" s="49" t="s">
        <v>12140</v>
      </c>
      <c r="K230" t="s">
        <v>12141</v>
      </c>
    </row>
    <row r="231" spans="1:11" s="22" customFormat="1" ht="15.5">
      <c r="A231" s="35"/>
      <c r="B231" s="87"/>
      <c r="C231" s="83"/>
      <c r="D231" s="83"/>
      <c r="E231" s="85"/>
      <c r="F231" s="46"/>
      <c r="G231" s="14" t="s">
        <v>12142</v>
      </c>
      <c r="H231" s="48"/>
      <c r="I231" s="50"/>
      <c r="J231" s="50"/>
      <c r="K231" t="s">
        <v>12143</v>
      </c>
    </row>
    <row r="232" spans="1:11" s="22" customFormat="1" ht="15.75" customHeight="1">
      <c r="A232" s="33"/>
      <c r="B232" s="87"/>
      <c r="C232" s="82" t="s">
        <v>12144</v>
      </c>
      <c r="D232" s="82" t="s">
        <v>12145</v>
      </c>
      <c r="E232" s="84" t="s">
        <v>12146</v>
      </c>
      <c r="F232" s="45" t="s">
        <v>200</v>
      </c>
      <c r="G232" s="14" t="s">
        <v>12147</v>
      </c>
      <c r="H232" s="47" t="s">
        <v>12148</v>
      </c>
      <c r="I232" s="49" t="s">
        <v>41</v>
      </c>
      <c r="J232" s="49" t="s">
        <v>12149</v>
      </c>
      <c r="K232" t="s">
        <v>12150</v>
      </c>
    </row>
    <row r="233" spans="1:11" s="22" customFormat="1" ht="15.5">
      <c r="A233" s="33"/>
      <c r="B233" s="87"/>
      <c r="C233" s="86"/>
      <c r="D233" s="83"/>
      <c r="E233" s="85"/>
      <c r="F233" s="46"/>
      <c r="G233" s="14" t="s">
        <v>8715</v>
      </c>
      <c r="H233" s="48"/>
      <c r="I233" s="50"/>
      <c r="J233" s="50"/>
      <c r="K233" t="s">
        <v>12151</v>
      </c>
    </row>
    <row r="234" spans="1:11" s="22" customFormat="1" ht="15.5">
      <c r="A234" s="33"/>
      <c r="B234" s="87"/>
      <c r="C234" s="86"/>
      <c r="D234" s="82" t="s">
        <v>12152</v>
      </c>
      <c r="E234" s="84" t="s">
        <v>12153</v>
      </c>
      <c r="F234" s="45" t="s">
        <v>16</v>
      </c>
      <c r="G234" s="14" t="s">
        <v>12154</v>
      </c>
      <c r="H234" s="47" t="s">
        <v>12155</v>
      </c>
      <c r="I234" s="49" t="s">
        <v>41</v>
      </c>
      <c r="J234" s="49" t="s">
        <v>12156</v>
      </c>
      <c r="K234" t="s">
        <v>12157</v>
      </c>
    </row>
    <row r="235" spans="1:11" s="22" customFormat="1" ht="15.5">
      <c r="A235" s="33"/>
      <c r="B235" s="87"/>
      <c r="C235" s="86"/>
      <c r="D235" s="83"/>
      <c r="E235" s="85"/>
      <c r="F235" s="46"/>
      <c r="G235" s="14" t="s">
        <v>12158</v>
      </c>
      <c r="H235" s="48"/>
      <c r="I235" s="50"/>
      <c r="J235" s="50"/>
      <c r="K235" t="s">
        <v>12159</v>
      </c>
    </row>
    <row r="236" spans="1:11" s="22" customFormat="1" ht="15.5">
      <c r="A236" s="33"/>
      <c r="B236" s="87"/>
      <c r="C236" s="86"/>
      <c r="D236" s="82" t="s">
        <v>12160</v>
      </c>
      <c r="E236" s="84" t="s">
        <v>12161</v>
      </c>
      <c r="F236" s="45" t="s">
        <v>16</v>
      </c>
      <c r="G236" s="14" t="s">
        <v>10660</v>
      </c>
      <c r="H236" s="47" t="s">
        <v>12162</v>
      </c>
      <c r="I236" s="49" t="s">
        <v>41</v>
      </c>
      <c r="J236" s="49" t="s">
        <v>12163</v>
      </c>
      <c r="K236" t="s">
        <v>12164</v>
      </c>
    </row>
    <row r="237" spans="1:11" s="22" customFormat="1" ht="15.5">
      <c r="A237" s="33"/>
      <c r="B237" s="87"/>
      <c r="C237" s="86"/>
      <c r="D237" s="83"/>
      <c r="E237" s="85"/>
      <c r="F237" s="46"/>
      <c r="G237" s="14" t="s">
        <v>12165</v>
      </c>
      <c r="H237" s="48"/>
      <c r="I237" s="50"/>
      <c r="J237" s="50"/>
      <c r="K237" t="s">
        <v>12166</v>
      </c>
    </row>
    <row r="238" spans="1:11" s="22" customFormat="1" ht="15.5">
      <c r="A238" s="33"/>
      <c r="B238" s="87"/>
      <c r="C238" s="86"/>
      <c r="D238" s="82" t="s">
        <v>12167</v>
      </c>
      <c r="E238" s="84" t="s">
        <v>12168</v>
      </c>
      <c r="F238" s="45" t="s">
        <v>38</v>
      </c>
      <c r="G238" s="14" t="s">
        <v>12169</v>
      </c>
      <c r="H238" s="47" t="s">
        <v>12170</v>
      </c>
      <c r="I238" s="49" t="s">
        <v>41</v>
      </c>
      <c r="J238" s="49" t="s">
        <v>12171</v>
      </c>
      <c r="K238" t="s">
        <v>12172</v>
      </c>
    </row>
    <row r="239" spans="1:11" s="22" customFormat="1" ht="15.5">
      <c r="A239" s="33"/>
      <c r="B239" s="87"/>
      <c r="C239" s="86"/>
      <c r="D239" s="83"/>
      <c r="E239" s="85"/>
      <c r="F239" s="46"/>
      <c r="G239" s="14" t="s">
        <v>12173</v>
      </c>
      <c r="H239" s="48"/>
      <c r="I239" s="50"/>
      <c r="J239" s="50"/>
      <c r="K239" t="s">
        <v>12174</v>
      </c>
    </row>
    <row r="240" spans="1:11" s="22" customFormat="1" ht="15.5" customHeight="1">
      <c r="A240" s="33"/>
      <c r="B240" s="87"/>
      <c r="C240" s="86"/>
      <c r="D240" s="82" t="s">
        <v>12175</v>
      </c>
      <c r="E240" s="84" t="s">
        <v>12176</v>
      </c>
      <c r="F240" s="45" t="s">
        <v>16</v>
      </c>
      <c r="G240" s="14" t="s">
        <v>12177</v>
      </c>
      <c r="H240" s="47" t="s">
        <v>12178</v>
      </c>
      <c r="I240" s="49" t="s">
        <v>41</v>
      </c>
      <c r="J240" s="49" t="s">
        <v>12179</v>
      </c>
      <c r="K240" t="s">
        <v>4097</v>
      </c>
    </row>
    <row r="241" spans="1:11" s="22" customFormat="1" ht="15.5">
      <c r="A241" s="33"/>
      <c r="B241" s="87"/>
      <c r="C241" s="83"/>
      <c r="D241" s="83"/>
      <c r="E241" s="85"/>
      <c r="F241" s="46"/>
      <c r="G241" s="14" t="s">
        <v>12180</v>
      </c>
      <c r="H241" s="48"/>
      <c r="I241" s="50"/>
      <c r="J241" s="50"/>
      <c r="K241" t="s">
        <v>12181</v>
      </c>
    </row>
    <row r="242" spans="1:11" s="22" customFormat="1" ht="15.75" customHeight="1">
      <c r="A242" s="33"/>
      <c r="B242" s="87"/>
      <c r="C242" s="82" t="s">
        <v>12182</v>
      </c>
      <c r="D242" s="82" t="s">
        <v>12183</v>
      </c>
      <c r="E242" s="84" t="s">
        <v>12184</v>
      </c>
      <c r="F242" s="45" t="s">
        <v>16</v>
      </c>
      <c r="G242" s="14" t="s">
        <v>12185</v>
      </c>
      <c r="H242" s="47" t="s">
        <v>12186</v>
      </c>
      <c r="I242" s="49" t="s">
        <v>19</v>
      </c>
      <c r="J242" s="49" t="s">
        <v>12187</v>
      </c>
      <c r="K242" t="s">
        <v>12188</v>
      </c>
    </row>
    <row r="243" spans="1:11" s="22" customFormat="1" ht="15.5">
      <c r="A243" s="33"/>
      <c r="B243" s="87"/>
      <c r="C243" s="86"/>
      <c r="D243" s="83"/>
      <c r="E243" s="85"/>
      <c r="F243" s="46"/>
      <c r="G243" s="14" t="s">
        <v>12189</v>
      </c>
      <c r="H243" s="48"/>
      <c r="I243" s="50"/>
      <c r="J243" s="50"/>
      <c r="K243" t="s">
        <v>12190</v>
      </c>
    </row>
    <row r="244" spans="1:11" s="22" customFormat="1" ht="15.5" customHeight="1">
      <c r="A244" s="33"/>
      <c r="B244" s="87"/>
      <c r="C244" s="86"/>
      <c r="D244" s="82" t="s">
        <v>12191</v>
      </c>
      <c r="E244" s="84" t="s">
        <v>12192</v>
      </c>
      <c r="F244" s="45" t="s">
        <v>16</v>
      </c>
      <c r="G244" s="14" t="s">
        <v>12193</v>
      </c>
      <c r="H244" s="47" t="s">
        <v>12194</v>
      </c>
      <c r="I244" s="49" t="s">
        <v>19</v>
      </c>
      <c r="J244" s="49" t="s">
        <v>12195</v>
      </c>
      <c r="K244" t="s">
        <v>12196</v>
      </c>
    </row>
    <row r="245" spans="1:11" s="22" customFormat="1" ht="15.5">
      <c r="A245" s="33"/>
      <c r="B245" s="87"/>
      <c r="C245" s="86"/>
      <c r="D245" s="83"/>
      <c r="E245" s="85"/>
      <c r="F245" s="46"/>
      <c r="G245" s="14" t="s">
        <v>12197</v>
      </c>
      <c r="H245" s="48"/>
      <c r="I245" s="50"/>
      <c r="J245" s="50"/>
      <c r="K245" t="s">
        <v>12198</v>
      </c>
    </row>
    <row r="246" spans="1:11" s="22" customFormat="1" ht="15.5" customHeight="1">
      <c r="A246" s="33"/>
      <c r="B246" s="87"/>
      <c r="C246" s="86"/>
      <c r="D246" s="82" t="s">
        <v>12199</v>
      </c>
      <c r="E246" s="84" t="s">
        <v>12200</v>
      </c>
      <c r="F246" s="45" t="s">
        <v>16</v>
      </c>
      <c r="G246" s="14" t="s">
        <v>12201</v>
      </c>
      <c r="H246" s="47" t="s">
        <v>12202</v>
      </c>
      <c r="I246" s="49" t="s">
        <v>19</v>
      </c>
      <c r="J246" s="49" t="s">
        <v>12203</v>
      </c>
      <c r="K246" t="s">
        <v>12204</v>
      </c>
    </row>
    <row r="247" spans="1:11" s="22" customFormat="1" ht="15.5">
      <c r="A247" s="33"/>
      <c r="B247" s="87"/>
      <c r="C247" s="86"/>
      <c r="D247" s="83"/>
      <c r="E247" s="85"/>
      <c r="F247" s="46"/>
      <c r="G247" s="14" t="s">
        <v>8715</v>
      </c>
      <c r="H247" s="48"/>
      <c r="I247" s="50"/>
      <c r="J247" s="50"/>
      <c r="K247" t="s">
        <v>12205</v>
      </c>
    </row>
    <row r="248" spans="1:11" s="22" customFormat="1" ht="15.5" customHeight="1">
      <c r="A248" s="33"/>
      <c r="B248" s="87"/>
      <c r="C248" s="86"/>
      <c r="D248" s="82" t="s">
        <v>12206</v>
      </c>
      <c r="E248" s="84" t="s">
        <v>12207</v>
      </c>
      <c r="F248" s="45" t="s">
        <v>38</v>
      </c>
      <c r="G248" s="14" t="s">
        <v>12208</v>
      </c>
      <c r="H248" s="47" t="s">
        <v>12209</v>
      </c>
      <c r="I248" s="49" t="s">
        <v>19</v>
      </c>
      <c r="J248" s="49" t="s">
        <v>12210</v>
      </c>
      <c r="K248" t="s">
        <v>12211</v>
      </c>
    </row>
    <row r="249" spans="1:11" s="22" customFormat="1" ht="15.5">
      <c r="A249" s="33"/>
      <c r="B249" s="87"/>
      <c r="C249" s="86"/>
      <c r="D249" s="83"/>
      <c r="E249" s="85"/>
      <c r="F249" s="46"/>
      <c r="G249" s="14" t="s">
        <v>12212</v>
      </c>
      <c r="H249" s="48"/>
      <c r="I249" s="50"/>
      <c r="J249" s="50"/>
      <c r="K249" t="s">
        <v>12213</v>
      </c>
    </row>
    <row r="250" spans="1:11" s="22" customFormat="1" ht="15.5" customHeight="1">
      <c r="A250" s="33"/>
      <c r="B250" s="87"/>
      <c r="C250" s="86"/>
      <c r="D250" s="82" t="s">
        <v>12214</v>
      </c>
      <c r="E250" s="84" t="s">
        <v>12215</v>
      </c>
      <c r="F250" s="45" t="s">
        <v>16</v>
      </c>
      <c r="G250" s="14" t="s">
        <v>11086</v>
      </c>
      <c r="H250" s="47" t="s">
        <v>12216</v>
      </c>
      <c r="I250" s="49" t="s">
        <v>19</v>
      </c>
      <c r="J250" s="49" t="s">
        <v>12217</v>
      </c>
      <c r="K250" t="s">
        <v>12218</v>
      </c>
    </row>
    <row r="251" spans="1:11" s="22" customFormat="1" ht="15.5">
      <c r="A251" s="33"/>
      <c r="B251" s="87"/>
      <c r="C251" s="83"/>
      <c r="D251" s="83"/>
      <c r="E251" s="85"/>
      <c r="F251" s="46"/>
      <c r="G251" s="14" t="s">
        <v>12219</v>
      </c>
      <c r="H251" s="48"/>
      <c r="I251" s="50"/>
      <c r="J251" s="50"/>
      <c r="K251" t="s">
        <v>12220</v>
      </c>
    </row>
    <row r="252" spans="1:11" s="22" customFormat="1" ht="15.75" customHeight="1">
      <c r="A252" s="33"/>
      <c r="B252" s="87"/>
      <c r="C252" s="82" t="s">
        <v>12221</v>
      </c>
      <c r="D252" s="82" t="s">
        <v>12222</v>
      </c>
      <c r="E252" s="84" t="s">
        <v>12223</v>
      </c>
      <c r="F252" s="45" t="s">
        <v>38</v>
      </c>
      <c r="G252" s="14" t="s">
        <v>12224</v>
      </c>
      <c r="H252" s="47" t="s">
        <v>12225</v>
      </c>
      <c r="I252" s="49" t="s">
        <v>19</v>
      </c>
      <c r="J252" s="49" t="s">
        <v>12226</v>
      </c>
      <c r="K252" t="s">
        <v>12227</v>
      </c>
    </row>
    <row r="253" spans="1:11" s="22" customFormat="1" ht="15.5">
      <c r="A253" s="33"/>
      <c r="B253" s="87"/>
      <c r="C253" s="86"/>
      <c r="D253" s="83"/>
      <c r="E253" s="85"/>
      <c r="F253" s="46"/>
      <c r="G253" s="14" t="s">
        <v>12228</v>
      </c>
      <c r="H253" s="48"/>
      <c r="I253" s="50"/>
      <c r="J253" s="50"/>
      <c r="K253" t="s">
        <v>12229</v>
      </c>
    </row>
    <row r="254" spans="1:11" s="22" customFormat="1" ht="15.5">
      <c r="A254" s="33"/>
      <c r="B254" s="87"/>
      <c r="C254" s="86"/>
      <c r="D254" s="82" t="s">
        <v>12230</v>
      </c>
      <c r="E254" s="84" t="s">
        <v>12231</v>
      </c>
      <c r="F254" s="45" t="s">
        <v>16</v>
      </c>
      <c r="G254" s="14" t="s">
        <v>12232</v>
      </c>
      <c r="H254" s="47" t="s">
        <v>12233</v>
      </c>
      <c r="I254" s="49" t="s">
        <v>19</v>
      </c>
      <c r="J254" s="49" t="s">
        <v>12234</v>
      </c>
      <c r="K254" t="s">
        <v>12235</v>
      </c>
    </row>
    <row r="255" spans="1:11" s="22" customFormat="1" ht="15.5">
      <c r="A255" s="33"/>
      <c r="B255" s="87"/>
      <c r="C255" s="86"/>
      <c r="D255" s="83"/>
      <c r="E255" s="85"/>
      <c r="F255" s="46"/>
      <c r="G255" s="14" t="s">
        <v>12236</v>
      </c>
      <c r="H255" s="48"/>
      <c r="I255" s="50"/>
      <c r="J255" s="50"/>
      <c r="K255" t="s">
        <v>12237</v>
      </c>
    </row>
    <row r="256" spans="1:11" s="22" customFormat="1" ht="15.5">
      <c r="A256" s="33"/>
      <c r="B256" s="87"/>
      <c r="C256" s="86"/>
      <c r="D256" s="82" t="s">
        <v>12238</v>
      </c>
      <c r="E256" s="84" t="s">
        <v>12239</v>
      </c>
      <c r="F256" s="45" t="s">
        <v>16</v>
      </c>
      <c r="G256" s="14" t="s">
        <v>11181</v>
      </c>
      <c r="H256" s="47" t="s">
        <v>12240</v>
      </c>
      <c r="I256" s="49" t="s">
        <v>19</v>
      </c>
      <c r="J256" s="49" t="s">
        <v>12241</v>
      </c>
      <c r="K256" t="s">
        <v>12242</v>
      </c>
    </row>
    <row r="257" spans="1:11" s="22" customFormat="1" ht="15.5">
      <c r="A257" s="33"/>
      <c r="B257" s="87"/>
      <c r="C257" s="86"/>
      <c r="D257" s="83"/>
      <c r="E257" s="85"/>
      <c r="F257" s="46"/>
      <c r="G257" s="14" t="s">
        <v>12243</v>
      </c>
      <c r="H257" s="48"/>
      <c r="I257" s="50"/>
      <c r="J257" s="50"/>
      <c r="K257" t="s">
        <v>12244</v>
      </c>
    </row>
    <row r="258" spans="1:11" s="22" customFormat="1" ht="15.5">
      <c r="A258" s="33"/>
      <c r="B258" s="87"/>
      <c r="C258" s="86"/>
      <c r="D258" s="82" t="s">
        <v>12245</v>
      </c>
      <c r="E258" s="84" t="s">
        <v>12246</v>
      </c>
      <c r="F258" s="45" t="s">
        <v>38</v>
      </c>
      <c r="G258" s="14" t="s">
        <v>12247</v>
      </c>
      <c r="H258" s="47" t="s">
        <v>12248</v>
      </c>
      <c r="I258" s="49" t="s">
        <v>41</v>
      </c>
      <c r="J258" s="49" t="s">
        <v>12249</v>
      </c>
      <c r="K258" t="s">
        <v>12250</v>
      </c>
    </row>
    <row r="259" spans="1:11" s="22" customFormat="1" ht="15.5">
      <c r="A259" s="33"/>
      <c r="B259" s="87"/>
      <c r="C259" s="86"/>
      <c r="D259" s="83"/>
      <c r="E259" s="85"/>
      <c r="F259" s="46"/>
      <c r="G259" s="14" t="s">
        <v>12251</v>
      </c>
      <c r="H259" s="48"/>
      <c r="I259" s="50"/>
      <c r="J259" s="50"/>
      <c r="K259" t="s">
        <v>12252</v>
      </c>
    </row>
    <row r="260" spans="1:11" s="22" customFormat="1" ht="15.5">
      <c r="A260" s="33"/>
      <c r="B260" s="87"/>
      <c r="C260" s="86"/>
      <c r="D260" s="82" t="s">
        <v>12253</v>
      </c>
      <c r="E260" s="84" t="s">
        <v>12254</v>
      </c>
      <c r="F260" s="45" t="s">
        <v>16</v>
      </c>
      <c r="G260" s="14" t="s">
        <v>12255</v>
      </c>
      <c r="H260" s="47" t="s">
        <v>12256</v>
      </c>
      <c r="I260" s="49" t="s">
        <v>19</v>
      </c>
      <c r="J260" s="49" t="s">
        <v>12257</v>
      </c>
      <c r="K260" t="s">
        <v>12258</v>
      </c>
    </row>
    <row r="261" spans="1:11" s="22" customFormat="1" ht="15.5">
      <c r="A261" s="33"/>
      <c r="B261" s="87"/>
      <c r="C261" s="83"/>
      <c r="D261" s="83"/>
      <c r="E261" s="85"/>
      <c r="F261" s="46"/>
      <c r="G261" s="14" t="s">
        <v>12259</v>
      </c>
      <c r="H261" s="48"/>
      <c r="I261" s="50"/>
      <c r="J261" s="50"/>
      <c r="K261" s="22" t="s">
        <v>12260</v>
      </c>
    </row>
    <row r="262" spans="1:11" s="22" customFormat="1" ht="15.75" customHeight="1">
      <c r="A262" s="33"/>
      <c r="B262" s="49" t="s">
        <v>12261</v>
      </c>
      <c r="C262" s="82" t="s">
        <v>12262</v>
      </c>
      <c r="D262" s="82" t="s">
        <v>12263</v>
      </c>
      <c r="E262" s="97" t="s">
        <v>12264</v>
      </c>
      <c r="F262" s="45" t="s">
        <v>38</v>
      </c>
      <c r="G262" s="14" t="s">
        <v>9466</v>
      </c>
      <c r="H262" s="47" t="s">
        <v>12265</v>
      </c>
      <c r="I262" s="49" t="s">
        <v>19</v>
      </c>
      <c r="J262" s="49" t="s">
        <v>12266</v>
      </c>
      <c r="K262" t="s">
        <v>12267</v>
      </c>
    </row>
    <row r="263" spans="1:11" s="22" customFormat="1" ht="15.5">
      <c r="A263" s="33"/>
      <c r="B263" s="87"/>
      <c r="C263" s="86"/>
      <c r="D263" s="83"/>
      <c r="E263" s="98"/>
      <c r="F263" s="46"/>
      <c r="G263" s="14" t="s">
        <v>9470</v>
      </c>
      <c r="H263" s="48"/>
      <c r="I263" s="50"/>
      <c r="J263" s="50"/>
      <c r="K263" t="s">
        <v>12268</v>
      </c>
    </row>
    <row r="264" spans="1:11" s="22" customFormat="1" ht="15.5" customHeight="1">
      <c r="A264" s="33"/>
      <c r="B264" s="87"/>
      <c r="C264" s="86"/>
      <c r="D264" s="82" t="s">
        <v>12269</v>
      </c>
      <c r="E264" s="97" t="s">
        <v>12270</v>
      </c>
      <c r="F264" s="45" t="s">
        <v>16</v>
      </c>
      <c r="G264" s="14" t="s">
        <v>8109</v>
      </c>
      <c r="H264" s="47" t="s">
        <v>12271</v>
      </c>
      <c r="I264" s="49" t="s">
        <v>41</v>
      </c>
      <c r="J264" s="49" t="s">
        <v>12272</v>
      </c>
      <c r="K264" t="s">
        <v>12273</v>
      </c>
    </row>
    <row r="265" spans="1:11" s="22" customFormat="1" ht="15.5">
      <c r="A265" s="33"/>
      <c r="B265" s="87"/>
      <c r="C265" s="86"/>
      <c r="D265" s="83"/>
      <c r="E265" s="98"/>
      <c r="F265" s="46"/>
      <c r="G265" s="14" t="s">
        <v>12274</v>
      </c>
      <c r="H265" s="48"/>
      <c r="I265" s="50"/>
      <c r="J265" s="50"/>
      <c r="K265" t="s">
        <v>12275</v>
      </c>
    </row>
    <row r="266" spans="1:11" s="22" customFormat="1" ht="15.5" customHeight="1">
      <c r="A266" s="33"/>
      <c r="B266" s="87"/>
      <c r="C266" s="86"/>
      <c r="D266" s="82" t="s">
        <v>12276</v>
      </c>
      <c r="E266" s="97" t="s">
        <v>12277</v>
      </c>
      <c r="F266" s="45" t="s">
        <v>38</v>
      </c>
      <c r="G266" s="14" t="s">
        <v>12278</v>
      </c>
      <c r="H266" s="47" t="s">
        <v>12279</v>
      </c>
      <c r="I266" s="49" t="s">
        <v>19</v>
      </c>
      <c r="J266" s="49" t="s">
        <v>12280</v>
      </c>
      <c r="K266" t="s">
        <v>12281</v>
      </c>
    </row>
    <row r="267" spans="1:11" s="22" customFormat="1" ht="15.5">
      <c r="A267" s="33"/>
      <c r="B267" s="87"/>
      <c r="C267" s="86"/>
      <c r="D267" s="83"/>
      <c r="E267" s="98"/>
      <c r="F267" s="46"/>
      <c r="G267" s="14" t="s">
        <v>12282</v>
      </c>
      <c r="H267" s="48"/>
      <c r="I267" s="50"/>
      <c r="J267" s="50"/>
      <c r="K267" t="s">
        <v>12283</v>
      </c>
    </row>
    <row r="268" spans="1:11" s="22" customFormat="1" ht="15.5" customHeight="1">
      <c r="A268" s="33"/>
      <c r="B268" s="87"/>
      <c r="C268" s="86"/>
      <c r="D268" s="82" t="s">
        <v>12284</v>
      </c>
      <c r="E268" s="97" t="s">
        <v>12285</v>
      </c>
      <c r="F268" s="45" t="s">
        <v>16</v>
      </c>
      <c r="G268" s="14" t="s">
        <v>12286</v>
      </c>
      <c r="H268" s="47" t="s">
        <v>12287</v>
      </c>
      <c r="I268" s="49" t="s">
        <v>19</v>
      </c>
      <c r="J268" s="49" t="s">
        <v>12288</v>
      </c>
      <c r="K268" t="s">
        <v>12289</v>
      </c>
    </row>
    <row r="269" spans="1:11" s="22" customFormat="1" ht="15.5">
      <c r="A269" s="33"/>
      <c r="B269" s="87"/>
      <c r="C269" s="86"/>
      <c r="D269" s="83"/>
      <c r="E269" s="98"/>
      <c r="F269" s="46"/>
      <c r="G269" s="14" t="s">
        <v>12290</v>
      </c>
      <c r="H269" s="48"/>
      <c r="I269" s="50"/>
      <c r="J269" s="50"/>
      <c r="K269" t="s">
        <v>12291</v>
      </c>
    </row>
    <row r="270" spans="1:11" s="22" customFormat="1" ht="15.5">
      <c r="A270" s="33"/>
      <c r="B270" s="87"/>
      <c r="C270" s="86"/>
      <c r="D270" s="82" t="s">
        <v>12292</v>
      </c>
      <c r="E270" s="97" t="s">
        <v>12293</v>
      </c>
      <c r="F270" s="45" t="s">
        <v>38</v>
      </c>
      <c r="G270" s="14" t="s">
        <v>12294</v>
      </c>
      <c r="H270" s="47" t="s">
        <v>12295</v>
      </c>
      <c r="I270" s="49" t="s">
        <v>41</v>
      </c>
      <c r="J270" s="49" t="s">
        <v>12296</v>
      </c>
      <c r="K270" t="s">
        <v>12297</v>
      </c>
    </row>
    <row r="271" spans="1:11" s="22" customFormat="1" ht="15.5">
      <c r="A271" s="33"/>
      <c r="B271" s="87"/>
      <c r="C271" s="83"/>
      <c r="D271" s="83"/>
      <c r="E271" s="98"/>
      <c r="F271" s="46"/>
      <c r="G271" s="14" t="s">
        <v>12298</v>
      </c>
      <c r="H271" s="48"/>
      <c r="I271" s="50"/>
      <c r="J271" s="50"/>
      <c r="K271" t="s">
        <v>12299</v>
      </c>
    </row>
    <row r="272" spans="1:11" s="22" customFormat="1" ht="15.75" customHeight="1">
      <c r="A272" s="33"/>
      <c r="B272" s="87"/>
      <c r="C272" s="82" t="s">
        <v>12300</v>
      </c>
      <c r="D272" s="82" t="s">
        <v>12301</v>
      </c>
      <c r="E272" s="97" t="s">
        <v>12302</v>
      </c>
      <c r="F272" s="45" t="s">
        <v>200</v>
      </c>
      <c r="G272" s="14" t="s">
        <v>12303</v>
      </c>
      <c r="H272" s="47" t="s">
        <v>12304</v>
      </c>
      <c r="I272" s="49" t="s">
        <v>41</v>
      </c>
      <c r="J272" s="49" t="s">
        <v>12305</v>
      </c>
      <c r="K272" t="s">
        <v>12306</v>
      </c>
    </row>
    <row r="273" spans="1:11" s="22" customFormat="1" ht="15.5">
      <c r="A273" s="33"/>
      <c r="B273" s="87"/>
      <c r="C273" s="86"/>
      <c r="D273" s="83"/>
      <c r="E273" s="98"/>
      <c r="F273" s="46"/>
      <c r="G273" s="14" t="s">
        <v>12307</v>
      </c>
      <c r="H273" s="48"/>
      <c r="I273" s="50"/>
      <c r="J273" s="50"/>
      <c r="K273" t="s">
        <v>12308</v>
      </c>
    </row>
    <row r="274" spans="1:11" s="22" customFormat="1" ht="15.5" customHeight="1">
      <c r="A274" s="33"/>
      <c r="B274" s="87"/>
      <c r="C274" s="86"/>
      <c r="D274" s="82" t="s">
        <v>12309</v>
      </c>
      <c r="E274" s="97" t="s">
        <v>12310</v>
      </c>
      <c r="F274" s="45" t="s">
        <v>16</v>
      </c>
      <c r="G274" s="14" t="s">
        <v>12311</v>
      </c>
      <c r="H274" s="47" t="s">
        <v>12312</v>
      </c>
      <c r="I274" s="49" t="s">
        <v>41</v>
      </c>
      <c r="J274" s="49" t="s">
        <v>12313</v>
      </c>
      <c r="K274" t="s">
        <v>12314</v>
      </c>
    </row>
    <row r="275" spans="1:11" s="22" customFormat="1" ht="15.5">
      <c r="A275" s="33"/>
      <c r="B275" s="87"/>
      <c r="C275" s="86"/>
      <c r="D275" s="83"/>
      <c r="E275" s="98"/>
      <c r="F275" s="46"/>
      <c r="G275" s="14" t="s">
        <v>12315</v>
      </c>
      <c r="H275" s="48"/>
      <c r="I275" s="50"/>
      <c r="J275" s="50"/>
      <c r="K275" t="s">
        <v>12316</v>
      </c>
    </row>
    <row r="276" spans="1:11" s="22" customFormat="1" ht="15.5" customHeight="1">
      <c r="A276" s="33"/>
      <c r="B276" s="87"/>
      <c r="C276" s="86"/>
      <c r="D276" s="82" t="s">
        <v>12317</v>
      </c>
      <c r="E276" s="97" t="s">
        <v>12318</v>
      </c>
      <c r="F276" s="45" t="s">
        <v>16</v>
      </c>
      <c r="G276" s="14" t="s">
        <v>12319</v>
      </c>
      <c r="H276" s="47" t="s">
        <v>12320</v>
      </c>
      <c r="I276" s="49" t="s">
        <v>41</v>
      </c>
      <c r="J276" s="49" t="s">
        <v>12321</v>
      </c>
      <c r="K276" t="s">
        <v>12322</v>
      </c>
    </row>
    <row r="277" spans="1:11" s="22" customFormat="1" ht="15.5">
      <c r="A277" s="33"/>
      <c r="B277" s="87"/>
      <c r="C277" s="86"/>
      <c r="D277" s="83"/>
      <c r="E277" s="98"/>
      <c r="F277" s="46"/>
      <c r="G277" s="14" t="s">
        <v>9389</v>
      </c>
      <c r="H277" s="48"/>
      <c r="I277" s="50"/>
      <c r="J277" s="50"/>
      <c r="K277" t="s">
        <v>12323</v>
      </c>
    </row>
    <row r="278" spans="1:11" s="22" customFormat="1" ht="15.5" customHeight="1">
      <c r="A278" s="33"/>
      <c r="B278" s="87"/>
      <c r="C278" s="86"/>
      <c r="D278" s="82" t="s">
        <v>12324</v>
      </c>
      <c r="E278" s="97" t="s">
        <v>12325</v>
      </c>
      <c r="F278" s="45" t="s">
        <v>16</v>
      </c>
      <c r="G278" s="14" t="s">
        <v>9791</v>
      </c>
      <c r="H278" s="47" t="s">
        <v>12326</v>
      </c>
      <c r="I278" s="49" t="s">
        <v>19</v>
      </c>
      <c r="J278" s="49" t="s">
        <v>12327</v>
      </c>
      <c r="K278" t="s">
        <v>12328</v>
      </c>
    </row>
    <row r="279" spans="1:11" s="22" customFormat="1" ht="15.5">
      <c r="A279" s="33"/>
      <c r="B279" s="87"/>
      <c r="C279" s="86"/>
      <c r="D279" s="83"/>
      <c r="E279" s="98"/>
      <c r="F279" s="46"/>
      <c r="G279" s="14" t="s">
        <v>12329</v>
      </c>
      <c r="H279" s="48"/>
      <c r="I279" s="50"/>
      <c r="J279" s="50"/>
      <c r="K279" t="s">
        <v>12330</v>
      </c>
    </row>
    <row r="280" spans="1:11" s="22" customFormat="1" ht="15.5" customHeight="1">
      <c r="A280" s="33"/>
      <c r="B280" s="87"/>
      <c r="C280" s="86"/>
      <c r="D280" s="82" t="s">
        <v>12331</v>
      </c>
      <c r="E280" s="97" t="s">
        <v>12332</v>
      </c>
      <c r="F280" s="45" t="s">
        <v>16</v>
      </c>
      <c r="G280" s="14" t="s">
        <v>8890</v>
      </c>
      <c r="H280" s="47" t="s">
        <v>12333</v>
      </c>
      <c r="I280" s="49" t="s">
        <v>19</v>
      </c>
      <c r="J280" s="49" t="s">
        <v>12334</v>
      </c>
      <c r="K280" t="s">
        <v>12335</v>
      </c>
    </row>
    <row r="281" spans="1:11" s="22" customFormat="1" ht="15.5">
      <c r="A281" s="33"/>
      <c r="B281" s="87"/>
      <c r="C281" s="83"/>
      <c r="D281" s="83"/>
      <c r="E281" s="98"/>
      <c r="F281" s="46"/>
      <c r="G281" s="14" t="s">
        <v>12336</v>
      </c>
      <c r="H281" s="48"/>
      <c r="I281" s="50"/>
      <c r="J281" s="50"/>
      <c r="K281" t="s">
        <v>12337</v>
      </c>
    </row>
    <row r="282" spans="1:11" s="22" customFormat="1" ht="15.75" customHeight="1">
      <c r="A282" s="33"/>
      <c r="B282" s="87"/>
      <c r="C282" s="82" t="s">
        <v>12338</v>
      </c>
      <c r="D282" s="82" t="s">
        <v>12339</v>
      </c>
      <c r="E282" s="97" t="s">
        <v>12340</v>
      </c>
      <c r="F282" s="45" t="s">
        <v>38</v>
      </c>
      <c r="G282" s="14" t="s">
        <v>9588</v>
      </c>
      <c r="H282" s="47" t="s">
        <v>12341</v>
      </c>
      <c r="I282" s="49" t="s">
        <v>19</v>
      </c>
      <c r="J282" s="49" t="s">
        <v>12342</v>
      </c>
      <c r="K282" t="s">
        <v>12343</v>
      </c>
    </row>
    <row r="283" spans="1:11" s="22" customFormat="1" ht="15.5">
      <c r="A283" s="33"/>
      <c r="B283" s="87"/>
      <c r="C283" s="86"/>
      <c r="D283" s="83"/>
      <c r="E283" s="98"/>
      <c r="F283" s="46"/>
      <c r="G283" s="14" t="s">
        <v>12344</v>
      </c>
      <c r="H283" s="48"/>
      <c r="I283" s="50"/>
      <c r="J283" s="50"/>
      <c r="K283" t="s">
        <v>12345</v>
      </c>
    </row>
    <row r="284" spans="1:11" s="22" customFormat="1" ht="15.5" customHeight="1">
      <c r="A284" s="33"/>
      <c r="B284" s="87"/>
      <c r="C284" s="86"/>
      <c r="D284" s="82" t="s">
        <v>12346</v>
      </c>
      <c r="E284" s="97" t="s">
        <v>12347</v>
      </c>
      <c r="F284" s="45" t="s">
        <v>38</v>
      </c>
      <c r="G284" s="14" t="s">
        <v>12348</v>
      </c>
      <c r="H284" s="47" t="s">
        <v>12349</v>
      </c>
      <c r="I284" s="49" t="s">
        <v>19</v>
      </c>
      <c r="J284" s="49" t="s">
        <v>12350</v>
      </c>
      <c r="K284" t="s">
        <v>12351</v>
      </c>
    </row>
    <row r="285" spans="1:11" s="22" customFormat="1" ht="20.5" customHeight="1">
      <c r="A285" s="33"/>
      <c r="B285" s="87"/>
      <c r="C285" s="86"/>
      <c r="D285" s="83"/>
      <c r="E285" s="98"/>
      <c r="F285" s="46"/>
      <c r="G285" s="14" t="s">
        <v>12352</v>
      </c>
      <c r="H285" s="48"/>
      <c r="I285" s="50"/>
      <c r="J285" s="50"/>
      <c r="K285" t="s">
        <v>12353</v>
      </c>
    </row>
    <row r="286" spans="1:11" s="22" customFormat="1" ht="15.5" hidden="1" customHeight="1">
      <c r="A286" s="33"/>
      <c r="B286" s="87"/>
      <c r="C286" s="86"/>
      <c r="D286" s="42"/>
      <c r="E286" s="43"/>
      <c r="F286" s="23"/>
      <c r="H286" s="24"/>
      <c r="I286" s="25"/>
      <c r="J286" s="25"/>
    </row>
    <row r="287" spans="1:11" s="22" customFormat="1" ht="15.5">
      <c r="A287" s="33"/>
      <c r="B287" s="87"/>
      <c r="C287" s="86"/>
      <c r="D287" s="82" t="s">
        <v>12354</v>
      </c>
      <c r="E287" s="97" t="s">
        <v>12355</v>
      </c>
      <c r="F287" s="45" t="s">
        <v>38</v>
      </c>
      <c r="G287" s="14" t="s">
        <v>12356</v>
      </c>
      <c r="H287" s="47" t="s">
        <v>12357</v>
      </c>
      <c r="I287" s="49" t="s">
        <v>19</v>
      </c>
      <c r="J287" s="49" t="s">
        <v>12358</v>
      </c>
      <c r="K287" t="s">
        <v>12359</v>
      </c>
    </row>
    <row r="288" spans="1:11" s="22" customFormat="1" ht="15.5">
      <c r="A288" s="33"/>
      <c r="B288" s="87"/>
      <c r="C288" s="86"/>
      <c r="D288" s="83"/>
      <c r="E288" s="98"/>
      <c r="F288" s="46"/>
      <c r="G288" s="14" t="s">
        <v>12360</v>
      </c>
      <c r="H288" s="48"/>
      <c r="I288" s="50"/>
      <c r="J288" s="50"/>
      <c r="K288" t="s">
        <v>12361</v>
      </c>
    </row>
    <row r="289" spans="1:11" s="22" customFormat="1" ht="15.5">
      <c r="A289" s="33"/>
      <c r="B289" s="87"/>
      <c r="C289" s="86"/>
      <c r="D289" s="82" t="s">
        <v>12362</v>
      </c>
      <c r="E289" s="97" t="s">
        <v>12363</v>
      </c>
      <c r="F289" s="45" t="s">
        <v>200</v>
      </c>
      <c r="G289" s="14" t="s">
        <v>12364</v>
      </c>
      <c r="H289" s="47" t="s">
        <v>12365</v>
      </c>
      <c r="I289" s="49" t="s">
        <v>19</v>
      </c>
      <c r="J289" s="49" t="s">
        <v>12366</v>
      </c>
      <c r="K289" t="s">
        <v>12367</v>
      </c>
    </row>
    <row r="290" spans="1:11" s="22" customFormat="1" ht="15.5">
      <c r="A290" s="33"/>
      <c r="B290" s="87"/>
      <c r="C290" s="86"/>
      <c r="D290" s="83"/>
      <c r="E290" s="98"/>
      <c r="F290" s="46"/>
      <c r="G290" s="14" t="s">
        <v>12368</v>
      </c>
      <c r="H290" s="48"/>
      <c r="I290" s="50"/>
      <c r="J290" s="50"/>
      <c r="K290" t="s">
        <v>12369</v>
      </c>
    </row>
    <row r="291" spans="1:11" s="22" customFormat="1" ht="15.5" customHeight="1">
      <c r="A291" s="33"/>
      <c r="B291" s="87"/>
      <c r="C291" s="86"/>
      <c r="D291" s="82" t="s">
        <v>12370</v>
      </c>
      <c r="E291" s="97" t="s">
        <v>12371</v>
      </c>
      <c r="F291" s="45" t="s">
        <v>38</v>
      </c>
      <c r="G291" s="14" t="s">
        <v>12372</v>
      </c>
      <c r="H291" s="47" t="s">
        <v>12373</v>
      </c>
      <c r="I291" s="49" t="s">
        <v>41</v>
      </c>
      <c r="J291" s="49" t="s">
        <v>12374</v>
      </c>
      <c r="K291" t="s">
        <v>12375</v>
      </c>
    </row>
    <row r="292" spans="1:11" s="22" customFormat="1" ht="15.5">
      <c r="A292" s="33"/>
      <c r="B292" s="87"/>
      <c r="C292" s="83"/>
      <c r="D292" s="83"/>
      <c r="E292" s="98"/>
      <c r="F292" s="46"/>
      <c r="G292" s="14" t="s">
        <v>12376</v>
      </c>
      <c r="H292" s="48"/>
      <c r="I292" s="50"/>
      <c r="J292" s="50"/>
      <c r="K292" t="s">
        <v>12377</v>
      </c>
    </row>
    <row r="293" spans="1:11" s="22" customFormat="1" ht="15.75" customHeight="1">
      <c r="A293" s="33"/>
      <c r="B293" s="87"/>
      <c r="C293" s="82" t="s">
        <v>12378</v>
      </c>
      <c r="D293" s="82" t="s">
        <v>12379</v>
      </c>
      <c r="E293" s="97" t="s">
        <v>12380</v>
      </c>
      <c r="F293" s="45" t="s">
        <v>16</v>
      </c>
      <c r="G293" s="14" t="s">
        <v>12381</v>
      </c>
      <c r="H293" s="47" t="s">
        <v>12382</v>
      </c>
      <c r="I293" s="49" t="s">
        <v>41</v>
      </c>
      <c r="J293" s="49" t="s">
        <v>12383</v>
      </c>
      <c r="K293" t="s">
        <v>12384</v>
      </c>
    </row>
    <row r="294" spans="1:11" s="22" customFormat="1" ht="15.5">
      <c r="A294" s="33"/>
      <c r="B294" s="87"/>
      <c r="C294" s="86"/>
      <c r="D294" s="83"/>
      <c r="E294" s="98"/>
      <c r="F294" s="46"/>
      <c r="G294" s="14" t="s">
        <v>12385</v>
      </c>
      <c r="H294" s="48"/>
      <c r="I294" s="50"/>
      <c r="J294" s="50"/>
      <c r="K294" t="s">
        <v>12386</v>
      </c>
    </row>
    <row r="295" spans="1:11" s="22" customFormat="1" ht="15.5">
      <c r="A295" s="33"/>
      <c r="B295" s="87"/>
      <c r="C295" s="86"/>
      <c r="D295" s="82" t="s">
        <v>12387</v>
      </c>
      <c r="E295" s="97" t="s">
        <v>12388</v>
      </c>
      <c r="F295" s="45" t="s">
        <v>16</v>
      </c>
      <c r="G295" s="14" t="s">
        <v>12389</v>
      </c>
      <c r="H295" s="47" t="s">
        <v>12390</v>
      </c>
      <c r="I295" s="49" t="s">
        <v>41</v>
      </c>
      <c r="J295" s="49" t="s">
        <v>12391</v>
      </c>
      <c r="K295" t="s">
        <v>12392</v>
      </c>
    </row>
    <row r="296" spans="1:11" s="22" customFormat="1" ht="15.5">
      <c r="A296" s="33"/>
      <c r="B296" s="87"/>
      <c r="C296" s="86"/>
      <c r="D296" s="83"/>
      <c r="E296" s="98"/>
      <c r="F296" s="46"/>
      <c r="G296" s="14" t="s">
        <v>12393</v>
      </c>
      <c r="H296" s="48"/>
      <c r="I296" s="50"/>
      <c r="J296" s="50"/>
      <c r="K296" t="s">
        <v>12394</v>
      </c>
    </row>
    <row r="297" spans="1:11" s="22" customFormat="1" ht="15.5" customHeight="1">
      <c r="A297" s="33"/>
      <c r="B297" s="87"/>
      <c r="C297" s="86"/>
      <c r="D297" s="82" t="s">
        <v>12395</v>
      </c>
      <c r="E297" s="97" t="s">
        <v>12396</v>
      </c>
      <c r="F297" s="45" t="s">
        <v>16</v>
      </c>
      <c r="G297" s="14" t="s">
        <v>12397</v>
      </c>
      <c r="H297" s="47" t="s">
        <v>12398</v>
      </c>
      <c r="I297" s="49" t="s">
        <v>41</v>
      </c>
      <c r="J297" s="49" t="s">
        <v>12399</v>
      </c>
      <c r="K297" t="s">
        <v>12400</v>
      </c>
    </row>
    <row r="298" spans="1:11" s="22" customFormat="1" ht="15.5">
      <c r="A298" s="33"/>
      <c r="B298" s="87"/>
      <c r="C298" s="86"/>
      <c r="D298" s="83"/>
      <c r="E298" s="98"/>
      <c r="F298" s="46"/>
      <c r="G298" s="14" t="s">
        <v>12401</v>
      </c>
      <c r="H298" s="48"/>
      <c r="I298" s="50"/>
      <c r="J298" s="50"/>
      <c r="K298" t="s">
        <v>12402</v>
      </c>
    </row>
    <row r="299" spans="1:11" s="22" customFormat="1" ht="15.5">
      <c r="A299" s="33"/>
      <c r="B299" s="87"/>
      <c r="C299" s="86"/>
      <c r="D299" s="82" t="s">
        <v>12403</v>
      </c>
      <c r="E299" s="97" t="s">
        <v>12404</v>
      </c>
      <c r="F299" s="45" t="s">
        <v>38</v>
      </c>
      <c r="G299" s="14" t="s">
        <v>11258</v>
      </c>
      <c r="H299" s="47" t="s">
        <v>12405</v>
      </c>
      <c r="I299" s="49" t="s">
        <v>41</v>
      </c>
      <c r="J299" s="49" t="s">
        <v>12406</v>
      </c>
      <c r="K299" t="s">
        <v>12407</v>
      </c>
    </row>
    <row r="300" spans="1:11" s="22" customFormat="1" ht="15.5">
      <c r="A300" s="33"/>
      <c r="B300" s="87"/>
      <c r="C300" s="86"/>
      <c r="D300" s="83"/>
      <c r="E300" s="98"/>
      <c r="F300" s="46"/>
      <c r="G300" s="14" t="s">
        <v>12408</v>
      </c>
      <c r="H300" s="48"/>
      <c r="I300" s="50"/>
      <c r="J300" s="50"/>
      <c r="K300" t="s">
        <v>12409</v>
      </c>
    </row>
    <row r="301" spans="1:11" s="22" customFormat="1" ht="15.5" customHeight="1">
      <c r="A301" s="33"/>
      <c r="B301" s="87"/>
      <c r="C301" s="86"/>
      <c r="D301" s="82" t="s">
        <v>12410</v>
      </c>
      <c r="E301" s="97" t="s">
        <v>12411</v>
      </c>
      <c r="F301" s="45" t="s">
        <v>38</v>
      </c>
      <c r="G301" s="14" t="s">
        <v>12412</v>
      </c>
      <c r="H301" s="47" t="s">
        <v>12413</v>
      </c>
      <c r="I301" s="49" t="s">
        <v>19</v>
      </c>
      <c r="J301" s="49" t="s">
        <v>12414</v>
      </c>
      <c r="K301" t="s">
        <v>12415</v>
      </c>
    </row>
    <row r="302" spans="1:11" s="22" customFormat="1" ht="15.5">
      <c r="A302" s="33"/>
      <c r="B302" s="87"/>
      <c r="C302" s="83"/>
      <c r="D302" s="83"/>
      <c r="E302" s="98"/>
      <c r="F302" s="46"/>
      <c r="G302" s="14" t="s">
        <v>12416</v>
      </c>
      <c r="H302" s="48"/>
      <c r="I302" s="50"/>
      <c r="J302" s="50"/>
      <c r="K302" t="s">
        <v>12417</v>
      </c>
    </row>
    <row r="303" spans="1:11" s="22" customFormat="1" ht="15.75" customHeight="1">
      <c r="A303" s="33"/>
      <c r="B303" s="87"/>
      <c r="C303" s="82" t="s">
        <v>12418</v>
      </c>
      <c r="D303" s="82" t="s">
        <v>12419</v>
      </c>
      <c r="E303" s="97" t="s">
        <v>12420</v>
      </c>
      <c r="F303" s="45" t="s">
        <v>200</v>
      </c>
      <c r="G303" s="14" t="s">
        <v>12421</v>
      </c>
      <c r="H303" s="47" t="s">
        <v>12422</v>
      </c>
      <c r="I303" s="49" t="s">
        <v>19</v>
      </c>
      <c r="J303" s="49" t="s">
        <v>12423</v>
      </c>
      <c r="K303" t="s">
        <v>12424</v>
      </c>
    </row>
    <row r="304" spans="1:11" s="22" customFormat="1" ht="15.5">
      <c r="A304" s="33"/>
      <c r="B304" s="87"/>
      <c r="C304" s="86"/>
      <c r="D304" s="83"/>
      <c r="E304" s="98"/>
      <c r="F304" s="46"/>
      <c r="G304" s="14" t="s">
        <v>12425</v>
      </c>
      <c r="H304" s="48"/>
      <c r="I304" s="50"/>
      <c r="J304" s="50"/>
      <c r="K304" t="s">
        <v>12426</v>
      </c>
    </row>
    <row r="305" spans="1:11" s="22" customFormat="1" ht="15.5">
      <c r="A305" s="33"/>
      <c r="B305" s="87"/>
      <c r="C305" s="86"/>
      <c r="D305" s="82" t="s">
        <v>12427</v>
      </c>
      <c r="E305" s="97" t="s">
        <v>12428</v>
      </c>
      <c r="F305" s="45" t="s">
        <v>200</v>
      </c>
      <c r="G305" s="14" t="s">
        <v>12429</v>
      </c>
      <c r="H305" s="47" t="s">
        <v>12430</v>
      </c>
      <c r="I305" s="49" t="s">
        <v>41</v>
      </c>
      <c r="J305" s="49" t="s">
        <v>12431</v>
      </c>
      <c r="K305" t="s">
        <v>12432</v>
      </c>
    </row>
    <row r="306" spans="1:11" s="22" customFormat="1" ht="15.5">
      <c r="A306" s="33"/>
      <c r="B306" s="87"/>
      <c r="C306" s="86"/>
      <c r="D306" s="83"/>
      <c r="E306" s="98"/>
      <c r="F306" s="46"/>
      <c r="G306" s="14" t="s">
        <v>9389</v>
      </c>
      <c r="H306" s="48"/>
      <c r="I306" s="50"/>
      <c r="J306" s="50"/>
      <c r="K306" t="s">
        <v>12433</v>
      </c>
    </row>
    <row r="307" spans="1:11" s="22" customFormat="1" ht="15.5">
      <c r="A307" s="33"/>
      <c r="B307" s="87"/>
      <c r="C307" s="86"/>
      <c r="D307" s="82" t="s">
        <v>12434</v>
      </c>
      <c r="E307" s="97" t="s">
        <v>12435</v>
      </c>
      <c r="F307" s="45" t="s">
        <v>16</v>
      </c>
      <c r="G307" s="14" t="s">
        <v>12436</v>
      </c>
      <c r="H307" s="47" t="s">
        <v>12437</v>
      </c>
      <c r="I307" s="49" t="s">
        <v>19</v>
      </c>
      <c r="J307" s="49" t="s">
        <v>12438</v>
      </c>
      <c r="K307" t="s">
        <v>12439</v>
      </c>
    </row>
    <row r="308" spans="1:11" s="22" customFormat="1" ht="15.5">
      <c r="A308" s="33"/>
      <c r="B308" s="87"/>
      <c r="C308" s="86"/>
      <c r="D308" s="83"/>
      <c r="E308" s="98"/>
      <c r="F308" s="46"/>
      <c r="G308" s="14" t="s">
        <v>12440</v>
      </c>
      <c r="H308" s="48"/>
      <c r="I308" s="50"/>
      <c r="J308" s="50"/>
      <c r="K308" t="s">
        <v>12441</v>
      </c>
    </row>
    <row r="309" spans="1:11" s="22" customFormat="1" ht="15.5" customHeight="1">
      <c r="A309" s="33"/>
      <c r="B309" s="87"/>
      <c r="C309" s="86"/>
      <c r="D309" s="82" t="s">
        <v>12442</v>
      </c>
      <c r="E309" s="97" t="s">
        <v>12443</v>
      </c>
      <c r="F309" s="45" t="s">
        <v>16</v>
      </c>
      <c r="G309" s="14" t="s">
        <v>12444</v>
      </c>
      <c r="H309" s="47" t="s">
        <v>12445</v>
      </c>
      <c r="I309" s="49" t="s">
        <v>33</v>
      </c>
      <c r="J309" s="49" t="s">
        <v>12446</v>
      </c>
      <c r="K309" t="s">
        <v>12447</v>
      </c>
    </row>
    <row r="310" spans="1:11" s="22" customFormat="1" ht="15.5">
      <c r="A310" s="33"/>
      <c r="B310" s="87"/>
      <c r="C310" s="86"/>
      <c r="D310" s="83"/>
      <c r="E310" s="98"/>
      <c r="F310" s="46"/>
      <c r="G310" s="14" t="s">
        <v>12448</v>
      </c>
      <c r="H310" s="48"/>
      <c r="I310" s="50"/>
      <c r="J310" s="50"/>
      <c r="K310" t="s">
        <v>12449</v>
      </c>
    </row>
    <row r="311" spans="1:11" s="22" customFormat="1" ht="15.5" customHeight="1">
      <c r="A311" s="33"/>
      <c r="B311" s="87"/>
      <c r="C311" s="86"/>
      <c r="D311" s="82" t="s">
        <v>12450</v>
      </c>
      <c r="E311" s="84" t="s">
        <v>12451</v>
      </c>
      <c r="F311" s="45" t="s">
        <v>16</v>
      </c>
      <c r="G311" s="14" t="s">
        <v>12452</v>
      </c>
      <c r="H311" s="47" t="s">
        <v>12453</v>
      </c>
      <c r="I311" s="49" t="s">
        <v>19</v>
      </c>
      <c r="J311" s="49" t="s">
        <v>12454</v>
      </c>
      <c r="K311" t="s">
        <v>12455</v>
      </c>
    </row>
    <row r="312" spans="1:11" s="22" customFormat="1" ht="15.5">
      <c r="A312" s="33"/>
      <c r="B312" s="87"/>
      <c r="C312" s="83"/>
      <c r="D312" s="83"/>
      <c r="E312" s="85"/>
      <c r="F312" s="46"/>
      <c r="G312" s="14" t="s">
        <v>12456</v>
      </c>
      <c r="H312" s="48"/>
      <c r="I312" s="50"/>
      <c r="J312" s="50"/>
      <c r="K312" t="s">
        <v>12457</v>
      </c>
    </row>
    <row r="313" spans="1:11" s="22" customFormat="1" ht="15.75" customHeight="1">
      <c r="A313" s="33"/>
      <c r="B313" s="87"/>
      <c r="C313" s="82" t="s">
        <v>12458</v>
      </c>
      <c r="D313" s="88" t="s">
        <v>12459</v>
      </c>
      <c r="E313" s="84" t="s">
        <v>12460</v>
      </c>
      <c r="F313" s="45" t="s">
        <v>16</v>
      </c>
      <c r="G313" s="14" t="s">
        <v>12461</v>
      </c>
      <c r="H313" s="47" t="s">
        <v>12462</v>
      </c>
      <c r="I313" s="49" t="s">
        <v>19</v>
      </c>
      <c r="J313" s="49" t="s">
        <v>12463</v>
      </c>
      <c r="K313" t="s">
        <v>12464</v>
      </c>
    </row>
    <row r="314" spans="1:11" s="22" customFormat="1" ht="15.5">
      <c r="A314" s="33"/>
      <c r="B314" s="87"/>
      <c r="C314" s="86"/>
      <c r="D314" s="89"/>
      <c r="E314" s="85"/>
      <c r="F314" s="46"/>
      <c r="G314" s="14" t="s">
        <v>12465</v>
      </c>
      <c r="H314" s="48"/>
      <c r="I314" s="50"/>
      <c r="J314" s="50"/>
      <c r="K314" t="s">
        <v>12466</v>
      </c>
    </row>
    <row r="315" spans="1:11" s="22" customFormat="1" ht="15.5" customHeight="1">
      <c r="A315" s="33"/>
      <c r="B315" s="87"/>
      <c r="C315" s="86"/>
      <c r="D315" s="82" t="s">
        <v>12467</v>
      </c>
      <c r="E315" s="84" t="s">
        <v>12468</v>
      </c>
      <c r="F315" s="45" t="s">
        <v>16</v>
      </c>
      <c r="G315" s="14" t="s">
        <v>12469</v>
      </c>
      <c r="H315" s="47" t="s">
        <v>12470</v>
      </c>
      <c r="I315" s="49" t="s">
        <v>41</v>
      </c>
      <c r="J315" s="49" t="s">
        <v>12471</v>
      </c>
      <c r="K315" t="s">
        <v>12472</v>
      </c>
    </row>
    <row r="316" spans="1:11" s="22" customFormat="1" ht="15.5">
      <c r="A316" s="33"/>
      <c r="B316" s="87"/>
      <c r="C316" s="86"/>
      <c r="D316" s="83"/>
      <c r="E316" s="85"/>
      <c r="F316" s="46"/>
      <c r="G316" s="14" t="s">
        <v>12473</v>
      </c>
      <c r="H316" s="48"/>
      <c r="I316" s="50"/>
      <c r="J316" s="50"/>
      <c r="K316" t="s">
        <v>12474</v>
      </c>
    </row>
    <row r="317" spans="1:11" s="22" customFormat="1" ht="15.5" customHeight="1">
      <c r="A317" s="33"/>
      <c r="B317" s="87"/>
      <c r="C317" s="86"/>
      <c r="D317" s="82" t="s">
        <v>12475</v>
      </c>
      <c r="E317" s="84" t="s">
        <v>12476</v>
      </c>
      <c r="F317" s="45" t="s">
        <v>38</v>
      </c>
      <c r="G317" s="14" t="s">
        <v>12477</v>
      </c>
      <c r="H317" s="47" t="s">
        <v>12478</v>
      </c>
      <c r="I317" s="49" t="s">
        <v>33</v>
      </c>
      <c r="J317" s="49" t="s">
        <v>12479</v>
      </c>
      <c r="K317" t="s">
        <v>12480</v>
      </c>
    </row>
    <row r="318" spans="1:11" s="22" customFormat="1" ht="15.5">
      <c r="A318" s="33"/>
      <c r="B318" s="87"/>
      <c r="C318" s="86"/>
      <c r="D318" s="83"/>
      <c r="E318" s="85"/>
      <c r="F318" s="46"/>
      <c r="G318" s="14" t="s">
        <v>12481</v>
      </c>
      <c r="H318" s="48"/>
      <c r="I318" s="50"/>
      <c r="J318" s="50"/>
      <c r="K318" t="s">
        <v>12482</v>
      </c>
    </row>
    <row r="319" spans="1:11" s="22" customFormat="1" ht="15.5" customHeight="1">
      <c r="A319" s="33"/>
      <c r="B319" s="87"/>
      <c r="C319" s="86"/>
      <c r="D319" s="82" t="s">
        <v>12483</v>
      </c>
      <c r="E319" s="84" t="s">
        <v>12484</v>
      </c>
      <c r="F319" s="45" t="s">
        <v>38</v>
      </c>
      <c r="G319" s="14" t="s">
        <v>12485</v>
      </c>
      <c r="H319" s="47" t="s">
        <v>12486</v>
      </c>
      <c r="I319" s="49" t="s">
        <v>19</v>
      </c>
      <c r="J319" s="49" t="s">
        <v>12487</v>
      </c>
      <c r="K319" t="s">
        <v>12488</v>
      </c>
    </row>
    <row r="320" spans="1:11" s="22" customFormat="1" ht="15.5">
      <c r="A320" s="33"/>
      <c r="B320" s="87"/>
      <c r="C320" s="86"/>
      <c r="D320" s="83"/>
      <c r="E320" s="85"/>
      <c r="F320" s="46"/>
      <c r="G320" s="14" t="s">
        <v>12489</v>
      </c>
      <c r="H320" s="48"/>
      <c r="I320" s="50"/>
      <c r="J320" s="50"/>
      <c r="K320" t="s">
        <v>12490</v>
      </c>
    </row>
    <row r="321" spans="1:11" s="22" customFormat="1" ht="15.5" customHeight="1">
      <c r="A321" s="33"/>
      <c r="B321" s="87"/>
      <c r="C321" s="86"/>
      <c r="D321" s="82" t="s">
        <v>12491</v>
      </c>
      <c r="E321" s="84" t="s">
        <v>12492</v>
      </c>
      <c r="F321" s="45" t="s">
        <v>38</v>
      </c>
      <c r="G321" s="14" t="s">
        <v>12493</v>
      </c>
      <c r="H321" s="47" t="s">
        <v>12494</v>
      </c>
      <c r="I321" s="49" t="s">
        <v>41</v>
      </c>
      <c r="J321" s="49" t="s">
        <v>12495</v>
      </c>
      <c r="K321" t="s">
        <v>12496</v>
      </c>
    </row>
    <row r="322" spans="1:11" s="22" customFormat="1" ht="15.5">
      <c r="A322" s="33"/>
      <c r="B322" s="87"/>
      <c r="C322" s="83"/>
      <c r="D322" s="83"/>
      <c r="E322" s="85"/>
      <c r="F322" s="46"/>
      <c r="G322" s="14" t="s">
        <v>12497</v>
      </c>
      <c r="H322" s="48"/>
      <c r="I322" s="50"/>
      <c r="J322" s="50"/>
      <c r="K322" t="s">
        <v>12498</v>
      </c>
    </row>
    <row r="323" spans="1:11" s="22" customFormat="1" ht="15.75" customHeight="1">
      <c r="A323" s="33"/>
      <c r="B323" s="49" t="s">
        <v>12499</v>
      </c>
      <c r="C323" s="82" t="s">
        <v>12500</v>
      </c>
      <c r="D323" s="82" t="s">
        <v>12501</v>
      </c>
      <c r="E323" s="84" t="s">
        <v>12502</v>
      </c>
      <c r="F323" s="45" t="s">
        <v>38</v>
      </c>
      <c r="G323" s="14" t="s">
        <v>12503</v>
      </c>
      <c r="H323" s="47" t="s">
        <v>12504</v>
      </c>
      <c r="I323" s="49" t="s">
        <v>33</v>
      </c>
      <c r="J323" s="49" t="s">
        <v>12505</v>
      </c>
      <c r="K323" t="s">
        <v>12506</v>
      </c>
    </row>
    <row r="324" spans="1:11" s="22" customFormat="1" ht="15.5">
      <c r="A324" s="33"/>
      <c r="B324" s="87"/>
      <c r="C324" s="86"/>
      <c r="D324" s="83"/>
      <c r="E324" s="85"/>
      <c r="F324" s="46"/>
      <c r="G324" s="14" t="s">
        <v>12507</v>
      </c>
      <c r="H324" s="48"/>
      <c r="I324" s="50"/>
      <c r="J324" s="50"/>
      <c r="K324" t="s">
        <v>12508</v>
      </c>
    </row>
    <row r="325" spans="1:11" s="22" customFormat="1" ht="15.5">
      <c r="A325" s="33"/>
      <c r="B325" s="87"/>
      <c r="C325" s="86"/>
      <c r="D325" s="82" t="s">
        <v>12509</v>
      </c>
      <c r="E325" s="84" t="s">
        <v>12510</v>
      </c>
      <c r="F325" s="45" t="s">
        <v>38</v>
      </c>
      <c r="G325" s="14" t="s">
        <v>12511</v>
      </c>
      <c r="H325" s="47" t="s">
        <v>12512</v>
      </c>
      <c r="I325" s="49" t="s">
        <v>19</v>
      </c>
      <c r="J325" s="49" t="s">
        <v>12513</v>
      </c>
      <c r="K325" t="s">
        <v>12514</v>
      </c>
    </row>
    <row r="326" spans="1:11" s="22" customFormat="1" ht="15.5">
      <c r="A326" s="33"/>
      <c r="B326" s="87"/>
      <c r="C326" s="86"/>
      <c r="D326" s="83"/>
      <c r="E326" s="85"/>
      <c r="F326" s="46"/>
      <c r="G326" s="14" t="s">
        <v>12515</v>
      </c>
      <c r="H326" s="48"/>
      <c r="I326" s="50"/>
      <c r="J326" s="50"/>
      <c r="K326" t="s">
        <v>12516</v>
      </c>
    </row>
    <row r="327" spans="1:11" s="22" customFormat="1" ht="15.5" customHeight="1">
      <c r="A327" s="33"/>
      <c r="B327" s="87"/>
      <c r="C327" s="86"/>
      <c r="D327" s="82" t="s">
        <v>12517</v>
      </c>
      <c r="E327" s="84" t="s">
        <v>12518</v>
      </c>
      <c r="F327" s="45" t="s">
        <v>38</v>
      </c>
      <c r="G327" s="14" t="s">
        <v>8737</v>
      </c>
      <c r="H327" s="47" t="s">
        <v>12519</v>
      </c>
      <c r="I327" s="49" t="s">
        <v>19</v>
      </c>
      <c r="J327" s="49" t="s">
        <v>12520</v>
      </c>
      <c r="K327" t="s">
        <v>12521</v>
      </c>
    </row>
    <row r="328" spans="1:11" s="22" customFormat="1" ht="15.5">
      <c r="A328" s="33"/>
      <c r="B328" s="87"/>
      <c r="C328" s="86"/>
      <c r="D328" s="83"/>
      <c r="E328" s="85"/>
      <c r="F328" s="46"/>
      <c r="G328" s="14" t="s">
        <v>12522</v>
      </c>
      <c r="H328" s="48"/>
      <c r="I328" s="50"/>
      <c r="J328" s="50"/>
      <c r="K328" t="s">
        <v>12523</v>
      </c>
    </row>
    <row r="329" spans="1:11" s="22" customFormat="1" ht="15.5" customHeight="1">
      <c r="A329" s="33"/>
      <c r="B329" s="87"/>
      <c r="C329" s="86"/>
      <c r="D329" s="82" t="s">
        <v>12524</v>
      </c>
      <c r="E329" s="84" t="s">
        <v>12525</v>
      </c>
      <c r="F329" s="45" t="s">
        <v>16</v>
      </c>
      <c r="G329" s="14" t="s">
        <v>8597</v>
      </c>
      <c r="H329" s="47" t="s">
        <v>12526</v>
      </c>
      <c r="I329" s="49" t="s">
        <v>19</v>
      </c>
      <c r="J329" s="49" t="s">
        <v>12527</v>
      </c>
      <c r="K329" t="s">
        <v>12528</v>
      </c>
    </row>
    <row r="330" spans="1:11" s="22" customFormat="1" ht="15.5">
      <c r="A330" s="33"/>
      <c r="B330" s="87"/>
      <c r="C330" s="86"/>
      <c r="D330" s="83"/>
      <c r="E330" s="85"/>
      <c r="F330" s="46"/>
      <c r="G330" s="14" t="s">
        <v>8715</v>
      </c>
      <c r="H330" s="48"/>
      <c r="I330" s="50"/>
      <c r="J330" s="50"/>
      <c r="K330" t="s">
        <v>12529</v>
      </c>
    </row>
    <row r="331" spans="1:11" s="22" customFormat="1" ht="15.75" customHeight="1">
      <c r="A331" s="33"/>
      <c r="B331" s="87"/>
      <c r="C331" s="86"/>
      <c r="D331" s="82" t="s">
        <v>12530</v>
      </c>
      <c r="E331" s="84" t="s">
        <v>12531</v>
      </c>
      <c r="F331" s="45" t="s">
        <v>16</v>
      </c>
      <c r="G331" s="14" t="s">
        <v>12208</v>
      </c>
      <c r="H331" s="47" t="s">
        <v>12532</v>
      </c>
      <c r="I331" s="49" t="s">
        <v>41</v>
      </c>
      <c r="J331" s="49" t="s">
        <v>12533</v>
      </c>
      <c r="K331" t="s">
        <v>12534</v>
      </c>
    </row>
    <row r="332" spans="1:11" s="22" customFormat="1" ht="15.5">
      <c r="A332" s="33"/>
      <c r="B332" s="87"/>
      <c r="C332" s="83"/>
      <c r="D332" s="83"/>
      <c r="E332" s="85"/>
      <c r="F332" s="46"/>
      <c r="G332" s="14" t="s">
        <v>10574</v>
      </c>
      <c r="H332" s="48"/>
      <c r="I332" s="50"/>
      <c r="J332" s="50"/>
      <c r="K332" t="s">
        <v>12535</v>
      </c>
    </row>
    <row r="333" spans="1:11" s="22" customFormat="1" ht="15" customHeight="1">
      <c r="A333" s="33"/>
      <c r="B333" s="87"/>
      <c r="C333" s="82" t="s">
        <v>12536</v>
      </c>
      <c r="D333" s="82" t="s">
        <v>12537</v>
      </c>
      <c r="E333" s="84" t="s">
        <v>12538</v>
      </c>
      <c r="F333" s="45" t="s">
        <v>38</v>
      </c>
      <c r="G333" s="14" t="s">
        <v>5448</v>
      </c>
      <c r="H333" s="47" t="s">
        <v>12539</v>
      </c>
      <c r="I333" s="49" t="s">
        <v>41</v>
      </c>
      <c r="J333" s="49" t="s">
        <v>12540</v>
      </c>
      <c r="K333" t="s">
        <v>12541</v>
      </c>
    </row>
    <row r="334" spans="1:11" s="22" customFormat="1" ht="15" customHeight="1">
      <c r="A334" s="33"/>
      <c r="B334" s="87"/>
      <c r="C334" s="86"/>
      <c r="D334" s="83"/>
      <c r="E334" s="85"/>
      <c r="F334" s="46"/>
      <c r="G334" s="14" t="s">
        <v>12542</v>
      </c>
      <c r="H334" s="48"/>
      <c r="I334" s="50"/>
      <c r="J334" s="50"/>
      <c r="K334" t="s">
        <v>12543</v>
      </c>
    </row>
    <row r="335" spans="1:11" s="22" customFormat="1" ht="15.5" customHeight="1">
      <c r="A335" s="33"/>
      <c r="B335" s="87"/>
      <c r="C335" s="86"/>
      <c r="D335" s="82" t="s">
        <v>12544</v>
      </c>
      <c r="E335" s="84" t="s">
        <v>12545</v>
      </c>
      <c r="F335" s="45" t="s">
        <v>16</v>
      </c>
      <c r="G335" s="14" t="s">
        <v>12546</v>
      </c>
      <c r="H335" s="47" t="s">
        <v>12547</v>
      </c>
      <c r="I335" s="49" t="s">
        <v>33</v>
      </c>
      <c r="J335" s="49" t="s">
        <v>12548</v>
      </c>
      <c r="K335" t="s">
        <v>12549</v>
      </c>
    </row>
    <row r="336" spans="1:11" s="22" customFormat="1" ht="15.5">
      <c r="A336" s="33"/>
      <c r="B336" s="87"/>
      <c r="C336" s="86"/>
      <c r="D336" s="83"/>
      <c r="E336" s="85"/>
      <c r="F336" s="46"/>
      <c r="G336" s="14" t="s">
        <v>12550</v>
      </c>
      <c r="H336" s="48"/>
      <c r="I336" s="50"/>
      <c r="J336" s="50"/>
      <c r="K336" t="s">
        <v>12551</v>
      </c>
    </row>
    <row r="337" spans="1:11" s="22" customFormat="1" ht="15.5" customHeight="1">
      <c r="A337" s="33"/>
      <c r="B337" s="87"/>
      <c r="C337" s="86"/>
      <c r="D337" s="82" t="s">
        <v>12552</v>
      </c>
      <c r="E337" s="84" t="s">
        <v>12553</v>
      </c>
      <c r="F337" s="45" t="s">
        <v>38</v>
      </c>
      <c r="G337" s="14" t="s">
        <v>12554</v>
      </c>
      <c r="H337" s="47" t="s">
        <v>12555</v>
      </c>
      <c r="I337" s="49" t="s">
        <v>41</v>
      </c>
      <c r="J337" s="49" t="s">
        <v>12556</v>
      </c>
      <c r="K337" t="s">
        <v>12557</v>
      </c>
    </row>
    <row r="338" spans="1:11" s="22" customFormat="1" ht="15.5">
      <c r="A338" s="33"/>
      <c r="B338" s="87"/>
      <c r="C338" s="86"/>
      <c r="D338" s="83"/>
      <c r="E338" s="85"/>
      <c r="F338" s="46"/>
      <c r="G338" s="14" t="s">
        <v>12558</v>
      </c>
      <c r="H338" s="48"/>
      <c r="I338" s="50"/>
      <c r="J338" s="50"/>
      <c r="K338" t="s">
        <v>12559</v>
      </c>
    </row>
    <row r="339" spans="1:11" s="22" customFormat="1" ht="15.5">
      <c r="A339" s="33"/>
      <c r="B339" s="87"/>
      <c r="C339" s="86"/>
      <c r="D339" s="82" t="s">
        <v>12560</v>
      </c>
      <c r="E339" s="84" t="s">
        <v>12561</v>
      </c>
      <c r="F339" s="45" t="s">
        <v>16</v>
      </c>
      <c r="G339" s="14" t="s">
        <v>10825</v>
      </c>
      <c r="H339" s="47" t="s">
        <v>12562</v>
      </c>
      <c r="I339" s="49" t="s">
        <v>19</v>
      </c>
      <c r="J339" s="49" t="s">
        <v>12563</v>
      </c>
      <c r="K339" t="s">
        <v>12564</v>
      </c>
    </row>
    <row r="340" spans="1:11" s="22" customFormat="1" ht="15.5">
      <c r="A340" s="33"/>
      <c r="B340" s="87"/>
      <c r="C340" s="86"/>
      <c r="D340" s="83"/>
      <c r="E340" s="85"/>
      <c r="F340" s="46"/>
      <c r="G340" s="14" t="s">
        <v>12565</v>
      </c>
      <c r="H340" s="48"/>
      <c r="I340" s="50"/>
      <c r="J340" s="50"/>
      <c r="K340" t="s">
        <v>12566</v>
      </c>
    </row>
    <row r="341" spans="1:11" s="22" customFormat="1" ht="15.5">
      <c r="A341" s="33"/>
      <c r="B341" s="87"/>
      <c r="C341" s="86"/>
      <c r="D341" s="82" t="s">
        <v>12567</v>
      </c>
      <c r="E341" s="84" t="s">
        <v>12568</v>
      </c>
      <c r="F341" s="45" t="s">
        <v>38</v>
      </c>
      <c r="G341" s="14" t="s">
        <v>12569</v>
      </c>
      <c r="H341" s="47" t="s">
        <v>12570</v>
      </c>
      <c r="I341" s="49" t="s">
        <v>19</v>
      </c>
      <c r="J341" s="49" t="s">
        <v>12571</v>
      </c>
      <c r="K341" t="s">
        <v>12572</v>
      </c>
    </row>
    <row r="342" spans="1:11" s="22" customFormat="1" ht="15.5">
      <c r="A342" s="33"/>
      <c r="B342" s="87"/>
      <c r="C342" s="83"/>
      <c r="D342" s="83"/>
      <c r="E342" s="85"/>
      <c r="F342" s="46"/>
      <c r="G342" s="14" t="s">
        <v>12573</v>
      </c>
      <c r="H342" s="48"/>
      <c r="I342" s="50"/>
      <c r="J342" s="50"/>
      <c r="K342" t="s">
        <v>12574</v>
      </c>
    </row>
    <row r="343" spans="1:11" s="22" customFormat="1" ht="15.75" customHeight="1">
      <c r="A343" s="33"/>
      <c r="B343" s="87"/>
      <c r="C343" s="82" t="s">
        <v>12575</v>
      </c>
      <c r="D343" s="82" t="s">
        <v>12576</v>
      </c>
      <c r="E343" s="84" t="s">
        <v>12577</v>
      </c>
      <c r="F343" s="45" t="s">
        <v>16</v>
      </c>
      <c r="G343" s="14" t="s">
        <v>12578</v>
      </c>
      <c r="H343" s="47" t="s">
        <v>12579</v>
      </c>
      <c r="I343" s="49" t="s">
        <v>19</v>
      </c>
      <c r="J343" s="49" t="s">
        <v>12580</v>
      </c>
      <c r="K343" t="s">
        <v>12581</v>
      </c>
    </row>
    <row r="344" spans="1:11" s="22" customFormat="1" ht="15.5">
      <c r="A344" s="33"/>
      <c r="B344" s="87"/>
      <c r="C344" s="86"/>
      <c r="D344" s="83"/>
      <c r="E344" s="85"/>
      <c r="F344" s="46"/>
      <c r="G344" s="14" t="s">
        <v>12582</v>
      </c>
      <c r="H344" s="48"/>
      <c r="I344" s="50"/>
      <c r="J344" s="50"/>
      <c r="K344" t="s">
        <v>12583</v>
      </c>
    </row>
    <row r="345" spans="1:11" s="22" customFormat="1" ht="15.5">
      <c r="A345" s="33"/>
      <c r="B345" s="87"/>
      <c r="C345" s="86"/>
      <c r="D345" s="82" t="s">
        <v>12584</v>
      </c>
      <c r="E345" s="84" t="s">
        <v>12585</v>
      </c>
      <c r="F345" s="45" t="s">
        <v>16</v>
      </c>
      <c r="G345" s="14" t="s">
        <v>10074</v>
      </c>
      <c r="H345" s="47" t="s">
        <v>12586</v>
      </c>
      <c r="I345" s="49" t="s">
        <v>19</v>
      </c>
      <c r="J345" s="49" t="s">
        <v>12587</v>
      </c>
      <c r="K345" t="s">
        <v>12588</v>
      </c>
    </row>
    <row r="346" spans="1:11" s="22" customFormat="1" ht="15.5">
      <c r="A346" s="33"/>
      <c r="B346" s="87"/>
      <c r="C346" s="86"/>
      <c r="D346" s="83"/>
      <c r="E346" s="85"/>
      <c r="F346" s="46"/>
      <c r="G346" s="14" t="s">
        <v>12589</v>
      </c>
      <c r="H346" s="48"/>
      <c r="I346" s="50"/>
      <c r="J346" s="50"/>
      <c r="K346" t="s">
        <v>12590</v>
      </c>
    </row>
    <row r="347" spans="1:11" s="22" customFormat="1" ht="15.5" customHeight="1">
      <c r="A347" s="33"/>
      <c r="B347" s="87"/>
      <c r="C347" s="86"/>
      <c r="D347" s="82" t="s">
        <v>12591</v>
      </c>
      <c r="E347" s="84" t="s">
        <v>12592</v>
      </c>
      <c r="F347" s="45" t="s">
        <v>16</v>
      </c>
      <c r="G347" s="14" t="s">
        <v>12593</v>
      </c>
      <c r="H347" s="47" t="s">
        <v>12594</v>
      </c>
      <c r="I347" s="49" t="s">
        <v>41</v>
      </c>
      <c r="J347" s="49" t="s">
        <v>12595</v>
      </c>
      <c r="K347" t="s">
        <v>12596</v>
      </c>
    </row>
    <row r="348" spans="1:11" s="22" customFormat="1" ht="15.5">
      <c r="A348" s="33"/>
      <c r="B348" s="87"/>
      <c r="C348" s="86"/>
      <c r="D348" s="83"/>
      <c r="E348" s="85"/>
      <c r="F348" s="46"/>
      <c r="G348" s="14" t="s">
        <v>12597</v>
      </c>
      <c r="H348" s="48"/>
      <c r="I348" s="50"/>
      <c r="J348" s="50"/>
      <c r="K348" t="s">
        <v>12598</v>
      </c>
    </row>
    <row r="349" spans="1:11" s="22" customFormat="1" ht="15.5">
      <c r="A349" s="33"/>
      <c r="B349" s="87"/>
      <c r="C349" s="86"/>
      <c r="D349" s="82" t="s">
        <v>12599</v>
      </c>
      <c r="E349" s="84" t="s">
        <v>12600</v>
      </c>
      <c r="F349" s="45" t="s">
        <v>16</v>
      </c>
      <c r="G349" s="14" t="s">
        <v>12601</v>
      </c>
      <c r="H349" s="47" t="s">
        <v>10604</v>
      </c>
      <c r="I349" s="49" t="s">
        <v>41</v>
      </c>
      <c r="J349" s="49" t="s">
        <v>12602</v>
      </c>
      <c r="K349" t="s">
        <v>12603</v>
      </c>
    </row>
    <row r="350" spans="1:11" s="22" customFormat="1" ht="15.5">
      <c r="A350" s="33"/>
      <c r="B350" s="87"/>
      <c r="C350" s="86"/>
      <c r="D350" s="83"/>
      <c r="E350" s="85"/>
      <c r="F350" s="46"/>
      <c r="G350" s="14" t="s">
        <v>12604</v>
      </c>
      <c r="H350" s="48"/>
      <c r="I350" s="50"/>
      <c r="J350" s="50"/>
      <c r="K350" t="s">
        <v>12605</v>
      </c>
    </row>
    <row r="351" spans="1:11" s="22" customFormat="1" ht="15.5">
      <c r="A351" s="33"/>
      <c r="B351" s="87"/>
      <c r="C351" s="86"/>
      <c r="D351" s="82" t="s">
        <v>12606</v>
      </c>
      <c r="E351" s="84" t="s">
        <v>12607</v>
      </c>
      <c r="F351" s="45" t="s">
        <v>16</v>
      </c>
      <c r="G351" s="14" t="s">
        <v>12608</v>
      </c>
      <c r="H351" s="47" t="s">
        <v>12609</v>
      </c>
      <c r="I351" s="49" t="s">
        <v>41</v>
      </c>
      <c r="J351" s="49" t="s">
        <v>12610</v>
      </c>
      <c r="K351" t="s">
        <v>12611</v>
      </c>
    </row>
    <row r="352" spans="1:11" s="22" customFormat="1" ht="15.5">
      <c r="A352" s="33"/>
      <c r="B352" s="87"/>
      <c r="C352" s="83"/>
      <c r="D352" s="83"/>
      <c r="E352" s="85"/>
      <c r="F352" s="46"/>
      <c r="G352" s="14" t="s">
        <v>12612</v>
      </c>
      <c r="H352" s="48"/>
      <c r="I352" s="50"/>
      <c r="J352" s="50"/>
      <c r="K352" t="s">
        <v>12613</v>
      </c>
    </row>
    <row r="353" spans="1:11" s="22" customFormat="1" ht="15.75" customHeight="1">
      <c r="A353" s="33"/>
      <c r="B353" s="87"/>
      <c r="C353" s="82" t="s">
        <v>12614</v>
      </c>
      <c r="D353" s="82" t="s">
        <v>12615</v>
      </c>
      <c r="E353" s="84" t="s">
        <v>12616</v>
      </c>
      <c r="F353" s="45" t="s">
        <v>16</v>
      </c>
      <c r="G353" s="14" t="s">
        <v>12617</v>
      </c>
      <c r="H353" s="47" t="s">
        <v>12618</v>
      </c>
      <c r="I353" s="49" t="s">
        <v>33</v>
      </c>
      <c r="J353" s="49" t="s">
        <v>12619</v>
      </c>
      <c r="K353" t="s">
        <v>12620</v>
      </c>
    </row>
    <row r="354" spans="1:11" s="22" customFormat="1" ht="15.5">
      <c r="A354" s="33"/>
      <c r="B354" s="87"/>
      <c r="C354" s="86"/>
      <c r="D354" s="83"/>
      <c r="E354" s="85"/>
      <c r="F354" s="46"/>
      <c r="G354" s="14" t="s">
        <v>8586</v>
      </c>
      <c r="H354" s="48"/>
      <c r="I354" s="50"/>
      <c r="J354" s="50"/>
      <c r="K354" t="s">
        <v>12621</v>
      </c>
    </row>
    <row r="355" spans="1:11" s="22" customFormat="1" ht="15.5">
      <c r="A355" s="33"/>
      <c r="B355" s="87"/>
      <c r="C355" s="86"/>
      <c r="D355" s="82" t="s">
        <v>12622</v>
      </c>
      <c r="E355" s="84" t="s">
        <v>12623</v>
      </c>
      <c r="F355" s="45" t="s">
        <v>16</v>
      </c>
      <c r="G355" s="14" t="s">
        <v>9669</v>
      </c>
      <c r="H355" s="47" t="s">
        <v>12624</v>
      </c>
      <c r="I355" s="49" t="s">
        <v>41</v>
      </c>
      <c r="J355" s="49" t="s">
        <v>12625</v>
      </c>
      <c r="K355" t="s">
        <v>12626</v>
      </c>
    </row>
    <row r="356" spans="1:11" s="22" customFormat="1" ht="15.5">
      <c r="A356" s="33"/>
      <c r="B356" s="87"/>
      <c r="C356" s="86"/>
      <c r="D356" s="83"/>
      <c r="E356" s="85"/>
      <c r="F356" s="46"/>
      <c r="G356" s="14" t="s">
        <v>12627</v>
      </c>
      <c r="H356" s="48"/>
      <c r="I356" s="50"/>
      <c r="J356" s="50"/>
      <c r="K356" t="s">
        <v>12628</v>
      </c>
    </row>
    <row r="357" spans="1:11" s="22" customFormat="1" ht="15.5" customHeight="1">
      <c r="A357" s="33"/>
      <c r="B357" s="87"/>
      <c r="C357" s="86"/>
      <c r="D357" s="82" t="s">
        <v>12629</v>
      </c>
      <c r="E357" s="84" t="s">
        <v>12630</v>
      </c>
      <c r="F357" s="45" t="s">
        <v>16</v>
      </c>
      <c r="G357" s="14" t="s">
        <v>12631</v>
      </c>
      <c r="H357" s="47" t="s">
        <v>12632</v>
      </c>
      <c r="I357" s="49" t="s">
        <v>41</v>
      </c>
      <c r="J357" s="49" t="s">
        <v>12633</v>
      </c>
      <c r="K357" t="s">
        <v>12634</v>
      </c>
    </row>
    <row r="358" spans="1:11" s="22" customFormat="1" ht="15.5">
      <c r="A358" s="33"/>
      <c r="B358" s="87"/>
      <c r="C358" s="86"/>
      <c r="D358" s="83"/>
      <c r="E358" s="85"/>
      <c r="F358" s="46"/>
      <c r="G358" s="14" t="s">
        <v>12635</v>
      </c>
      <c r="H358" s="48"/>
      <c r="I358" s="50"/>
      <c r="J358" s="50"/>
      <c r="K358" t="s">
        <v>12636</v>
      </c>
    </row>
    <row r="359" spans="1:11" s="22" customFormat="1" ht="15.5" customHeight="1">
      <c r="A359" s="33"/>
      <c r="B359" s="87"/>
      <c r="C359" s="86"/>
      <c r="D359" s="82" t="s">
        <v>12637</v>
      </c>
      <c r="E359" s="84" t="s">
        <v>12638</v>
      </c>
      <c r="F359" s="45" t="s">
        <v>16</v>
      </c>
      <c r="G359" s="14" t="s">
        <v>12639</v>
      </c>
      <c r="H359" s="47" t="s">
        <v>12640</v>
      </c>
      <c r="I359" s="49" t="s">
        <v>19</v>
      </c>
      <c r="J359" s="49" t="s">
        <v>12641</v>
      </c>
      <c r="K359" t="s">
        <v>12642</v>
      </c>
    </row>
    <row r="360" spans="1:11" s="22" customFormat="1" ht="15.5">
      <c r="A360" s="33"/>
      <c r="B360" s="87"/>
      <c r="C360" s="86"/>
      <c r="D360" s="83"/>
      <c r="E360" s="85"/>
      <c r="F360" s="46"/>
      <c r="G360" s="14" t="s">
        <v>8586</v>
      </c>
      <c r="H360" s="48"/>
      <c r="I360" s="50"/>
      <c r="J360" s="50"/>
      <c r="K360" t="s">
        <v>12643</v>
      </c>
    </row>
    <row r="361" spans="1:11" s="22" customFormat="1" ht="15.5">
      <c r="A361" s="33"/>
      <c r="B361" s="87"/>
      <c r="C361" s="86"/>
      <c r="D361" s="82" t="s">
        <v>12644</v>
      </c>
      <c r="E361" s="84" t="s">
        <v>12645</v>
      </c>
      <c r="F361" s="45" t="s">
        <v>16</v>
      </c>
      <c r="G361" s="14" t="s">
        <v>12646</v>
      </c>
      <c r="H361" s="47" t="s">
        <v>12647</v>
      </c>
      <c r="I361" s="49" t="s">
        <v>19</v>
      </c>
      <c r="J361" s="49" t="s">
        <v>12648</v>
      </c>
      <c r="K361" t="s">
        <v>12649</v>
      </c>
    </row>
    <row r="362" spans="1:11" s="22" customFormat="1" ht="15.5">
      <c r="A362" s="33"/>
      <c r="B362" s="87"/>
      <c r="C362" s="83"/>
      <c r="D362" s="83"/>
      <c r="E362" s="85"/>
      <c r="F362" s="46"/>
      <c r="G362" s="14" t="s">
        <v>11934</v>
      </c>
      <c r="H362" s="48"/>
      <c r="I362" s="50"/>
      <c r="J362" s="50"/>
      <c r="K362" t="s">
        <v>12650</v>
      </c>
    </row>
    <row r="363" spans="1:11" s="22" customFormat="1" ht="15.75" customHeight="1">
      <c r="A363" s="33"/>
      <c r="B363" s="87"/>
      <c r="C363" s="82" t="s">
        <v>12651</v>
      </c>
      <c r="D363" s="82" t="s">
        <v>12652</v>
      </c>
      <c r="E363" s="84" t="s">
        <v>12653</v>
      </c>
      <c r="F363" s="45" t="s">
        <v>16</v>
      </c>
      <c r="G363" s="14" t="s">
        <v>12654</v>
      </c>
      <c r="H363" s="47" t="s">
        <v>12655</v>
      </c>
      <c r="I363" s="49" t="s">
        <v>19</v>
      </c>
      <c r="J363" s="49" t="s">
        <v>12656</v>
      </c>
      <c r="K363" t="s">
        <v>12657</v>
      </c>
    </row>
    <row r="364" spans="1:11" s="22" customFormat="1" ht="15.5">
      <c r="A364" s="33"/>
      <c r="B364" s="87"/>
      <c r="C364" s="86"/>
      <c r="D364" s="83"/>
      <c r="E364" s="85"/>
      <c r="F364" s="46"/>
      <c r="G364" s="14" t="s">
        <v>12658</v>
      </c>
      <c r="H364" s="48"/>
      <c r="I364" s="50"/>
      <c r="J364" s="50"/>
      <c r="K364" t="s">
        <v>12659</v>
      </c>
    </row>
    <row r="365" spans="1:11" s="22" customFormat="1" ht="15.5">
      <c r="A365" s="33"/>
      <c r="B365" s="87"/>
      <c r="C365" s="86"/>
      <c r="D365" s="82" t="s">
        <v>12660</v>
      </c>
      <c r="E365" s="84" t="s">
        <v>12661</v>
      </c>
      <c r="F365" s="45" t="s">
        <v>16</v>
      </c>
      <c r="G365" s="14" t="s">
        <v>12662</v>
      </c>
      <c r="H365" s="47" t="s">
        <v>12663</v>
      </c>
      <c r="I365" s="49" t="s">
        <v>19</v>
      </c>
      <c r="J365" s="49" t="s">
        <v>12664</v>
      </c>
      <c r="K365" t="s">
        <v>12665</v>
      </c>
    </row>
    <row r="366" spans="1:11" s="22" customFormat="1" ht="15.5">
      <c r="A366" s="33"/>
      <c r="B366" s="87"/>
      <c r="C366" s="86"/>
      <c r="D366" s="83"/>
      <c r="E366" s="85"/>
      <c r="F366" s="46"/>
      <c r="G366" s="14" t="s">
        <v>11893</v>
      </c>
      <c r="H366" s="48"/>
      <c r="I366" s="50"/>
      <c r="J366" s="50"/>
      <c r="K366" t="s">
        <v>12666</v>
      </c>
    </row>
    <row r="367" spans="1:11" s="22" customFormat="1" ht="15.5">
      <c r="A367" s="33"/>
      <c r="B367" s="87"/>
      <c r="C367" s="86"/>
      <c r="D367" s="82" t="s">
        <v>12667</v>
      </c>
      <c r="E367" s="84" t="s">
        <v>12668</v>
      </c>
      <c r="F367" s="45" t="s">
        <v>16</v>
      </c>
      <c r="G367" s="14" t="s">
        <v>12669</v>
      </c>
      <c r="H367" s="47" t="s">
        <v>12670</v>
      </c>
      <c r="I367" s="49" t="s">
        <v>19</v>
      </c>
      <c r="J367" s="49" t="s">
        <v>12671</v>
      </c>
      <c r="K367" t="s">
        <v>12672</v>
      </c>
    </row>
    <row r="368" spans="1:11" s="22" customFormat="1" ht="15.5">
      <c r="A368" s="33"/>
      <c r="B368" s="87"/>
      <c r="C368" s="86"/>
      <c r="D368" s="83"/>
      <c r="E368" s="85"/>
      <c r="F368" s="46"/>
      <c r="G368" s="14" t="s">
        <v>11959</v>
      </c>
      <c r="H368" s="48"/>
      <c r="I368" s="50"/>
      <c r="J368" s="50"/>
      <c r="K368" t="s">
        <v>12673</v>
      </c>
    </row>
    <row r="369" spans="1:11" s="22" customFormat="1" ht="15.5" customHeight="1">
      <c r="A369" s="33"/>
      <c r="B369" s="87"/>
      <c r="C369" s="86"/>
      <c r="D369" s="82" t="s">
        <v>12674</v>
      </c>
      <c r="E369" s="84" t="s">
        <v>12675</v>
      </c>
      <c r="F369" s="45" t="s">
        <v>38</v>
      </c>
      <c r="G369" s="14" t="s">
        <v>12676</v>
      </c>
      <c r="H369" s="47" t="s">
        <v>12677</v>
      </c>
      <c r="I369" s="49" t="s">
        <v>19</v>
      </c>
      <c r="J369" s="49" t="s">
        <v>12678</v>
      </c>
      <c r="K369" t="s">
        <v>12679</v>
      </c>
    </row>
    <row r="370" spans="1:11" s="22" customFormat="1" ht="15.5">
      <c r="A370" s="33"/>
      <c r="B370" s="87"/>
      <c r="C370" s="86"/>
      <c r="D370" s="83"/>
      <c r="E370" s="85"/>
      <c r="F370" s="46"/>
      <c r="G370" s="14" t="s">
        <v>12680</v>
      </c>
      <c r="H370" s="48"/>
      <c r="I370" s="50"/>
      <c r="J370" s="50"/>
      <c r="K370" t="s">
        <v>12681</v>
      </c>
    </row>
    <row r="371" spans="1:11" s="22" customFormat="1" ht="15.5" customHeight="1">
      <c r="A371" s="33"/>
      <c r="B371" s="87"/>
      <c r="C371" s="86"/>
      <c r="D371" s="82" t="s">
        <v>12682</v>
      </c>
      <c r="E371" s="84" t="s">
        <v>12683</v>
      </c>
      <c r="F371" s="45" t="s">
        <v>38</v>
      </c>
      <c r="G371" s="14" t="s">
        <v>12684</v>
      </c>
      <c r="H371" s="47" t="s">
        <v>12685</v>
      </c>
      <c r="I371" s="49" t="s">
        <v>19</v>
      </c>
      <c r="J371" s="49" t="s">
        <v>12686</v>
      </c>
      <c r="K371" t="s">
        <v>12687</v>
      </c>
    </row>
    <row r="372" spans="1:11" s="22" customFormat="1" ht="15.5">
      <c r="A372" s="33"/>
      <c r="B372" s="87"/>
      <c r="C372" s="83"/>
      <c r="D372" s="83"/>
      <c r="E372" s="85"/>
      <c r="F372" s="46"/>
      <c r="G372" s="14" t="s">
        <v>12688</v>
      </c>
      <c r="H372" s="48"/>
      <c r="I372" s="50"/>
      <c r="J372" s="50"/>
      <c r="K372" t="s">
        <v>12689</v>
      </c>
    </row>
    <row r="373" spans="1:11" s="22" customFormat="1" ht="15.75" customHeight="1">
      <c r="A373" s="33"/>
      <c r="B373" s="87"/>
      <c r="C373" s="82" t="s">
        <v>12690</v>
      </c>
      <c r="D373" s="82" t="s">
        <v>12691</v>
      </c>
      <c r="E373" s="84" t="s">
        <v>12692</v>
      </c>
      <c r="F373" s="45" t="s">
        <v>38</v>
      </c>
      <c r="G373" s="14" t="s">
        <v>9952</v>
      </c>
      <c r="H373" s="47" t="s">
        <v>12693</v>
      </c>
      <c r="I373" s="49" t="s">
        <v>19</v>
      </c>
      <c r="J373" s="49" t="s">
        <v>12694</v>
      </c>
      <c r="K373" t="s">
        <v>12695</v>
      </c>
    </row>
    <row r="374" spans="1:11" s="22" customFormat="1" ht="15.5">
      <c r="A374" s="33"/>
      <c r="B374" s="87"/>
      <c r="C374" s="86"/>
      <c r="D374" s="83"/>
      <c r="E374" s="85"/>
      <c r="F374" s="46"/>
      <c r="G374" s="14" t="s">
        <v>11270</v>
      </c>
      <c r="H374" s="48"/>
      <c r="I374" s="50"/>
      <c r="J374" s="50"/>
      <c r="K374" t="s">
        <v>12696</v>
      </c>
    </row>
    <row r="375" spans="1:11" s="22" customFormat="1" ht="15.5">
      <c r="A375" s="33"/>
      <c r="B375" s="87"/>
      <c r="C375" s="86"/>
      <c r="D375" s="82" t="s">
        <v>12697</v>
      </c>
      <c r="E375" s="84" t="s">
        <v>12698</v>
      </c>
      <c r="F375" s="45" t="s">
        <v>38</v>
      </c>
      <c r="G375" s="14" t="s">
        <v>10997</v>
      </c>
      <c r="H375" s="47" t="s">
        <v>12699</v>
      </c>
      <c r="I375" s="49" t="s">
        <v>19</v>
      </c>
      <c r="J375" s="49" t="s">
        <v>12700</v>
      </c>
      <c r="K375" t="s">
        <v>12701</v>
      </c>
    </row>
    <row r="376" spans="1:11" s="22" customFormat="1" ht="15.5">
      <c r="A376" s="33"/>
      <c r="B376" s="87"/>
      <c r="C376" s="86"/>
      <c r="D376" s="83"/>
      <c r="E376" s="85"/>
      <c r="F376" s="46"/>
      <c r="G376" s="14" t="s">
        <v>12702</v>
      </c>
      <c r="H376" s="48"/>
      <c r="I376" s="50"/>
      <c r="J376" s="50"/>
      <c r="K376" t="s">
        <v>12703</v>
      </c>
    </row>
    <row r="377" spans="1:11" s="22" customFormat="1" ht="15.5" customHeight="1">
      <c r="A377" s="33"/>
      <c r="B377" s="87"/>
      <c r="C377" s="86"/>
      <c r="D377" s="82" t="s">
        <v>12704</v>
      </c>
      <c r="E377" s="84" t="s">
        <v>12705</v>
      </c>
      <c r="F377" s="45" t="s">
        <v>38</v>
      </c>
      <c r="G377" s="14" t="s">
        <v>12706</v>
      </c>
      <c r="H377" s="47" t="s">
        <v>12707</v>
      </c>
      <c r="I377" s="49" t="s">
        <v>41</v>
      </c>
      <c r="J377" s="49" t="s">
        <v>12708</v>
      </c>
      <c r="K377" t="s">
        <v>12709</v>
      </c>
    </row>
    <row r="378" spans="1:11" s="22" customFormat="1" ht="15.5">
      <c r="A378" s="33"/>
      <c r="B378" s="87"/>
      <c r="C378" s="86"/>
      <c r="D378" s="83"/>
      <c r="E378" s="85"/>
      <c r="F378" s="46"/>
      <c r="G378" s="14" t="s">
        <v>12710</v>
      </c>
      <c r="H378" s="48"/>
      <c r="I378" s="50"/>
      <c r="J378" s="50"/>
      <c r="K378" t="s">
        <v>12711</v>
      </c>
    </row>
    <row r="379" spans="1:11" s="22" customFormat="1" ht="15.5">
      <c r="A379" s="33"/>
      <c r="B379" s="87"/>
      <c r="C379" s="86"/>
      <c r="D379" s="82" t="s">
        <v>12712</v>
      </c>
      <c r="E379" s="84" t="s">
        <v>12713</v>
      </c>
      <c r="F379" s="45" t="s">
        <v>38</v>
      </c>
      <c r="G379" s="14" t="s">
        <v>10825</v>
      </c>
      <c r="H379" s="47" t="s">
        <v>12714</v>
      </c>
      <c r="I379" s="49" t="s">
        <v>41</v>
      </c>
      <c r="J379" s="49" t="s">
        <v>10733</v>
      </c>
      <c r="K379" t="s">
        <v>12715</v>
      </c>
    </row>
    <row r="380" spans="1:11" s="22" customFormat="1" ht="15.5">
      <c r="A380" s="33"/>
      <c r="B380" s="87"/>
      <c r="C380" s="86"/>
      <c r="D380" s="83"/>
      <c r="E380" s="85"/>
      <c r="F380" s="46"/>
      <c r="G380" s="14" t="s">
        <v>12716</v>
      </c>
      <c r="H380" s="48"/>
      <c r="I380" s="50"/>
      <c r="J380" s="50"/>
      <c r="K380" t="s">
        <v>12717</v>
      </c>
    </row>
    <row r="381" spans="1:11" s="22" customFormat="1" ht="15.5" customHeight="1">
      <c r="A381" s="33"/>
      <c r="B381" s="87"/>
      <c r="C381" s="86"/>
      <c r="D381" s="82" t="s">
        <v>12718</v>
      </c>
      <c r="E381" s="84" t="s">
        <v>12719</v>
      </c>
      <c r="F381" s="45" t="s">
        <v>38</v>
      </c>
      <c r="G381" s="14" t="s">
        <v>11258</v>
      </c>
      <c r="H381" s="47" t="s">
        <v>12720</v>
      </c>
      <c r="I381" s="49" t="s">
        <v>41</v>
      </c>
      <c r="J381" s="49" t="s">
        <v>12721</v>
      </c>
      <c r="K381" t="s">
        <v>12722</v>
      </c>
    </row>
    <row r="382" spans="1:11" s="22" customFormat="1" ht="15.5">
      <c r="A382" s="33"/>
      <c r="B382" s="87"/>
      <c r="C382" s="83"/>
      <c r="D382" s="83"/>
      <c r="E382" s="85"/>
      <c r="F382" s="46"/>
      <c r="G382" s="14" t="s">
        <v>12723</v>
      </c>
      <c r="H382" s="48"/>
      <c r="I382" s="50"/>
      <c r="J382" s="50"/>
      <c r="K382" t="s">
        <v>12724</v>
      </c>
    </row>
    <row r="383" spans="1:11" s="22" customFormat="1" ht="15.75" customHeight="1">
      <c r="A383" s="33"/>
      <c r="B383" s="87"/>
      <c r="C383" s="82" t="s">
        <v>12725</v>
      </c>
      <c r="D383" s="88" t="s">
        <v>12726</v>
      </c>
      <c r="E383" s="84" t="s">
        <v>12727</v>
      </c>
      <c r="F383" s="45" t="s">
        <v>38</v>
      </c>
      <c r="G383" s="14" t="s">
        <v>12728</v>
      </c>
      <c r="H383" s="47" t="s">
        <v>12729</v>
      </c>
      <c r="I383" s="49" t="s">
        <v>41</v>
      </c>
      <c r="J383" s="49" t="s">
        <v>12730</v>
      </c>
      <c r="K383" t="s">
        <v>12731</v>
      </c>
    </row>
    <row r="384" spans="1:11" s="22" customFormat="1" ht="15.5">
      <c r="A384" s="33"/>
      <c r="B384" s="87"/>
      <c r="C384" s="86"/>
      <c r="D384" s="89"/>
      <c r="E384" s="85"/>
      <c r="F384" s="46"/>
      <c r="G384" s="14" t="s">
        <v>12732</v>
      </c>
      <c r="H384" s="48"/>
      <c r="I384" s="50"/>
      <c r="J384" s="50"/>
      <c r="K384" t="s">
        <v>12733</v>
      </c>
    </row>
    <row r="385" spans="1:11" s="22" customFormat="1" ht="15.5">
      <c r="A385" s="33"/>
      <c r="B385" s="87"/>
      <c r="C385" s="86"/>
      <c r="D385" s="88" t="s">
        <v>12734</v>
      </c>
      <c r="E385" s="84" t="s">
        <v>12735</v>
      </c>
      <c r="F385" s="45" t="s">
        <v>38</v>
      </c>
      <c r="G385" s="14" t="s">
        <v>12736</v>
      </c>
      <c r="H385" s="47" t="s">
        <v>12737</v>
      </c>
      <c r="I385" s="49" t="s">
        <v>19</v>
      </c>
      <c r="J385" s="49" t="s">
        <v>12738</v>
      </c>
      <c r="K385" t="s">
        <v>12739</v>
      </c>
    </row>
    <row r="386" spans="1:11" s="22" customFormat="1" ht="15.5">
      <c r="A386" s="33"/>
      <c r="B386" s="87"/>
      <c r="C386" s="86"/>
      <c r="D386" s="89"/>
      <c r="E386" s="85"/>
      <c r="F386" s="46"/>
      <c r="G386" s="14" t="s">
        <v>12740</v>
      </c>
      <c r="H386" s="48"/>
      <c r="I386" s="50"/>
      <c r="J386" s="50"/>
      <c r="K386" t="s">
        <v>12741</v>
      </c>
    </row>
    <row r="387" spans="1:11" s="22" customFormat="1" ht="15.5">
      <c r="A387" s="33"/>
      <c r="B387" s="87"/>
      <c r="C387" s="86"/>
      <c r="D387" s="82" t="s">
        <v>12742</v>
      </c>
      <c r="E387" s="84" t="s">
        <v>12743</v>
      </c>
      <c r="F387" s="45" t="s">
        <v>200</v>
      </c>
      <c r="G387" s="14" t="s">
        <v>12744</v>
      </c>
      <c r="H387" s="47" t="s">
        <v>12745</v>
      </c>
      <c r="I387" s="49" t="s">
        <v>19</v>
      </c>
      <c r="J387" s="49" t="s">
        <v>12746</v>
      </c>
      <c r="K387" t="s">
        <v>12747</v>
      </c>
    </row>
    <row r="388" spans="1:11" s="44" customFormat="1" ht="15.5">
      <c r="A388" s="33"/>
      <c r="B388" s="87"/>
      <c r="C388" s="86"/>
      <c r="D388" s="83"/>
      <c r="E388" s="85"/>
      <c r="F388" s="46"/>
      <c r="G388" s="14" t="s">
        <v>12748</v>
      </c>
      <c r="H388" s="48"/>
      <c r="I388" s="50"/>
      <c r="J388" s="50"/>
      <c r="K388" t="s">
        <v>12749</v>
      </c>
    </row>
    <row r="389" spans="1:11" s="44" customFormat="1" ht="15.5" customHeight="1">
      <c r="A389" s="33"/>
      <c r="B389" s="87"/>
      <c r="C389" s="86"/>
      <c r="D389" s="88" t="s">
        <v>12750</v>
      </c>
      <c r="E389" s="84" t="s">
        <v>12751</v>
      </c>
      <c r="F389" s="45" t="s">
        <v>16</v>
      </c>
      <c r="G389" s="14" t="s">
        <v>12752</v>
      </c>
      <c r="H389" s="47" t="s">
        <v>12753</v>
      </c>
      <c r="I389" s="49" t="s">
        <v>33</v>
      </c>
      <c r="J389" s="49" t="s">
        <v>12754</v>
      </c>
      <c r="K389" t="s">
        <v>12755</v>
      </c>
    </row>
    <row r="390" spans="1:11" s="44" customFormat="1" ht="15.5">
      <c r="A390" s="33"/>
      <c r="B390" s="87"/>
      <c r="C390" s="86"/>
      <c r="D390" s="89"/>
      <c r="E390" s="85"/>
      <c r="F390" s="46"/>
      <c r="G390" s="14" t="s">
        <v>12756</v>
      </c>
      <c r="H390" s="48"/>
      <c r="I390" s="50"/>
      <c r="J390" s="50"/>
      <c r="K390" t="s">
        <v>12757</v>
      </c>
    </row>
    <row r="391" spans="1:11" s="44" customFormat="1" ht="15.5" customHeight="1">
      <c r="A391" s="33"/>
      <c r="B391" s="87"/>
      <c r="C391" s="86"/>
      <c r="D391" s="88" t="s">
        <v>12758</v>
      </c>
      <c r="E391" s="84" t="s">
        <v>12759</v>
      </c>
      <c r="F391" s="45" t="s">
        <v>200</v>
      </c>
      <c r="G391" s="14" t="s">
        <v>5049</v>
      </c>
      <c r="H391" s="47" t="s">
        <v>12760</v>
      </c>
      <c r="I391" s="49" t="s">
        <v>33</v>
      </c>
      <c r="J391" s="49" t="s">
        <v>12761</v>
      </c>
      <c r="K391" t="s">
        <v>12762</v>
      </c>
    </row>
    <row r="392" spans="1:11" s="44" customFormat="1" ht="15.5">
      <c r="A392" s="35"/>
      <c r="B392" s="87"/>
      <c r="C392" s="83"/>
      <c r="D392" s="89"/>
      <c r="E392" s="85"/>
      <c r="F392" s="46"/>
      <c r="G392" s="14" t="s">
        <v>12763</v>
      </c>
      <c r="H392" s="48"/>
      <c r="I392" s="50"/>
      <c r="J392" s="50"/>
      <c r="K392" t="s">
        <v>12764</v>
      </c>
    </row>
    <row r="393" spans="1:11" s="44" customFormat="1" ht="15.75" customHeight="1">
      <c r="A393" s="33"/>
      <c r="B393" s="87"/>
      <c r="C393" s="82" t="s">
        <v>12765</v>
      </c>
      <c r="D393" s="82" t="s">
        <v>12766</v>
      </c>
      <c r="E393" s="84" t="s">
        <v>12767</v>
      </c>
      <c r="F393" s="45" t="s">
        <v>38</v>
      </c>
      <c r="G393" s="14" t="s">
        <v>12768</v>
      </c>
      <c r="H393" s="47" t="s">
        <v>12769</v>
      </c>
      <c r="I393" s="49" t="s">
        <v>19</v>
      </c>
      <c r="J393" s="49" t="s">
        <v>12770</v>
      </c>
      <c r="K393" t="s">
        <v>12771</v>
      </c>
    </row>
    <row r="394" spans="1:11" s="44" customFormat="1" ht="15.5">
      <c r="A394" s="33"/>
      <c r="B394" s="87"/>
      <c r="C394" s="86"/>
      <c r="D394" s="83"/>
      <c r="E394" s="85"/>
      <c r="F394" s="46"/>
      <c r="G394" s="14" t="s">
        <v>12772</v>
      </c>
      <c r="H394" s="48"/>
      <c r="I394" s="50"/>
      <c r="J394" s="50"/>
      <c r="K394" t="s">
        <v>12773</v>
      </c>
    </row>
    <row r="395" spans="1:11" s="44" customFormat="1" ht="15.5">
      <c r="A395" s="33"/>
      <c r="B395" s="87"/>
      <c r="C395" s="86"/>
      <c r="D395" s="82" t="s">
        <v>12774</v>
      </c>
      <c r="E395" s="84" t="s">
        <v>12775</v>
      </c>
      <c r="F395" s="51" t="s">
        <v>38</v>
      </c>
      <c r="G395" s="14" t="s">
        <v>12776</v>
      </c>
      <c r="H395" s="47" t="s">
        <v>12777</v>
      </c>
      <c r="I395" s="49" t="s">
        <v>19</v>
      </c>
      <c r="J395" s="49" t="s">
        <v>12778</v>
      </c>
      <c r="K395" t="s">
        <v>12779</v>
      </c>
    </row>
    <row r="396" spans="1:11" s="44" customFormat="1" ht="15.5">
      <c r="A396" s="33"/>
      <c r="B396" s="87"/>
      <c r="C396" s="86"/>
      <c r="D396" s="83"/>
      <c r="E396" s="85"/>
      <c r="F396" s="52"/>
      <c r="G396" s="14" t="s">
        <v>12780</v>
      </c>
      <c r="H396" s="48"/>
      <c r="I396" s="50"/>
      <c r="J396" s="50"/>
      <c r="K396" t="s">
        <v>12781</v>
      </c>
    </row>
    <row r="397" spans="1:11" s="44" customFormat="1" ht="15.5">
      <c r="A397" s="33"/>
      <c r="B397" s="87"/>
      <c r="C397" s="86"/>
      <c r="D397" s="82" t="s">
        <v>12782</v>
      </c>
      <c r="E397" s="84" t="s">
        <v>12783</v>
      </c>
      <c r="F397" s="45" t="s">
        <v>16</v>
      </c>
      <c r="G397" s="14" t="s">
        <v>12784</v>
      </c>
      <c r="H397" s="47" t="s">
        <v>12785</v>
      </c>
      <c r="I397" s="49" t="s">
        <v>33</v>
      </c>
      <c r="J397" s="49" t="s">
        <v>12786</v>
      </c>
      <c r="K397" t="s">
        <v>12787</v>
      </c>
    </row>
    <row r="398" spans="1:11" s="44" customFormat="1" ht="15.5">
      <c r="A398" s="33"/>
      <c r="B398" s="87"/>
      <c r="C398" s="86"/>
      <c r="D398" s="83"/>
      <c r="E398" s="85"/>
      <c r="F398" s="46"/>
      <c r="G398" s="14" t="s">
        <v>12788</v>
      </c>
      <c r="H398" s="48"/>
      <c r="I398" s="50"/>
      <c r="J398" s="50"/>
      <c r="K398" t="s">
        <v>12789</v>
      </c>
    </row>
    <row r="399" spans="1:11" s="44" customFormat="1" ht="15.5">
      <c r="A399" s="33"/>
      <c r="B399" s="87"/>
      <c r="C399" s="86"/>
      <c r="D399" s="88" t="s">
        <v>12790</v>
      </c>
      <c r="E399" s="84" t="s">
        <v>12791</v>
      </c>
      <c r="F399" s="45" t="s">
        <v>16</v>
      </c>
      <c r="G399" s="14" t="s">
        <v>9466</v>
      </c>
      <c r="H399" s="53" t="s">
        <v>12792</v>
      </c>
      <c r="I399" s="55" t="s">
        <v>41</v>
      </c>
      <c r="J399" s="55" t="s">
        <v>12793</v>
      </c>
      <c r="K399" t="s">
        <v>12794</v>
      </c>
    </row>
    <row r="400" spans="1:11" s="44" customFormat="1" ht="15.5">
      <c r="A400" s="33"/>
      <c r="B400" s="87"/>
      <c r="C400" s="86"/>
      <c r="D400" s="89"/>
      <c r="E400" s="85"/>
      <c r="F400" s="46"/>
      <c r="G400" s="14" t="s">
        <v>12515</v>
      </c>
      <c r="H400" s="54"/>
      <c r="I400" s="56"/>
      <c r="J400" s="56"/>
      <c r="K400" t="s">
        <v>12795</v>
      </c>
    </row>
    <row r="401" spans="1:11" s="44" customFormat="1" ht="15.5">
      <c r="A401" s="33"/>
      <c r="B401" s="87"/>
      <c r="C401" s="86"/>
      <c r="D401" s="88" t="s">
        <v>12796</v>
      </c>
      <c r="E401" s="84" t="s">
        <v>12797</v>
      </c>
      <c r="F401" s="45" t="s">
        <v>16</v>
      </c>
      <c r="G401" s="14" t="s">
        <v>12798</v>
      </c>
      <c r="H401" s="47" t="s">
        <v>12799</v>
      </c>
      <c r="I401" s="49" t="s">
        <v>19</v>
      </c>
      <c r="J401" s="49" t="s">
        <v>12800</v>
      </c>
      <c r="K401" t="s">
        <v>12801</v>
      </c>
    </row>
    <row r="402" spans="1:11" s="44" customFormat="1" ht="15.5">
      <c r="A402" s="33"/>
      <c r="B402" s="87"/>
      <c r="C402" s="83"/>
      <c r="D402" s="89"/>
      <c r="E402" s="85"/>
      <c r="F402" s="46"/>
      <c r="G402" s="14" t="s">
        <v>12802</v>
      </c>
      <c r="H402" s="48"/>
      <c r="I402" s="50"/>
      <c r="J402" s="50"/>
      <c r="K402" t="s">
        <v>12803</v>
      </c>
    </row>
    <row r="403" spans="1:11" s="44" customFormat="1" ht="15.5">
      <c r="A403" s="33"/>
      <c r="B403" s="87"/>
      <c r="C403" s="82" t="s">
        <v>12804</v>
      </c>
      <c r="D403" s="82" t="s">
        <v>12805</v>
      </c>
      <c r="E403" s="84" t="s">
        <v>12806</v>
      </c>
      <c r="F403" s="45" t="s">
        <v>16</v>
      </c>
      <c r="G403" s="14" t="s">
        <v>12807</v>
      </c>
      <c r="H403" s="47" t="s">
        <v>12808</v>
      </c>
      <c r="I403" s="49" t="s">
        <v>33</v>
      </c>
      <c r="J403" s="49" t="s">
        <v>12809</v>
      </c>
      <c r="K403" t="s">
        <v>12810</v>
      </c>
    </row>
    <row r="404" spans="1:11" s="44" customFormat="1" ht="15.5">
      <c r="A404" s="33"/>
      <c r="B404" s="87"/>
      <c r="C404" s="86"/>
      <c r="D404" s="83"/>
      <c r="E404" s="85"/>
      <c r="F404" s="46"/>
      <c r="G404" s="14" t="s">
        <v>12811</v>
      </c>
      <c r="H404" s="48"/>
      <c r="I404" s="50"/>
      <c r="J404" s="50"/>
      <c r="K404" t="s">
        <v>12812</v>
      </c>
    </row>
    <row r="405" spans="1:11" s="44" customFormat="1" ht="15.5">
      <c r="A405" s="33"/>
      <c r="B405" s="87"/>
      <c r="C405" s="86"/>
      <c r="D405" s="82" t="s">
        <v>12813</v>
      </c>
      <c r="E405" s="84" t="s">
        <v>12814</v>
      </c>
      <c r="F405" s="45" t="s">
        <v>38</v>
      </c>
      <c r="G405" s="14" t="s">
        <v>12815</v>
      </c>
      <c r="H405" s="47" t="s">
        <v>12547</v>
      </c>
      <c r="I405" s="49" t="s">
        <v>41</v>
      </c>
      <c r="J405" s="49" t="s">
        <v>12816</v>
      </c>
      <c r="K405" t="s">
        <v>12817</v>
      </c>
    </row>
    <row r="406" spans="1:11" s="44" customFormat="1" ht="15.5">
      <c r="A406" s="33"/>
      <c r="B406" s="87"/>
      <c r="C406" s="86"/>
      <c r="D406" s="83"/>
      <c r="E406" s="85"/>
      <c r="F406" s="46"/>
      <c r="G406" s="14" t="s">
        <v>12818</v>
      </c>
      <c r="H406" s="48"/>
      <c r="I406" s="50"/>
      <c r="J406" s="50"/>
      <c r="K406" t="s">
        <v>12819</v>
      </c>
    </row>
    <row r="407" spans="1:11" s="44" customFormat="1" ht="15.5">
      <c r="A407" s="33"/>
      <c r="B407" s="87"/>
      <c r="C407" s="86"/>
      <c r="D407" s="82" t="s">
        <v>12820</v>
      </c>
      <c r="E407" s="84" t="s">
        <v>12821</v>
      </c>
      <c r="F407" s="45" t="s">
        <v>38</v>
      </c>
      <c r="G407" s="14" t="s">
        <v>335</v>
      </c>
      <c r="H407" s="47" t="s">
        <v>12822</v>
      </c>
      <c r="I407" s="49" t="s">
        <v>41</v>
      </c>
      <c r="J407" s="49" t="s">
        <v>12823</v>
      </c>
      <c r="K407" t="s">
        <v>12824</v>
      </c>
    </row>
    <row r="408" spans="1:11" s="44" customFormat="1" ht="15.5">
      <c r="A408" s="33"/>
      <c r="B408" s="87"/>
      <c r="C408" s="86"/>
      <c r="D408" s="83"/>
      <c r="E408" s="85"/>
      <c r="F408" s="46"/>
      <c r="G408" s="14" t="s">
        <v>12825</v>
      </c>
      <c r="H408" s="48"/>
      <c r="I408" s="50"/>
      <c r="J408" s="50"/>
      <c r="K408" t="s">
        <v>12826</v>
      </c>
    </row>
    <row r="409" spans="1:11" s="44" customFormat="1" ht="15.5">
      <c r="A409" s="33"/>
      <c r="B409" s="87"/>
      <c r="C409" s="86"/>
      <c r="D409" s="82" t="s">
        <v>12827</v>
      </c>
      <c r="E409" s="84" t="s">
        <v>12828</v>
      </c>
      <c r="F409" s="45" t="s">
        <v>38</v>
      </c>
      <c r="G409" s="14" t="s">
        <v>10946</v>
      </c>
      <c r="H409" s="47" t="s">
        <v>12829</v>
      </c>
      <c r="I409" s="49" t="s">
        <v>33</v>
      </c>
      <c r="J409" s="49" t="s">
        <v>12830</v>
      </c>
      <c r="K409" t="s">
        <v>12831</v>
      </c>
    </row>
    <row r="410" spans="1:11" s="44" customFormat="1" ht="15.5">
      <c r="A410" s="33"/>
      <c r="B410" s="87"/>
      <c r="C410" s="86"/>
      <c r="D410" s="83"/>
      <c r="E410" s="85"/>
      <c r="F410" s="46"/>
      <c r="G410" s="14" t="s">
        <v>12832</v>
      </c>
      <c r="H410" s="48"/>
      <c r="I410" s="50"/>
      <c r="J410" s="50"/>
      <c r="K410" t="s">
        <v>12833</v>
      </c>
    </row>
    <row r="411" spans="1:11" s="44" customFormat="1" ht="15.5">
      <c r="A411" s="33"/>
      <c r="B411" s="87"/>
      <c r="C411" s="86"/>
      <c r="D411" s="82" t="s">
        <v>12834</v>
      </c>
      <c r="E411" s="84" t="s">
        <v>12835</v>
      </c>
      <c r="F411" s="51" t="s">
        <v>16</v>
      </c>
      <c r="G411" s="14" t="s">
        <v>12836</v>
      </c>
      <c r="H411" s="47" t="s">
        <v>12837</v>
      </c>
      <c r="I411" s="49" t="s">
        <v>19</v>
      </c>
      <c r="J411" s="49" t="s">
        <v>12838</v>
      </c>
      <c r="K411" t="s">
        <v>12839</v>
      </c>
    </row>
    <row r="412" spans="1:11" s="44" customFormat="1" ht="15.5">
      <c r="A412" s="33"/>
      <c r="B412" s="50"/>
      <c r="C412" s="83"/>
      <c r="D412" s="83"/>
      <c r="E412" s="85"/>
      <c r="F412" s="52"/>
      <c r="G412" s="14" t="s">
        <v>12840</v>
      </c>
      <c r="H412" s="48"/>
      <c r="I412" s="50"/>
      <c r="J412" s="50"/>
      <c r="K412" t="s">
        <v>12841</v>
      </c>
    </row>
    <row r="413" spans="1:11" s="44" customFormat="1" ht="15.5" customHeight="1">
      <c r="A413" s="33"/>
      <c r="B413" s="86" t="s">
        <v>12842</v>
      </c>
      <c r="C413" s="90" t="s">
        <v>12843</v>
      </c>
      <c r="D413" s="82" t="s">
        <v>12844</v>
      </c>
      <c r="E413" s="84" t="s">
        <v>12845</v>
      </c>
      <c r="F413" s="51" t="s">
        <v>16</v>
      </c>
      <c r="G413" s="14" t="s">
        <v>12846</v>
      </c>
      <c r="H413" s="47" t="s">
        <v>12847</v>
      </c>
      <c r="I413" s="49" t="s">
        <v>19</v>
      </c>
      <c r="J413" s="49" t="s">
        <v>12848</v>
      </c>
      <c r="K413" t="s">
        <v>12849</v>
      </c>
    </row>
    <row r="414" spans="1:11" s="44" customFormat="1" ht="15.5">
      <c r="A414" s="33"/>
      <c r="B414" s="86"/>
      <c r="C414" s="91"/>
      <c r="D414" s="83"/>
      <c r="E414" s="85"/>
      <c r="F414" s="52"/>
      <c r="G414" s="14" t="s">
        <v>12850</v>
      </c>
      <c r="H414" s="48"/>
      <c r="I414" s="50"/>
      <c r="J414" s="50"/>
      <c r="K414" t="s">
        <v>12851</v>
      </c>
    </row>
    <row r="415" spans="1:11" s="44" customFormat="1" ht="15.5">
      <c r="A415" s="33"/>
      <c r="B415" s="86"/>
      <c r="C415" s="91"/>
      <c r="D415" s="88" t="s">
        <v>12852</v>
      </c>
      <c r="E415" s="84" t="s">
        <v>12853</v>
      </c>
      <c r="F415" s="51" t="s">
        <v>38</v>
      </c>
      <c r="G415" s="14" t="s">
        <v>12854</v>
      </c>
      <c r="H415" s="53" t="s">
        <v>12855</v>
      </c>
      <c r="I415" s="55" t="s">
        <v>19</v>
      </c>
      <c r="J415" s="55" t="s">
        <v>12856</v>
      </c>
      <c r="K415" t="s">
        <v>12857</v>
      </c>
    </row>
    <row r="416" spans="1:11" s="44" customFormat="1" ht="15.5">
      <c r="A416" s="33"/>
      <c r="B416" s="86"/>
      <c r="C416" s="91"/>
      <c r="D416" s="89"/>
      <c r="E416" s="85"/>
      <c r="F416" s="52"/>
      <c r="G416" s="14" t="s">
        <v>12858</v>
      </c>
      <c r="H416" s="54"/>
      <c r="I416" s="56"/>
      <c r="J416" s="56"/>
      <c r="K416" t="s">
        <v>12859</v>
      </c>
    </row>
    <row r="417" spans="1:11" s="44" customFormat="1" ht="15.5">
      <c r="A417" s="33"/>
      <c r="B417" s="86"/>
      <c r="C417" s="91"/>
      <c r="D417" s="82" t="s">
        <v>12860</v>
      </c>
      <c r="E417" s="55" t="s">
        <v>12861</v>
      </c>
      <c r="F417" s="51" t="s">
        <v>38</v>
      </c>
      <c r="G417" s="14" t="s">
        <v>12862</v>
      </c>
      <c r="H417" s="53" t="s">
        <v>12863</v>
      </c>
      <c r="I417" s="55" t="s">
        <v>19</v>
      </c>
      <c r="J417" s="55" t="s">
        <v>12864</v>
      </c>
      <c r="K417" t="s">
        <v>12865</v>
      </c>
    </row>
    <row r="418" spans="1:11" s="44" customFormat="1" ht="15.5">
      <c r="A418" s="33"/>
      <c r="B418" s="86"/>
      <c r="C418" s="91"/>
      <c r="D418" s="83"/>
      <c r="E418" s="56"/>
      <c r="F418" s="52"/>
      <c r="G418" s="14" t="s">
        <v>12866</v>
      </c>
      <c r="H418" s="54"/>
      <c r="I418" s="56"/>
      <c r="J418" s="56"/>
      <c r="K418" t="s">
        <v>12867</v>
      </c>
    </row>
    <row r="419" spans="1:11" s="44" customFormat="1" ht="15.5" customHeight="1">
      <c r="A419" s="33"/>
      <c r="B419" s="86"/>
      <c r="C419" s="91"/>
      <c r="D419" s="82" t="s">
        <v>12868</v>
      </c>
      <c r="E419" s="84" t="s">
        <v>12869</v>
      </c>
      <c r="F419" s="51" t="s">
        <v>200</v>
      </c>
      <c r="G419" s="14" t="s">
        <v>12870</v>
      </c>
      <c r="H419" s="53" t="s">
        <v>12871</v>
      </c>
      <c r="I419" s="55" t="s">
        <v>19</v>
      </c>
      <c r="J419" s="55" t="s">
        <v>12872</v>
      </c>
      <c r="K419" t="s">
        <v>12873</v>
      </c>
    </row>
    <row r="420" spans="1:11" s="44" customFormat="1" ht="15.5">
      <c r="A420" s="33"/>
      <c r="B420" s="86"/>
      <c r="C420" s="91"/>
      <c r="D420" s="83"/>
      <c r="E420" s="85"/>
      <c r="F420" s="52"/>
      <c r="G420" s="14" t="s">
        <v>12874</v>
      </c>
      <c r="H420" s="54"/>
      <c r="I420" s="56"/>
      <c r="J420" s="56"/>
      <c r="K420" t="s">
        <v>12875</v>
      </c>
    </row>
    <row r="421" spans="1:11" s="44" customFormat="1" ht="15.5" customHeight="1">
      <c r="A421" s="33"/>
      <c r="B421" s="86"/>
      <c r="C421" s="91"/>
      <c r="D421" s="82" t="s">
        <v>12876</v>
      </c>
      <c r="E421" s="93" t="s">
        <v>12877</v>
      </c>
      <c r="F421" s="51" t="s">
        <v>200</v>
      </c>
      <c r="G421" s="14" t="s">
        <v>12878</v>
      </c>
      <c r="H421" s="53" t="s">
        <v>12879</v>
      </c>
      <c r="I421" s="55" t="s">
        <v>41</v>
      </c>
      <c r="J421" s="55" t="s">
        <v>12880</v>
      </c>
      <c r="K421" t="s">
        <v>12880</v>
      </c>
    </row>
    <row r="422" spans="1:11" s="44" customFormat="1" ht="15.5">
      <c r="A422" s="33"/>
      <c r="B422" s="86"/>
      <c r="C422" s="92"/>
      <c r="D422" s="83"/>
      <c r="E422" s="94"/>
      <c r="F422" s="52"/>
      <c r="G422" s="14" t="s">
        <v>12881</v>
      </c>
      <c r="H422" s="54"/>
      <c r="I422" s="56"/>
      <c r="J422" s="56"/>
      <c r="K422" t="s">
        <v>12882</v>
      </c>
    </row>
    <row r="423" spans="1:11" s="44" customFormat="1" ht="15.75" customHeight="1">
      <c r="A423" s="33"/>
      <c r="B423" s="86"/>
      <c r="C423" s="82" t="s">
        <v>12883</v>
      </c>
      <c r="D423" s="88" t="s">
        <v>12884</v>
      </c>
      <c r="E423" s="93" t="s">
        <v>12885</v>
      </c>
      <c r="F423" s="51" t="s">
        <v>200</v>
      </c>
      <c r="G423" s="14" t="s">
        <v>12886</v>
      </c>
      <c r="H423" s="53" t="s">
        <v>12887</v>
      </c>
      <c r="I423" s="55" t="s">
        <v>41</v>
      </c>
      <c r="J423" s="55" t="s">
        <v>12888</v>
      </c>
      <c r="K423" t="s">
        <v>12889</v>
      </c>
    </row>
    <row r="424" spans="1:11" s="44" customFormat="1" ht="15.5">
      <c r="A424" s="33"/>
      <c r="B424" s="86"/>
      <c r="C424" s="86"/>
      <c r="D424" s="89"/>
      <c r="E424" s="94"/>
      <c r="F424" s="52"/>
      <c r="G424" s="14" t="s">
        <v>12890</v>
      </c>
      <c r="H424" s="54"/>
      <c r="I424" s="56"/>
      <c r="J424" s="56"/>
      <c r="K424" t="s">
        <v>12891</v>
      </c>
    </row>
    <row r="425" spans="1:11" s="44" customFormat="1" ht="31" customHeight="1">
      <c r="A425" s="33"/>
      <c r="B425" s="86"/>
      <c r="C425" s="86"/>
      <c r="D425" s="82" t="s">
        <v>12892</v>
      </c>
      <c r="E425" s="93" t="s">
        <v>12893</v>
      </c>
      <c r="F425" s="51" t="s">
        <v>200</v>
      </c>
      <c r="G425" s="14" t="s">
        <v>12894</v>
      </c>
      <c r="H425" s="53" t="s">
        <v>12895</v>
      </c>
      <c r="I425" s="55" t="s">
        <v>41</v>
      </c>
      <c r="J425" s="55" t="s">
        <v>12896</v>
      </c>
      <c r="K425" t="s">
        <v>12897</v>
      </c>
    </row>
    <row r="426" spans="1:11" s="44" customFormat="1" ht="15.5">
      <c r="A426" s="33"/>
      <c r="B426" s="86"/>
      <c r="C426" s="86"/>
      <c r="D426" s="83"/>
      <c r="E426" s="94"/>
      <c r="F426" s="52"/>
      <c r="G426" s="14" t="s">
        <v>12898</v>
      </c>
      <c r="H426" s="54"/>
      <c r="I426" s="56"/>
      <c r="J426" s="56"/>
      <c r="K426" t="s">
        <v>12899</v>
      </c>
    </row>
    <row r="427" spans="1:11" s="44" customFormat="1" ht="15.5" customHeight="1">
      <c r="A427" s="33"/>
      <c r="B427" s="86"/>
      <c r="C427" s="86"/>
      <c r="D427" s="82" t="s">
        <v>12900</v>
      </c>
      <c r="E427" s="93" t="s">
        <v>12901</v>
      </c>
      <c r="F427" s="51" t="s">
        <v>200</v>
      </c>
      <c r="G427" s="14" t="s">
        <v>12902</v>
      </c>
      <c r="H427" s="53" t="s">
        <v>12903</v>
      </c>
      <c r="I427" s="55" t="s">
        <v>41</v>
      </c>
      <c r="J427" s="55" t="s">
        <v>12904</v>
      </c>
      <c r="K427" t="s">
        <v>12905</v>
      </c>
    </row>
    <row r="428" spans="1:11" s="44" customFormat="1" ht="15.5">
      <c r="A428" s="33"/>
      <c r="B428" s="86"/>
      <c r="C428" s="86"/>
      <c r="D428" s="83"/>
      <c r="E428" s="94"/>
      <c r="F428" s="52"/>
      <c r="G428" s="14" t="s">
        <v>12906</v>
      </c>
      <c r="H428" s="54"/>
      <c r="I428" s="56"/>
      <c r="J428" s="56"/>
      <c r="K428" t="s">
        <v>12907</v>
      </c>
    </row>
    <row r="429" spans="1:11" s="44" customFormat="1" ht="15.5" customHeight="1">
      <c r="A429" s="33"/>
      <c r="B429" s="86"/>
      <c r="C429" s="86"/>
      <c r="D429" s="82" t="s">
        <v>12908</v>
      </c>
      <c r="E429" s="93" t="s">
        <v>12909</v>
      </c>
      <c r="F429" s="51" t="s">
        <v>200</v>
      </c>
      <c r="G429" s="14" t="s">
        <v>12910</v>
      </c>
      <c r="H429" s="53" t="s">
        <v>12911</v>
      </c>
      <c r="I429" s="55" t="s">
        <v>19</v>
      </c>
      <c r="J429" s="55" t="s">
        <v>12912</v>
      </c>
      <c r="K429" t="s">
        <v>12913</v>
      </c>
    </row>
    <row r="430" spans="1:11" s="44" customFormat="1" ht="15.5">
      <c r="A430" s="33"/>
      <c r="B430" s="86"/>
      <c r="C430" s="86"/>
      <c r="D430" s="83"/>
      <c r="E430" s="94"/>
      <c r="F430" s="52"/>
      <c r="G430" s="14" t="s">
        <v>12914</v>
      </c>
      <c r="H430" s="54"/>
      <c r="I430" s="56"/>
      <c r="J430" s="56"/>
      <c r="K430" t="s">
        <v>12915</v>
      </c>
    </row>
    <row r="431" spans="1:11" s="44" customFormat="1" ht="31" customHeight="1">
      <c r="A431" s="33"/>
      <c r="B431" s="86"/>
      <c r="C431" s="86"/>
      <c r="D431" s="88" t="s">
        <v>12916</v>
      </c>
      <c r="E431" s="93" t="s">
        <v>12917</v>
      </c>
      <c r="F431" s="51" t="s">
        <v>200</v>
      </c>
      <c r="G431" s="14" t="s">
        <v>12918</v>
      </c>
      <c r="H431" s="53" t="s">
        <v>12919</v>
      </c>
      <c r="I431" s="55"/>
      <c r="J431" s="55" t="s">
        <v>12920</v>
      </c>
      <c r="K431" t="s">
        <v>12921</v>
      </c>
    </row>
    <row r="432" spans="1:11" s="44" customFormat="1" ht="15.5">
      <c r="A432" s="33"/>
      <c r="B432" s="86"/>
      <c r="C432" s="83"/>
      <c r="D432" s="89"/>
      <c r="E432" s="94"/>
      <c r="F432" s="52"/>
      <c r="G432" s="14" t="s">
        <v>12922</v>
      </c>
      <c r="H432" s="54"/>
      <c r="I432" s="56"/>
      <c r="J432" s="56"/>
      <c r="K432" t="s">
        <v>12923</v>
      </c>
    </row>
    <row r="433" spans="1:11" s="44" customFormat="1" ht="15.75" customHeight="1">
      <c r="A433" s="33"/>
      <c r="B433" s="86"/>
      <c r="C433" s="82" t="s">
        <v>12924</v>
      </c>
      <c r="D433" s="82" t="s">
        <v>12925</v>
      </c>
      <c r="E433" s="55" t="s">
        <v>12926</v>
      </c>
      <c r="F433" s="51" t="s">
        <v>200</v>
      </c>
      <c r="G433" s="14" t="s">
        <v>12927</v>
      </c>
      <c r="H433" s="53" t="s">
        <v>12928</v>
      </c>
      <c r="I433" s="55"/>
      <c r="J433" s="55" t="s">
        <v>12929</v>
      </c>
      <c r="K433" t="s">
        <v>12930</v>
      </c>
    </row>
    <row r="434" spans="1:11" s="44" customFormat="1" ht="15.5">
      <c r="A434" s="33"/>
      <c r="B434" s="86"/>
      <c r="C434" s="86"/>
      <c r="D434" s="83"/>
      <c r="E434" s="56"/>
      <c r="F434" s="52"/>
      <c r="G434" s="14" t="s">
        <v>12931</v>
      </c>
      <c r="H434" s="54"/>
      <c r="I434" s="56"/>
      <c r="J434" s="56"/>
      <c r="K434" t="s">
        <v>12932</v>
      </c>
    </row>
    <row r="435" spans="1:11" s="44" customFormat="1" ht="15.5">
      <c r="A435" s="33"/>
      <c r="B435" s="86"/>
      <c r="C435" s="86"/>
      <c r="D435" s="88" t="s">
        <v>12933</v>
      </c>
      <c r="E435" s="93" t="s">
        <v>12934</v>
      </c>
      <c r="F435" s="51" t="s">
        <v>38</v>
      </c>
      <c r="G435" s="14" t="s">
        <v>12935</v>
      </c>
      <c r="H435" s="53" t="s">
        <v>12936</v>
      </c>
      <c r="I435" s="55"/>
      <c r="J435" s="55" t="s">
        <v>12937</v>
      </c>
      <c r="K435" t="s">
        <v>12938</v>
      </c>
    </row>
    <row r="436" spans="1:11" s="44" customFormat="1" ht="15.5">
      <c r="A436" s="33"/>
      <c r="B436" s="86"/>
      <c r="C436" s="86"/>
      <c r="D436" s="89"/>
      <c r="E436" s="94"/>
      <c r="F436" s="52"/>
      <c r="G436" s="14" t="s">
        <v>12604</v>
      </c>
      <c r="H436" s="54"/>
      <c r="I436" s="56"/>
      <c r="J436" s="56"/>
      <c r="K436" t="s">
        <v>12939</v>
      </c>
    </row>
    <row r="437" spans="1:11" s="44" customFormat="1" ht="15.5">
      <c r="A437" s="33"/>
      <c r="B437" s="86"/>
      <c r="C437" s="86"/>
      <c r="D437" s="82" t="s">
        <v>12940</v>
      </c>
      <c r="E437" s="55" t="s">
        <v>12941</v>
      </c>
      <c r="F437" s="51" t="s">
        <v>38</v>
      </c>
      <c r="G437" s="14" t="s">
        <v>12942</v>
      </c>
      <c r="H437" s="53" t="s">
        <v>12943</v>
      </c>
      <c r="I437" s="55"/>
      <c r="J437" s="55" t="s">
        <v>12944</v>
      </c>
      <c r="K437" t="s">
        <v>12945</v>
      </c>
    </row>
    <row r="438" spans="1:11" s="44" customFormat="1" ht="15.5">
      <c r="A438" s="33"/>
      <c r="B438" s="86"/>
      <c r="C438" s="86"/>
      <c r="D438" s="83"/>
      <c r="E438" s="56"/>
      <c r="F438" s="52"/>
      <c r="G438" s="14" t="s">
        <v>12946</v>
      </c>
      <c r="H438" s="54"/>
      <c r="I438" s="56"/>
      <c r="J438" s="56"/>
      <c r="K438" t="s">
        <v>12947</v>
      </c>
    </row>
    <row r="439" spans="1:11" s="44" customFormat="1" ht="15.5">
      <c r="A439" s="33"/>
      <c r="B439" s="86"/>
      <c r="C439" s="86"/>
      <c r="D439" s="88" t="s">
        <v>12948</v>
      </c>
      <c r="E439" s="55" t="s">
        <v>12949</v>
      </c>
      <c r="F439" s="51" t="s">
        <v>38</v>
      </c>
      <c r="G439" s="14" t="s">
        <v>10419</v>
      </c>
      <c r="H439" s="53" t="s">
        <v>12950</v>
      </c>
      <c r="I439" s="55"/>
      <c r="J439" s="55" t="s">
        <v>12951</v>
      </c>
      <c r="K439" t="s">
        <v>12952</v>
      </c>
    </row>
    <row r="440" spans="1:11" s="44" customFormat="1" ht="15.5">
      <c r="A440" s="33"/>
      <c r="B440" s="86"/>
      <c r="C440" s="86"/>
      <c r="D440" s="89"/>
      <c r="E440" s="56"/>
      <c r="F440" s="52"/>
      <c r="G440" s="14" t="s">
        <v>12953</v>
      </c>
      <c r="H440" s="54"/>
      <c r="I440" s="56"/>
      <c r="J440" s="56"/>
      <c r="K440" t="s">
        <v>12954</v>
      </c>
    </row>
    <row r="441" spans="1:11" s="44" customFormat="1" ht="15.5">
      <c r="A441" s="33"/>
      <c r="B441" s="86"/>
      <c r="C441" s="86"/>
      <c r="D441" s="88" t="s">
        <v>12955</v>
      </c>
      <c r="E441" s="93" t="s">
        <v>12956</v>
      </c>
      <c r="F441" s="51" t="s">
        <v>16</v>
      </c>
      <c r="G441" s="14" t="s">
        <v>12957</v>
      </c>
      <c r="H441" s="53" t="s">
        <v>12958</v>
      </c>
      <c r="I441" s="55"/>
      <c r="J441" s="55" t="s">
        <v>12959</v>
      </c>
      <c r="K441" t="s">
        <v>12960</v>
      </c>
    </row>
    <row r="442" spans="1:11" s="44" customFormat="1" ht="15.5">
      <c r="A442" s="33"/>
      <c r="B442" s="86"/>
      <c r="C442" s="83"/>
      <c r="D442" s="89"/>
      <c r="E442" s="94"/>
      <c r="F442" s="52"/>
      <c r="G442" s="14" t="s">
        <v>12961</v>
      </c>
      <c r="H442" s="54"/>
      <c r="I442" s="56"/>
      <c r="J442" s="56"/>
      <c r="K442" t="s">
        <v>12962</v>
      </c>
    </row>
    <row r="443" spans="1:11" s="44" customFormat="1" ht="15.5" customHeight="1">
      <c r="A443" s="33"/>
      <c r="B443" s="86"/>
      <c r="C443" s="90" t="s">
        <v>12963</v>
      </c>
      <c r="D443" s="82" t="s">
        <v>12964</v>
      </c>
      <c r="E443" s="55" t="s">
        <v>12965</v>
      </c>
      <c r="F443" s="51" t="s">
        <v>38</v>
      </c>
      <c r="G443" s="14" t="s">
        <v>12966</v>
      </c>
      <c r="H443" s="53" t="s">
        <v>12967</v>
      </c>
      <c r="I443" s="55"/>
      <c r="J443" s="55" t="s">
        <v>12968</v>
      </c>
      <c r="K443" t="s">
        <v>12921</v>
      </c>
    </row>
    <row r="444" spans="1:11" s="44" customFormat="1" ht="15.5">
      <c r="A444" s="33"/>
      <c r="B444" s="86"/>
      <c r="C444" s="91"/>
      <c r="D444" s="83"/>
      <c r="E444" s="56"/>
      <c r="F444" s="52"/>
      <c r="G444" s="14" t="s">
        <v>12969</v>
      </c>
      <c r="H444" s="54"/>
      <c r="I444" s="56"/>
      <c r="J444" s="56"/>
      <c r="K444" t="s">
        <v>12970</v>
      </c>
    </row>
    <row r="445" spans="1:11" s="44" customFormat="1" ht="31" customHeight="1">
      <c r="A445" s="33"/>
      <c r="B445" s="86"/>
      <c r="C445" s="91"/>
      <c r="D445" s="88" t="s">
        <v>12971</v>
      </c>
      <c r="E445" s="93" t="s">
        <v>12972</v>
      </c>
      <c r="F445" s="51" t="s">
        <v>16</v>
      </c>
      <c r="G445" s="14" t="s">
        <v>12045</v>
      </c>
      <c r="H445" s="53" t="s">
        <v>12973</v>
      </c>
      <c r="I445" s="55"/>
      <c r="J445" s="55" t="s">
        <v>12974</v>
      </c>
      <c r="K445" t="s">
        <v>12975</v>
      </c>
    </row>
    <row r="446" spans="1:11" s="44" customFormat="1" ht="15.5">
      <c r="A446" s="33"/>
      <c r="B446" s="86"/>
      <c r="C446" s="91"/>
      <c r="D446" s="89"/>
      <c r="E446" s="94"/>
      <c r="F446" s="52"/>
      <c r="G446" s="14" t="s">
        <v>12976</v>
      </c>
      <c r="H446" s="54"/>
      <c r="I446" s="56"/>
      <c r="J446" s="56"/>
      <c r="K446" t="s">
        <v>12977</v>
      </c>
    </row>
    <row r="447" spans="1:11" s="44" customFormat="1" ht="15.5">
      <c r="A447" s="33"/>
      <c r="B447" s="86"/>
      <c r="C447" s="91"/>
      <c r="D447" s="82" t="s">
        <v>12978</v>
      </c>
      <c r="E447" s="93" t="s">
        <v>12979</v>
      </c>
      <c r="F447" s="51" t="s">
        <v>38</v>
      </c>
      <c r="G447" s="14" t="s">
        <v>9935</v>
      </c>
      <c r="H447" s="53" t="s">
        <v>12980</v>
      </c>
      <c r="I447" s="55"/>
      <c r="J447" s="55" t="s">
        <v>12981</v>
      </c>
      <c r="K447" t="s">
        <v>12982</v>
      </c>
    </row>
    <row r="448" spans="1:11" s="44" customFormat="1" ht="15.5">
      <c r="A448" s="33"/>
      <c r="B448" s="86"/>
      <c r="C448" s="91"/>
      <c r="D448" s="83"/>
      <c r="E448" s="94"/>
      <c r="F448" s="52"/>
      <c r="G448" s="14" t="s">
        <v>12983</v>
      </c>
      <c r="H448" s="54"/>
      <c r="I448" s="56"/>
      <c r="J448" s="56"/>
      <c r="K448" t="s">
        <v>12681</v>
      </c>
    </row>
    <row r="449" spans="1:11" s="44" customFormat="1" ht="31" customHeight="1">
      <c r="A449" s="33"/>
      <c r="B449" s="86"/>
      <c r="C449" s="91"/>
      <c r="D449" s="88" t="s">
        <v>12984</v>
      </c>
      <c r="E449" s="93" t="s">
        <v>12985</v>
      </c>
      <c r="F449" s="51" t="s">
        <v>16</v>
      </c>
      <c r="G449" s="14" t="s">
        <v>12986</v>
      </c>
      <c r="H449" s="53" t="s">
        <v>12987</v>
      </c>
      <c r="I449" s="55"/>
      <c r="J449" s="55" t="s">
        <v>12988</v>
      </c>
      <c r="K449" t="s">
        <v>12989</v>
      </c>
    </row>
    <row r="450" spans="1:11" s="44" customFormat="1" ht="15.5">
      <c r="A450" s="33"/>
      <c r="B450" s="86"/>
      <c r="C450" s="91"/>
      <c r="D450" s="89"/>
      <c r="E450" s="94"/>
      <c r="F450" s="52"/>
      <c r="G450" s="14" t="s">
        <v>12990</v>
      </c>
      <c r="H450" s="54"/>
      <c r="I450" s="56"/>
      <c r="J450" s="56"/>
      <c r="K450" t="s">
        <v>12991</v>
      </c>
    </row>
    <row r="451" spans="1:11" s="44" customFormat="1" ht="15.5">
      <c r="A451" s="33"/>
      <c r="B451" s="86"/>
      <c r="C451" s="91"/>
      <c r="D451" s="88" t="s">
        <v>12992</v>
      </c>
      <c r="E451" s="93" t="s">
        <v>12993</v>
      </c>
      <c r="F451" s="51" t="s">
        <v>38</v>
      </c>
      <c r="G451" s="14" t="s">
        <v>10412</v>
      </c>
      <c r="H451" s="53" t="s">
        <v>12994</v>
      </c>
      <c r="I451" s="55"/>
      <c r="J451" s="55" t="s">
        <v>12995</v>
      </c>
      <c r="K451" t="s">
        <v>12996</v>
      </c>
    </row>
    <row r="452" spans="1:11" s="44" customFormat="1" ht="15.5">
      <c r="A452" s="33"/>
      <c r="B452" s="86"/>
      <c r="C452" s="92"/>
      <c r="D452" s="89"/>
      <c r="E452" s="94"/>
      <c r="F452" s="52"/>
      <c r="G452" s="14" t="s">
        <v>12997</v>
      </c>
      <c r="H452" s="54"/>
      <c r="I452" s="56"/>
      <c r="J452" s="56"/>
      <c r="K452" t="s">
        <v>12998</v>
      </c>
    </row>
    <row r="453" spans="1:11" s="44" customFormat="1" ht="15.5" customHeight="1">
      <c r="A453" s="33"/>
      <c r="B453" s="86"/>
      <c r="C453" s="90" t="s">
        <v>12999</v>
      </c>
      <c r="D453" s="82" t="s">
        <v>13000</v>
      </c>
      <c r="E453" s="93" t="s">
        <v>13001</v>
      </c>
      <c r="F453" s="51" t="s">
        <v>200</v>
      </c>
      <c r="G453" s="14" t="s">
        <v>8582</v>
      </c>
      <c r="H453" s="53" t="s">
        <v>13002</v>
      </c>
      <c r="I453" s="55"/>
      <c r="J453" s="55" t="s">
        <v>13003</v>
      </c>
      <c r="K453" t="s">
        <v>13004</v>
      </c>
    </row>
    <row r="454" spans="1:11" s="44" customFormat="1" ht="15.5">
      <c r="A454" s="33"/>
      <c r="B454" s="86"/>
      <c r="C454" s="91"/>
      <c r="D454" s="83"/>
      <c r="E454" s="94"/>
      <c r="F454" s="52"/>
      <c r="G454" s="14" t="s">
        <v>13005</v>
      </c>
      <c r="H454" s="54"/>
      <c r="I454" s="56"/>
      <c r="J454" s="56"/>
      <c r="K454" t="s">
        <v>13006</v>
      </c>
    </row>
    <row r="455" spans="1:11" s="44" customFormat="1" ht="15.5">
      <c r="A455" s="33"/>
      <c r="B455" s="86"/>
      <c r="C455" s="91"/>
      <c r="D455" s="82" t="s">
        <v>13007</v>
      </c>
      <c r="E455" s="93" t="s">
        <v>13008</v>
      </c>
      <c r="F455" s="51" t="s">
        <v>16</v>
      </c>
      <c r="G455" s="14" t="s">
        <v>13009</v>
      </c>
      <c r="H455" s="53" t="s">
        <v>13010</v>
      </c>
      <c r="I455" s="55"/>
      <c r="J455" s="55" t="s">
        <v>13011</v>
      </c>
      <c r="K455" t="s">
        <v>13012</v>
      </c>
    </row>
    <row r="456" spans="1:11" s="44" customFormat="1" ht="15.5">
      <c r="A456" s="33"/>
      <c r="B456" s="86"/>
      <c r="C456" s="91"/>
      <c r="D456" s="83"/>
      <c r="E456" s="94"/>
      <c r="F456" s="52"/>
      <c r="G456" s="14" t="s">
        <v>13013</v>
      </c>
      <c r="H456" s="54"/>
      <c r="I456" s="56"/>
      <c r="J456" s="56"/>
      <c r="K456" t="s">
        <v>13014</v>
      </c>
    </row>
    <row r="457" spans="1:11" s="44" customFormat="1" ht="15.5">
      <c r="A457" s="33"/>
      <c r="B457" s="86"/>
      <c r="C457" s="91"/>
      <c r="D457" s="82" t="s">
        <v>13015</v>
      </c>
      <c r="E457" s="93" t="s">
        <v>13016</v>
      </c>
      <c r="F457" s="51" t="s">
        <v>16</v>
      </c>
      <c r="G457" s="14" t="s">
        <v>13017</v>
      </c>
      <c r="H457" s="53" t="s">
        <v>13018</v>
      </c>
      <c r="I457" s="55"/>
      <c r="J457" s="55" t="s">
        <v>13019</v>
      </c>
      <c r="K457" t="s">
        <v>13020</v>
      </c>
    </row>
    <row r="458" spans="1:11" s="44" customFormat="1" ht="15.5">
      <c r="A458" s="33"/>
      <c r="B458" s="86"/>
      <c r="C458" s="91"/>
      <c r="D458" s="83"/>
      <c r="E458" s="94"/>
      <c r="F458" s="52"/>
      <c r="G458" s="14" t="s">
        <v>13021</v>
      </c>
      <c r="H458" s="54"/>
      <c r="I458" s="56"/>
      <c r="J458" s="56"/>
      <c r="K458" t="s">
        <v>13022</v>
      </c>
    </row>
    <row r="459" spans="1:11" s="44" customFormat="1" ht="15.5" customHeight="1">
      <c r="A459" s="33"/>
      <c r="B459" s="86"/>
      <c r="C459" s="91"/>
      <c r="D459" s="88" t="s">
        <v>13023</v>
      </c>
      <c r="E459" s="93" t="s">
        <v>13024</v>
      </c>
      <c r="F459" s="51" t="s">
        <v>16</v>
      </c>
      <c r="G459" s="14" t="s">
        <v>13025</v>
      </c>
      <c r="H459" s="53" t="s">
        <v>13026</v>
      </c>
      <c r="I459" s="55" t="s">
        <v>19</v>
      </c>
      <c r="J459" s="55" t="s">
        <v>13027</v>
      </c>
      <c r="K459" t="s">
        <v>13028</v>
      </c>
    </row>
    <row r="460" spans="1:11" s="44" customFormat="1" ht="15.5">
      <c r="A460" s="33"/>
      <c r="B460" s="86"/>
      <c r="C460" s="91"/>
      <c r="D460" s="89"/>
      <c r="E460" s="94"/>
      <c r="F460" s="52"/>
      <c r="G460" s="14" t="s">
        <v>13029</v>
      </c>
      <c r="H460" s="54"/>
      <c r="I460" s="56"/>
      <c r="J460" s="56"/>
      <c r="K460" t="s">
        <v>13030</v>
      </c>
    </row>
    <row r="461" spans="1:11" s="44" customFormat="1" ht="15.5" customHeight="1">
      <c r="A461" s="33"/>
      <c r="B461" s="86"/>
      <c r="C461" s="91"/>
      <c r="D461" s="82" t="s">
        <v>13031</v>
      </c>
      <c r="E461" s="93" t="s">
        <v>13032</v>
      </c>
      <c r="F461" s="51" t="s">
        <v>38</v>
      </c>
      <c r="G461" s="14" t="s">
        <v>9935</v>
      </c>
      <c r="H461" s="53" t="s">
        <v>13033</v>
      </c>
      <c r="I461" s="55" t="s">
        <v>19</v>
      </c>
      <c r="J461" s="55" t="s">
        <v>13034</v>
      </c>
      <c r="K461" t="s">
        <v>13035</v>
      </c>
    </row>
    <row r="462" spans="1:11" s="44" customFormat="1" ht="15.5">
      <c r="A462" s="33"/>
      <c r="B462" s="86"/>
      <c r="C462" s="92"/>
      <c r="D462" s="83"/>
      <c r="E462" s="94"/>
      <c r="F462" s="52"/>
      <c r="G462" s="14" t="s">
        <v>13036</v>
      </c>
      <c r="H462" s="54"/>
      <c r="I462" s="56"/>
      <c r="J462" s="56"/>
      <c r="K462" t="s">
        <v>13037</v>
      </c>
    </row>
    <row r="463" spans="1:11" s="44" customFormat="1" ht="15.5" customHeight="1">
      <c r="A463" s="33"/>
      <c r="B463" s="49" t="s">
        <v>13038</v>
      </c>
      <c r="C463" s="82" t="s">
        <v>13039</v>
      </c>
      <c r="D463" s="88" t="s">
        <v>13040</v>
      </c>
      <c r="E463" s="95" t="s">
        <v>13041</v>
      </c>
      <c r="F463" s="51" t="s">
        <v>38</v>
      </c>
      <c r="G463" s="14" t="s">
        <v>13042</v>
      </c>
      <c r="H463" s="53" t="s">
        <v>13043</v>
      </c>
      <c r="I463" s="55" t="s">
        <v>19</v>
      </c>
      <c r="J463" s="55" t="s">
        <v>13044</v>
      </c>
      <c r="K463" t="s">
        <v>13045</v>
      </c>
    </row>
    <row r="464" spans="1:11" s="44" customFormat="1" ht="15.5">
      <c r="A464" s="33"/>
      <c r="B464" s="87"/>
      <c r="C464" s="86"/>
      <c r="D464" s="89"/>
      <c r="E464" s="96"/>
      <c r="F464" s="52"/>
      <c r="G464" s="14" t="s">
        <v>13046</v>
      </c>
      <c r="H464" s="54"/>
      <c r="I464" s="56"/>
      <c r="J464" s="56"/>
      <c r="K464" t="s">
        <v>13047</v>
      </c>
    </row>
    <row r="465" spans="1:11" s="44" customFormat="1" ht="15.5" customHeight="1">
      <c r="A465" s="33"/>
      <c r="B465" s="87"/>
      <c r="C465" s="86"/>
      <c r="D465" s="82" t="s">
        <v>13048</v>
      </c>
      <c r="E465" s="95" t="s">
        <v>13049</v>
      </c>
      <c r="F465" s="51" t="s">
        <v>16</v>
      </c>
      <c r="G465" s="14" t="s">
        <v>13050</v>
      </c>
      <c r="H465" s="53" t="s">
        <v>13051</v>
      </c>
      <c r="I465" s="55" t="s">
        <v>19</v>
      </c>
      <c r="J465" s="55" t="s">
        <v>13052</v>
      </c>
      <c r="K465" t="s">
        <v>13053</v>
      </c>
    </row>
    <row r="466" spans="1:11" s="44" customFormat="1" ht="15.5">
      <c r="A466" s="33"/>
      <c r="B466" s="87"/>
      <c r="C466" s="86"/>
      <c r="D466" s="83"/>
      <c r="E466" s="96"/>
      <c r="F466" s="52"/>
      <c r="G466" s="14" t="s">
        <v>13054</v>
      </c>
      <c r="H466" s="54"/>
      <c r="I466" s="56"/>
      <c r="J466" s="56"/>
      <c r="K466" t="s">
        <v>13055</v>
      </c>
    </row>
    <row r="467" spans="1:11" s="44" customFormat="1" ht="15.5" customHeight="1">
      <c r="A467" s="33"/>
      <c r="B467" s="87"/>
      <c r="C467" s="86"/>
      <c r="D467" s="82" t="s">
        <v>13056</v>
      </c>
      <c r="E467" s="95" t="s">
        <v>13057</v>
      </c>
      <c r="F467" s="51" t="s">
        <v>38</v>
      </c>
      <c r="G467" s="14" t="s">
        <v>13058</v>
      </c>
      <c r="H467" s="53" t="s">
        <v>13059</v>
      </c>
      <c r="I467" s="55" t="s">
        <v>41</v>
      </c>
      <c r="J467" s="55" t="s">
        <v>13060</v>
      </c>
      <c r="K467" t="s">
        <v>13061</v>
      </c>
    </row>
    <row r="468" spans="1:11" s="44" customFormat="1" ht="15.5">
      <c r="A468" s="33"/>
      <c r="B468" s="87"/>
      <c r="C468" s="86"/>
      <c r="D468" s="83"/>
      <c r="E468" s="96"/>
      <c r="F468" s="52"/>
      <c r="G468" s="14" t="s">
        <v>11950</v>
      </c>
      <c r="H468" s="54"/>
      <c r="I468" s="56"/>
      <c r="J468" s="56"/>
      <c r="K468" t="s">
        <v>13062</v>
      </c>
    </row>
    <row r="469" spans="1:11" s="44" customFormat="1" ht="15.5" customHeight="1">
      <c r="A469" s="33"/>
      <c r="B469" s="87"/>
      <c r="C469" s="86"/>
      <c r="D469" s="82" t="s">
        <v>13063</v>
      </c>
      <c r="E469" s="95" t="s">
        <v>13064</v>
      </c>
      <c r="F469" s="51" t="s">
        <v>16</v>
      </c>
      <c r="G469" s="14" t="s">
        <v>13065</v>
      </c>
      <c r="H469" s="53" t="s">
        <v>13066</v>
      </c>
      <c r="I469" s="55" t="s">
        <v>41</v>
      </c>
      <c r="J469" s="55" t="s">
        <v>13067</v>
      </c>
      <c r="K469" t="s">
        <v>13068</v>
      </c>
    </row>
    <row r="470" spans="1:11" s="44" customFormat="1" ht="15.5">
      <c r="A470" s="33"/>
      <c r="B470" s="87"/>
      <c r="C470" s="86"/>
      <c r="D470" s="83"/>
      <c r="E470" s="96"/>
      <c r="F470" s="52"/>
      <c r="G470" s="14" t="s">
        <v>13069</v>
      </c>
      <c r="H470" s="54"/>
      <c r="I470" s="56"/>
      <c r="J470" s="56"/>
      <c r="K470" t="s">
        <v>3865</v>
      </c>
    </row>
    <row r="471" spans="1:11" s="44" customFormat="1" ht="15.5" customHeight="1">
      <c r="A471" s="33"/>
      <c r="B471" s="87"/>
      <c r="C471" s="86"/>
      <c r="D471" s="88" t="s">
        <v>13070</v>
      </c>
      <c r="E471" s="95" t="s">
        <v>13071</v>
      </c>
      <c r="F471" s="51" t="s">
        <v>200</v>
      </c>
      <c r="G471" s="14" t="s">
        <v>13072</v>
      </c>
      <c r="H471" s="53" t="s">
        <v>13073</v>
      </c>
      <c r="I471" s="55" t="s">
        <v>41</v>
      </c>
      <c r="J471" s="55" t="s">
        <v>13074</v>
      </c>
      <c r="K471" t="s">
        <v>13075</v>
      </c>
    </row>
    <row r="472" spans="1:11" s="44" customFormat="1" ht="15.5">
      <c r="A472" s="33"/>
      <c r="B472" s="87"/>
      <c r="C472" s="83"/>
      <c r="D472" s="89"/>
      <c r="E472" s="96"/>
      <c r="F472" s="52"/>
      <c r="G472" s="14" t="s">
        <v>13076</v>
      </c>
      <c r="H472" s="54"/>
      <c r="I472" s="56"/>
      <c r="J472" s="56"/>
      <c r="K472" t="s">
        <v>13077</v>
      </c>
    </row>
    <row r="473" spans="1:11" s="44" customFormat="1" ht="15.5" customHeight="1">
      <c r="A473" s="33"/>
      <c r="B473" s="87"/>
      <c r="C473" s="82" t="s">
        <v>13078</v>
      </c>
      <c r="D473" s="82" t="s">
        <v>13079</v>
      </c>
      <c r="E473" s="95" t="s">
        <v>13080</v>
      </c>
      <c r="F473" s="51" t="s">
        <v>200</v>
      </c>
      <c r="G473" s="14" t="s">
        <v>11258</v>
      </c>
      <c r="H473" s="53" t="s">
        <v>13081</v>
      </c>
      <c r="I473" s="55" t="s">
        <v>41</v>
      </c>
      <c r="J473" s="55" t="s">
        <v>13082</v>
      </c>
      <c r="K473" t="s">
        <v>13083</v>
      </c>
    </row>
    <row r="474" spans="1:11" s="44" customFormat="1" ht="15.5">
      <c r="A474" s="33"/>
      <c r="B474" s="87"/>
      <c r="C474" s="86"/>
      <c r="D474" s="83"/>
      <c r="E474" s="96"/>
      <c r="F474" s="52"/>
      <c r="G474" s="14" t="s">
        <v>13084</v>
      </c>
      <c r="H474" s="54"/>
      <c r="I474" s="56"/>
      <c r="J474" s="56"/>
      <c r="K474" t="s">
        <v>13085</v>
      </c>
    </row>
    <row r="475" spans="1:11" s="44" customFormat="1" ht="15.5" customHeight="1">
      <c r="A475" s="33"/>
      <c r="B475" s="87"/>
      <c r="C475" s="86"/>
      <c r="D475" s="88" t="s">
        <v>13086</v>
      </c>
      <c r="E475" s="95" t="s">
        <v>13087</v>
      </c>
      <c r="F475" s="51" t="s">
        <v>200</v>
      </c>
      <c r="G475" s="14" t="s">
        <v>13088</v>
      </c>
      <c r="H475" s="53" t="s">
        <v>13089</v>
      </c>
      <c r="I475" s="55" t="s">
        <v>19</v>
      </c>
      <c r="J475" s="55" t="s">
        <v>13090</v>
      </c>
      <c r="K475" t="s">
        <v>13091</v>
      </c>
    </row>
    <row r="476" spans="1:11" s="44" customFormat="1" ht="15.5">
      <c r="A476" s="33"/>
      <c r="B476" s="87"/>
      <c r="C476" s="86"/>
      <c r="D476" s="89"/>
      <c r="E476" s="96"/>
      <c r="F476" s="52"/>
      <c r="G476" s="14" t="s">
        <v>13092</v>
      </c>
      <c r="H476" s="54"/>
      <c r="I476" s="56"/>
      <c r="J476" s="56"/>
      <c r="K476" t="s">
        <v>13093</v>
      </c>
    </row>
    <row r="477" spans="1:11" s="44" customFormat="1" ht="15.5" customHeight="1">
      <c r="A477" s="33"/>
      <c r="B477" s="87"/>
      <c r="C477" s="86"/>
      <c r="D477" s="88" t="s">
        <v>13094</v>
      </c>
      <c r="E477" s="95" t="s">
        <v>13095</v>
      </c>
      <c r="F477" s="51" t="s">
        <v>38</v>
      </c>
      <c r="G477" s="22" t="s">
        <v>13096</v>
      </c>
      <c r="H477" s="53" t="s">
        <v>13097</v>
      </c>
      <c r="I477" s="55" t="s">
        <v>19</v>
      </c>
      <c r="J477" s="55" t="s">
        <v>13098</v>
      </c>
      <c r="K477" t="s">
        <v>13099</v>
      </c>
    </row>
    <row r="478" spans="1:11" s="44" customFormat="1" ht="15.5">
      <c r="A478" s="33"/>
      <c r="B478" s="87"/>
      <c r="C478" s="86"/>
      <c r="D478" s="89"/>
      <c r="E478" s="96"/>
      <c r="F478" s="52"/>
      <c r="G478" s="14" t="s">
        <v>13100</v>
      </c>
      <c r="H478" s="54"/>
      <c r="I478" s="56"/>
      <c r="J478" s="56"/>
      <c r="K478" t="s">
        <v>13101</v>
      </c>
    </row>
    <row r="479" spans="1:11" s="44" customFormat="1" ht="15.5" customHeight="1">
      <c r="A479" s="33"/>
      <c r="B479" s="87"/>
      <c r="C479" s="86"/>
      <c r="D479" s="88" t="s">
        <v>13102</v>
      </c>
      <c r="E479" s="95" t="s">
        <v>13103</v>
      </c>
      <c r="F479" s="51" t="s">
        <v>38</v>
      </c>
      <c r="G479" s="14" t="s">
        <v>13104</v>
      </c>
      <c r="H479" s="53" t="s">
        <v>13105</v>
      </c>
      <c r="I479" s="55" t="s">
        <v>41</v>
      </c>
      <c r="J479" s="55" t="s">
        <v>13106</v>
      </c>
      <c r="K479" t="s">
        <v>13107</v>
      </c>
    </row>
    <row r="480" spans="1:11" s="44" customFormat="1" ht="15.5">
      <c r="A480" s="33"/>
      <c r="B480" s="87"/>
      <c r="C480" s="86"/>
      <c r="D480" s="89"/>
      <c r="E480" s="96"/>
      <c r="F480" s="52"/>
      <c r="G480" s="14" t="s">
        <v>13108</v>
      </c>
      <c r="H480" s="54"/>
      <c r="I480" s="56"/>
      <c r="J480" s="56"/>
      <c r="K480" t="s">
        <v>13109</v>
      </c>
    </row>
    <row r="481" spans="1:11" s="44" customFormat="1" ht="15.5" customHeight="1">
      <c r="A481" s="33"/>
      <c r="B481" s="87"/>
      <c r="C481" s="86"/>
      <c r="D481" s="88" t="s">
        <v>13110</v>
      </c>
      <c r="E481" s="95" t="s">
        <v>13111</v>
      </c>
      <c r="F481" s="51" t="s">
        <v>16</v>
      </c>
      <c r="G481" s="14" t="s">
        <v>13112</v>
      </c>
      <c r="H481" s="53" t="s">
        <v>13113</v>
      </c>
      <c r="I481" s="55" t="s">
        <v>33</v>
      </c>
      <c r="J481" s="55" t="s">
        <v>13114</v>
      </c>
      <c r="K481" t="s">
        <v>13115</v>
      </c>
    </row>
    <row r="482" spans="1:11" s="44" customFormat="1" ht="15.5">
      <c r="A482" s="33"/>
      <c r="B482" s="87"/>
      <c r="C482" s="83"/>
      <c r="D482" s="89"/>
      <c r="E482" s="96"/>
      <c r="F482" s="52"/>
      <c r="G482" s="14" t="s">
        <v>13116</v>
      </c>
      <c r="H482" s="54"/>
      <c r="I482" s="56"/>
      <c r="J482" s="56"/>
      <c r="K482" t="s">
        <v>13117</v>
      </c>
    </row>
    <row r="483" spans="1:11" s="44" customFormat="1" ht="15.75" customHeight="1">
      <c r="A483" s="33"/>
      <c r="B483" s="87"/>
      <c r="C483" s="82" t="s">
        <v>13118</v>
      </c>
      <c r="D483" s="82" t="s">
        <v>13119</v>
      </c>
      <c r="E483" s="95" t="s">
        <v>13120</v>
      </c>
      <c r="F483" s="51" t="s">
        <v>16</v>
      </c>
      <c r="G483" s="14" t="s">
        <v>11258</v>
      </c>
      <c r="H483" s="53" t="s">
        <v>13121</v>
      </c>
      <c r="I483" s="55" t="s">
        <v>19</v>
      </c>
      <c r="J483" s="55" t="s">
        <v>13122</v>
      </c>
      <c r="K483" t="s">
        <v>13123</v>
      </c>
    </row>
    <row r="484" spans="1:11" s="44" customFormat="1" ht="15.5">
      <c r="A484" s="33"/>
      <c r="B484" s="87"/>
      <c r="C484" s="86"/>
      <c r="D484" s="83"/>
      <c r="E484" s="96"/>
      <c r="F484" s="52"/>
      <c r="G484" s="14" t="s">
        <v>13124</v>
      </c>
      <c r="H484" s="54"/>
      <c r="I484" s="56"/>
      <c r="J484" s="56"/>
      <c r="K484" t="s">
        <v>13125</v>
      </c>
    </row>
    <row r="485" spans="1:11" s="44" customFormat="1" ht="15.5" customHeight="1">
      <c r="A485" s="33"/>
      <c r="B485" s="87"/>
      <c r="C485" s="86"/>
      <c r="D485" s="82" t="s">
        <v>13126</v>
      </c>
      <c r="E485" s="95" t="s">
        <v>13127</v>
      </c>
      <c r="F485" s="51" t="s">
        <v>16</v>
      </c>
      <c r="G485" s="14" t="s">
        <v>13128</v>
      </c>
      <c r="H485" s="53" t="s">
        <v>13129</v>
      </c>
      <c r="I485" s="55" t="s">
        <v>19</v>
      </c>
      <c r="J485" s="55" t="s">
        <v>13130</v>
      </c>
      <c r="K485" t="s">
        <v>13131</v>
      </c>
    </row>
    <row r="486" spans="1:11" s="44" customFormat="1" ht="15.5">
      <c r="A486" s="33"/>
      <c r="B486" s="87"/>
      <c r="C486" s="86"/>
      <c r="D486" s="83"/>
      <c r="E486" s="96"/>
      <c r="F486" s="52"/>
      <c r="G486" s="14" t="s">
        <v>13132</v>
      </c>
      <c r="H486" s="54"/>
      <c r="I486" s="56"/>
      <c r="J486" s="56"/>
      <c r="K486" t="s">
        <v>13133</v>
      </c>
    </row>
    <row r="487" spans="1:11" s="44" customFormat="1" ht="15.5" customHeight="1">
      <c r="A487" s="33"/>
      <c r="B487" s="87"/>
      <c r="C487" s="86"/>
      <c r="D487" s="82" t="s">
        <v>13134</v>
      </c>
      <c r="E487" s="95" t="s">
        <v>13135</v>
      </c>
      <c r="F487" s="51" t="s">
        <v>16</v>
      </c>
      <c r="G487" s="14" t="s">
        <v>13136</v>
      </c>
      <c r="H487" s="53" t="s">
        <v>13137</v>
      </c>
      <c r="I487" s="55" t="s">
        <v>19</v>
      </c>
      <c r="J487" s="55" t="s">
        <v>13138</v>
      </c>
      <c r="K487" t="s">
        <v>13139</v>
      </c>
    </row>
    <row r="488" spans="1:11" s="44" customFormat="1" ht="15.5">
      <c r="A488" s="33"/>
      <c r="B488" s="87"/>
      <c r="C488" s="86"/>
      <c r="D488" s="83"/>
      <c r="E488" s="96"/>
      <c r="F488" s="52"/>
      <c r="G488" s="14" t="s">
        <v>13140</v>
      </c>
      <c r="H488" s="54"/>
      <c r="I488" s="56"/>
      <c r="J488" s="56"/>
      <c r="K488" t="s">
        <v>13141</v>
      </c>
    </row>
    <row r="489" spans="1:11" s="44" customFormat="1" ht="15.5" customHeight="1">
      <c r="A489" s="33"/>
      <c r="B489" s="87"/>
      <c r="C489" s="86"/>
      <c r="D489" s="82" t="s">
        <v>13142</v>
      </c>
      <c r="E489" s="95" t="s">
        <v>13143</v>
      </c>
      <c r="F489" s="51" t="s">
        <v>38</v>
      </c>
      <c r="G489" s="14" t="s">
        <v>13144</v>
      </c>
      <c r="H489" s="53" t="s">
        <v>13145</v>
      </c>
      <c r="I489" s="55" t="s">
        <v>19</v>
      </c>
      <c r="J489" s="55" t="s">
        <v>13146</v>
      </c>
      <c r="K489" t="s">
        <v>13147</v>
      </c>
    </row>
    <row r="490" spans="1:11" s="44" customFormat="1" ht="15.5">
      <c r="A490" s="33"/>
      <c r="B490" s="87"/>
      <c r="C490" s="86"/>
      <c r="D490" s="83"/>
      <c r="E490" s="96"/>
      <c r="F490" s="52"/>
      <c r="G490" s="14" t="s">
        <v>13148</v>
      </c>
      <c r="H490" s="54"/>
      <c r="I490" s="56"/>
      <c r="J490" s="56"/>
      <c r="K490" t="s">
        <v>13149</v>
      </c>
    </row>
    <row r="491" spans="1:11" s="44" customFormat="1" ht="15.5" customHeight="1">
      <c r="A491" s="33"/>
      <c r="B491" s="87"/>
      <c r="C491" s="86"/>
      <c r="D491" s="82" t="s">
        <v>13150</v>
      </c>
      <c r="E491" s="95" t="s">
        <v>13151</v>
      </c>
      <c r="F491" s="51" t="s">
        <v>16</v>
      </c>
      <c r="G491" s="14" t="s">
        <v>13152</v>
      </c>
      <c r="H491" s="53" t="s">
        <v>13153</v>
      </c>
      <c r="I491" s="55" t="s">
        <v>19</v>
      </c>
      <c r="J491" s="55" t="s">
        <v>13154</v>
      </c>
      <c r="K491" t="s">
        <v>13155</v>
      </c>
    </row>
    <row r="492" spans="1:11" s="44" customFormat="1" ht="15.5">
      <c r="A492" s="33"/>
      <c r="B492" s="87"/>
      <c r="C492" s="83"/>
      <c r="D492" s="83"/>
      <c r="E492" s="96"/>
      <c r="F492" s="52"/>
      <c r="G492" s="14" t="s">
        <v>13156</v>
      </c>
      <c r="H492" s="54"/>
      <c r="I492" s="56"/>
      <c r="J492" s="56"/>
      <c r="K492" t="s">
        <v>13157</v>
      </c>
    </row>
    <row r="493" spans="1:11" s="44" customFormat="1" ht="15.75" customHeight="1">
      <c r="A493" s="33"/>
      <c r="B493" s="87"/>
      <c r="C493" s="82" t="s">
        <v>13158</v>
      </c>
      <c r="D493" s="82" t="s">
        <v>13159</v>
      </c>
      <c r="E493" s="95" t="s">
        <v>13160</v>
      </c>
      <c r="F493" s="51" t="s">
        <v>38</v>
      </c>
      <c r="G493" s="14" t="s">
        <v>13161</v>
      </c>
      <c r="H493" s="53" t="s">
        <v>13162</v>
      </c>
      <c r="I493" s="55" t="s">
        <v>19</v>
      </c>
      <c r="J493" s="55" t="s">
        <v>13163</v>
      </c>
      <c r="K493" t="s">
        <v>13164</v>
      </c>
    </row>
    <row r="494" spans="1:11" s="44" customFormat="1" ht="15.5">
      <c r="A494" s="33"/>
      <c r="B494" s="87"/>
      <c r="C494" s="86"/>
      <c r="D494" s="83"/>
      <c r="E494" s="96"/>
      <c r="F494" s="52"/>
      <c r="G494" s="14" t="s">
        <v>13165</v>
      </c>
      <c r="H494" s="54"/>
      <c r="I494" s="56"/>
      <c r="J494" s="56"/>
      <c r="K494" t="s">
        <v>13166</v>
      </c>
    </row>
    <row r="495" spans="1:11" s="44" customFormat="1" ht="15.5" customHeight="1">
      <c r="A495" s="33"/>
      <c r="B495" s="87"/>
      <c r="C495" s="86"/>
      <c r="D495" s="82" t="s">
        <v>13167</v>
      </c>
      <c r="E495" s="95" t="s">
        <v>13168</v>
      </c>
      <c r="F495" s="51" t="s">
        <v>16</v>
      </c>
      <c r="G495" s="14" t="s">
        <v>13169</v>
      </c>
      <c r="H495" s="53" t="s">
        <v>13170</v>
      </c>
      <c r="I495" s="55" t="s">
        <v>19</v>
      </c>
      <c r="J495" s="55" t="s">
        <v>13171</v>
      </c>
      <c r="K495" t="s">
        <v>13172</v>
      </c>
    </row>
    <row r="496" spans="1:11" s="44" customFormat="1" ht="15.5">
      <c r="A496" s="33"/>
      <c r="B496" s="87"/>
      <c r="C496" s="86"/>
      <c r="D496" s="83"/>
      <c r="E496" s="96"/>
      <c r="F496" s="52"/>
      <c r="G496" s="14" t="s">
        <v>13173</v>
      </c>
      <c r="H496" s="54"/>
      <c r="I496" s="56"/>
      <c r="J496" s="56"/>
      <c r="K496" t="s">
        <v>13174</v>
      </c>
    </row>
    <row r="497" spans="1:11" s="44" customFormat="1" ht="15.5" customHeight="1">
      <c r="A497" s="33"/>
      <c r="B497" s="87"/>
      <c r="C497" s="86"/>
      <c r="D497" s="82" t="s">
        <v>13175</v>
      </c>
      <c r="E497" s="95" t="s">
        <v>13176</v>
      </c>
      <c r="F497" s="51" t="s">
        <v>38</v>
      </c>
      <c r="G497" s="14" t="s">
        <v>13177</v>
      </c>
      <c r="H497" s="53" t="s">
        <v>13178</v>
      </c>
      <c r="I497" s="55" t="s">
        <v>41</v>
      </c>
      <c r="J497" s="55" t="s">
        <v>13179</v>
      </c>
      <c r="K497" t="s">
        <v>13180</v>
      </c>
    </row>
    <row r="498" spans="1:11" s="44" customFormat="1" ht="15.5">
      <c r="A498" s="33"/>
      <c r="B498" s="87"/>
      <c r="C498" s="86"/>
      <c r="D498" s="83"/>
      <c r="E498" s="96"/>
      <c r="F498" s="52"/>
      <c r="G498" s="14" t="s">
        <v>13181</v>
      </c>
      <c r="H498" s="54"/>
      <c r="I498" s="56"/>
      <c r="J498" s="56"/>
      <c r="K498" t="s">
        <v>13182</v>
      </c>
    </row>
    <row r="499" spans="1:11" s="44" customFormat="1" ht="15.5" customHeight="1">
      <c r="A499" s="33"/>
      <c r="B499" s="87"/>
      <c r="C499" s="86"/>
      <c r="D499" s="88" t="s">
        <v>13183</v>
      </c>
      <c r="E499" s="95" t="s">
        <v>13184</v>
      </c>
      <c r="F499" s="51" t="s">
        <v>16</v>
      </c>
      <c r="G499" s="14" t="s">
        <v>13185</v>
      </c>
      <c r="H499" s="53" t="s">
        <v>13186</v>
      </c>
      <c r="I499" s="55" t="s">
        <v>41</v>
      </c>
      <c r="J499" s="55" t="s">
        <v>13187</v>
      </c>
      <c r="K499" t="s">
        <v>13188</v>
      </c>
    </row>
    <row r="500" spans="1:11" s="44" customFormat="1" ht="15.5">
      <c r="A500" s="33"/>
      <c r="B500" s="87"/>
      <c r="C500" s="86"/>
      <c r="D500" s="89"/>
      <c r="E500" s="96"/>
      <c r="F500" s="52"/>
      <c r="G500" s="14" t="s">
        <v>13189</v>
      </c>
      <c r="H500" s="54"/>
      <c r="I500" s="56"/>
      <c r="J500" s="56"/>
      <c r="K500" t="s">
        <v>13190</v>
      </c>
    </row>
    <row r="501" spans="1:11" s="44" customFormat="1" ht="15.5" customHeight="1">
      <c r="A501" s="33"/>
      <c r="B501" s="87"/>
      <c r="C501" s="86"/>
      <c r="D501" s="82" t="s">
        <v>13191</v>
      </c>
      <c r="E501" s="95" t="s">
        <v>13192</v>
      </c>
      <c r="F501" s="51" t="s">
        <v>16</v>
      </c>
      <c r="G501" s="14" t="s">
        <v>13193</v>
      </c>
      <c r="H501" s="53" t="s">
        <v>13194</v>
      </c>
      <c r="I501" s="55" t="s">
        <v>41</v>
      </c>
      <c r="J501" s="55" t="s">
        <v>13195</v>
      </c>
      <c r="K501" t="s">
        <v>13196</v>
      </c>
    </row>
    <row r="502" spans="1:11" s="44" customFormat="1" ht="15.5">
      <c r="A502" s="33"/>
      <c r="B502" s="87"/>
      <c r="C502" s="83"/>
      <c r="D502" s="83"/>
      <c r="E502" s="96"/>
      <c r="F502" s="52"/>
      <c r="G502" s="14" t="s">
        <v>9948</v>
      </c>
      <c r="H502" s="54"/>
      <c r="I502" s="56"/>
      <c r="J502" s="56"/>
      <c r="K502" t="s">
        <v>13197</v>
      </c>
    </row>
    <row r="503" spans="1:11" s="44" customFormat="1" ht="15.75" customHeight="1">
      <c r="A503" s="33"/>
      <c r="B503" s="87"/>
      <c r="C503" s="82" t="s">
        <v>13198</v>
      </c>
      <c r="D503" s="88" t="s">
        <v>13199</v>
      </c>
      <c r="E503" s="95" t="s">
        <v>13200</v>
      </c>
      <c r="F503" s="51" t="s">
        <v>16</v>
      </c>
      <c r="G503" s="14" t="s">
        <v>13201</v>
      </c>
      <c r="H503" s="53" t="s">
        <v>13202</v>
      </c>
      <c r="I503" s="55" t="s">
        <v>41</v>
      </c>
      <c r="J503" s="55" t="s">
        <v>13203</v>
      </c>
      <c r="K503" t="s">
        <v>13204</v>
      </c>
    </row>
    <row r="504" spans="1:11" s="44" customFormat="1" ht="15.5">
      <c r="A504" s="33"/>
      <c r="B504" s="87"/>
      <c r="C504" s="86"/>
      <c r="D504" s="89"/>
      <c r="E504" s="96"/>
      <c r="F504" s="52"/>
      <c r="G504" s="14" t="s">
        <v>13205</v>
      </c>
      <c r="H504" s="54"/>
      <c r="I504" s="56"/>
      <c r="J504" s="56"/>
      <c r="K504" t="s">
        <v>13206</v>
      </c>
    </row>
    <row r="505" spans="1:11" s="44" customFormat="1" ht="15.5" customHeight="1">
      <c r="A505" s="33"/>
      <c r="B505" s="87"/>
      <c r="C505" s="86"/>
      <c r="D505" s="88" t="s">
        <v>13207</v>
      </c>
      <c r="E505" s="95" t="s">
        <v>13208</v>
      </c>
      <c r="F505" s="51" t="s">
        <v>16</v>
      </c>
      <c r="G505" s="14" t="s">
        <v>13209</v>
      </c>
      <c r="H505" s="53" t="s">
        <v>13210</v>
      </c>
      <c r="I505" s="55" t="s">
        <v>19</v>
      </c>
      <c r="J505" s="55" t="s">
        <v>13211</v>
      </c>
      <c r="K505" t="s">
        <v>13212</v>
      </c>
    </row>
    <row r="506" spans="1:11" s="44" customFormat="1" ht="15.5">
      <c r="A506" s="33"/>
      <c r="B506" s="87"/>
      <c r="C506" s="86"/>
      <c r="D506" s="89"/>
      <c r="E506" s="96"/>
      <c r="F506" s="52"/>
      <c r="G506" s="14" t="s">
        <v>13213</v>
      </c>
      <c r="H506" s="54"/>
      <c r="I506" s="56"/>
      <c r="J506" s="56"/>
      <c r="K506" t="s">
        <v>13214</v>
      </c>
    </row>
    <row r="507" spans="1:11" s="44" customFormat="1" ht="15.5" customHeight="1">
      <c r="A507" s="33"/>
      <c r="B507" s="87"/>
      <c r="C507" s="86"/>
      <c r="D507" s="82" t="s">
        <v>13215</v>
      </c>
      <c r="E507" s="95" t="s">
        <v>13216</v>
      </c>
      <c r="F507" s="51" t="s">
        <v>38</v>
      </c>
      <c r="G507" s="14" t="s">
        <v>13217</v>
      </c>
      <c r="H507" s="53" t="s">
        <v>13218</v>
      </c>
      <c r="I507" s="55" t="s">
        <v>41</v>
      </c>
      <c r="J507" s="55" t="s">
        <v>13219</v>
      </c>
      <c r="K507" t="s">
        <v>13220</v>
      </c>
    </row>
    <row r="508" spans="1:11" s="44" customFormat="1" ht="15.5">
      <c r="A508" s="33"/>
      <c r="B508" s="87"/>
      <c r="C508" s="86"/>
      <c r="D508" s="83"/>
      <c r="E508" s="96"/>
      <c r="F508" s="52"/>
      <c r="G508" s="14" t="s">
        <v>13221</v>
      </c>
      <c r="H508" s="54"/>
      <c r="I508" s="56"/>
      <c r="J508" s="56"/>
      <c r="K508" t="s">
        <v>13222</v>
      </c>
    </row>
    <row r="509" spans="1:11" s="44" customFormat="1" ht="15.5" customHeight="1">
      <c r="A509" s="33"/>
      <c r="B509" s="87"/>
      <c r="C509" s="86"/>
      <c r="D509" s="82" t="s">
        <v>13223</v>
      </c>
      <c r="E509" s="95" t="s">
        <v>13224</v>
      </c>
      <c r="F509" s="51" t="s">
        <v>38</v>
      </c>
      <c r="G509" s="14" t="s">
        <v>13225</v>
      </c>
      <c r="H509" s="53" t="s">
        <v>12117</v>
      </c>
      <c r="I509" s="55" t="s">
        <v>19</v>
      </c>
      <c r="J509" s="55" t="s">
        <v>13226</v>
      </c>
      <c r="K509" t="s">
        <v>13227</v>
      </c>
    </row>
    <row r="510" spans="1:11" s="44" customFormat="1" ht="15.5">
      <c r="A510" s="33"/>
      <c r="B510" s="87"/>
      <c r="C510" s="86"/>
      <c r="D510" s="83"/>
      <c r="E510" s="96"/>
      <c r="F510" s="52"/>
      <c r="G510" s="14" t="s">
        <v>13228</v>
      </c>
      <c r="H510" s="54"/>
      <c r="I510" s="56"/>
      <c r="J510" s="56"/>
      <c r="K510" t="s">
        <v>13229</v>
      </c>
    </row>
    <row r="511" spans="1:11" s="44" customFormat="1" ht="15.5">
      <c r="A511" s="33"/>
      <c r="B511" s="87"/>
      <c r="C511" s="86"/>
      <c r="D511" s="82" t="s">
        <v>13230</v>
      </c>
      <c r="E511" s="95" t="s">
        <v>13231</v>
      </c>
      <c r="F511" s="51" t="s">
        <v>38</v>
      </c>
      <c r="G511" s="14" t="s">
        <v>13232</v>
      </c>
      <c r="H511" s="53" t="s">
        <v>13233</v>
      </c>
      <c r="I511" s="55" t="s">
        <v>41</v>
      </c>
      <c r="J511" s="55" t="s">
        <v>13234</v>
      </c>
      <c r="K511" t="s">
        <v>13235</v>
      </c>
    </row>
    <row r="512" spans="1:11" s="44" customFormat="1" ht="15.5">
      <c r="A512" s="33"/>
      <c r="B512" s="87"/>
      <c r="C512" s="83"/>
      <c r="D512" s="83"/>
      <c r="E512" s="96"/>
      <c r="F512" s="52"/>
      <c r="G512" s="14" t="s">
        <v>10689</v>
      </c>
      <c r="H512" s="54"/>
      <c r="I512" s="56"/>
      <c r="J512" s="56"/>
      <c r="K512" t="s">
        <v>13236</v>
      </c>
    </row>
    <row r="513" spans="1:11" s="44" customFormat="1" ht="15.75" customHeight="1">
      <c r="A513" s="33"/>
      <c r="B513" s="87"/>
      <c r="C513" s="82" t="s">
        <v>13237</v>
      </c>
      <c r="D513" s="88" t="s">
        <v>13238</v>
      </c>
      <c r="E513" s="95" t="s">
        <v>13239</v>
      </c>
      <c r="F513" s="51" t="s">
        <v>16</v>
      </c>
      <c r="G513" s="14" t="s">
        <v>13240</v>
      </c>
      <c r="H513" s="53" t="s">
        <v>13241</v>
      </c>
      <c r="I513" s="55" t="s">
        <v>19</v>
      </c>
      <c r="J513" s="55" t="s">
        <v>13242</v>
      </c>
      <c r="K513" t="s">
        <v>13243</v>
      </c>
    </row>
    <row r="514" spans="1:11" s="44" customFormat="1" ht="15.5">
      <c r="A514" s="33"/>
      <c r="B514" s="87"/>
      <c r="C514" s="86"/>
      <c r="D514" s="89"/>
      <c r="E514" s="96"/>
      <c r="F514" s="52"/>
      <c r="G514" s="14" t="s">
        <v>13244</v>
      </c>
      <c r="H514" s="54"/>
      <c r="I514" s="56"/>
      <c r="J514" s="56"/>
      <c r="K514" t="s">
        <v>13245</v>
      </c>
    </row>
    <row r="515" spans="1:11" s="44" customFormat="1" ht="15.5">
      <c r="A515" s="33"/>
      <c r="B515" s="87"/>
      <c r="C515" s="86"/>
      <c r="D515" s="88" t="s">
        <v>13246</v>
      </c>
      <c r="E515" s="95" t="s">
        <v>13247</v>
      </c>
      <c r="F515" s="51" t="s">
        <v>16</v>
      </c>
      <c r="G515" s="14" t="s">
        <v>13248</v>
      </c>
      <c r="H515" s="53" t="s">
        <v>13249</v>
      </c>
      <c r="I515" s="55" t="s">
        <v>19</v>
      </c>
      <c r="J515" s="55" t="s">
        <v>13250</v>
      </c>
      <c r="K515" t="s">
        <v>13251</v>
      </c>
    </row>
    <row r="516" spans="1:11" s="44" customFormat="1" ht="15.5">
      <c r="A516" s="33"/>
      <c r="B516" s="87"/>
      <c r="C516" s="86"/>
      <c r="D516" s="89"/>
      <c r="E516" s="96"/>
      <c r="F516" s="52"/>
      <c r="G516" s="14" t="s">
        <v>13252</v>
      </c>
      <c r="H516" s="54"/>
      <c r="I516" s="56"/>
      <c r="J516" s="56"/>
      <c r="K516" t="s">
        <v>13253</v>
      </c>
    </row>
    <row r="517" spans="1:11" s="44" customFormat="1" ht="15.5">
      <c r="A517" s="33"/>
      <c r="B517" s="87"/>
      <c r="C517" s="86"/>
      <c r="D517" s="82" t="s">
        <v>13254</v>
      </c>
      <c r="E517" s="95" t="s">
        <v>13255</v>
      </c>
      <c r="F517" s="51" t="s">
        <v>16</v>
      </c>
      <c r="G517" s="14" t="s">
        <v>13256</v>
      </c>
      <c r="H517" s="53" t="s">
        <v>13257</v>
      </c>
      <c r="I517" s="55" t="s">
        <v>19</v>
      </c>
      <c r="J517" s="55" t="s">
        <v>13258</v>
      </c>
      <c r="K517" t="s">
        <v>13259</v>
      </c>
    </row>
    <row r="518" spans="1:11" s="44" customFormat="1" ht="15.5">
      <c r="A518" s="33"/>
      <c r="B518" s="87"/>
      <c r="C518" s="86"/>
      <c r="D518" s="83"/>
      <c r="E518" s="96"/>
      <c r="F518" s="52"/>
      <c r="G518" s="14" t="s">
        <v>13252</v>
      </c>
      <c r="H518" s="54"/>
      <c r="I518" s="56"/>
      <c r="J518" s="56"/>
      <c r="K518" t="s">
        <v>13260</v>
      </c>
    </row>
    <row r="519" spans="1:11" s="44" customFormat="1" ht="15.5">
      <c r="A519" s="33"/>
      <c r="B519" s="87"/>
      <c r="C519" s="86"/>
      <c r="D519" s="88" t="s">
        <v>13261</v>
      </c>
      <c r="E519" s="95" t="s">
        <v>13262</v>
      </c>
      <c r="F519" s="51" t="s">
        <v>16</v>
      </c>
      <c r="G519" s="14" t="s">
        <v>13263</v>
      </c>
      <c r="H519" s="53" t="s">
        <v>13264</v>
      </c>
      <c r="I519" s="55" t="s">
        <v>19</v>
      </c>
      <c r="J519" s="55" t="s">
        <v>13265</v>
      </c>
      <c r="K519" t="s">
        <v>13266</v>
      </c>
    </row>
    <row r="520" spans="1:11" s="44" customFormat="1" ht="15.5">
      <c r="A520" s="33"/>
      <c r="B520" s="87"/>
      <c r="C520" s="86"/>
      <c r="D520" s="89"/>
      <c r="E520" s="96"/>
      <c r="F520" s="52"/>
      <c r="G520" s="14" t="s">
        <v>13267</v>
      </c>
      <c r="H520" s="54"/>
      <c r="I520" s="56"/>
      <c r="J520" s="56"/>
      <c r="K520" t="s">
        <v>13268</v>
      </c>
    </row>
    <row r="521" spans="1:11" s="44" customFormat="1" ht="15.5">
      <c r="A521" s="33"/>
      <c r="B521" s="87"/>
      <c r="C521" s="86"/>
      <c r="D521" s="88" t="s">
        <v>13269</v>
      </c>
      <c r="E521" s="95" t="s">
        <v>13270</v>
      </c>
      <c r="F521" s="51" t="s">
        <v>16</v>
      </c>
      <c r="G521" s="14" t="s">
        <v>13271</v>
      </c>
      <c r="H521" s="53" t="s">
        <v>13272</v>
      </c>
      <c r="I521" s="55" t="s">
        <v>19</v>
      </c>
      <c r="J521" s="55" t="s">
        <v>13273</v>
      </c>
      <c r="K521" t="s">
        <v>13274</v>
      </c>
    </row>
    <row r="522" spans="1:11" s="44" customFormat="1" ht="15.5">
      <c r="A522" s="33"/>
      <c r="B522" s="87"/>
      <c r="C522" s="83"/>
      <c r="D522" s="89"/>
      <c r="E522" s="96"/>
      <c r="F522" s="52"/>
      <c r="G522" s="14" t="s">
        <v>13275</v>
      </c>
      <c r="H522" s="54"/>
      <c r="I522" s="56"/>
      <c r="J522" s="56"/>
      <c r="K522" t="s">
        <v>13276</v>
      </c>
    </row>
    <row r="523" spans="1:11" s="44" customFormat="1" ht="15.75" customHeight="1">
      <c r="A523" s="33"/>
      <c r="B523" s="87"/>
      <c r="C523" s="82" t="s">
        <v>13277</v>
      </c>
      <c r="D523" s="88" t="s">
        <v>13278</v>
      </c>
      <c r="E523" s="95" t="s">
        <v>13279</v>
      </c>
      <c r="F523" s="51" t="s">
        <v>16</v>
      </c>
      <c r="G523" s="14" t="s">
        <v>11258</v>
      </c>
      <c r="H523" s="53" t="s">
        <v>13280</v>
      </c>
      <c r="I523" s="55" t="s">
        <v>41</v>
      </c>
      <c r="J523" s="55" t="s">
        <v>13281</v>
      </c>
      <c r="K523" t="s">
        <v>13282</v>
      </c>
    </row>
    <row r="524" spans="1:11" s="44" customFormat="1" ht="15.5">
      <c r="A524" s="33"/>
      <c r="B524" s="87"/>
      <c r="C524" s="86"/>
      <c r="D524" s="89"/>
      <c r="E524" s="96"/>
      <c r="F524" s="52"/>
      <c r="G524" s="14" t="s">
        <v>13283</v>
      </c>
      <c r="H524" s="54"/>
      <c r="I524" s="56"/>
      <c r="J524" s="56"/>
      <c r="K524" t="s">
        <v>13284</v>
      </c>
    </row>
    <row r="525" spans="1:11" s="44" customFormat="1" ht="15.5">
      <c r="A525" s="33"/>
      <c r="B525" s="87"/>
      <c r="C525" s="86"/>
      <c r="D525" s="88" t="s">
        <v>13285</v>
      </c>
      <c r="E525" s="95" t="s">
        <v>13286</v>
      </c>
      <c r="F525" s="51" t="s">
        <v>38</v>
      </c>
      <c r="G525" s="14" t="s">
        <v>13287</v>
      </c>
      <c r="H525" s="53" t="s">
        <v>13288</v>
      </c>
      <c r="I525" s="55" t="s">
        <v>41</v>
      </c>
      <c r="J525" s="55" t="s">
        <v>13289</v>
      </c>
      <c r="K525" t="s">
        <v>13290</v>
      </c>
    </row>
    <row r="526" spans="1:11" s="44" customFormat="1" ht="15.5">
      <c r="A526" s="33"/>
      <c r="B526" s="87"/>
      <c r="C526" s="86"/>
      <c r="D526" s="89"/>
      <c r="E526" s="96"/>
      <c r="F526" s="52"/>
      <c r="G526" s="14" t="s">
        <v>10713</v>
      </c>
      <c r="H526" s="54"/>
      <c r="I526" s="56"/>
      <c r="J526" s="56"/>
      <c r="K526" t="s">
        <v>13291</v>
      </c>
    </row>
    <row r="527" spans="1:11" s="44" customFormat="1" ht="15.5">
      <c r="A527" s="33"/>
      <c r="B527" s="87"/>
      <c r="C527" s="86"/>
      <c r="D527" s="88" t="s">
        <v>13292</v>
      </c>
      <c r="E527" s="95" t="s">
        <v>13293</v>
      </c>
      <c r="F527" s="51" t="s">
        <v>16</v>
      </c>
      <c r="G527" s="14" t="s">
        <v>13294</v>
      </c>
      <c r="H527" s="53" t="s">
        <v>13295</v>
      </c>
      <c r="I527" s="55" t="s">
        <v>41</v>
      </c>
      <c r="J527" s="55" t="s">
        <v>13296</v>
      </c>
      <c r="K527" t="s">
        <v>13297</v>
      </c>
    </row>
    <row r="528" spans="1:11" s="44" customFormat="1" ht="15.5">
      <c r="A528" s="33"/>
      <c r="B528" s="87"/>
      <c r="C528" s="86"/>
      <c r="D528" s="89"/>
      <c r="E528" s="96"/>
      <c r="F528" s="52"/>
      <c r="G528" s="14" t="s">
        <v>13298</v>
      </c>
      <c r="H528" s="54"/>
      <c r="I528" s="56"/>
      <c r="J528" s="56"/>
      <c r="K528" t="s">
        <v>13299</v>
      </c>
    </row>
    <row r="529" spans="1:11" s="44" customFormat="1" ht="15.5">
      <c r="A529" s="33"/>
      <c r="B529" s="87"/>
      <c r="C529" s="86"/>
      <c r="D529" s="88" t="s">
        <v>13300</v>
      </c>
      <c r="E529" s="95" t="s">
        <v>13301</v>
      </c>
      <c r="F529" s="51" t="s">
        <v>16</v>
      </c>
      <c r="G529" s="14" t="s">
        <v>13302</v>
      </c>
      <c r="H529" s="53" t="s">
        <v>13303</v>
      </c>
      <c r="I529" s="55" t="s">
        <v>19</v>
      </c>
      <c r="J529" s="55" t="s">
        <v>13304</v>
      </c>
      <c r="K529" t="s">
        <v>13305</v>
      </c>
    </row>
    <row r="530" spans="1:11" s="44" customFormat="1" ht="15.5">
      <c r="A530" s="33"/>
      <c r="B530" s="87"/>
      <c r="C530" s="86"/>
      <c r="D530" s="89"/>
      <c r="E530" s="96"/>
      <c r="F530" s="52"/>
      <c r="G530" s="14" t="s">
        <v>13306</v>
      </c>
      <c r="H530" s="54"/>
      <c r="I530" s="56"/>
      <c r="J530" s="56"/>
      <c r="K530" t="s">
        <v>13307</v>
      </c>
    </row>
    <row r="531" spans="1:11" s="44" customFormat="1" ht="15.5">
      <c r="A531" s="33"/>
      <c r="B531" s="87"/>
      <c r="C531" s="86"/>
      <c r="D531" s="88" t="s">
        <v>13308</v>
      </c>
      <c r="E531" s="95" t="s">
        <v>13309</v>
      </c>
      <c r="F531" s="51" t="s">
        <v>16</v>
      </c>
      <c r="G531" s="14" t="s">
        <v>13310</v>
      </c>
      <c r="H531" s="53" t="s">
        <v>13311</v>
      </c>
      <c r="I531" s="55" t="s">
        <v>19</v>
      </c>
      <c r="J531" s="55" t="s">
        <v>13312</v>
      </c>
      <c r="K531" t="s">
        <v>13313</v>
      </c>
    </row>
    <row r="532" spans="1:11" s="44" customFormat="1" ht="15.5">
      <c r="A532" s="33"/>
      <c r="B532" s="87"/>
      <c r="C532" s="83"/>
      <c r="D532" s="89"/>
      <c r="E532" s="96"/>
      <c r="F532" s="52"/>
      <c r="G532" s="14" t="s">
        <v>13314</v>
      </c>
      <c r="H532" s="54"/>
      <c r="I532" s="56"/>
      <c r="J532" s="56"/>
      <c r="K532" t="s">
        <v>13315</v>
      </c>
    </row>
    <row r="533" spans="1:11" s="44" customFormat="1" ht="15.75" customHeight="1">
      <c r="A533" s="33"/>
      <c r="B533" s="87"/>
      <c r="C533" s="82" t="s">
        <v>13316</v>
      </c>
      <c r="D533" s="88" t="s">
        <v>13317</v>
      </c>
      <c r="E533" s="95" t="s">
        <v>13318</v>
      </c>
      <c r="F533" s="51" t="s">
        <v>16</v>
      </c>
      <c r="G533" s="14" t="s">
        <v>13319</v>
      </c>
      <c r="H533" s="53" t="s">
        <v>13320</v>
      </c>
      <c r="I533" s="55" t="s">
        <v>41</v>
      </c>
      <c r="J533" s="55" t="s">
        <v>13321</v>
      </c>
      <c r="K533" t="s">
        <v>13322</v>
      </c>
    </row>
    <row r="534" spans="1:11" s="44" customFormat="1" ht="15.5">
      <c r="A534" s="33"/>
      <c r="B534" s="87"/>
      <c r="C534" s="86"/>
      <c r="D534" s="89"/>
      <c r="E534" s="96"/>
      <c r="F534" s="52"/>
      <c r="G534" s="14" t="s">
        <v>13323</v>
      </c>
      <c r="H534" s="54"/>
      <c r="I534" s="56"/>
      <c r="J534" s="56"/>
      <c r="K534" t="s">
        <v>13324</v>
      </c>
    </row>
    <row r="535" spans="1:11" s="44" customFormat="1" ht="15.5">
      <c r="A535" s="33"/>
      <c r="B535" s="87"/>
      <c r="C535" s="86"/>
      <c r="D535" s="82" t="s">
        <v>13325</v>
      </c>
      <c r="E535" s="95" t="s">
        <v>13326</v>
      </c>
      <c r="F535" s="51" t="s">
        <v>38</v>
      </c>
      <c r="G535" s="14" t="s">
        <v>13327</v>
      </c>
      <c r="H535" s="53" t="s">
        <v>13328</v>
      </c>
      <c r="I535" s="55" t="s">
        <v>41</v>
      </c>
      <c r="J535" s="55" t="s">
        <v>13329</v>
      </c>
      <c r="K535" t="s">
        <v>13330</v>
      </c>
    </row>
    <row r="536" spans="1:11" s="44" customFormat="1" ht="15.5">
      <c r="A536" s="33"/>
      <c r="B536" s="87"/>
      <c r="C536" s="86"/>
      <c r="D536" s="83"/>
      <c r="E536" s="96"/>
      <c r="F536" s="52"/>
      <c r="G536" s="14" t="s">
        <v>13331</v>
      </c>
      <c r="H536" s="54"/>
      <c r="I536" s="56"/>
      <c r="J536" s="56"/>
      <c r="K536" t="s">
        <v>13332</v>
      </c>
    </row>
    <row r="537" spans="1:11" s="44" customFormat="1" ht="15.5">
      <c r="A537" s="33"/>
      <c r="B537" s="87"/>
      <c r="C537" s="86"/>
      <c r="D537" s="82" t="s">
        <v>13333</v>
      </c>
      <c r="E537" s="95" t="s">
        <v>13334</v>
      </c>
      <c r="F537" s="51" t="s">
        <v>16</v>
      </c>
      <c r="G537" s="14" t="s">
        <v>13335</v>
      </c>
      <c r="H537" s="53" t="s">
        <v>13336</v>
      </c>
      <c r="I537" s="55" t="s">
        <v>41</v>
      </c>
      <c r="J537" s="55" t="s">
        <v>13337</v>
      </c>
      <c r="K537" t="s">
        <v>13338</v>
      </c>
    </row>
    <row r="538" spans="1:11" s="44" customFormat="1" ht="15.5">
      <c r="A538" s="33"/>
      <c r="B538" s="87"/>
      <c r="C538" s="86"/>
      <c r="D538" s="83"/>
      <c r="E538" s="96"/>
      <c r="F538" s="52"/>
      <c r="G538" s="14" t="s">
        <v>13339</v>
      </c>
      <c r="H538" s="54"/>
      <c r="I538" s="56"/>
      <c r="J538" s="56"/>
      <c r="K538" t="s">
        <v>13340</v>
      </c>
    </row>
    <row r="539" spans="1:11" s="44" customFormat="1" ht="15.5">
      <c r="A539" s="33"/>
      <c r="B539" s="87"/>
      <c r="C539" s="86"/>
      <c r="D539" s="88" t="s">
        <v>13341</v>
      </c>
      <c r="E539" s="95" t="s">
        <v>13342</v>
      </c>
      <c r="F539" s="51" t="s">
        <v>38</v>
      </c>
      <c r="G539" s="14" t="s">
        <v>13343</v>
      </c>
      <c r="H539" s="53" t="s">
        <v>13344</v>
      </c>
      <c r="I539" s="55" t="s">
        <v>19</v>
      </c>
      <c r="J539" s="55" t="s">
        <v>13345</v>
      </c>
      <c r="K539" t="s">
        <v>13346</v>
      </c>
    </row>
    <row r="540" spans="1:11" s="44" customFormat="1" ht="15.5">
      <c r="A540" s="33"/>
      <c r="B540" s="87"/>
      <c r="C540" s="86"/>
      <c r="D540" s="89"/>
      <c r="E540" s="96"/>
      <c r="F540" s="52"/>
      <c r="G540" s="14" t="s">
        <v>13347</v>
      </c>
      <c r="H540" s="54"/>
      <c r="I540" s="56"/>
      <c r="J540" s="56"/>
      <c r="K540" t="s">
        <v>13348</v>
      </c>
    </row>
    <row r="541" spans="1:11" s="44" customFormat="1" ht="15.5">
      <c r="A541" s="33"/>
      <c r="B541" s="87"/>
      <c r="C541" s="86"/>
      <c r="D541" s="88" t="s">
        <v>13349</v>
      </c>
      <c r="E541" s="95" t="s">
        <v>13350</v>
      </c>
      <c r="F541" s="51" t="s">
        <v>16</v>
      </c>
      <c r="G541" s="14" t="s">
        <v>13351</v>
      </c>
      <c r="H541" s="53" t="s">
        <v>13352</v>
      </c>
      <c r="I541" s="55" t="s">
        <v>19</v>
      </c>
      <c r="J541" s="55" t="s">
        <v>13353</v>
      </c>
      <c r="K541" t="s">
        <v>13354</v>
      </c>
    </row>
    <row r="542" spans="1:11" s="44" customFormat="1" ht="15.5">
      <c r="A542" s="33"/>
      <c r="B542" s="87"/>
      <c r="C542" s="83"/>
      <c r="D542" s="89"/>
      <c r="E542" s="96"/>
      <c r="F542" s="52"/>
      <c r="G542" s="14" t="s">
        <v>13355</v>
      </c>
      <c r="H542" s="54"/>
      <c r="I542" s="56"/>
      <c r="J542" s="56"/>
      <c r="K542" t="s">
        <v>13356</v>
      </c>
    </row>
    <row r="543" spans="1:11" s="22" customFormat="1" ht="15.75" customHeight="1">
      <c r="A543" s="33"/>
      <c r="B543" s="87"/>
      <c r="C543" s="82" t="s">
        <v>13357</v>
      </c>
      <c r="D543" s="82" t="s">
        <v>13358</v>
      </c>
      <c r="E543" s="95" t="s">
        <v>13359</v>
      </c>
      <c r="F543" s="51" t="s">
        <v>38</v>
      </c>
      <c r="G543" s="14" t="s">
        <v>13360</v>
      </c>
      <c r="H543" s="53" t="s">
        <v>13361</v>
      </c>
      <c r="I543" s="55" t="s">
        <v>33</v>
      </c>
      <c r="J543" s="55" t="s">
        <v>13362</v>
      </c>
      <c r="K543" t="s">
        <v>13363</v>
      </c>
    </row>
    <row r="544" spans="1:11" s="22" customFormat="1" ht="15.5">
      <c r="A544" s="33"/>
      <c r="B544" s="87"/>
      <c r="C544" s="86"/>
      <c r="D544" s="83"/>
      <c r="E544" s="96"/>
      <c r="F544" s="52"/>
      <c r="G544" s="14" t="s">
        <v>13364</v>
      </c>
      <c r="H544" s="54"/>
      <c r="I544" s="56"/>
      <c r="J544" s="56"/>
      <c r="K544" t="s">
        <v>13365</v>
      </c>
    </row>
    <row r="545" spans="1:11" s="22" customFormat="1" ht="15.5">
      <c r="A545" s="33"/>
      <c r="B545" s="87"/>
      <c r="C545" s="86"/>
      <c r="D545" s="82" t="s">
        <v>13366</v>
      </c>
      <c r="E545" s="95" t="s">
        <v>13367</v>
      </c>
      <c r="F545" s="51" t="s">
        <v>16</v>
      </c>
      <c r="G545" s="14" t="s">
        <v>13351</v>
      </c>
      <c r="H545" s="53" t="s">
        <v>13368</v>
      </c>
      <c r="I545" s="55" t="s">
        <v>33</v>
      </c>
      <c r="J545" s="55" t="s">
        <v>13369</v>
      </c>
      <c r="K545" t="s">
        <v>13370</v>
      </c>
    </row>
    <row r="546" spans="1:11" s="22" customFormat="1" ht="15.5">
      <c r="A546" s="33"/>
      <c r="B546" s="87"/>
      <c r="C546" s="86"/>
      <c r="D546" s="83"/>
      <c r="E546" s="96"/>
      <c r="F546" s="52"/>
      <c r="G546" s="14" t="s">
        <v>13371</v>
      </c>
      <c r="H546" s="54"/>
      <c r="I546" s="56"/>
      <c r="J546" s="56"/>
      <c r="K546" t="s">
        <v>13372</v>
      </c>
    </row>
    <row r="547" spans="1:11" s="22" customFormat="1" ht="15.5">
      <c r="A547" s="33"/>
      <c r="B547" s="87"/>
      <c r="C547" s="86"/>
      <c r="D547" s="82" t="s">
        <v>13373</v>
      </c>
      <c r="E547" s="95" t="s">
        <v>13374</v>
      </c>
      <c r="F547" s="51" t="s">
        <v>38</v>
      </c>
      <c r="G547" s="14" t="s">
        <v>13248</v>
      </c>
      <c r="H547" s="53" t="s">
        <v>13375</v>
      </c>
      <c r="I547" s="55" t="s">
        <v>19</v>
      </c>
      <c r="J547" s="55" t="s">
        <v>13376</v>
      </c>
      <c r="K547" t="s">
        <v>13377</v>
      </c>
    </row>
    <row r="548" spans="1:11" s="22" customFormat="1" ht="15.5">
      <c r="A548" s="33"/>
      <c r="B548" s="87"/>
      <c r="C548" s="86"/>
      <c r="D548" s="83"/>
      <c r="E548" s="96"/>
      <c r="F548" s="52"/>
      <c r="G548" s="14" t="s">
        <v>13378</v>
      </c>
      <c r="H548" s="54"/>
      <c r="I548" s="56"/>
      <c r="J548" s="56"/>
      <c r="K548" t="s">
        <v>13379</v>
      </c>
    </row>
    <row r="549" spans="1:11" s="22" customFormat="1" ht="15.5">
      <c r="A549" s="33"/>
      <c r="B549" s="87"/>
      <c r="C549" s="86"/>
      <c r="D549" s="82" t="s">
        <v>13380</v>
      </c>
      <c r="E549" s="95" t="s">
        <v>13381</v>
      </c>
      <c r="F549" s="51" t="s">
        <v>16</v>
      </c>
      <c r="G549" s="14" t="s">
        <v>13382</v>
      </c>
      <c r="H549" s="53" t="s">
        <v>13383</v>
      </c>
      <c r="I549" s="55" t="s">
        <v>19</v>
      </c>
      <c r="J549" s="55" t="s">
        <v>13384</v>
      </c>
      <c r="K549" t="s">
        <v>13385</v>
      </c>
    </row>
    <row r="550" spans="1:11" s="44" customFormat="1" ht="15.5">
      <c r="A550" s="33"/>
      <c r="B550" s="87"/>
      <c r="C550" s="86"/>
      <c r="D550" s="83"/>
      <c r="E550" s="96"/>
      <c r="F550" s="52"/>
      <c r="G550" s="14" t="s">
        <v>13386</v>
      </c>
      <c r="H550" s="54"/>
      <c r="I550" s="56"/>
      <c r="J550" s="56"/>
      <c r="K550" t="s">
        <v>13387</v>
      </c>
    </row>
    <row r="551" spans="1:11" s="44" customFormat="1" ht="15.5">
      <c r="A551" s="33"/>
      <c r="B551" s="87"/>
      <c r="C551" s="86"/>
      <c r="D551" s="82" t="s">
        <v>13388</v>
      </c>
      <c r="E551" s="95" t="s">
        <v>13389</v>
      </c>
      <c r="F551" s="51" t="s">
        <v>38</v>
      </c>
      <c r="G551" s="14" t="s">
        <v>13390</v>
      </c>
      <c r="H551" s="53" t="s">
        <v>13391</v>
      </c>
      <c r="I551" s="55" t="s">
        <v>19</v>
      </c>
      <c r="J551" s="55" t="s">
        <v>13392</v>
      </c>
      <c r="K551" t="s">
        <v>13393</v>
      </c>
    </row>
    <row r="552" spans="1:11" s="44" customFormat="1" ht="15.5">
      <c r="A552" s="33"/>
      <c r="B552" s="50"/>
      <c r="C552" s="83"/>
      <c r="D552" s="83"/>
      <c r="E552" s="96"/>
      <c r="F552" s="52"/>
      <c r="G552" s="14" t="s">
        <v>13394</v>
      </c>
      <c r="H552" s="54"/>
      <c r="I552" s="56"/>
      <c r="J552" s="56"/>
      <c r="K552" t="s">
        <v>13395</v>
      </c>
    </row>
    <row r="553" spans="1:11" s="44" customFormat="1" ht="15.75" customHeight="1">
      <c r="A553" s="33"/>
      <c r="B553" s="49" t="s">
        <v>13396</v>
      </c>
      <c r="C553" s="82" t="s">
        <v>13397</v>
      </c>
      <c r="D553" s="88" t="s">
        <v>13398</v>
      </c>
      <c r="E553" s="95" t="s">
        <v>13399</v>
      </c>
      <c r="F553" s="51" t="s">
        <v>16</v>
      </c>
      <c r="G553" s="14" t="s">
        <v>13302</v>
      </c>
      <c r="H553" s="53" t="s">
        <v>13400</v>
      </c>
      <c r="I553" s="55" t="s">
        <v>19</v>
      </c>
      <c r="J553" s="55" t="s">
        <v>13401</v>
      </c>
      <c r="K553" t="s">
        <v>13402</v>
      </c>
    </row>
    <row r="554" spans="1:11" s="44" customFormat="1" ht="15.5">
      <c r="A554" s="33"/>
      <c r="B554" s="87"/>
      <c r="C554" s="86"/>
      <c r="D554" s="89"/>
      <c r="E554" s="96"/>
      <c r="F554" s="52"/>
      <c r="G554" s="14" t="s">
        <v>13403</v>
      </c>
      <c r="H554" s="54"/>
      <c r="I554" s="56"/>
      <c r="J554" s="56"/>
      <c r="K554" t="s">
        <v>13404</v>
      </c>
    </row>
    <row r="555" spans="1:11" s="44" customFormat="1" ht="15.5">
      <c r="A555" s="33"/>
      <c r="B555" s="87"/>
      <c r="C555" s="86"/>
      <c r="D555" s="88" t="s">
        <v>13405</v>
      </c>
      <c r="E555" s="95" t="s">
        <v>13406</v>
      </c>
      <c r="F555" s="51" t="s">
        <v>38</v>
      </c>
      <c r="G555" s="14" t="s">
        <v>11258</v>
      </c>
      <c r="H555" s="53" t="s">
        <v>13407</v>
      </c>
      <c r="I555" s="55" t="s">
        <v>19</v>
      </c>
      <c r="J555" s="55" t="s">
        <v>13408</v>
      </c>
      <c r="K555" t="s">
        <v>13409</v>
      </c>
    </row>
    <row r="556" spans="1:11" s="44" customFormat="1" ht="15.5">
      <c r="A556" s="33"/>
      <c r="B556" s="87"/>
      <c r="C556" s="86"/>
      <c r="D556" s="89"/>
      <c r="E556" s="96"/>
      <c r="F556" s="52"/>
      <c r="G556" s="14" t="s">
        <v>13410</v>
      </c>
      <c r="H556" s="54"/>
      <c r="I556" s="56"/>
      <c r="J556" s="56"/>
      <c r="K556" t="s">
        <v>13411</v>
      </c>
    </row>
    <row r="557" spans="1:11" s="44" customFormat="1" ht="15.5">
      <c r="A557" s="33"/>
      <c r="B557" s="87"/>
      <c r="C557" s="86"/>
      <c r="D557" s="88" t="s">
        <v>13412</v>
      </c>
      <c r="E557" s="55" t="s">
        <v>13406</v>
      </c>
      <c r="F557" s="51" t="s">
        <v>200</v>
      </c>
      <c r="G557" s="14" t="s">
        <v>11258</v>
      </c>
      <c r="H557" s="53" t="s">
        <v>13413</v>
      </c>
      <c r="I557" s="55" t="s">
        <v>41</v>
      </c>
      <c r="J557" s="55" t="s">
        <v>13414</v>
      </c>
      <c r="K557" t="s">
        <v>13415</v>
      </c>
    </row>
    <row r="558" spans="1:11" s="44" customFormat="1" ht="15.5">
      <c r="A558" s="33"/>
      <c r="B558" s="87"/>
      <c r="C558" s="86"/>
      <c r="D558" s="89"/>
      <c r="E558" s="56"/>
      <c r="F558" s="52"/>
      <c r="G558" s="14" t="s">
        <v>13416</v>
      </c>
      <c r="H558" s="54"/>
      <c r="I558" s="56"/>
      <c r="J558" s="56"/>
      <c r="K558" t="s">
        <v>13417</v>
      </c>
    </row>
    <row r="559" spans="1:11" s="44" customFormat="1" ht="15.5">
      <c r="A559" s="33"/>
      <c r="B559" s="87"/>
      <c r="C559" s="86"/>
      <c r="D559" s="82" t="s">
        <v>13418</v>
      </c>
      <c r="E559" s="95" t="s">
        <v>13419</v>
      </c>
      <c r="F559" s="51" t="s">
        <v>38</v>
      </c>
      <c r="G559" s="14" t="s">
        <v>2539</v>
      </c>
      <c r="H559" s="53" t="s">
        <v>13420</v>
      </c>
      <c r="I559" s="55" t="s">
        <v>19</v>
      </c>
      <c r="J559" s="55" t="s">
        <v>13421</v>
      </c>
      <c r="K559" t="s">
        <v>13422</v>
      </c>
    </row>
    <row r="560" spans="1:11" s="44" customFormat="1" ht="15.5">
      <c r="A560" s="33"/>
      <c r="B560" s="87"/>
      <c r="C560" s="86"/>
      <c r="D560" s="83"/>
      <c r="E560" s="96"/>
      <c r="F560" s="52"/>
      <c r="G560" s="14" t="s">
        <v>13423</v>
      </c>
      <c r="H560" s="54"/>
      <c r="I560" s="56"/>
      <c r="J560" s="56"/>
      <c r="K560" t="s">
        <v>13424</v>
      </c>
    </row>
    <row r="561" spans="1:11" s="44" customFormat="1" ht="15.5">
      <c r="A561" s="33"/>
      <c r="B561" s="87"/>
      <c r="C561" s="86"/>
      <c r="D561" s="82" t="s">
        <v>13425</v>
      </c>
      <c r="E561" s="95" t="s">
        <v>13426</v>
      </c>
      <c r="F561" s="51" t="s">
        <v>38</v>
      </c>
      <c r="G561" s="14" t="s">
        <v>10611</v>
      </c>
      <c r="H561" s="53" t="s">
        <v>13427</v>
      </c>
      <c r="I561" s="55" t="s">
        <v>41</v>
      </c>
      <c r="J561" s="55" t="s">
        <v>13428</v>
      </c>
      <c r="K561" t="s">
        <v>13429</v>
      </c>
    </row>
    <row r="562" spans="1:11" s="44" customFormat="1" ht="15.5">
      <c r="A562" s="35"/>
      <c r="B562" s="87"/>
      <c r="C562" s="83"/>
      <c r="D562" s="83"/>
      <c r="E562" s="96"/>
      <c r="F562" s="52"/>
      <c r="G562" s="14" t="s">
        <v>13430</v>
      </c>
      <c r="H562" s="54"/>
      <c r="I562" s="56"/>
      <c r="J562" s="56"/>
      <c r="K562" t="s">
        <v>13431</v>
      </c>
    </row>
    <row r="563" spans="1:11" s="44" customFormat="1" ht="15.75" customHeight="1">
      <c r="A563" s="33"/>
      <c r="B563" s="87"/>
      <c r="C563" s="82" t="s">
        <v>13432</v>
      </c>
      <c r="D563" s="82" t="s">
        <v>13433</v>
      </c>
      <c r="E563" s="95" t="s">
        <v>13434</v>
      </c>
      <c r="F563" s="51" t="s">
        <v>38</v>
      </c>
      <c r="G563" s="14" t="s">
        <v>13435</v>
      </c>
      <c r="H563" s="53" t="s">
        <v>13436</v>
      </c>
      <c r="I563" s="55" t="s">
        <v>41</v>
      </c>
      <c r="J563" s="55" t="s">
        <v>13437</v>
      </c>
      <c r="K563" t="s">
        <v>13438</v>
      </c>
    </row>
    <row r="564" spans="1:11" s="44" customFormat="1" ht="15.5">
      <c r="A564" s="33"/>
      <c r="B564" s="87"/>
      <c r="C564" s="86"/>
      <c r="D564" s="83"/>
      <c r="E564" s="96"/>
      <c r="F564" s="52"/>
      <c r="G564" s="14" t="s">
        <v>5435</v>
      </c>
      <c r="H564" s="54"/>
      <c r="I564" s="56"/>
      <c r="J564" s="56"/>
      <c r="K564" t="s">
        <v>13439</v>
      </c>
    </row>
    <row r="565" spans="1:11" s="44" customFormat="1" ht="15.5">
      <c r="A565" s="33"/>
      <c r="B565" s="87"/>
      <c r="C565" s="86"/>
      <c r="D565" s="88" t="s">
        <v>13440</v>
      </c>
      <c r="E565" s="95" t="s">
        <v>13441</v>
      </c>
      <c r="F565" s="51" t="s">
        <v>16</v>
      </c>
      <c r="G565" s="14" t="s">
        <v>13442</v>
      </c>
      <c r="H565" s="53" t="s">
        <v>13443</v>
      </c>
      <c r="I565" s="55" t="s">
        <v>41</v>
      </c>
      <c r="J565" s="55" t="s">
        <v>13444</v>
      </c>
      <c r="K565" t="s">
        <v>13445</v>
      </c>
    </row>
    <row r="566" spans="1:11" s="44" customFormat="1" ht="15.5">
      <c r="A566" s="33"/>
      <c r="B566" s="87"/>
      <c r="C566" s="86"/>
      <c r="D566" s="89"/>
      <c r="E566" s="96"/>
      <c r="F566" s="52"/>
      <c r="G566" s="14" t="s">
        <v>10713</v>
      </c>
      <c r="H566" s="54"/>
      <c r="I566" s="56"/>
      <c r="J566" s="56"/>
      <c r="K566" t="s">
        <v>13446</v>
      </c>
    </row>
    <row r="567" spans="1:11" s="44" customFormat="1" ht="15.5">
      <c r="A567" s="33"/>
      <c r="B567" s="87"/>
      <c r="C567" s="86"/>
      <c r="D567" s="88" t="s">
        <v>13447</v>
      </c>
      <c r="E567" s="95" t="s">
        <v>13448</v>
      </c>
      <c r="F567" s="51" t="s">
        <v>16</v>
      </c>
      <c r="G567" s="14" t="s">
        <v>13449</v>
      </c>
      <c r="H567" s="53" t="s">
        <v>13450</v>
      </c>
      <c r="I567" s="55" t="s">
        <v>19</v>
      </c>
      <c r="J567" s="55" t="s">
        <v>13451</v>
      </c>
      <c r="K567" t="s">
        <v>13452</v>
      </c>
    </row>
    <row r="568" spans="1:11" s="44" customFormat="1" ht="15.5">
      <c r="A568" s="33"/>
      <c r="B568" s="87"/>
      <c r="C568" s="86"/>
      <c r="D568" s="89"/>
      <c r="E568" s="96"/>
      <c r="F568" s="52"/>
      <c r="G568" s="14" t="s">
        <v>13453</v>
      </c>
      <c r="H568" s="54"/>
      <c r="I568" s="56"/>
      <c r="J568" s="56"/>
      <c r="K568" t="s">
        <v>13454</v>
      </c>
    </row>
    <row r="569" spans="1:11" s="44" customFormat="1" ht="15.5">
      <c r="A569" s="33"/>
      <c r="B569" s="87"/>
      <c r="C569" s="86"/>
      <c r="D569" s="82" t="s">
        <v>13455</v>
      </c>
      <c r="E569" s="95" t="s">
        <v>13456</v>
      </c>
      <c r="F569" s="51" t="s">
        <v>16</v>
      </c>
      <c r="G569" s="14" t="s">
        <v>13457</v>
      </c>
      <c r="H569" s="53" t="s">
        <v>13458</v>
      </c>
      <c r="I569" s="55" t="s">
        <v>19</v>
      </c>
      <c r="J569" s="55" t="s">
        <v>13459</v>
      </c>
      <c r="K569" t="s">
        <v>13460</v>
      </c>
    </row>
    <row r="570" spans="1:11" s="44" customFormat="1" ht="15.5">
      <c r="A570" s="33"/>
      <c r="B570" s="87"/>
      <c r="C570" s="86"/>
      <c r="D570" s="83"/>
      <c r="E570" s="96"/>
      <c r="F570" s="52"/>
      <c r="G570" s="14" t="s">
        <v>13461</v>
      </c>
      <c r="H570" s="54"/>
      <c r="I570" s="56"/>
      <c r="J570" s="56"/>
      <c r="K570" t="s">
        <v>13462</v>
      </c>
    </row>
    <row r="571" spans="1:11" s="44" customFormat="1" ht="15.5">
      <c r="A571" s="33"/>
      <c r="B571" s="87"/>
      <c r="C571" s="86"/>
      <c r="D571" s="88" t="s">
        <v>13463</v>
      </c>
      <c r="E571" s="95" t="s">
        <v>13464</v>
      </c>
      <c r="F571" s="51" t="s">
        <v>38</v>
      </c>
      <c r="G571" s="14" t="s">
        <v>13465</v>
      </c>
      <c r="H571" s="53" t="s">
        <v>13466</v>
      </c>
      <c r="I571" s="55" t="s">
        <v>41</v>
      </c>
      <c r="J571" s="55" t="s">
        <v>13467</v>
      </c>
      <c r="K571" t="s">
        <v>13468</v>
      </c>
    </row>
    <row r="572" spans="1:11" s="44" customFormat="1" ht="15.5">
      <c r="A572" s="33"/>
      <c r="B572" s="87"/>
      <c r="C572" s="83"/>
      <c r="D572" s="89"/>
      <c r="E572" s="96"/>
      <c r="F572" s="52"/>
      <c r="G572" s="14" t="s">
        <v>13469</v>
      </c>
      <c r="H572" s="54"/>
      <c r="I572" s="56"/>
      <c r="J572" s="56"/>
      <c r="K572" t="s">
        <v>13470</v>
      </c>
    </row>
    <row r="573" spans="1:11" s="44" customFormat="1" ht="15.75" customHeight="1">
      <c r="A573" s="33"/>
      <c r="B573" s="87"/>
      <c r="C573" s="82" t="s">
        <v>13471</v>
      </c>
      <c r="D573" s="88" t="s">
        <v>13472</v>
      </c>
      <c r="E573" s="95" t="s">
        <v>13473</v>
      </c>
      <c r="F573" s="51" t="s">
        <v>38</v>
      </c>
      <c r="G573" s="14" t="s">
        <v>13474</v>
      </c>
      <c r="H573" s="53" t="s">
        <v>13475</v>
      </c>
      <c r="I573" s="55" t="s">
        <v>19</v>
      </c>
      <c r="J573" s="55" t="s">
        <v>13476</v>
      </c>
      <c r="K573" t="s">
        <v>13477</v>
      </c>
    </row>
    <row r="574" spans="1:11" s="44" customFormat="1" ht="15.5">
      <c r="A574" s="33"/>
      <c r="B574" s="87"/>
      <c r="C574" s="86"/>
      <c r="D574" s="89"/>
      <c r="E574" s="96"/>
      <c r="F574" s="52"/>
      <c r="G574" s="14" t="s">
        <v>13478</v>
      </c>
      <c r="H574" s="54"/>
      <c r="I574" s="56"/>
      <c r="J574" s="56"/>
      <c r="K574" t="s">
        <v>13479</v>
      </c>
    </row>
    <row r="575" spans="1:11" s="44" customFormat="1" ht="15.5">
      <c r="A575" s="33"/>
      <c r="B575" s="87"/>
      <c r="C575" s="86"/>
      <c r="D575" s="88" t="s">
        <v>13480</v>
      </c>
      <c r="E575" s="95" t="s">
        <v>13481</v>
      </c>
      <c r="F575" s="51" t="s">
        <v>16</v>
      </c>
      <c r="G575" s="14" t="s">
        <v>13232</v>
      </c>
      <c r="H575" s="53" t="s">
        <v>13482</v>
      </c>
      <c r="I575" s="55" t="s">
        <v>19</v>
      </c>
      <c r="J575" s="55" t="s">
        <v>13483</v>
      </c>
      <c r="K575" t="s">
        <v>13484</v>
      </c>
    </row>
    <row r="576" spans="1:11" s="44" customFormat="1" ht="15.5">
      <c r="A576" s="33"/>
      <c r="B576" s="87"/>
      <c r="C576" s="86"/>
      <c r="D576" s="89"/>
      <c r="E576" s="96"/>
      <c r="F576" s="52"/>
      <c r="G576" s="14" t="s">
        <v>13410</v>
      </c>
      <c r="H576" s="54"/>
      <c r="I576" s="56"/>
      <c r="J576" s="56"/>
      <c r="K576" t="s">
        <v>13485</v>
      </c>
    </row>
    <row r="577" spans="1:11" s="44" customFormat="1" ht="15.5">
      <c r="A577" s="33"/>
      <c r="B577" s="87"/>
      <c r="C577" s="86"/>
      <c r="D577" s="82" t="s">
        <v>13486</v>
      </c>
      <c r="E577" s="95" t="s">
        <v>13487</v>
      </c>
      <c r="F577" s="51" t="s">
        <v>16</v>
      </c>
      <c r="G577" s="14" t="s">
        <v>10074</v>
      </c>
      <c r="H577" s="53" t="s">
        <v>13488</v>
      </c>
      <c r="I577" s="55" t="s">
        <v>19</v>
      </c>
      <c r="J577" s="55" t="s">
        <v>13489</v>
      </c>
      <c r="K577" t="s">
        <v>13490</v>
      </c>
    </row>
    <row r="578" spans="1:11" s="44" customFormat="1" ht="15.5">
      <c r="A578" s="33"/>
      <c r="B578" s="87"/>
      <c r="C578" s="86"/>
      <c r="D578" s="83"/>
      <c r="E578" s="96"/>
      <c r="F578" s="52"/>
      <c r="G578" s="14" t="s">
        <v>13491</v>
      </c>
      <c r="H578" s="54"/>
      <c r="I578" s="56"/>
      <c r="J578" s="56"/>
      <c r="K578" t="s">
        <v>13492</v>
      </c>
    </row>
    <row r="579" spans="1:11" s="44" customFormat="1" ht="15.5">
      <c r="A579" s="33"/>
      <c r="B579" s="87"/>
      <c r="C579" s="86"/>
      <c r="D579" s="88" t="s">
        <v>13493</v>
      </c>
      <c r="E579" s="95" t="s">
        <v>13494</v>
      </c>
      <c r="F579" s="51" t="s">
        <v>16</v>
      </c>
      <c r="G579" s="14" t="s">
        <v>13495</v>
      </c>
      <c r="H579" s="53" t="s">
        <v>13496</v>
      </c>
      <c r="I579" s="55" t="s">
        <v>19</v>
      </c>
      <c r="J579" s="55" t="s">
        <v>12770</v>
      </c>
      <c r="K579" t="s">
        <v>13497</v>
      </c>
    </row>
    <row r="580" spans="1:11" s="44" customFormat="1" ht="15.5">
      <c r="A580" s="33"/>
      <c r="B580" s="87"/>
      <c r="C580" s="86"/>
      <c r="D580" s="89"/>
      <c r="E580" s="96"/>
      <c r="F580" s="52"/>
      <c r="G580" s="14" t="s">
        <v>13498</v>
      </c>
      <c r="H580" s="54"/>
      <c r="I580" s="56"/>
      <c r="J580" s="56"/>
      <c r="K580" t="s">
        <v>13499</v>
      </c>
    </row>
    <row r="581" spans="1:11" s="44" customFormat="1" ht="15.5">
      <c r="A581" s="33"/>
      <c r="B581" s="87"/>
      <c r="C581" s="86"/>
      <c r="D581" s="82" t="s">
        <v>13500</v>
      </c>
      <c r="E581" s="95" t="s">
        <v>13501</v>
      </c>
      <c r="F581" s="51" t="s">
        <v>200</v>
      </c>
      <c r="G581" s="14" t="s">
        <v>13310</v>
      </c>
      <c r="H581" s="53" t="s">
        <v>13502</v>
      </c>
      <c r="I581" s="55" t="s">
        <v>19</v>
      </c>
      <c r="J581" s="55" t="s">
        <v>13503</v>
      </c>
      <c r="K581" t="s">
        <v>13504</v>
      </c>
    </row>
    <row r="582" spans="1:11" s="44" customFormat="1" ht="15.5">
      <c r="A582" s="33"/>
      <c r="B582" s="87"/>
      <c r="C582" s="83"/>
      <c r="D582" s="83"/>
      <c r="E582" s="96"/>
      <c r="F582" s="52"/>
      <c r="G582" s="14" t="s">
        <v>13505</v>
      </c>
      <c r="H582" s="54"/>
      <c r="I582" s="56"/>
      <c r="J582" s="56"/>
      <c r="K582" t="s">
        <v>13506</v>
      </c>
    </row>
    <row r="583" spans="1:11" s="44" customFormat="1" ht="15.75" customHeight="1">
      <c r="A583" s="33"/>
      <c r="B583" s="87"/>
      <c r="C583" s="82" t="s">
        <v>13507</v>
      </c>
      <c r="D583" s="88" t="s">
        <v>13508</v>
      </c>
      <c r="E583" s="95" t="s">
        <v>13509</v>
      </c>
      <c r="F583" s="51" t="s">
        <v>38</v>
      </c>
      <c r="G583" s="14" t="s">
        <v>13510</v>
      </c>
      <c r="H583" s="53" t="s">
        <v>13511</v>
      </c>
      <c r="I583" s="55" t="s">
        <v>19</v>
      </c>
      <c r="J583" s="55" t="s">
        <v>13512</v>
      </c>
      <c r="K583" t="s">
        <v>13513</v>
      </c>
    </row>
    <row r="584" spans="1:11" s="44" customFormat="1" ht="15.5">
      <c r="A584" s="33"/>
      <c r="B584" s="87"/>
      <c r="C584" s="86"/>
      <c r="D584" s="89"/>
      <c r="E584" s="96"/>
      <c r="F584" s="52"/>
      <c r="G584" s="14" t="s">
        <v>13514</v>
      </c>
      <c r="H584" s="54"/>
      <c r="I584" s="56"/>
      <c r="J584" s="56"/>
      <c r="K584" t="s">
        <v>13515</v>
      </c>
    </row>
    <row r="585" spans="1:11" s="44" customFormat="1" ht="15.5">
      <c r="A585" s="33"/>
      <c r="B585" s="87"/>
      <c r="C585" s="86"/>
      <c r="D585" s="88" t="s">
        <v>13516</v>
      </c>
      <c r="E585" s="95" t="s">
        <v>13517</v>
      </c>
      <c r="F585" s="51" t="s">
        <v>38</v>
      </c>
      <c r="G585" s="14" t="s">
        <v>13518</v>
      </c>
      <c r="H585" s="53" t="s">
        <v>13519</v>
      </c>
      <c r="I585" s="55" t="s">
        <v>41</v>
      </c>
      <c r="J585" s="55" t="s">
        <v>13520</v>
      </c>
      <c r="K585" t="s">
        <v>13521</v>
      </c>
    </row>
    <row r="586" spans="1:11" s="44" customFormat="1" ht="15.5">
      <c r="A586" s="33"/>
      <c r="B586" s="87"/>
      <c r="C586" s="86"/>
      <c r="D586" s="89"/>
      <c r="E586" s="96"/>
      <c r="F586" s="52"/>
      <c r="G586" s="14" t="s">
        <v>13522</v>
      </c>
      <c r="H586" s="54"/>
      <c r="I586" s="56"/>
      <c r="J586" s="56"/>
      <c r="K586" t="s">
        <v>13523</v>
      </c>
    </row>
    <row r="587" spans="1:11" s="44" customFormat="1" ht="15.5">
      <c r="A587" s="33"/>
      <c r="B587" s="87"/>
      <c r="C587" s="86"/>
      <c r="D587" s="88" t="s">
        <v>13524</v>
      </c>
      <c r="E587" s="95" t="s">
        <v>13525</v>
      </c>
      <c r="F587" s="51" t="s">
        <v>38</v>
      </c>
      <c r="G587" s="14" t="s">
        <v>13526</v>
      </c>
      <c r="H587" s="53" t="s">
        <v>13527</v>
      </c>
      <c r="I587" s="55" t="s">
        <v>19</v>
      </c>
      <c r="J587" s="55" t="s">
        <v>13528</v>
      </c>
      <c r="K587" t="s">
        <v>13529</v>
      </c>
    </row>
    <row r="588" spans="1:11" s="44" customFormat="1" ht="15.5">
      <c r="A588" s="33"/>
      <c r="B588" s="87"/>
      <c r="C588" s="86"/>
      <c r="D588" s="89"/>
      <c r="E588" s="96"/>
      <c r="F588" s="52"/>
      <c r="G588" s="14" t="s">
        <v>13530</v>
      </c>
      <c r="H588" s="54"/>
      <c r="I588" s="56"/>
      <c r="J588" s="56"/>
      <c r="K588" t="s">
        <v>13531</v>
      </c>
    </row>
    <row r="589" spans="1:11" s="44" customFormat="1" ht="15.5">
      <c r="A589" s="33"/>
      <c r="B589" s="87"/>
      <c r="C589" s="86"/>
      <c r="D589" s="88" t="s">
        <v>13532</v>
      </c>
      <c r="E589" s="95" t="s">
        <v>13533</v>
      </c>
      <c r="F589" s="51" t="s">
        <v>16</v>
      </c>
      <c r="G589" s="14" t="s">
        <v>13534</v>
      </c>
      <c r="H589" s="53" t="s">
        <v>13535</v>
      </c>
      <c r="I589" s="55" t="s">
        <v>41</v>
      </c>
      <c r="J589" s="55" t="s">
        <v>13536</v>
      </c>
      <c r="K589" t="s">
        <v>13537</v>
      </c>
    </row>
    <row r="590" spans="1:11" s="44" customFormat="1" ht="15.5">
      <c r="A590" s="33"/>
      <c r="B590" s="87"/>
      <c r="C590" s="86"/>
      <c r="D590" s="89"/>
      <c r="E590" s="96"/>
      <c r="F590" s="52"/>
      <c r="G590" s="14" t="s">
        <v>13538</v>
      </c>
      <c r="H590" s="54"/>
      <c r="I590" s="56"/>
      <c r="J590" s="56"/>
      <c r="K590" t="s">
        <v>13539</v>
      </c>
    </row>
    <row r="591" spans="1:11" s="44" customFormat="1" ht="15.5">
      <c r="A591" s="33"/>
      <c r="B591" s="87"/>
      <c r="C591" s="86"/>
      <c r="D591" s="82" t="s">
        <v>13540</v>
      </c>
      <c r="E591" s="95" t="s">
        <v>13541</v>
      </c>
      <c r="F591" s="51" t="s">
        <v>16</v>
      </c>
      <c r="G591" s="14" t="s">
        <v>13542</v>
      </c>
      <c r="H591" s="53" t="s">
        <v>13543</v>
      </c>
      <c r="I591" s="55" t="s">
        <v>19</v>
      </c>
      <c r="J591" s="55" t="s">
        <v>13544</v>
      </c>
      <c r="K591" t="s">
        <v>13545</v>
      </c>
    </row>
    <row r="592" spans="1:11" s="44" customFormat="1" ht="15.5">
      <c r="A592" s="33"/>
      <c r="B592" s="87"/>
      <c r="C592" s="83"/>
      <c r="D592" s="83"/>
      <c r="E592" s="96"/>
      <c r="F592" s="52"/>
      <c r="G592" s="14" t="s">
        <v>13546</v>
      </c>
      <c r="H592" s="54"/>
      <c r="I592" s="56"/>
      <c r="J592" s="56"/>
      <c r="K592" t="s">
        <v>13547</v>
      </c>
    </row>
    <row r="593" spans="1:11" s="44" customFormat="1" ht="15.75" customHeight="1">
      <c r="A593" s="33"/>
      <c r="B593" s="87"/>
      <c r="C593" s="82" t="s">
        <v>13548</v>
      </c>
      <c r="D593" s="88" t="s">
        <v>13549</v>
      </c>
      <c r="E593" s="95" t="s">
        <v>13550</v>
      </c>
      <c r="F593" s="51" t="s">
        <v>16</v>
      </c>
      <c r="G593" s="14" t="s">
        <v>13551</v>
      </c>
      <c r="H593" s="53" t="s">
        <v>13552</v>
      </c>
      <c r="I593" s="55" t="s">
        <v>19</v>
      </c>
      <c r="J593" s="55" t="s">
        <v>13553</v>
      </c>
      <c r="K593" t="s">
        <v>13307</v>
      </c>
    </row>
    <row r="594" spans="1:11" s="44" customFormat="1" ht="15.5">
      <c r="A594" s="33"/>
      <c r="B594" s="87"/>
      <c r="C594" s="86"/>
      <c r="D594" s="89"/>
      <c r="E594" s="96"/>
      <c r="F594" s="52"/>
      <c r="G594" s="14" t="s">
        <v>13554</v>
      </c>
      <c r="H594" s="54"/>
      <c r="I594" s="56"/>
      <c r="J594" s="56"/>
      <c r="K594" t="s">
        <v>13555</v>
      </c>
    </row>
    <row r="595" spans="1:11" s="44" customFormat="1" ht="15.5">
      <c r="A595" s="33"/>
      <c r="B595" s="87"/>
      <c r="C595" s="86"/>
      <c r="D595" s="82" t="s">
        <v>13556</v>
      </c>
      <c r="E595" s="95" t="s">
        <v>13557</v>
      </c>
      <c r="F595" s="51" t="s">
        <v>16</v>
      </c>
      <c r="G595" s="14" t="s">
        <v>13558</v>
      </c>
      <c r="H595" s="53" t="s">
        <v>13559</v>
      </c>
      <c r="I595" s="55" t="s">
        <v>19</v>
      </c>
      <c r="J595" s="55" t="s">
        <v>13560</v>
      </c>
      <c r="K595" t="s">
        <v>13561</v>
      </c>
    </row>
    <row r="596" spans="1:11" s="44" customFormat="1" ht="15.5">
      <c r="A596" s="33"/>
      <c r="B596" s="87"/>
      <c r="C596" s="86"/>
      <c r="D596" s="83"/>
      <c r="E596" s="96"/>
      <c r="F596" s="52"/>
      <c r="G596" s="14" t="s">
        <v>13562</v>
      </c>
      <c r="H596" s="54"/>
      <c r="I596" s="56"/>
      <c r="J596" s="56"/>
      <c r="K596" t="s">
        <v>13563</v>
      </c>
    </row>
    <row r="597" spans="1:11" s="44" customFormat="1" ht="15.5">
      <c r="A597" s="33"/>
      <c r="B597" s="87"/>
      <c r="C597" s="86"/>
      <c r="D597" s="82" t="s">
        <v>13564</v>
      </c>
      <c r="E597" s="95" t="s">
        <v>13565</v>
      </c>
      <c r="F597" s="51" t="s">
        <v>38</v>
      </c>
      <c r="G597" s="14" t="s">
        <v>13566</v>
      </c>
      <c r="H597" s="53" t="s">
        <v>13567</v>
      </c>
      <c r="I597" s="55" t="s">
        <v>41</v>
      </c>
      <c r="J597" s="55" t="s">
        <v>13568</v>
      </c>
      <c r="K597" t="s">
        <v>13569</v>
      </c>
    </row>
    <row r="598" spans="1:11" s="44" customFormat="1" ht="15.5">
      <c r="A598" s="33"/>
      <c r="B598" s="87"/>
      <c r="C598" s="86"/>
      <c r="D598" s="83"/>
      <c r="E598" s="96"/>
      <c r="F598" s="52"/>
      <c r="G598" s="14" t="s">
        <v>13570</v>
      </c>
      <c r="H598" s="54"/>
      <c r="I598" s="56"/>
      <c r="J598" s="56"/>
      <c r="K598" t="s">
        <v>13571</v>
      </c>
    </row>
    <row r="599" spans="1:11" s="44" customFormat="1" ht="15.5">
      <c r="A599" s="33"/>
      <c r="B599" s="87"/>
      <c r="C599" s="86"/>
      <c r="D599" s="88" t="s">
        <v>13572</v>
      </c>
      <c r="E599" s="95" t="s">
        <v>13573</v>
      </c>
      <c r="F599" s="51" t="s">
        <v>38</v>
      </c>
      <c r="G599" s="14" t="s">
        <v>13574</v>
      </c>
      <c r="H599" s="53" t="s">
        <v>13575</v>
      </c>
      <c r="I599" s="55" t="s">
        <v>41</v>
      </c>
      <c r="J599" s="55" t="s">
        <v>13576</v>
      </c>
      <c r="K599" t="s">
        <v>13577</v>
      </c>
    </row>
    <row r="600" spans="1:11" s="44" customFormat="1" ht="15.5">
      <c r="A600" s="33"/>
      <c r="B600" s="87"/>
      <c r="C600" s="86"/>
      <c r="D600" s="89"/>
      <c r="E600" s="96"/>
      <c r="F600" s="52"/>
      <c r="G600" s="14" t="s">
        <v>13578</v>
      </c>
      <c r="H600" s="54"/>
      <c r="I600" s="56"/>
      <c r="J600" s="56"/>
      <c r="K600" t="s">
        <v>13579</v>
      </c>
    </row>
    <row r="601" spans="1:11" s="44" customFormat="1" ht="15.5">
      <c r="A601" s="33"/>
      <c r="B601" s="87"/>
      <c r="C601" s="86"/>
      <c r="D601" s="88" t="s">
        <v>13580</v>
      </c>
      <c r="E601" s="95" t="s">
        <v>13581</v>
      </c>
      <c r="F601" s="51" t="s">
        <v>16</v>
      </c>
      <c r="G601" s="14" t="s">
        <v>13582</v>
      </c>
      <c r="H601" s="53" t="s">
        <v>13583</v>
      </c>
      <c r="I601" s="55" t="s">
        <v>41</v>
      </c>
      <c r="J601" s="55" t="s">
        <v>13584</v>
      </c>
      <c r="K601" t="s">
        <v>13585</v>
      </c>
    </row>
    <row r="602" spans="1:11" s="44" customFormat="1" ht="15.5">
      <c r="A602" s="33"/>
      <c r="B602" s="87"/>
      <c r="C602" s="83"/>
      <c r="D602" s="89"/>
      <c r="E602" s="96"/>
      <c r="F602" s="52"/>
      <c r="G602" s="14" t="s">
        <v>10697</v>
      </c>
      <c r="H602" s="54"/>
      <c r="I602" s="56"/>
      <c r="J602" s="56"/>
      <c r="K602" t="s">
        <v>13586</v>
      </c>
    </row>
    <row r="603" spans="1:11" s="44" customFormat="1" ht="15.75" customHeight="1">
      <c r="A603" s="33"/>
      <c r="B603" s="87"/>
      <c r="C603" s="82" t="s">
        <v>13587</v>
      </c>
      <c r="D603" s="88" t="s">
        <v>13588</v>
      </c>
      <c r="E603" s="95" t="s">
        <v>13589</v>
      </c>
      <c r="F603" s="51" t="s">
        <v>16</v>
      </c>
      <c r="G603" s="14" t="s">
        <v>4353</v>
      </c>
      <c r="H603" s="53" t="s">
        <v>13590</v>
      </c>
      <c r="I603" s="55" t="s">
        <v>19</v>
      </c>
      <c r="J603" s="55" t="s">
        <v>13591</v>
      </c>
      <c r="K603" t="s">
        <v>13592</v>
      </c>
    </row>
    <row r="604" spans="1:11" s="44" customFormat="1" ht="15.5">
      <c r="A604" s="33"/>
      <c r="B604" s="87"/>
      <c r="C604" s="86"/>
      <c r="D604" s="89"/>
      <c r="E604" s="96"/>
      <c r="F604" s="52"/>
      <c r="G604" s="14" t="s">
        <v>13593</v>
      </c>
      <c r="H604" s="54"/>
      <c r="I604" s="56"/>
      <c r="J604" s="56"/>
      <c r="K604" t="s">
        <v>13594</v>
      </c>
    </row>
    <row r="605" spans="1:11" s="44" customFormat="1" ht="15.5">
      <c r="A605" s="33"/>
      <c r="B605" s="87"/>
      <c r="C605" s="86"/>
      <c r="D605" s="88" t="s">
        <v>13595</v>
      </c>
      <c r="E605" s="95" t="s">
        <v>13596</v>
      </c>
      <c r="F605" s="51" t="s">
        <v>16</v>
      </c>
      <c r="G605" s="14" t="s">
        <v>11258</v>
      </c>
      <c r="H605" s="53" t="s">
        <v>13597</v>
      </c>
      <c r="I605" s="55" t="s">
        <v>19</v>
      </c>
      <c r="J605" s="55" t="s">
        <v>13598</v>
      </c>
      <c r="K605" t="s">
        <v>13599</v>
      </c>
    </row>
    <row r="606" spans="1:11" s="44" customFormat="1" ht="15.5">
      <c r="A606" s="33"/>
      <c r="B606" s="87"/>
      <c r="C606" s="86"/>
      <c r="D606" s="89"/>
      <c r="E606" s="96"/>
      <c r="F606" s="52"/>
      <c r="G606" s="14" t="s">
        <v>13600</v>
      </c>
      <c r="H606" s="54"/>
      <c r="I606" s="56"/>
      <c r="J606" s="56"/>
      <c r="K606" t="s">
        <v>13601</v>
      </c>
    </row>
    <row r="607" spans="1:11" s="44" customFormat="1" ht="15.5">
      <c r="A607" s="33"/>
      <c r="B607" s="87"/>
      <c r="C607" s="86"/>
      <c r="D607" s="88" t="s">
        <v>13602</v>
      </c>
      <c r="E607" s="95" t="s">
        <v>13603</v>
      </c>
      <c r="F607" s="51" t="s">
        <v>200</v>
      </c>
      <c r="G607" s="14" t="s">
        <v>13604</v>
      </c>
      <c r="H607" s="53" t="s">
        <v>12547</v>
      </c>
      <c r="I607" s="55" t="s">
        <v>19</v>
      </c>
      <c r="J607" s="55" t="s">
        <v>13605</v>
      </c>
      <c r="K607" t="s">
        <v>13606</v>
      </c>
    </row>
    <row r="608" spans="1:11" s="44" customFormat="1" ht="15.5">
      <c r="A608" s="33"/>
      <c r="B608" s="87"/>
      <c r="C608" s="86"/>
      <c r="D608" s="89"/>
      <c r="E608" s="96"/>
      <c r="F608" s="52"/>
      <c r="G608" s="14" t="s">
        <v>13607</v>
      </c>
      <c r="H608" s="54"/>
      <c r="I608" s="56"/>
      <c r="J608" s="56"/>
      <c r="K608" t="s">
        <v>10844</v>
      </c>
    </row>
    <row r="609" spans="1:11" s="44" customFormat="1" ht="15.5">
      <c r="A609" s="33"/>
      <c r="B609" s="87"/>
      <c r="C609" s="86"/>
      <c r="D609" s="88" t="s">
        <v>13608</v>
      </c>
      <c r="E609" s="95" t="s">
        <v>13609</v>
      </c>
      <c r="F609" s="51" t="s">
        <v>16</v>
      </c>
      <c r="G609" s="14" t="s">
        <v>9681</v>
      </c>
      <c r="H609" s="53" t="s">
        <v>13610</v>
      </c>
      <c r="I609" s="55" t="s">
        <v>41</v>
      </c>
      <c r="J609" s="55" t="s">
        <v>13611</v>
      </c>
      <c r="K609" t="s">
        <v>13612</v>
      </c>
    </row>
    <row r="610" spans="1:11" s="44" customFormat="1" ht="15.5">
      <c r="A610" s="33"/>
      <c r="B610" s="87"/>
      <c r="C610" s="86"/>
      <c r="D610" s="89"/>
      <c r="E610" s="96"/>
      <c r="F610" s="52"/>
      <c r="G610" s="14" t="s">
        <v>13613</v>
      </c>
      <c r="H610" s="54"/>
      <c r="I610" s="56"/>
      <c r="J610" s="56"/>
      <c r="K610" t="s">
        <v>13614</v>
      </c>
    </row>
    <row r="611" spans="1:11" s="44" customFormat="1" ht="15.5">
      <c r="A611" s="33"/>
      <c r="B611" s="87"/>
      <c r="C611" s="86"/>
      <c r="D611" s="88" t="s">
        <v>13615</v>
      </c>
      <c r="E611" s="95" t="s">
        <v>13616</v>
      </c>
      <c r="F611" s="51" t="s">
        <v>200</v>
      </c>
      <c r="G611" s="14" t="s">
        <v>13617</v>
      </c>
      <c r="H611" s="53" t="s">
        <v>13618</v>
      </c>
      <c r="I611" s="55" t="s">
        <v>41</v>
      </c>
      <c r="J611" s="55" t="s">
        <v>13619</v>
      </c>
      <c r="K611" t="s">
        <v>13620</v>
      </c>
    </row>
    <row r="612" spans="1:11" s="44" customFormat="1" ht="15.5">
      <c r="A612" s="33"/>
      <c r="B612" s="87"/>
      <c r="C612" s="83"/>
      <c r="D612" s="89"/>
      <c r="E612" s="96"/>
      <c r="F612" s="52"/>
      <c r="G612" s="14" t="s">
        <v>13621</v>
      </c>
      <c r="H612" s="54"/>
      <c r="I612" s="56"/>
      <c r="J612" s="56"/>
      <c r="K612" t="s">
        <v>13622</v>
      </c>
    </row>
    <row r="613" spans="1:11" s="44" customFormat="1" ht="15.75" customHeight="1">
      <c r="A613" s="33"/>
      <c r="B613" s="87"/>
      <c r="C613" s="82" t="s">
        <v>13623</v>
      </c>
      <c r="D613" s="88" t="s">
        <v>13624</v>
      </c>
      <c r="E613" s="95" t="s">
        <v>13625</v>
      </c>
      <c r="F613" s="51" t="s">
        <v>16</v>
      </c>
      <c r="G613" s="14" t="s">
        <v>13626</v>
      </c>
      <c r="H613" s="53" t="s">
        <v>13627</v>
      </c>
      <c r="I613" s="55" t="s">
        <v>41</v>
      </c>
      <c r="J613" s="55" t="s">
        <v>13628</v>
      </c>
      <c r="K613" t="s">
        <v>13629</v>
      </c>
    </row>
    <row r="614" spans="1:11" s="44" customFormat="1" ht="15.5">
      <c r="A614" s="33"/>
      <c r="B614" s="87"/>
      <c r="C614" s="86"/>
      <c r="D614" s="89"/>
      <c r="E614" s="96"/>
      <c r="F614" s="52"/>
      <c r="G614" s="14" t="s">
        <v>13630</v>
      </c>
      <c r="H614" s="54"/>
      <c r="I614" s="56"/>
      <c r="J614" s="56"/>
      <c r="K614" t="s">
        <v>13631</v>
      </c>
    </row>
    <row r="615" spans="1:11" s="44" customFormat="1" ht="15.5">
      <c r="A615" s="33"/>
      <c r="B615" s="87"/>
      <c r="C615" s="86"/>
      <c r="D615" s="88" t="s">
        <v>13632</v>
      </c>
      <c r="E615" s="95" t="s">
        <v>13633</v>
      </c>
      <c r="F615" s="51" t="s">
        <v>200</v>
      </c>
      <c r="G615" s="14" t="s">
        <v>13634</v>
      </c>
      <c r="H615" s="53" t="s">
        <v>2811</v>
      </c>
      <c r="I615" s="55" t="s">
        <v>19</v>
      </c>
      <c r="J615" s="55" t="s">
        <v>13635</v>
      </c>
      <c r="K615" t="s">
        <v>13636</v>
      </c>
    </row>
    <row r="616" spans="1:11" s="44" customFormat="1" ht="15.5">
      <c r="A616" s="33"/>
      <c r="B616" s="87"/>
      <c r="C616" s="86"/>
      <c r="D616" s="89"/>
      <c r="E616" s="96"/>
      <c r="F616" s="52"/>
      <c r="G616" s="14" t="s">
        <v>13637</v>
      </c>
      <c r="H616" s="54"/>
      <c r="I616" s="56"/>
      <c r="J616" s="56"/>
      <c r="K616" t="s">
        <v>13638</v>
      </c>
    </row>
    <row r="617" spans="1:11" s="44" customFormat="1" ht="15.5">
      <c r="A617" s="33"/>
      <c r="B617" s="87"/>
      <c r="C617" s="86"/>
      <c r="D617" s="88" t="s">
        <v>13639</v>
      </c>
      <c r="E617" s="95" t="s">
        <v>13640</v>
      </c>
      <c r="F617" s="51" t="s">
        <v>16</v>
      </c>
      <c r="G617" s="14" t="s">
        <v>13641</v>
      </c>
      <c r="H617" s="53" t="s">
        <v>13642</v>
      </c>
      <c r="I617" s="55" t="s">
        <v>19</v>
      </c>
      <c r="J617" s="55" t="s">
        <v>13643</v>
      </c>
      <c r="K617" t="s">
        <v>13644</v>
      </c>
    </row>
    <row r="618" spans="1:11" s="44" customFormat="1" ht="15.5">
      <c r="A618" s="33"/>
      <c r="B618" s="87"/>
      <c r="C618" s="86"/>
      <c r="D618" s="89"/>
      <c r="E618" s="96"/>
      <c r="F618" s="52"/>
      <c r="G618" s="14" t="s">
        <v>13645</v>
      </c>
      <c r="H618" s="54"/>
      <c r="I618" s="56"/>
      <c r="J618" s="56"/>
      <c r="K618" t="s">
        <v>13646</v>
      </c>
    </row>
    <row r="619" spans="1:11" s="44" customFormat="1" ht="15.5">
      <c r="A619" s="33"/>
      <c r="B619" s="87"/>
      <c r="C619" s="86"/>
      <c r="D619" s="88" t="s">
        <v>13647</v>
      </c>
      <c r="E619" s="95" t="s">
        <v>13648</v>
      </c>
      <c r="F619" s="51" t="s">
        <v>16</v>
      </c>
      <c r="G619" s="14" t="s">
        <v>13649</v>
      </c>
      <c r="H619" s="53" t="s">
        <v>13650</v>
      </c>
      <c r="I619" s="55" t="s">
        <v>19</v>
      </c>
      <c r="J619" s="55" t="s">
        <v>13651</v>
      </c>
      <c r="K619" t="s">
        <v>13652</v>
      </c>
    </row>
    <row r="620" spans="1:11" s="44" customFormat="1" ht="15.5">
      <c r="A620" s="33"/>
      <c r="B620" s="87"/>
      <c r="C620" s="86"/>
      <c r="D620" s="89"/>
      <c r="E620" s="96"/>
      <c r="F620" s="52"/>
      <c r="G620" s="14" t="s">
        <v>13653</v>
      </c>
      <c r="H620" s="54"/>
      <c r="I620" s="56"/>
      <c r="J620" s="56"/>
      <c r="K620" t="s">
        <v>13654</v>
      </c>
    </row>
    <row r="621" spans="1:11" s="44" customFormat="1" ht="15.5">
      <c r="A621" s="33"/>
      <c r="B621" s="87"/>
      <c r="C621" s="86"/>
      <c r="D621" s="88" t="s">
        <v>13655</v>
      </c>
      <c r="E621" s="95" t="s">
        <v>13656</v>
      </c>
      <c r="F621" s="51" t="s">
        <v>16</v>
      </c>
      <c r="G621" s="14" t="s">
        <v>2971</v>
      </c>
      <c r="H621" s="53" t="s">
        <v>13657</v>
      </c>
      <c r="I621" s="55" t="s">
        <v>19</v>
      </c>
      <c r="J621" s="55" t="s">
        <v>13658</v>
      </c>
      <c r="K621" t="s">
        <v>13659</v>
      </c>
    </row>
    <row r="622" spans="1:11" s="44" customFormat="1" ht="15.5">
      <c r="A622" s="33"/>
      <c r="B622" s="87"/>
      <c r="C622" s="83"/>
      <c r="D622" s="89"/>
      <c r="E622" s="96"/>
      <c r="F622" s="52"/>
      <c r="G622" s="14" t="s">
        <v>10582</v>
      </c>
      <c r="H622" s="54"/>
      <c r="I622" s="56"/>
      <c r="J622" s="56"/>
      <c r="K622" t="s">
        <v>13660</v>
      </c>
    </row>
    <row r="623" spans="1:11" s="44" customFormat="1" ht="15.75" customHeight="1">
      <c r="A623" s="33"/>
      <c r="B623" s="87"/>
      <c r="C623" s="82" t="s">
        <v>13661</v>
      </c>
      <c r="D623" s="88" t="s">
        <v>13662</v>
      </c>
      <c r="E623" s="95" t="s">
        <v>13663</v>
      </c>
      <c r="F623" s="51" t="s">
        <v>16</v>
      </c>
      <c r="G623" s="14" t="s">
        <v>13664</v>
      </c>
      <c r="H623" s="53" t="s">
        <v>13665</v>
      </c>
      <c r="I623" s="55" t="s">
        <v>19</v>
      </c>
      <c r="J623" s="55" t="s">
        <v>13666</v>
      </c>
      <c r="K623" t="s">
        <v>13667</v>
      </c>
    </row>
    <row r="624" spans="1:11" s="44" customFormat="1" ht="15.5">
      <c r="A624" s="33"/>
      <c r="B624" s="87"/>
      <c r="C624" s="86"/>
      <c r="D624" s="89"/>
      <c r="E624" s="96"/>
      <c r="F624" s="52"/>
      <c r="G624" s="14" t="s">
        <v>13410</v>
      </c>
      <c r="H624" s="54"/>
      <c r="I624" s="56"/>
      <c r="J624" s="56"/>
      <c r="K624" t="s">
        <v>13668</v>
      </c>
    </row>
    <row r="625" spans="1:11" s="44" customFormat="1" ht="15.5">
      <c r="A625" s="33"/>
      <c r="B625" s="87"/>
      <c r="C625" s="86"/>
      <c r="D625" s="82" t="s">
        <v>13669</v>
      </c>
      <c r="E625" s="95" t="s">
        <v>13670</v>
      </c>
      <c r="F625" s="51" t="s">
        <v>16</v>
      </c>
      <c r="G625" s="14" t="s">
        <v>13671</v>
      </c>
      <c r="H625" s="53" t="s">
        <v>13672</v>
      </c>
      <c r="I625" s="55" t="s">
        <v>19</v>
      </c>
      <c r="J625" s="55" t="s">
        <v>13673</v>
      </c>
      <c r="K625" t="s">
        <v>13674</v>
      </c>
    </row>
    <row r="626" spans="1:11" s="44" customFormat="1" ht="15.5">
      <c r="A626" s="33"/>
      <c r="B626" s="87"/>
      <c r="C626" s="86"/>
      <c r="D626" s="83"/>
      <c r="E626" s="96"/>
      <c r="F626" s="52"/>
      <c r="G626" s="14" t="s">
        <v>13675</v>
      </c>
      <c r="H626" s="54"/>
      <c r="I626" s="56"/>
      <c r="J626" s="56"/>
      <c r="K626" t="s">
        <v>13676</v>
      </c>
    </row>
    <row r="627" spans="1:11" s="44" customFormat="1" ht="15.5">
      <c r="A627" s="33"/>
      <c r="B627" s="87"/>
      <c r="C627" s="86"/>
      <c r="D627" s="82" t="s">
        <v>13677</v>
      </c>
      <c r="E627" s="95" t="s">
        <v>13678</v>
      </c>
      <c r="F627" s="51" t="s">
        <v>16</v>
      </c>
      <c r="G627" s="14" t="s">
        <v>13679</v>
      </c>
      <c r="H627" s="53" t="s">
        <v>13680</v>
      </c>
      <c r="I627" s="55" t="s">
        <v>41</v>
      </c>
      <c r="J627" s="55" t="s">
        <v>13681</v>
      </c>
      <c r="K627" t="s">
        <v>13682</v>
      </c>
    </row>
    <row r="628" spans="1:11" s="44" customFormat="1" ht="15.5">
      <c r="A628" s="33"/>
      <c r="B628" s="87"/>
      <c r="C628" s="86"/>
      <c r="D628" s="83"/>
      <c r="E628" s="96"/>
      <c r="F628" s="52"/>
      <c r="G628" s="14" t="s">
        <v>13683</v>
      </c>
      <c r="H628" s="54"/>
      <c r="I628" s="56"/>
      <c r="J628" s="56"/>
      <c r="K628" t="s">
        <v>13684</v>
      </c>
    </row>
    <row r="629" spans="1:11" s="44" customFormat="1" ht="15.5">
      <c r="A629" s="33"/>
      <c r="B629" s="87"/>
      <c r="C629" s="86"/>
      <c r="D629" s="88" t="s">
        <v>13685</v>
      </c>
      <c r="E629" s="95" t="s">
        <v>13686</v>
      </c>
      <c r="F629" s="51" t="s">
        <v>16</v>
      </c>
      <c r="G629" s="14" t="s">
        <v>13687</v>
      </c>
      <c r="H629" s="53" t="s">
        <v>13688</v>
      </c>
      <c r="I629" s="55" t="s">
        <v>19</v>
      </c>
      <c r="J629" s="55" t="s">
        <v>13689</v>
      </c>
      <c r="K629" t="s">
        <v>13690</v>
      </c>
    </row>
    <row r="630" spans="1:11" s="44" customFormat="1" ht="15.5">
      <c r="A630" s="33"/>
      <c r="B630" s="87"/>
      <c r="C630" s="86"/>
      <c r="D630" s="89"/>
      <c r="E630" s="96"/>
      <c r="F630" s="52"/>
      <c r="G630" s="14" t="s">
        <v>13691</v>
      </c>
      <c r="H630" s="54"/>
      <c r="I630" s="56"/>
      <c r="J630" s="56"/>
      <c r="K630" t="s">
        <v>13692</v>
      </c>
    </row>
    <row r="631" spans="1:11" s="44" customFormat="1" ht="15.5">
      <c r="A631" s="33"/>
      <c r="B631" s="87"/>
      <c r="C631" s="86"/>
      <c r="D631" s="88" t="s">
        <v>13693</v>
      </c>
      <c r="E631" s="95" t="s">
        <v>13694</v>
      </c>
      <c r="F631" s="51" t="s">
        <v>16</v>
      </c>
      <c r="G631" s="14" t="s">
        <v>13695</v>
      </c>
      <c r="H631" s="53" t="s">
        <v>13696</v>
      </c>
      <c r="I631" s="55" t="s">
        <v>41</v>
      </c>
      <c r="J631" s="55" t="s">
        <v>13697</v>
      </c>
      <c r="K631" t="s">
        <v>13698</v>
      </c>
    </row>
    <row r="632" spans="1:11" s="44" customFormat="1" ht="15.5">
      <c r="A632" s="33"/>
      <c r="B632" s="87"/>
      <c r="C632" s="83"/>
      <c r="D632" s="89"/>
      <c r="E632" s="96"/>
      <c r="F632" s="52"/>
      <c r="G632" s="14" t="s">
        <v>13699</v>
      </c>
      <c r="H632" s="54"/>
      <c r="I632" s="56"/>
      <c r="J632" s="56"/>
      <c r="K632" t="s">
        <v>13700</v>
      </c>
    </row>
    <row r="633" spans="1:11" s="44" customFormat="1" ht="15.75" customHeight="1">
      <c r="A633" s="33"/>
      <c r="B633" s="87"/>
      <c r="C633" s="82" t="s">
        <v>13701</v>
      </c>
      <c r="D633" s="88" t="s">
        <v>13702</v>
      </c>
      <c r="E633" s="95" t="s">
        <v>13703</v>
      </c>
      <c r="F633" s="51" t="s">
        <v>16</v>
      </c>
      <c r="G633" s="14" t="s">
        <v>2971</v>
      </c>
      <c r="H633" s="53" t="s">
        <v>13704</v>
      </c>
      <c r="I633" s="55" t="s">
        <v>19</v>
      </c>
      <c r="J633" s="55" t="s">
        <v>13705</v>
      </c>
      <c r="K633" t="s">
        <v>13706</v>
      </c>
    </row>
    <row r="634" spans="1:11" s="44" customFormat="1" ht="15.5">
      <c r="A634" s="33"/>
      <c r="B634" s="87"/>
      <c r="C634" s="86"/>
      <c r="D634" s="89"/>
      <c r="E634" s="96"/>
      <c r="F634" s="52"/>
      <c r="G634" s="14" t="s">
        <v>13394</v>
      </c>
      <c r="H634" s="54"/>
      <c r="I634" s="56"/>
      <c r="J634" s="56"/>
      <c r="K634" t="s">
        <v>13707</v>
      </c>
    </row>
    <row r="635" spans="1:11" s="44" customFormat="1" ht="15.5">
      <c r="A635" s="33"/>
      <c r="B635" s="87"/>
      <c r="C635" s="86"/>
      <c r="D635" s="88" t="s">
        <v>13708</v>
      </c>
      <c r="E635" s="95" t="s">
        <v>13709</v>
      </c>
      <c r="F635" s="51" t="s">
        <v>16</v>
      </c>
      <c r="G635" s="14" t="s">
        <v>13710</v>
      </c>
      <c r="H635" s="53" t="s">
        <v>13711</v>
      </c>
      <c r="I635" s="55" t="s">
        <v>41</v>
      </c>
      <c r="J635" s="55" t="s">
        <v>13712</v>
      </c>
      <c r="K635" t="s">
        <v>13713</v>
      </c>
    </row>
    <row r="636" spans="1:11" s="44" customFormat="1" ht="15.5">
      <c r="A636" s="33"/>
      <c r="B636" s="87"/>
      <c r="C636" s="86"/>
      <c r="D636" s="89"/>
      <c r="E636" s="96"/>
      <c r="F636" s="52"/>
      <c r="G636" s="14" t="s">
        <v>13714</v>
      </c>
      <c r="H636" s="54"/>
      <c r="I636" s="56"/>
      <c r="J636" s="56"/>
      <c r="K636" t="s">
        <v>13715</v>
      </c>
    </row>
    <row r="637" spans="1:11" s="44" customFormat="1" ht="15.5">
      <c r="A637" s="33"/>
      <c r="B637" s="87"/>
      <c r="C637" s="86"/>
      <c r="D637" s="88" t="s">
        <v>13716</v>
      </c>
      <c r="E637" s="95" t="s">
        <v>13717</v>
      </c>
      <c r="F637" s="51" t="s">
        <v>38</v>
      </c>
      <c r="G637" s="14" t="s">
        <v>11993</v>
      </c>
      <c r="H637" s="53" t="s">
        <v>13718</v>
      </c>
      <c r="I637" s="55" t="s">
        <v>19</v>
      </c>
      <c r="J637" s="55" t="s">
        <v>13719</v>
      </c>
      <c r="K637" t="s">
        <v>13720</v>
      </c>
    </row>
    <row r="638" spans="1:11" s="44" customFormat="1" ht="15.5">
      <c r="A638" s="33"/>
      <c r="B638" s="87"/>
      <c r="C638" s="86"/>
      <c r="D638" s="89"/>
      <c r="E638" s="96"/>
      <c r="F638" s="52"/>
      <c r="G638" s="14" t="s">
        <v>13721</v>
      </c>
      <c r="H638" s="54"/>
      <c r="I638" s="56"/>
      <c r="J638" s="56"/>
      <c r="K638" t="s">
        <v>13722</v>
      </c>
    </row>
    <row r="639" spans="1:11" s="44" customFormat="1" ht="15.5">
      <c r="A639" s="33"/>
      <c r="B639" s="87"/>
      <c r="C639" s="86"/>
      <c r="D639" s="88" t="s">
        <v>13723</v>
      </c>
      <c r="E639" s="95" t="s">
        <v>13724</v>
      </c>
      <c r="F639" s="51" t="s">
        <v>38</v>
      </c>
      <c r="G639" s="14" t="s">
        <v>8593</v>
      </c>
      <c r="H639" s="53" t="s">
        <v>13725</v>
      </c>
      <c r="I639" s="55" t="s">
        <v>19</v>
      </c>
      <c r="J639" s="55" t="s">
        <v>13726</v>
      </c>
      <c r="K639" t="s">
        <v>13727</v>
      </c>
    </row>
    <row r="640" spans="1:11" s="44" customFormat="1" ht="15.5">
      <c r="A640" s="33"/>
      <c r="B640" s="87"/>
      <c r="C640" s="86"/>
      <c r="D640" s="89"/>
      <c r="E640" s="96"/>
      <c r="F640" s="52"/>
      <c r="G640" s="14" t="s">
        <v>13728</v>
      </c>
      <c r="H640" s="54"/>
      <c r="I640" s="56"/>
      <c r="J640" s="56"/>
      <c r="K640" t="s">
        <v>13729</v>
      </c>
    </row>
    <row r="641" spans="1:11" s="44" customFormat="1" ht="15.5">
      <c r="A641" s="33"/>
      <c r="B641" s="87"/>
      <c r="C641" s="86"/>
      <c r="D641" s="88" t="s">
        <v>13730</v>
      </c>
      <c r="E641" s="95" t="s">
        <v>13731</v>
      </c>
      <c r="F641" s="51" t="s">
        <v>38</v>
      </c>
      <c r="G641" s="14" t="s">
        <v>13732</v>
      </c>
      <c r="H641" s="53" t="s">
        <v>13733</v>
      </c>
      <c r="I641" s="55" t="s">
        <v>19</v>
      </c>
      <c r="J641" s="55" t="s">
        <v>13734</v>
      </c>
      <c r="K641" t="s">
        <v>13735</v>
      </c>
    </row>
    <row r="642" spans="1:11" s="44" customFormat="1" ht="15.5">
      <c r="A642" s="33"/>
      <c r="B642" s="87"/>
      <c r="C642" s="83"/>
      <c r="D642" s="89"/>
      <c r="E642" s="96"/>
      <c r="F642" s="52"/>
      <c r="G642" s="14" t="s">
        <v>13736</v>
      </c>
      <c r="H642" s="54"/>
      <c r="I642" s="56"/>
      <c r="J642" s="56"/>
      <c r="K642" t="s">
        <v>13737</v>
      </c>
    </row>
    <row r="643" spans="1:11" s="44" customFormat="1" ht="15.5" customHeight="1">
      <c r="A643" s="33"/>
      <c r="B643" s="82" t="s">
        <v>13738</v>
      </c>
      <c r="C643" s="90" t="s">
        <v>13739</v>
      </c>
      <c r="D643" s="82" t="s">
        <v>13740</v>
      </c>
      <c r="E643" s="84" t="s">
        <v>13741</v>
      </c>
      <c r="F643" s="51" t="s">
        <v>38</v>
      </c>
      <c r="G643" s="14" t="s">
        <v>13742</v>
      </c>
      <c r="H643" s="47" t="s">
        <v>13743</v>
      </c>
      <c r="I643" s="49" t="s">
        <v>19</v>
      </c>
      <c r="J643" s="49" t="s">
        <v>13744</v>
      </c>
      <c r="K643" t="s">
        <v>13745</v>
      </c>
    </row>
    <row r="644" spans="1:11" s="44" customFormat="1" ht="15.5">
      <c r="A644" s="33"/>
      <c r="B644" s="86"/>
      <c r="C644" s="91"/>
      <c r="D644" s="83"/>
      <c r="E644" s="85"/>
      <c r="F644" s="52"/>
      <c r="G644" s="14" t="s">
        <v>13746</v>
      </c>
      <c r="H644" s="48"/>
      <c r="I644" s="50"/>
      <c r="J644" s="50"/>
      <c r="K644" t="s">
        <v>13747</v>
      </c>
    </row>
    <row r="645" spans="1:11" s="44" customFormat="1" ht="15.5">
      <c r="A645" s="33"/>
      <c r="B645" s="86"/>
      <c r="C645" s="91"/>
      <c r="D645" s="88" t="s">
        <v>13748</v>
      </c>
      <c r="E645" s="84" t="s">
        <v>13749</v>
      </c>
      <c r="F645" s="51" t="s">
        <v>16</v>
      </c>
      <c r="G645" s="14" t="s">
        <v>5049</v>
      </c>
      <c r="H645" s="53" t="s">
        <v>13750</v>
      </c>
      <c r="I645" s="55" t="s">
        <v>19</v>
      </c>
      <c r="J645" s="55" t="s">
        <v>13751</v>
      </c>
      <c r="K645" t="s">
        <v>13752</v>
      </c>
    </row>
    <row r="646" spans="1:11" s="44" customFormat="1" ht="15.5">
      <c r="A646" s="33"/>
      <c r="B646" s="86"/>
      <c r="C646" s="91"/>
      <c r="D646" s="89"/>
      <c r="E646" s="85"/>
      <c r="F646" s="52"/>
      <c r="G646" s="14" t="s">
        <v>13753</v>
      </c>
      <c r="H646" s="54"/>
      <c r="I646" s="56"/>
      <c r="J646" s="56"/>
      <c r="K646" t="s">
        <v>13754</v>
      </c>
    </row>
    <row r="647" spans="1:11" s="44" customFormat="1" ht="15.5">
      <c r="A647" s="33"/>
      <c r="B647" s="86"/>
      <c r="C647" s="91"/>
      <c r="D647" s="82" t="s">
        <v>13755</v>
      </c>
      <c r="E647" s="84" t="s">
        <v>13756</v>
      </c>
      <c r="F647" s="51" t="s">
        <v>16</v>
      </c>
      <c r="G647" s="14" t="s">
        <v>13742</v>
      </c>
      <c r="H647" s="53" t="s">
        <v>13757</v>
      </c>
      <c r="I647" s="55" t="s">
        <v>41</v>
      </c>
      <c r="J647" s="55" t="s">
        <v>13758</v>
      </c>
      <c r="K647" t="s">
        <v>13759</v>
      </c>
    </row>
    <row r="648" spans="1:11" s="44" customFormat="1" ht="15.5">
      <c r="A648" s="33"/>
      <c r="B648" s="86"/>
      <c r="C648" s="91"/>
      <c r="D648" s="83"/>
      <c r="E648" s="85"/>
      <c r="F648" s="52"/>
      <c r="G648" s="14" t="s">
        <v>13760</v>
      </c>
      <c r="H648" s="54"/>
      <c r="I648" s="56"/>
      <c r="J648" s="56"/>
      <c r="K648" t="s">
        <v>13761</v>
      </c>
    </row>
    <row r="649" spans="1:11" s="44" customFormat="1" ht="15.5">
      <c r="A649" s="33"/>
      <c r="B649" s="86"/>
      <c r="C649" s="91"/>
      <c r="D649" s="82" t="s">
        <v>13762</v>
      </c>
      <c r="E649" s="93" t="s">
        <v>13763</v>
      </c>
      <c r="F649" s="51" t="s">
        <v>16</v>
      </c>
      <c r="G649" s="14" t="s">
        <v>13764</v>
      </c>
      <c r="H649" s="53" t="s">
        <v>13765</v>
      </c>
      <c r="I649" s="55" t="s">
        <v>41</v>
      </c>
      <c r="J649" s="55" t="s">
        <v>13766</v>
      </c>
      <c r="K649" t="s">
        <v>13767</v>
      </c>
    </row>
    <row r="650" spans="1:11" s="44" customFormat="1" ht="15.5">
      <c r="A650" s="33"/>
      <c r="B650" s="86"/>
      <c r="C650" s="91"/>
      <c r="D650" s="83"/>
      <c r="E650" s="94"/>
      <c r="F650" s="52"/>
      <c r="G650" s="14" t="s">
        <v>13768</v>
      </c>
      <c r="H650" s="54"/>
      <c r="I650" s="56"/>
      <c r="J650" s="56"/>
      <c r="K650" t="s">
        <v>13769</v>
      </c>
    </row>
    <row r="651" spans="1:11" s="44" customFormat="1" ht="15.5">
      <c r="A651" s="33"/>
      <c r="B651" s="86"/>
      <c r="C651" s="91"/>
      <c r="D651" s="82" t="s">
        <v>13770</v>
      </c>
      <c r="E651" s="93" t="s">
        <v>13771</v>
      </c>
      <c r="F651" s="51" t="s">
        <v>16</v>
      </c>
      <c r="G651" s="14" t="s">
        <v>13772</v>
      </c>
      <c r="H651" s="53" t="s">
        <v>13773</v>
      </c>
      <c r="I651" s="55" t="s">
        <v>41</v>
      </c>
      <c r="J651" s="55" t="s">
        <v>13774</v>
      </c>
      <c r="K651" t="s">
        <v>13775</v>
      </c>
    </row>
    <row r="652" spans="1:11" s="44" customFormat="1" ht="15.5">
      <c r="A652" s="33"/>
      <c r="B652" s="86"/>
      <c r="C652" s="92"/>
      <c r="D652" s="83"/>
      <c r="E652" s="94"/>
      <c r="F652" s="52"/>
      <c r="G652" s="14" t="s">
        <v>8972</v>
      </c>
      <c r="H652" s="54"/>
      <c r="I652" s="56"/>
      <c r="J652" s="56"/>
      <c r="K652" t="s">
        <v>13776</v>
      </c>
    </row>
    <row r="653" spans="1:11" s="44" customFormat="1" ht="15.75" customHeight="1">
      <c r="A653" s="33"/>
      <c r="B653" s="86"/>
      <c r="C653" s="82" t="s">
        <v>13777</v>
      </c>
      <c r="D653" s="88" t="s">
        <v>13778</v>
      </c>
      <c r="E653" s="93" t="s">
        <v>13779</v>
      </c>
      <c r="F653" s="51" t="s">
        <v>200</v>
      </c>
      <c r="G653" s="14" t="s">
        <v>13780</v>
      </c>
      <c r="H653" s="53" t="s">
        <v>13781</v>
      </c>
      <c r="I653" s="55" t="s">
        <v>41</v>
      </c>
      <c r="J653" s="55" t="s">
        <v>13782</v>
      </c>
      <c r="K653" t="s">
        <v>13783</v>
      </c>
    </row>
    <row r="654" spans="1:11" s="44" customFormat="1" ht="15.5">
      <c r="A654" s="33"/>
      <c r="B654" s="86"/>
      <c r="C654" s="86"/>
      <c r="D654" s="89"/>
      <c r="E654" s="94"/>
      <c r="F654" s="52"/>
      <c r="G654" s="14" t="s">
        <v>13784</v>
      </c>
      <c r="H654" s="54"/>
      <c r="I654" s="56"/>
      <c r="J654" s="56"/>
      <c r="K654" t="s">
        <v>13785</v>
      </c>
    </row>
    <row r="655" spans="1:11" s="44" customFormat="1" ht="15.5">
      <c r="A655" s="33"/>
      <c r="B655" s="86"/>
      <c r="C655" s="86"/>
      <c r="D655" s="82" t="s">
        <v>13786</v>
      </c>
      <c r="E655" s="93" t="s">
        <v>13787</v>
      </c>
      <c r="F655" s="51" t="s">
        <v>16</v>
      </c>
      <c r="G655" s="14" t="s">
        <v>13788</v>
      </c>
      <c r="H655" s="53" t="s">
        <v>13789</v>
      </c>
      <c r="I655" s="55" t="s">
        <v>41</v>
      </c>
      <c r="J655" s="55" t="s">
        <v>13790</v>
      </c>
      <c r="K655" t="s">
        <v>13791</v>
      </c>
    </row>
    <row r="656" spans="1:11" s="44" customFormat="1" ht="15.5">
      <c r="A656" s="33"/>
      <c r="B656" s="86"/>
      <c r="C656" s="86"/>
      <c r="D656" s="83"/>
      <c r="E656" s="94"/>
      <c r="F656" s="52"/>
      <c r="G656" s="14" t="s">
        <v>13792</v>
      </c>
      <c r="H656" s="54"/>
      <c r="I656" s="56"/>
      <c r="J656" s="56"/>
      <c r="K656" t="s">
        <v>13793</v>
      </c>
    </row>
    <row r="657" spans="1:11" s="44" customFormat="1" ht="15.5">
      <c r="A657" s="33"/>
      <c r="B657" s="86"/>
      <c r="C657" s="86"/>
      <c r="D657" s="82" t="s">
        <v>13794</v>
      </c>
      <c r="E657" s="93" t="s">
        <v>13795</v>
      </c>
      <c r="F657" s="51" t="s">
        <v>16</v>
      </c>
      <c r="G657" s="14" t="s">
        <v>13796</v>
      </c>
      <c r="H657" s="53" t="s">
        <v>13797</v>
      </c>
      <c r="I657" s="55" t="s">
        <v>41</v>
      </c>
      <c r="J657" s="55" t="s">
        <v>13798</v>
      </c>
      <c r="K657" t="s">
        <v>13799</v>
      </c>
    </row>
    <row r="658" spans="1:11" s="44" customFormat="1" ht="15.5">
      <c r="A658" s="33"/>
      <c r="B658" s="86"/>
      <c r="C658" s="86"/>
      <c r="D658" s="83"/>
      <c r="E658" s="94"/>
      <c r="F658" s="52"/>
      <c r="G658" s="14" t="s">
        <v>13800</v>
      </c>
      <c r="H658" s="54"/>
      <c r="I658" s="56"/>
      <c r="J658" s="56"/>
      <c r="K658" t="s">
        <v>13801</v>
      </c>
    </row>
    <row r="659" spans="1:11" s="44" customFormat="1" ht="15.5">
      <c r="A659" s="33"/>
      <c r="B659" s="86"/>
      <c r="C659" s="86"/>
      <c r="D659" s="82" t="s">
        <v>13802</v>
      </c>
      <c r="E659" s="93" t="s">
        <v>13803</v>
      </c>
      <c r="F659" s="51" t="s">
        <v>16</v>
      </c>
      <c r="G659" s="14" t="s">
        <v>13804</v>
      </c>
      <c r="H659" s="53" t="s">
        <v>13805</v>
      </c>
      <c r="I659" s="55" t="s">
        <v>41</v>
      </c>
      <c r="J659" s="55" t="s">
        <v>13806</v>
      </c>
      <c r="K659" t="s">
        <v>13807</v>
      </c>
    </row>
    <row r="660" spans="1:11" s="44" customFormat="1" ht="15.5">
      <c r="A660" s="33"/>
      <c r="B660" s="86"/>
      <c r="C660" s="86"/>
      <c r="D660" s="83"/>
      <c r="E660" s="94"/>
      <c r="F660" s="52"/>
      <c r="G660" s="14" t="s">
        <v>13808</v>
      </c>
      <c r="H660" s="54"/>
      <c r="I660" s="56"/>
      <c r="J660" s="56"/>
      <c r="K660" t="s">
        <v>13809</v>
      </c>
    </row>
    <row r="661" spans="1:11" s="44" customFormat="1" ht="15.5">
      <c r="A661" s="33"/>
      <c r="B661" s="86"/>
      <c r="C661" s="86"/>
      <c r="D661" s="88" t="s">
        <v>13810</v>
      </c>
      <c r="E661" s="93" t="s">
        <v>13811</v>
      </c>
      <c r="F661" s="51" t="s">
        <v>16</v>
      </c>
      <c r="G661" s="14" t="s">
        <v>13812</v>
      </c>
      <c r="H661" s="53" t="s">
        <v>13813</v>
      </c>
      <c r="I661" s="55" t="s">
        <v>19</v>
      </c>
      <c r="J661" s="55" t="s">
        <v>13814</v>
      </c>
      <c r="K661" t="s">
        <v>13815</v>
      </c>
    </row>
    <row r="662" spans="1:11" s="44" customFormat="1" ht="15.5">
      <c r="A662" s="33"/>
      <c r="B662" s="86"/>
      <c r="C662" s="83"/>
      <c r="D662" s="89"/>
      <c r="E662" s="94"/>
      <c r="F662" s="52"/>
      <c r="G662" s="14" t="s">
        <v>13816</v>
      </c>
      <c r="H662" s="54"/>
      <c r="I662" s="56"/>
      <c r="J662" s="56"/>
      <c r="K662" t="s">
        <v>13817</v>
      </c>
    </row>
    <row r="663" spans="1:11" s="44" customFormat="1" ht="15.75" customHeight="1">
      <c r="A663" s="33"/>
      <c r="B663" s="86"/>
      <c r="C663" s="82" t="s">
        <v>13818</v>
      </c>
      <c r="D663" s="82" t="s">
        <v>13819</v>
      </c>
      <c r="E663" s="93" t="s">
        <v>13820</v>
      </c>
      <c r="F663" s="51" t="s">
        <v>16</v>
      </c>
      <c r="G663" s="14" t="s">
        <v>13821</v>
      </c>
      <c r="H663" s="53" t="s">
        <v>13822</v>
      </c>
      <c r="I663" s="55" t="s">
        <v>19</v>
      </c>
      <c r="J663" s="55" t="s">
        <v>13823</v>
      </c>
      <c r="K663" t="s">
        <v>13824</v>
      </c>
    </row>
    <row r="664" spans="1:11" s="44" customFormat="1" ht="15.5">
      <c r="A664" s="33"/>
      <c r="B664" s="86"/>
      <c r="C664" s="86"/>
      <c r="D664" s="83"/>
      <c r="E664" s="94"/>
      <c r="F664" s="52"/>
      <c r="G664" s="14" t="s">
        <v>13825</v>
      </c>
      <c r="H664" s="54"/>
      <c r="I664" s="56"/>
      <c r="J664" s="56"/>
      <c r="K664" t="s">
        <v>13826</v>
      </c>
    </row>
    <row r="665" spans="1:11" s="44" customFormat="1" ht="15.5">
      <c r="A665" s="33"/>
      <c r="B665" s="86"/>
      <c r="C665" s="86"/>
      <c r="D665" s="88" t="s">
        <v>13827</v>
      </c>
      <c r="E665" s="93" t="s">
        <v>13828</v>
      </c>
      <c r="F665" s="51" t="s">
        <v>200</v>
      </c>
      <c r="G665" s="14" t="s">
        <v>2954</v>
      </c>
      <c r="H665" s="53" t="s">
        <v>13829</v>
      </c>
      <c r="I665" s="55" t="s">
        <v>41</v>
      </c>
      <c r="J665" s="55" t="s">
        <v>13830</v>
      </c>
      <c r="K665" t="s">
        <v>13831</v>
      </c>
    </row>
    <row r="666" spans="1:11" s="44" customFormat="1" ht="15.5">
      <c r="A666" s="33"/>
      <c r="B666" s="86"/>
      <c r="C666" s="86"/>
      <c r="D666" s="89"/>
      <c r="E666" s="94"/>
      <c r="F666" s="52"/>
      <c r="G666" s="14" t="s">
        <v>13832</v>
      </c>
      <c r="H666" s="54"/>
      <c r="I666" s="56"/>
      <c r="J666" s="56"/>
      <c r="K666" t="s">
        <v>13833</v>
      </c>
    </row>
    <row r="667" spans="1:11" s="44" customFormat="1" ht="15.5">
      <c r="A667" s="33"/>
      <c r="B667" s="86"/>
      <c r="C667" s="86"/>
      <c r="D667" s="82" t="s">
        <v>13834</v>
      </c>
      <c r="E667" s="93" t="s">
        <v>13835</v>
      </c>
      <c r="F667" s="51" t="s">
        <v>16</v>
      </c>
      <c r="G667" s="14" t="s">
        <v>13836</v>
      </c>
      <c r="H667" s="53" t="s">
        <v>13837</v>
      </c>
      <c r="I667" s="55" t="s">
        <v>19</v>
      </c>
      <c r="J667" s="55" t="s">
        <v>13838</v>
      </c>
      <c r="K667" t="s">
        <v>13839</v>
      </c>
    </row>
    <row r="668" spans="1:11" s="44" customFormat="1" ht="15.5">
      <c r="A668" s="33"/>
      <c r="B668" s="86"/>
      <c r="C668" s="86"/>
      <c r="D668" s="83"/>
      <c r="E668" s="94"/>
      <c r="F668" s="52"/>
      <c r="G668" s="14" t="s">
        <v>13840</v>
      </c>
      <c r="H668" s="54"/>
      <c r="I668" s="56"/>
      <c r="J668" s="56"/>
      <c r="K668" t="s">
        <v>13841</v>
      </c>
    </row>
    <row r="669" spans="1:11" s="44" customFormat="1" ht="15.5">
      <c r="A669" s="33"/>
      <c r="B669" s="86"/>
      <c r="C669" s="86"/>
      <c r="D669" s="88" t="s">
        <v>13842</v>
      </c>
      <c r="E669" s="93" t="s">
        <v>13843</v>
      </c>
      <c r="F669" s="51" t="s">
        <v>16</v>
      </c>
      <c r="G669" s="14" t="s">
        <v>13844</v>
      </c>
      <c r="H669" s="53" t="s">
        <v>13845</v>
      </c>
      <c r="I669" s="55" t="s">
        <v>19</v>
      </c>
      <c r="J669" s="55" t="s">
        <v>13846</v>
      </c>
      <c r="K669" t="s">
        <v>13847</v>
      </c>
    </row>
    <row r="670" spans="1:11" s="44" customFormat="1" ht="15.5">
      <c r="A670" s="33"/>
      <c r="B670" s="86"/>
      <c r="C670" s="86"/>
      <c r="D670" s="89"/>
      <c r="E670" s="94"/>
      <c r="F670" s="52"/>
      <c r="G670" s="14" t="s">
        <v>13848</v>
      </c>
      <c r="H670" s="54"/>
      <c r="I670" s="56"/>
      <c r="J670" s="56"/>
      <c r="K670" t="s">
        <v>13849</v>
      </c>
    </row>
    <row r="671" spans="1:11" s="44" customFormat="1" ht="15.5">
      <c r="A671" s="33"/>
      <c r="B671" s="86"/>
      <c r="C671" s="86"/>
      <c r="D671" s="88" t="s">
        <v>13850</v>
      </c>
      <c r="E671" s="93" t="s">
        <v>13851</v>
      </c>
      <c r="F671" s="51" t="s">
        <v>16</v>
      </c>
      <c r="G671" s="14" t="s">
        <v>13821</v>
      </c>
      <c r="H671" s="53" t="s">
        <v>13852</v>
      </c>
      <c r="I671" s="55" t="s">
        <v>41</v>
      </c>
      <c r="J671" s="55" t="s">
        <v>13853</v>
      </c>
      <c r="K671" t="s">
        <v>13854</v>
      </c>
    </row>
    <row r="672" spans="1:11" s="44" customFormat="1" ht="15.5">
      <c r="A672" s="33"/>
      <c r="B672" s="86"/>
      <c r="C672" s="83"/>
      <c r="D672" s="89"/>
      <c r="E672" s="94"/>
      <c r="F672" s="52"/>
      <c r="G672" s="14" t="s">
        <v>13855</v>
      </c>
      <c r="H672" s="54"/>
      <c r="I672" s="56"/>
      <c r="J672" s="56"/>
      <c r="K672" t="s">
        <v>13856</v>
      </c>
    </row>
    <row r="673" spans="1:11" s="44" customFormat="1" ht="15.5" customHeight="1">
      <c r="A673" s="33"/>
      <c r="B673" s="86"/>
      <c r="C673" s="90" t="s">
        <v>13857</v>
      </c>
      <c r="D673" s="82" t="s">
        <v>13858</v>
      </c>
      <c r="E673" s="93" t="s">
        <v>13859</v>
      </c>
      <c r="F673" s="51" t="s">
        <v>38</v>
      </c>
      <c r="G673" s="14" t="s">
        <v>13860</v>
      </c>
      <c r="H673" s="53" t="s">
        <v>13861</v>
      </c>
      <c r="I673" s="55" t="s">
        <v>19</v>
      </c>
      <c r="J673" s="55" t="s">
        <v>13862</v>
      </c>
      <c r="K673" t="s">
        <v>13863</v>
      </c>
    </row>
    <row r="674" spans="1:11" s="44" customFormat="1" ht="15.5">
      <c r="A674" s="33"/>
      <c r="B674" s="86"/>
      <c r="C674" s="91"/>
      <c r="D674" s="83"/>
      <c r="E674" s="94"/>
      <c r="F674" s="52"/>
      <c r="G674" s="14" t="s">
        <v>13864</v>
      </c>
      <c r="H674" s="54"/>
      <c r="I674" s="56"/>
      <c r="J674" s="56"/>
      <c r="K674" t="s">
        <v>13865</v>
      </c>
    </row>
    <row r="675" spans="1:11" s="44" customFormat="1" ht="15.5">
      <c r="A675" s="33"/>
      <c r="B675" s="86"/>
      <c r="C675" s="91"/>
      <c r="D675" s="88" t="s">
        <v>13866</v>
      </c>
      <c r="E675" s="93" t="s">
        <v>13867</v>
      </c>
      <c r="F675" s="51" t="s">
        <v>38</v>
      </c>
      <c r="G675" s="14" t="s">
        <v>10825</v>
      </c>
      <c r="H675" s="53" t="s">
        <v>13868</v>
      </c>
      <c r="I675" s="55" t="s">
        <v>41</v>
      </c>
      <c r="J675" s="55" t="s">
        <v>13869</v>
      </c>
      <c r="K675" t="s">
        <v>13870</v>
      </c>
    </row>
    <row r="676" spans="1:11" s="44" customFormat="1" ht="15.5">
      <c r="A676" s="33"/>
      <c r="B676" s="86"/>
      <c r="C676" s="91"/>
      <c r="D676" s="89"/>
      <c r="E676" s="94"/>
      <c r="F676" s="52"/>
      <c r="G676" s="14" t="s">
        <v>13871</v>
      </c>
      <c r="H676" s="54"/>
      <c r="I676" s="56"/>
      <c r="J676" s="56"/>
      <c r="K676" t="s">
        <v>13872</v>
      </c>
    </row>
    <row r="677" spans="1:11" s="44" customFormat="1" ht="15.5">
      <c r="A677" s="33"/>
      <c r="B677" s="86"/>
      <c r="C677" s="91"/>
      <c r="D677" s="82" t="s">
        <v>13873</v>
      </c>
      <c r="E677" s="93" t="s">
        <v>13874</v>
      </c>
      <c r="F677" s="51" t="s">
        <v>38</v>
      </c>
      <c r="G677" s="14" t="s">
        <v>13875</v>
      </c>
      <c r="H677" s="53" t="s">
        <v>13876</v>
      </c>
      <c r="I677" s="55" t="s">
        <v>41</v>
      </c>
      <c r="J677" s="55" t="s">
        <v>13877</v>
      </c>
      <c r="K677" t="s">
        <v>13878</v>
      </c>
    </row>
    <row r="678" spans="1:11" s="44" customFormat="1" ht="15.5">
      <c r="A678" s="33"/>
      <c r="B678" s="86"/>
      <c r="C678" s="91"/>
      <c r="D678" s="83"/>
      <c r="E678" s="94"/>
      <c r="F678" s="52"/>
      <c r="G678" s="14" t="s">
        <v>5520</v>
      </c>
      <c r="H678" s="54"/>
      <c r="I678" s="56"/>
      <c r="J678" s="56"/>
      <c r="K678" t="s">
        <v>13879</v>
      </c>
    </row>
    <row r="679" spans="1:11" s="44" customFormat="1" ht="15.5">
      <c r="A679" s="33"/>
      <c r="B679" s="86"/>
      <c r="C679" s="91"/>
      <c r="D679" s="88" t="s">
        <v>13880</v>
      </c>
      <c r="E679" s="93" t="s">
        <v>13881</v>
      </c>
      <c r="F679" s="51" t="s">
        <v>16</v>
      </c>
      <c r="G679" s="14" t="s">
        <v>13882</v>
      </c>
      <c r="H679" s="53" t="s">
        <v>13883</v>
      </c>
      <c r="I679" s="55" t="s">
        <v>19</v>
      </c>
      <c r="J679" s="55" t="s">
        <v>13884</v>
      </c>
      <c r="K679" t="s">
        <v>13885</v>
      </c>
    </row>
    <row r="680" spans="1:11" s="44" customFormat="1" ht="15.5">
      <c r="A680" s="33"/>
      <c r="B680" s="86"/>
      <c r="C680" s="91"/>
      <c r="D680" s="89"/>
      <c r="E680" s="94"/>
      <c r="F680" s="52"/>
      <c r="G680" s="14" t="s">
        <v>13886</v>
      </c>
      <c r="H680" s="54"/>
      <c r="I680" s="56"/>
      <c r="J680" s="56"/>
      <c r="K680" t="s">
        <v>13887</v>
      </c>
    </row>
    <row r="681" spans="1:11" s="44" customFormat="1" ht="15.5">
      <c r="A681" s="33"/>
      <c r="B681" s="86"/>
      <c r="C681" s="91"/>
      <c r="D681" s="88" t="s">
        <v>13888</v>
      </c>
      <c r="E681" s="93" t="s">
        <v>13889</v>
      </c>
      <c r="F681" s="51" t="s">
        <v>16</v>
      </c>
      <c r="G681" s="14" t="s">
        <v>13890</v>
      </c>
      <c r="H681" s="53" t="s">
        <v>13891</v>
      </c>
      <c r="I681" s="55" t="s">
        <v>19</v>
      </c>
      <c r="J681" s="55" t="s">
        <v>13892</v>
      </c>
      <c r="K681" t="s">
        <v>13893</v>
      </c>
    </row>
    <row r="682" spans="1:11" s="44" customFormat="1" ht="15.5">
      <c r="A682" s="33"/>
      <c r="B682" s="86"/>
      <c r="C682" s="92"/>
      <c r="D682" s="89"/>
      <c r="E682" s="94"/>
      <c r="F682" s="52"/>
      <c r="G682" s="14" t="s">
        <v>13894</v>
      </c>
      <c r="H682" s="54"/>
      <c r="I682" s="56"/>
      <c r="J682" s="56"/>
      <c r="K682" t="s">
        <v>13895</v>
      </c>
    </row>
    <row r="683" spans="1:11" s="44" customFormat="1" ht="15.5" customHeight="1">
      <c r="A683" s="33"/>
      <c r="B683" s="86"/>
      <c r="C683" s="90" t="s">
        <v>13896</v>
      </c>
      <c r="D683" s="82" t="s">
        <v>13897</v>
      </c>
      <c r="E683" s="93" t="s">
        <v>13898</v>
      </c>
      <c r="F683" s="51" t="s">
        <v>16</v>
      </c>
      <c r="G683" s="14" t="s">
        <v>5027</v>
      </c>
      <c r="H683" s="53" t="s">
        <v>13899</v>
      </c>
      <c r="I683" s="55" t="s">
        <v>19</v>
      </c>
      <c r="J683" s="55" t="s">
        <v>13512</v>
      </c>
      <c r="K683" t="s">
        <v>13900</v>
      </c>
    </row>
    <row r="684" spans="1:11" s="44" customFormat="1" ht="15.5">
      <c r="A684" s="33"/>
      <c r="B684" s="86"/>
      <c r="C684" s="91"/>
      <c r="D684" s="83"/>
      <c r="E684" s="94"/>
      <c r="F684" s="52"/>
      <c r="G684" s="14" t="s">
        <v>13901</v>
      </c>
      <c r="H684" s="54"/>
      <c r="I684" s="56"/>
      <c r="J684" s="56"/>
      <c r="K684" t="s">
        <v>13902</v>
      </c>
    </row>
    <row r="685" spans="1:11" s="44" customFormat="1" ht="15.5">
      <c r="A685" s="33"/>
      <c r="B685" s="86"/>
      <c r="C685" s="91"/>
      <c r="D685" s="82" t="s">
        <v>13903</v>
      </c>
      <c r="E685" s="93" t="s">
        <v>13904</v>
      </c>
      <c r="F685" s="51" t="s">
        <v>16</v>
      </c>
      <c r="G685" s="14" t="s">
        <v>13905</v>
      </c>
      <c r="H685" s="53" t="s">
        <v>13906</v>
      </c>
      <c r="I685" s="55" t="s">
        <v>41</v>
      </c>
      <c r="J685" s="55" t="s">
        <v>13907</v>
      </c>
      <c r="K685" t="s">
        <v>13908</v>
      </c>
    </row>
    <row r="686" spans="1:11" s="44" customFormat="1" ht="15.5">
      <c r="A686" s="33"/>
      <c r="B686" s="86"/>
      <c r="C686" s="91"/>
      <c r="D686" s="83"/>
      <c r="E686" s="94"/>
      <c r="F686" s="52"/>
      <c r="G686" s="14" t="s">
        <v>13909</v>
      </c>
      <c r="H686" s="54"/>
      <c r="I686" s="56"/>
      <c r="J686" s="56"/>
      <c r="K686" t="s">
        <v>13910</v>
      </c>
    </row>
    <row r="687" spans="1:11" s="44" customFormat="1" ht="15.5">
      <c r="A687" s="33"/>
      <c r="B687" s="86"/>
      <c r="C687" s="91"/>
      <c r="D687" s="82" t="s">
        <v>13911</v>
      </c>
      <c r="E687" s="93" t="s">
        <v>13912</v>
      </c>
      <c r="F687" s="51" t="s">
        <v>16</v>
      </c>
      <c r="G687" s="14" t="s">
        <v>12744</v>
      </c>
      <c r="H687" s="53" t="s">
        <v>13913</v>
      </c>
      <c r="I687" s="55" t="s">
        <v>41</v>
      </c>
      <c r="J687" s="55" t="s">
        <v>13914</v>
      </c>
      <c r="K687" t="s">
        <v>13915</v>
      </c>
    </row>
    <row r="688" spans="1:11" s="44" customFormat="1" ht="15.5">
      <c r="A688" s="33"/>
      <c r="B688" s="86"/>
      <c r="C688" s="91"/>
      <c r="D688" s="83"/>
      <c r="E688" s="94"/>
      <c r="F688" s="52"/>
      <c r="G688" s="14" t="s">
        <v>13916</v>
      </c>
      <c r="H688" s="54"/>
      <c r="I688" s="56"/>
      <c r="J688" s="56"/>
      <c r="K688" t="s">
        <v>13917</v>
      </c>
    </row>
    <row r="689" spans="1:11" s="44" customFormat="1" ht="15.5">
      <c r="A689" s="33"/>
      <c r="B689" s="86"/>
      <c r="C689" s="91"/>
      <c r="D689" s="88" t="s">
        <v>13918</v>
      </c>
      <c r="E689" s="93" t="s">
        <v>13919</v>
      </c>
      <c r="F689" s="51" t="s">
        <v>16</v>
      </c>
      <c r="G689" s="14" t="s">
        <v>5451</v>
      </c>
      <c r="H689" s="53" t="s">
        <v>13920</v>
      </c>
      <c r="I689" s="55" t="s">
        <v>19</v>
      </c>
      <c r="J689" s="55" t="s">
        <v>13921</v>
      </c>
      <c r="K689" t="s">
        <v>13922</v>
      </c>
    </row>
    <row r="690" spans="1:11" s="44" customFormat="1" ht="15.5">
      <c r="A690" s="33"/>
      <c r="B690" s="86"/>
      <c r="C690" s="91"/>
      <c r="D690" s="89"/>
      <c r="E690" s="94"/>
      <c r="F690" s="52"/>
      <c r="G690" s="14" t="s">
        <v>13923</v>
      </c>
      <c r="H690" s="54"/>
      <c r="I690" s="56"/>
      <c r="J690" s="56"/>
      <c r="K690" t="s">
        <v>13924</v>
      </c>
    </row>
    <row r="691" spans="1:11" s="44" customFormat="1" ht="15.5">
      <c r="A691" s="33"/>
      <c r="B691" s="86"/>
      <c r="C691" s="91"/>
      <c r="D691" s="82" t="s">
        <v>13925</v>
      </c>
      <c r="E691" s="93" t="s">
        <v>13926</v>
      </c>
      <c r="F691" s="51" t="s">
        <v>200</v>
      </c>
      <c r="G691" s="14" t="s">
        <v>9839</v>
      </c>
      <c r="H691" s="53" t="s">
        <v>13927</v>
      </c>
      <c r="I691" s="55" t="s">
        <v>19</v>
      </c>
      <c r="J691" s="55" t="s">
        <v>13928</v>
      </c>
      <c r="K691" t="s">
        <v>13929</v>
      </c>
    </row>
    <row r="692" spans="1:11" s="44" customFormat="1" ht="15.5">
      <c r="A692" s="33"/>
      <c r="B692" s="83"/>
      <c r="C692" s="92"/>
      <c r="D692" s="83"/>
      <c r="E692" s="94"/>
      <c r="F692" s="52"/>
      <c r="G692" s="14" t="s">
        <v>13930</v>
      </c>
      <c r="H692" s="54"/>
      <c r="I692" s="56"/>
      <c r="J692" s="56"/>
      <c r="K692" t="s">
        <v>13931</v>
      </c>
    </row>
  </sheetData>
  <mergeCells count="2149">
    <mergeCell ref="D10:D11"/>
    <mergeCell ref="E10:E11"/>
    <mergeCell ref="F10:F11"/>
    <mergeCell ref="H10:H11"/>
    <mergeCell ref="I10:I11"/>
    <mergeCell ref="J10:J11"/>
    <mergeCell ref="I6:I7"/>
    <mergeCell ref="J6:J7"/>
    <mergeCell ref="D8:D9"/>
    <mergeCell ref="E8:E9"/>
    <mergeCell ref="F8:F9"/>
    <mergeCell ref="H8:H9"/>
    <mergeCell ref="I8:I9"/>
    <mergeCell ref="J8:J9"/>
    <mergeCell ref="I2:I3"/>
    <mergeCell ref="J2:J3"/>
    <mergeCell ref="D4:D5"/>
    <mergeCell ref="E4:E5"/>
    <mergeCell ref="F4:F5"/>
    <mergeCell ref="H4:H5"/>
    <mergeCell ref="I4:I5"/>
    <mergeCell ref="J4:J5"/>
    <mergeCell ref="D2:D3"/>
    <mergeCell ref="E2:E3"/>
    <mergeCell ref="F2:F3"/>
    <mergeCell ref="H2:H3"/>
    <mergeCell ref="D6:D7"/>
    <mergeCell ref="E6:E7"/>
    <mergeCell ref="F6:F7"/>
    <mergeCell ref="H6:H7"/>
    <mergeCell ref="J12:J13"/>
    <mergeCell ref="D14:D15"/>
    <mergeCell ref="E14:E15"/>
    <mergeCell ref="F14:F15"/>
    <mergeCell ref="H14:H15"/>
    <mergeCell ref="I14:I15"/>
    <mergeCell ref="J14:J15"/>
    <mergeCell ref="C12:C21"/>
    <mergeCell ref="D12:D13"/>
    <mergeCell ref="E12:E13"/>
    <mergeCell ref="F12:F13"/>
    <mergeCell ref="H12:H13"/>
    <mergeCell ref="I12:I13"/>
    <mergeCell ref="D16:D17"/>
    <mergeCell ref="E16:E17"/>
    <mergeCell ref="F16:F17"/>
    <mergeCell ref="H16:H17"/>
    <mergeCell ref="C22:C31"/>
    <mergeCell ref="D22:D23"/>
    <mergeCell ref="E22:E23"/>
    <mergeCell ref="F22:F23"/>
    <mergeCell ref="H22:H23"/>
    <mergeCell ref="I22:I23"/>
    <mergeCell ref="D26:D27"/>
    <mergeCell ref="E26:E27"/>
    <mergeCell ref="F26:F27"/>
    <mergeCell ref="H26:H27"/>
    <mergeCell ref="D20:D21"/>
    <mergeCell ref="E20:E21"/>
    <mergeCell ref="F20:F21"/>
    <mergeCell ref="H20:H21"/>
    <mergeCell ref="I20:I21"/>
    <mergeCell ref="J20:J21"/>
    <mergeCell ref="I16:I17"/>
    <mergeCell ref="J16:J17"/>
    <mergeCell ref="D18:D19"/>
    <mergeCell ref="E18:E19"/>
    <mergeCell ref="F18:F19"/>
    <mergeCell ref="H18:H19"/>
    <mergeCell ref="I18:I19"/>
    <mergeCell ref="J18:J19"/>
    <mergeCell ref="D30:D31"/>
    <mergeCell ref="E30:E31"/>
    <mergeCell ref="F30:F31"/>
    <mergeCell ref="H30:H31"/>
    <mergeCell ref="I30:I31"/>
    <mergeCell ref="J30:J31"/>
    <mergeCell ref="I26:I27"/>
    <mergeCell ref="J26:J27"/>
    <mergeCell ref="D28:D29"/>
    <mergeCell ref="E28:E29"/>
    <mergeCell ref="F28:F29"/>
    <mergeCell ref="H28:H29"/>
    <mergeCell ref="I28:I29"/>
    <mergeCell ref="J28:J29"/>
    <mergeCell ref="J22:J23"/>
    <mergeCell ref="D24:D25"/>
    <mergeCell ref="E24:E25"/>
    <mergeCell ref="F24:F25"/>
    <mergeCell ref="H24:H25"/>
    <mergeCell ref="I24:I25"/>
    <mergeCell ref="J24:J25"/>
    <mergeCell ref="J32:J33"/>
    <mergeCell ref="D34:D35"/>
    <mergeCell ref="E34:E35"/>
    <mergeCell ref="F34:F35"/>
    <mergeCell ref="H34:H35"/>
    <mergeCell ref="I34:I35"/>
    <mergeCell ref="J34:J35"/>
    <mergeCell ref="C32:C41"/>
    <mergeCell ref="D32:D33"/>
    <mergeCell ref="E32:E33"/>
    <mergeCell ref="F32:F33"/>
    <mergeCell ref="H32:H33"/>
    <mergeCell ref="I32:I33"/>
    <mergeCell ref="D36:D37"/>
    <mergeCell ref="E36:E37"/>
    <mergeCell ref="F36:F37"/>
    <mergeCell ref="H36:H37"/>
    <mergeCell ref="C42:C51"/>
    <mergeCell ref="D42:D43"/>
    <mergeCell ref="E42:E43"/>
    <mergeCell ref="F42:F43"/>
    <mergeCell ref="H42:H43"/>
    <mergeCell ref="I42:I43"/>
    <mergeCell ref="D46:D47"/>
    <mergeCell ref="E46:E47"/>
    <mergeCell ref="F46:F47"/>
    <mergeCell ref="H46:H47"/>
    <mergeCell ref="D40:D41"/>
    <mergeCell ref="E40:E41"/>
    <mergeCell ref="F40:F41"/>
    <mergeCell ref="H40:H41"/>
    <mergeCell ref="I40:I41"/>
    <mergeCell ref="J40:J41"/>
    <mergeCell ref="I36:I37"/>
    <mergeCell ref="J36:J37"/>
    <mergeCell ref="D38:D39"/>
    <mergeCell ref="E38:E39"/>
    <mergeCell ref="F38:F39"/>
    <mergeCell ref="H38:H39"/>
    <mergeCell ref="I38:I39"/>
    <mergeCell ref="J38:J39"/>
    <mergeCell ref="D50:D51"/>
    <mergeCell ref="E50:E51"/>
    <mergeCell ref="F50:F51"/>
    <mergeCell ref="H50:H51"/>
    <mergeCell ref="I50:I51"/>
    <mergeCell ref="J50:J51"/>
    <mergeCell ref="I46:I47"/>
    <mergeCell ref="J46:J47"/>
    <mergeCell ref="D48:D49"/>
    <mergeCell ref="E48:E49"/>
    <mergeCell ref="F48:F49"/>
    <mergeCell ref="H48:H49"/>
    <mergeCell ref="I48:I49"/>
    <mergeCell ref="J48:J49"/>
    <mergeCell ref="J42:J43"/>
    <mergeCell ref="D44:D45"/>
    <mergeCell ref="E44:E45"/>
    <mergeCell ref="F44:F45"/>
    <mergeCell ref="H44:H45"/>
    <mergeCell ref="I44:I45"/>
    <mergeCell ref="J44:J45"/>
    <mergeCell ref="J52:J53"/>
    <mergeCell ref="D54:D55"/>
    <mergeCell ref="E54:E55"/>
    <mergeCell ref="F54:F55"/>
    <mergeCell ref="H54:H55"/>
    <mergeCell ref="I54:I55"/>
    <mergeCell ref="J54:J55"/>
    <mergeCell ref="C52:C61"/>
    <mergeCell ref="D52:D53"/>
    <mergeCell ref="E52:E53"/>
    <mergeCell ref="F52:F53"/>
    <mergeCell ref="H52:H53"/>
    <mergeCell ref="I52:I53"/>
    <mergeCell ref="D56:D57"/>
    <mergeCell ref="E56:E57"/>
    <mergeCell ref="F56:F57"/>
    <mergeCell ref="H56:H57"/>
    <mergeCell ref="C62:C71"/>
    <mergeCell ref="D62:D63"/>
    <mergeCell ref="E62:E63"/>
    <mergeCell ref="F62:F63"/>
    <mergeCell ref="H62:H63"/>
    <mergeCell ref="I62:I63"/>
    <mergeCell ref="D66:D67"/>
    <mergeCell ref="E66:E67"/>
    <mergeCell ref="F66:F67"/>
    <mergeCell ref="H66:H67"/>
    <mergeCell ref="D60:D61"/>
    <mergeCell ref="E60:E61"/>
    <mergeCell ref="F60:F61"/>
    <mergeCell ref="H60:H61"/>
    <mergeCell ref="I60:I61"/>
    <mergeCell ref="J60:J61"/>
    <mergeCell ref="I56:I57"/>
    <mergeCell ref="J56:J57"/>
    <mergeCell ref="D58:D59"/>
    <mergeCell ref="E58:E59"/>
    <mergeCell ref="F58:F59"/>
    <mergeCell ref="H58:H59"/>
    <mergeCell ref="I58:I59"/>
    <mergeCell ref="J58:J59"/>
    <mergeCell ref="D70:D71"/>
    <mergeCell ref="E70:E71"/>
    <mergeCell ref="F70:F71"/>
    <mergeCell ref="H70:H71"/>
    <mergeCell ref="I70:I71"/>
    <mergeCell ref="J70:J71"/>
    <mergeCell ref="I66:I67"/>
    <mergeCell ref="J66:J67"/>
    <mergeCell ref="D68:D69"/>
    <mergeCell ref="E68:E69"/>
    <mergeCell ref="F68:F69"/>
    <mergeCell ref="H68:H69"/>
    <mergeCell ref="I68:I69"/>
    <mergeCell ref="J68:J69"/>
    <mergeCell ref="J62:J63"/>
    <mergeCell ref="D64:D65"/>
    <mergeCell ref="E64:E65"/>
    <mergeCell ref="F64:F65"/>
    <mergeCell ref="H64:H65"/>
    <mergeCell ref="I64:I65"/>
    <mergeCell ref="J64:J65"/>
    <mergeCell ref="J72:J73"/>
    <mergeCell ref="D74:D75"/>
    <mergeCell ref="E74:E75"/>
    <mergeCell ref="F74:F75"/>
    <mergeCell ref="H74:H75"/>
    <mergeCell ref="I74:I75"/>
    <mergeCell ref="J74:J75"/>
    <mergeCell ref="C72:C81"/>
    <mergeCell ref="D72:D73"/>
    <mergeCell ref="E72:E73"/>
    <mergeCell ref="F72:F73"/>
    <mergeCell ref="H72:H73"/>
    <mergeCell ref="I72:I73"/>
    <mergeCell ref="D76:D77"/>
    <mergeCell ref="E76:E77"/>
    <mergeCell ref="F76:F77"/>
    <mergeCell ref="H76:H77"/>
    <mergeCell ref="B82:B131"/>
    <mergeCell ref="C82:C91"/>
    <mergeCell ref="D82:D83"/>
    <mergeCell ref="E82:E83"/>
    <mergeCell ref="F82:F83"/>
    <mergeCell ref="H82:H83"/>
    <mergeCell ref="D86:D87"/>
    <mergeCell ref="E86:E87"/>
    <mergeCell ref="F86:F87"/>
    <mergeCell ref="H86:H87"/>
    <mergeCell ref="D80:D81"/>
    <mergeCell ref="E80:E81"/>
    <mergeCell ref="F80:F81"/>
    <mergeCell ref="H80:H81"/>
    <mergeCell ref="I80:I81"/>
    <mergeCell ref="J80:J81"/>
    <mergeCell ref="I76:I77"/>
    <mergeCell ref="J76:J77"/>
    <mergeCell ref="D78:D79"/>
    <mergeCell ref="E78:E79"/>
    <mergeCell ref="F78:F79"/>
    <mergeCell ref="H78:H79"/>
    <mergeCell ref="I78:I79"/>
    <mergeCell ref="J78:J79"/>
    <mergeCell ref="B2:B81"/>
    <mergeCell ref="C2:C11"/>
    <mergeCell ref="D90:D91"/>
    <mergeCell ref="E90:E91"/>
    <mergeCell ref="F90:F91"/>
    <mergeCell ref="H90:H91"/>
    <mergeCell ref="I90:I91"/>
    <mergeCell ref="J90:J91"/>
    <mergeCell ref="I86:I87"/>
    <mergeCell ref="J86:J87"/>
    <mergeCell ref="D88:D89"/>
    <mergeCell ref="E88:E89"/>
    <mergeCell ref="F88:F89"/>
    <mergeCell ref="H88:H89"/>
    <mergeCell ref="I88:I89"/>
    <mergeCell ref="J88:J89"/>
    <mergeCell ref="I82:I83"/>
    <mergeCell ref="J82:J83"/>
    <mergeCell ref="D84:D85"/>
    <mergeCell ref="E84:E85"/>
    <mergeCell ref="F84:F85"/>
    <mergeCell ref="H84:H85"/>
    <mergeCell ref="I84:I85"/>
    <mergeCell ref="J84:J85"/>
    <mergeCell ref="J92:J93"/>
    <mergeCell ref="D94:D95"/>
    <mergeCell ref="E94:E95"/>
    <mergeCell ref="F94:F95"/>
    <mergeCell ref="H94:H95"/>
    <mergeCell ref="I94:I95"/>
    <mergeCell ref="J94:J95"/>
    <mergeCell ref="C92:C101"/>
    <mergeCell ref="D92:D93"/>
    <mergeCell ref="E92:E93"/>
    <mergeCell ref="F92:F93"/>
    <mergeCell ref="H92:H93"/>
    <mergeCell ref="I92:I93"/>
    <mergeCell ref="D96:D97"/>
    <mergeCell ref="E96:E97"/>
    <mergeCell ref="F96:F97"/>
    <mergeCell ref="H96:H97"/>
    <mergeCell ref="C102:C111"/>
    <mergeCell ref="D102:D103"/>
    <mergeCell ref="E102:E103"/>
    <mergeCell ref="F102:F103"/>
    <mergeCell ref="H102:H103"/>
    <mergeCell ref="I102:I103"/>
    <mergeCell ref="D106:D107"/>
    <mergeCell ref="E106:E107"/>
    <mergeCell ref="F106:F107"/>
    <mergeCell ref="H106:H107"/>
    <mergeCell ref="D100:D101"/>
    <mergeCell ref="E100:E101"/>
    <mergeCell ref="F100:F101"/>
    <mergeCell ref="H100:H101"/>
    <mergeCell ref="I100:I101"/>
    <mergeCell ref="J100:J101"/>
    <mergeCell ref="I96:I97"/>
    <mergeCell ref="J96:J97"/>
    <mergeCell ref="D98:D99"/>
    <mergeCell ref="E98:E99"/>
    <mergeCell ref="F98:F99"/>
    <mergeCell ref="H98:H99"/>
    <mergeCell ref="I98:I99"/>
    <mergeCell ref="J98:J99"/>
    <mergeCell ref="D110:D111"/>
    <mergeCell ref="E110:E111"/>
    <mergeCell ref="F110:F111"/>
    <mergeCell ref="H110:H111"/>
    <mergeCell ref="I110:I111"/>
    <mergeCell ref="J110:J111"/>
    <mergeCell ref="I106:I107"/>
    <mergeCell ref="J106:J107"/>
    <mergeCell ref="D108:D109"/>
    <mergeCell ref="E108:E109"/>
    <mergeCell ref="F108:F109"/>
    <mergeCell ref="H108:H109"/>
    <mergeCell ref="I108:I109"/>
    <mergeCell ref="J108:J109"/>
    <mergeCell ref="J102:J103"/>
    <mergeCell ref="D104:D105"/>
    <mergeCell ref="E104:E105"/>
    <mergeCell ref="F104:F105"/>
    <mergeCell ref="H104:H105"/>
    <mergeCell ref="I104:I105"/>
    <mergeCell ref="J104:J105"/>
    <mergeCell ref="J112:J113"/>
    <mergeCell ref="D114:D115"/>
    <mergeCell ref="E114:E115"/>
    <mergeCell ref="F114:F115"/>
    <mergeCell ref="H114:H115"/>
    <mergeCell ref="I114:I115"/>
    <mergeCell ref="J114:J115"/>
    <mergeCell ref="C112:C121"/>
    <mergeCell ref="D112:D113"/>
    <mergeCell ref="E112:E113"/>
    <mergeCell ref="F112:F113"/>
    <mergeCell ref="H112:H113"/>
    <mergeCell ref="I112:I113"/>
    <mergeCell ref="D116:D117"/>
    <mergeCell ref="E116:E117"/>
    <mergeCell ref="F116:F117"/>
    <mergeCell ref="H116:H117"/>
    <mergeCell ref="C122:C131"/>
    <mergeCell ref="D122:D123"/>
    <mergeCell ref="E122:E123"/>
    <mergeCell ref="F122:F123"/>
    <mergeCell ref="H122:H123"/>
    <mergeCell ref="I122:I123"/>
    <mergeCell ref="D126:D127"/>
    <mergeCell ref="E126:E127"/>
    <mergeCell ref="F126:F127"/>
    <mergeCell ref="H126:H127"/>
    <mergeCell ref="D120:D121"/>
    <mergeCell ref="E120:E121"/>
    <mergeCell ref="F120:F121"/>
    <mergeCell ref="H120:H121"/>
    <mergeCell ref="I120:I121"/>
    <mergeCell ref="J120:J121"/>
    <mergeCell ref="I116:I117"/>
    <mergeCell ref="J116:J117"/>
    <mergeCell ref="D118:D119"/>
    <mergeCell ref="E118:E119"/>
    <mergeCell ref="F118:F119"/>
    <mergeCell ref="H118:H119"/>
    <mergeCell ref="I118:I119"/>
    <mergeCell ref="J118:J119"/>
    <mergeCell ref="D130:D131"/>
    <mergeCell ref="E130:E131"/>
    <mergeCell ref="F130:F131"/>
    <mergeCell ref="H130:H131"/>
    <mergeCell ref="I130:I131"/>
    <mergeCell ref="J130:J131"/>
    <mergeCell ref="I126:I127"/>
    <mergeCell ref="J126:J127"/>
    <mergeCell ref="D128:D129"/>
    <mergeCell ref="E128:E129"/>
    <mergeCell ref="F128:F129"/>
    <mergeCell ref="H128:H129"/>
    <mergeCell ref="I128:I129"/>
    <mergeCell ref="J128:J129"/>
    <mergeCell ref="J122:J123"/>
    <mergeCell ref="D124:D125"/>
    <mergeCell ref="E124:E125"/>
    <mergeCell ref="F124:F125"/>
    <mergeCell ref="H124:H125"/>
    <mergeCell ref="I124:I125"/>
    <mergeCell ref="J124:J125"/>
    <mergeCell ref="D140:D141"/>
    <mergeCell ref="E140:E141"/>
    <mergeCell ref="F140:F141"/>
    <mergeCell ref="H140:H141"/>
    <mergeCell ref="I140:I141"/>
    <mergeCell ref="J140:J141"/>
    <mergeCell ref="I136:I137"/>
    <mergeCell ref="J136:J137"/>
    <mergeCell ref="D138:D139"/>
    <mergeCell ref="E138:E139"/>
    <mergeCell ref="F138:F139"/>
    <mergeCell ref="H138:H139"/>
    <mergeCell ref="I138:I139"/>
    <mergeCell ref="J138:J139"/>
    <mergeCell ref="I132:I133"/>
    <mergeCell ref="J132:J133"/>
    <mergeCell ref="D134:D135"/>
    <mergeCell ref="E134:E135"/>
    <mergeCell ref="F134:F135"/>
    <mergeCell ref="H134:H135"/>
    <mergeCell ref="I134:I135"/>
    <mergeCell ref="J134:J135"/>
    <mergeCell ref="D132:D133"/>
    <mergeCell ref="E132:E133"/>
    <mergeCell ref="F132:F133"/>
    <mergeCell ref="H132:H133"/>
    <mergeCell ref="D136:D137"/>
    <mergeCell ref="E136:E137"/>
    <mergeCell ref="F136:F137"/>
    <mergeCell ref="H136:H137"/>
    <mergeCell ref="J142:J143"/>
    <mergeCell ref="D144:D145"/>
    <mergeCell ref="E144:E145"/>
    <mergeCell ref="F144:F145"/>
    <mergeCell ref="H144:H145"/>
    <mergeCell ref="I144:I145"/>
    <mergeCell ref="J144:J145"/>
    <mergeCell ref="C142:C151"/>
    <mergeCell ref="D142:D143"/>
    <mergeCell ref="E142:E143"/>
    <mergeCell ref="F142:F143"/>
    <mergeCell ref="H142:H143"/>
    <mergeCell ref="I142:I143"/>
    <mergeCell ref="D146:D147"/>
    <mergeCell ref="E146:E147"/>
    <mergeCell ref="F146:F147"/>
    <mergeCell ref="H146:H147"/>
    <mergeCell ref="C152:C161"/>
    <mergeCell ref="D152:D153"/>
    <mergeCell ref="E152:E153"/>
    <mergeCell ref="F152:F153"/>
    <mergeCell ref="H152:H153"/>
    <mergeCell ref="I152:I153"/>
    <mergeCell ref="D156:D157"/>
    <mergeCell ref="E156:E157"/>
    <mergeCell ref="F156:F157"/>
    <mergeCell ref="H156:H157"/>
    <mergeCell ref="D150:D151"/>
    <mergeCell ref="E150:E151"/>
    <mergeCell ref="F150:F151"/>
    <mergeCell ref="H150:H151"/>
    <mergeCell ref="I150:I151"/>
    <mergeCell ref="J150:J151"/>
    <mergeCell ref="I146:I147"/>
    <mergeCell ref="J146:J147"/>
    <mergeCell ref="D148:D149"/>
    <mergeCell ref="E148:E149"/>
    <mergeCell ref="F148:F149"/>
    <mergeCell ref="H148:H149"/>
    <mergeCell ref="I148:I149"/>
    <mergeCell ref="J148:J149"/>
    <mergeCell ref="D160:D161"/>
    <mergeCell ref="E160:E161"/>
    <mergeCell ref="F160:F161"/>
    <mergeCell ref="H160:H161"/>
    <mergeCell ref="I160:I161"/>
    <mergeCell ref="J160:J161"/>
    <mergeCell ref="I156:I157"/>
    <mergeCell ref="J156:J157"/>
    <mergeCell ref="D158:D159"/>
    <mergeCell ref="E158:E159"/>
    <mergeCell ref="F158:F159"/>
    <mergeCell ref="H158:H159"/>
    <mergeCell ref="I158:I159"/>
    <mergeCell ref="J158:J159"/>
    <mergeCell ref="J152:J153"/>
    <mergeCell ref="D154:D155"/>
    <mergeCell ref="E154:E155"/>
    <mergeCell ref="F154:F155"/>
    <mergeCell ref="H154:H155"/>
    <mergeCell ref="I154:I155"/>
    <mergeCell ref="J154:J155"/>
    <mergeCell ref="J162:J163"/>
    <mergeCell ref="D164:D165"/>
    <mergeCell ref="E164:E165"/>
    <mergeCell ref="F164:F165"/>
    <mergeCell ref="H164:H165"/>
    <mergeCell ref="I164:I165"/>
    <mergeCell ref="J164:J165"/>
    <mergeCell ref="C162:C171"/>
    <mergeCell ref="D162:D163"/>
    <mergeCell ref="E162:E163"/>
    <mergeCell ref="F162:F163"/>
    <mergeCell ref="H162:H163"/>
    <mergeCell ref="I162:I163"/>
    <mergeCell ref="D166:D167"/>
    <mergeCell ref="E166:E167"/>
    <mergeCell ref="F166:F167"/>
    <mergeCell ref="H166:H167"/>
    <mergeCell ref="C172:C181"/>
    <mergeCell ref="D172:D173"/>
    <mergeCell ref="E172:E173"/>
    <mergeCell ref="F172:F173"/>
    <mergeCell ref="H172:H173"/>
    <mergeCell ref="I172:I173"/>
    <mergeCell ref="D176:D177"/>
    <mergeCell ref="E176:E177"/>
    <mergeCell ref="F176:F177"/>
    <mergeCell ref="H176:H177"/>
    <mergeCell ref="D170:D171"/>
    <mergeCell ref="E170:E171"/>
    <mergeCell ref="F170:F171"/>
    <mergeCell ref="H170:H171"/>
    <mergeCell ref="I170:I171"/>
    <mergeCell ref="J170:J171"/>
    <mergeCell ref="I166:I167"/>
    <mergeCell ref="J166:J167"/>
    <mergeCell ref="D168:D169"/>
    <mergeCell ref="E168:E169"/>
    <mergeCell ref="F168:F169"/>
    <mergeCell ref="H168:H169"/>
    <mergeCell ref="I168:I169"/>
    <mergeCell ref="J168:J169"/>
    <mergeCell ref="D180:D181"/>
    <mergeCell ref="E180:E181"/>
    <mergeCell ref="F180:F181"/>
    <mergeCell ref="H180:H181"/>
    <mergeCell ref="I180:I181"/>
    <mergeCell ref="J180:J181"/>
    <mergeCell ref="I176:I177"/>
    <mergeCell ref="J176:J177"/>
    <mergeCell ref="D178:D179"/>
    <mergeCell ref="E178:E179"/>
    <mergeCell ref="F178:F179"/>
    <mergeCell ref="H178:H179"/>
    <mergeCell ref="I178:I179"/>
    <mergeCell ref="J178:J179"/>
    <mergeCell ref="J172:J173"/>
    <mergeCell ref="D174:D175"/>
    <mergeCell ref="E174:E175"/>
    <mergeCell ref="F174:F175"/>
    <mergeCell ref="H174:H175"/>
    <mergeCell ref="I174:I175"/>
    <mergeCell ref="J174:J175"/>
    <mergeCell ref="J182:J183"/>
    <mergeCell ref="D184:D185"/>
    <mergeCell ref="E184:E185"/>
    <mergeCell ref="F184:F185"/>
    <mergeCell ref="H184:H185"/>
    <mergeCell ref="I184:I185"/>
    <mergeCell ref="J184:J185"/>
    <mergeCell ref="C182:C191"/>
    <mergeCell ref="D182:D183"/>
    <mergeCell ref="E182:E183"/>
    <mergeCell ref="F182:F183"/>
    <mergeCell ref="H182:H183"/>
    <mergeCell ref="I182:I183"/>
    <mergeCell ref="D186:D187"/>
    <mergeCell ref="E186:E187"/>
    <mergeCell ref="F186:F187"/>
    <mergeCell ref="H186:H187"/>
    <mergeCell ref="C192:C201"/>
    <mergeCell ref="D192:D193"/>
    <mergeCell ref="E192:E193"/>
    <mergeCell ref="F192:F193"/>
    <mergeCell ref="H192:H193"/>
    <mergeCell ref="I192:I193"/>
    <mergeCell ref="D196:D197"/>
    <mergeCell ref="E196:E197"/>
    <mergeCell ref="F196:F197"/>
    <mergeCell ref="H196:H197"/>
    <mergeCell ref="D190:D191"/>
    <mergeCell ref="E190:E191"/>
    <mergeCell ref="F190:F191"/>
    <mergeCell ref="H190:H191"/>
    <mergeCell ref="I190:I191"/>
    <mergeCell ref="J190:J191"/>
    <mergeCell ref="I186:I187"/>
    <mergeCell ref="J186:J187"/>
    <mergeCell ref="D188:D189"/>
    <mergeCell ref="E188:E189"/>
    <mergeCell ref="F188:F189"/>
    <mergeCell ref="H188:H189"/>
    <mergeCell ref="I188:I189"/>
    <mergeCell ref="J188:J189"/>
    <mergeCell ref="D200:D201"/>
    <mergeCell ref="E200:E201"/>
    <mergeCell ref="F200:F201"/>
    <mergeCell ref="H200:H201"/>
    <mergeCell ref="I200:I201"/>
    <mergeCell ref="J200:J201"/>
    <mergeCell ref="I196:I197"/>
    <mergeCell ref="J196:J197"/>
    <mergeCell ref="D198:D199"/>
    <mergeCell ref="E198:E199"/>
    <mergeCell ref="F198:F199"/>
    <mergeCell ref="H198:H199"/>
    <mergeCell ref="I198:I199"/>
    <mergeCell ref="J198:J199"/>
    <mergeCell ref="J192:J193"/>
    <mergeCell ref="D194:D195"/>
    <mergeCell ref="E194:E195"/>
    <mergeCell ref="F194:F195"/>
    <mergeCell ref="H194:H195"/>
    <mergeCell ref="I194:I195"/>
    <mergeCell ref="J194:J195"/>
    <mergeCell ref="J202:J203"/>
    <mergeCell ref="D204:D205"/>
    <mergeCell ref="E204:E205"/>
    <mergeCell ref="F204:F205"/>
    <mergeCell ref="H204:H205"/>
    <mergeCell ref="I204:I205"/>
    <mergeCell ref="J204:J205"/>
    <mergeCell ref="C202:C211"/>
    <mergeCell ref="D202:D203"/>
    <mergeCell ref="E202:E203"/>
    <mergeCell ref="F202:F203"/>
    <mergeCell ref="H202:H203"/>
    <mergeCell ref="I202:I203"/>
    <mergeCell ref="D206:D207"/>
    <mergeCell ref="E206:E207"/>
    <mergeCell ref="F206:F207"/>
    <mergeCell ref="H206:H207"/>
    <mergeCell ref="B212:B261"/>
    <mergeCell ref="C212:C221"/>
    <mergeCell ref="D212:D213"/>
    <mergeCell ref="E212:E213"/>
    <mergeCell ref="F212:F213"/>
    <mergeCell ref="H212:H213"/>
    <mergeCell ref="D216:D217"/>
    <mergeCell ref="E216:E217"/>
    <mergeCell ref="F216:F217"/>
    <mergeCell ref="H216:H217"/>
    <mergeCell ref="D210:D211"/>
    <mergeCell ref="E210:E211"/>
    <mergeCell ref="F210:F211"/>
    <mergeCell ref="H210:H211"/>
    <mergeCell ref="I210:I211"/>
    <mergeCell ref="J210:J211"/>
    <mergeCell ref="I206:I207"/>
    <mergeCell ref="J206:J207"/>
    <mergeCell ref="D208:D209"/>
    <mergeCell ref="E208:E209"/>
    <mergeCell ref="F208:F209"/>
    <mergeCell ref="H208:H209"/>
    <mergeCell ref="I208:I209"/>
    <mergeCell ref="J208:J209"/>
    <mergeCell ref="B132:B211"/>
    <mergeCell ref="C132:C141"/>
    <mergeCell ref="D220:D221"/>
    <mergeCell ref="E220:E221"/>
    <mergeCell ref="F220:F221"/>
    <mergeCell ref="H220:H221"/>
    <mergeCell ref="I220:I221"/>
    <mergeCell ref="J220:J221"/>
    <mergeCell ref="I216:I217"/>
    <mergeCell ref="J216:J217"/>
    <mergeCell ref="D218:D219"/>
    <mergeCell ref="E218:E219"/>
    <mergeCell ref="F218:F219"/>
    <mergeCell ref="H218:H219"/>
    <mergeCell ref="I218:I219"/>
    <mergeCell ref="J218:J219"/>
    <mergeCell ref="I212:I213"/>
    <mergeCell ref="J212:J213"/>
    <mergeCell ref="D214:D215"/>
    <mergeCell ref="E214:E215"/>
    <mergeCell ref="F214:F215"/>
    <mergeCell ref="H214:H215"/>
    <mergeCell ref="I214:I215"/>
    <mergeCell ref="J214:J215"/>
    <mergeCell ref="J222:J223"/>
    <mergeCell ref="D224:D225"/>
    <mergeCell ref="E224:E225"/>
    <mergeCell ref="F224:F225"/>
    <mergeCell ref="H224:H225"/>
    <mergeCell ref="I224:I225"/>
    <mergeCell ref="J224:J225"/>
    <mergeCell ref="C222:C231"/>
    <mergeCell ref="D222:D223"/>
    <mergeCell ref="E222:E223"/>
    <mergeCell ref="F222:F223"/>
    <mergeCell ref="H222:H223"/>
    <mergeCell ref="I222:I223"/>
    <mergeCell ref="D226:D227"/>
    <mergeCell ref="E226:E227"/>
    <mergeCell ref="F226:F227"/>
    <mergeCell ref="H226:H227"/>
    <mergeCell ref="C232:C241"/>
    <mergeCell ref="D232:D233"/>
    <mergeCell ref="E232:E233"/>
    <mergeCell ref="F232:F233"/>
    <mergeCell ref="H232:H233"/>
    <mergeCell ref="I232:I233"/>
    <mergeCell ref="D236:D237"/>
    <mergeCell ref="E236:E237"/>
    <mergeCell ref="F236:F237"/>
    <mergeCell ref="H236:H237"/>
    <mergeCell ref="D230:D231"/>
    <mergeCell ref="E230:E231"/>
    <mergeCell ref="F230:F231"/>
    <mergeCell ref="H230:H231"/>
    <mergeCell ref="I230:I231"/>
    <mergeCell ref="J230:J231"/>
    <mergeCell ref="I226:I227"/>
    <mergeCell ref="J226:J227"/>
    <mergeCell ref="D228:D229"/>
    <mergeCell ref="E228:E229"/>
    <mergeCell ref="F228:F229"/>
    <mergeCell ref="H228:H229"/>
    <mergeCell ref="I228:I229"/>
    <mergeCell ref="J228:J229"/>
    <mergeCell ref="D240:D241"/>
    <mergeCell ref="E240:E241"/>
    <mergeCell ref="F240:F241"/>
    <mergeCell ref="H240:H241"/>
    <mergeCell ref="I240:I241"/>
    <mergeCell ref="J240:J241"/>
    <mergeCell ref="I236:I237"/>
    <mergeCell ref="J236:J237"/>
    <mergeCell ref="D238:D239"/>
    <mergeCell ref="E238:E239"/>
    <mergeCell ref="F238:F239"/>
    <mergeCell ref="H238:H239"/>
    <mergeCell ref="I238:I239"/>
    <mergeCell ref="J238:J239"/>
    <mergeCell ref="J232:J233"/>
    <mergeCell ref="D234:D235"/>
    <mergeCell ref="E234:E235"/>
    <mergeCell ref="F234:F235"/>
    <mergeCell ref="H234:H235"/>
    <mergeCell ref="I234:I235"/>
    <mergeCell ref="J234:J235"/>
    <mergeCell ref="J242:J243"/>
    <mergeCell ref="D244:D245"/>
    <mergeCell ref="E244:E245"/>
    <mergeCell ref="F244:F245"/>
    <mergeCell ref="H244:H245"/>
    <mergeCell ref="I244:I245"/>
    <mergeCell ref="J244:J245"/>
    <mergeCell ref="C242:C251"/>
    <mergeCell ref="D242:D243"/>
    <mergeCell ref="E242:E243"/>
    <mergeCell ref="F242:F243"/>
    <mergeCell ref="H242:H243"/>
    <mergeCell ref="I242:I243"/>
    <mergeCell ref="D246:D247"/>
    <mergeCell ref="E246:E247"/>
    <mergeCell ref="F246:F247"/>
    <mergeCell ref="H246:H247"/>
    <mergeCell ref="C252:C261"/>
    <mergeCell ref="D252:D253"/>
    <mergeCell ref="E252:E253"/>
    <mergeCell ref="F252:F253"/>
    <mergeCell ref="H252:H253"/>
    <mergeCell ref="I252:I253"/>
    <mergeCell ref="D256:D257"/>
    <mergeCell ref="E256:E257"/>
    <mergeCell ref="F256:F257"/>
    <mergeCell ref="H256:H257"/>
    <mergeCell ref="D250:D251"/>
    <mergeCell ref="E250:E251"/>
    <mergeCell ref="F250:F251"/>
    <mergeCell ref="H250:H251"/>
    <mergeCell ref="I250:I251"/>
    <mergeCell ref="J250:J251"/>
    <mergeCell ref="I246:I247"/>
    <mergeCell ref="J246:J247"/>
    <mergeCell ref="D248:D249"/>
    <mergeCell ref="E248:E249"/>
    <mergeCell ref="F248:F249"/>
    <mergeCell ref="H248:H249"/>
    <mergeCell ref="I248:I249"/>
    <mergeCell ref="J248:J249"/>
    <mergeCell ref="D260:D261"/>
    <mergeCell ref="E260:E261"/>
    <mergeCell ref="F260:F261"/>
    <mergeCell ref="H260:H261"/>
    <mergeCell ref="I260:I261"/>
    <mergeCell ref="J260:J261"/>
    <mergeCell ref="I256:I257"/>
    <mergeCell ref="J256:J257"/>
    <mergeCell ref="D258:D259"/>
    <mergeCell ref="E258:E259"/>
    <mergeCell ref="F258:F259"/>
    <mergeCell ref="H258:H259"/>
    <mergeCell ref="I258:I259"/>
    <mergeCell ref="J258:J259"/>
    <mergeCell ref="J252:J253"/>
    <mergeCell ref="D254:D255"/>
    <mergeCell ref="E254:E255"/>
    <mergeCell ref="F254:F255"/>
    <mergeCell ref="H254:H255"/>
    <mergeCell ref="I254:I255"/>
    <mergeCell ref="J254:J255"/>
    <mergeCell ref="D270:D271"/>
    <mergeCell ref="E270:E271"/>
    <mergeCell ref="F270:F271"/>
    <mergeCell ref="H270:H271"/>
    <mergeCell ref="I270:I271"/>
    <mergeCell ref="J270:J271"/>
    <mergeCell ref="I266:I267"/>
    <mergeCell ref="J266:J267"/>
    <mergeCell ref="D268:D269"/>
    <mergeCell ref="E268:E269"/>
    <mergeCell ref="F268:F269"/>
    <mergeCell ref="H268:H269"/>
    <mergeCell ref="I268:I269"/>
    <mergeCell ref="J268:J269"/>
    <mergeCell ref="I262:I263"/>
    <mergeCell ref="J262:J263"/>
    <mergeCell ref="D264:D265"/>
    <mergeCell ref="E264:E265"/>
    <mergeCell ref="F264:F265"/>
    <mergeCell ref="H264:H265"/>
    <mergeCell ref="I264:I265"/>
    <mergeCell ref="J264:J265"/>
    <mergeCell ref="D262:D263"/>
    <mergeCell ref="E262:E263"/>
    <mergeCell ref="F262:F263"/>
    <mergeCell ref="H262:H263"/>
    <mergeCell ref="D266:D267"/>
    <mergeCell ref="E266:E267"/>
    <mergeCell ref="F266:F267"/>
    <mergeCell ref="H266:H267"/>
    <mergeCell ref="J272:J273"/>
    <mergeCell ref="D274:D275"/>
    <mergeCell ref="E274:E275"/>
    <mergeCell ref="F274:F275"/>
    <mergeCell ref="H274:H275"/>
    <mergeCell ref="I274:I275"/>
    <mergeCell ref="J274:J275"/>
    <mergeCell ref="C272:C281"/>
    <mergeCell ref="D272:D273"/>
    <mergeCell ref="E272:E273"/>
    <mergeCell ref="F272:F273"/>
    <mergeCell ref="H272:H273"/>
    <mergeCell ref="I272:I273"/>
    <mergeCell ref="D276:D277"/>
    <mergeCell ref="E276:E277"/>
    <mergeCell ref="F276:F277"/>
    <mergeCell ref="H276:H277"/>
    <mergeCell ref="C282:C292"/>
    <mergeCell ref="D282:D283"/>
    <mergeCell ref="E282:E283"/>
    <mergeCell ref="F282:F283"/>
    <mergeCell ref="H282:H283"/>
    <mergeCell ref="I282:I283"/>
    <mergeCell ref="D287:D288"/>
    <mergeCell ref="E287:E288"/>
    <mergeCell ref="F287:F288"/>
    <mergeCell ref="H287:H288"/>
    <mergeCell ref="D280:D281"/>
    <mergeCell ref="E280:E281"/>
    <mergeCell ref="F280:F281"/>
    <mergeCell ref="H280:H281"/>
    <mergeCell ref="I280:I281"/>
    <mergeCell ref="J280:J281"/>
    <mergeCell ref="I276:I277"/>
    <mergeCell ref="J276:J277"/>
    <mergeCell ref="D278:D279"/>
    <mergeCell ref="E278:E279"/>
    <mergeCell ref="F278:F279"/>
    <mergeCell ref="H278:H279"/>
    <mergeCell ref="I278:I279"/>
    <mergeCell ref="J278:J279"/>
    <mergeCell ref="D291:D292"/>
    <mergeCell ref="E291:E292"/>
    <mergeCell ref="F291:F292"/>
    <mergeCell ref="H291:H292"/>
    <mergeCell ref="I291:I292"/>
    <mergeCell ref="J291:J292"/>
    <mergeCell ref="I287:I288"/>
    <mergeCell ref="J287:J288"/>
    <mergeCell ref="D289:D290"/>
    <mergeCell ref="E289:E290"/>
    <mergeCell ref="F289:F290"/>
    <mergeCell ref="H289:H290"/>
    <mergeCell ref="I289:I290"/>
    <mergeCell ref="J289:J290"/>
    <mergeCell ref="J282:J283"/>
    <mergeCell ref="D284:D285"/>
    <mergeCell ref="E284:E285"/>
    <mergeCell ref="F284:F285"/>
    <mergeCell ref="H284:H285"/>
    <mergeCell ref="I284:I285"/>
    <mergeCell ref="J284:J285"/>
    <mergeCell ref="J293:J294"/>
    <mergeCell ref="D295:D296"/>
    <mergeCell ref="E295:E296"/>
    <mergeCell ref="F295:F296"/>
    <mergeCell ref="H295:H296"/>
    <mergeCell ref="I295:I296"/>
    <mergeCell ref="J295:J296"/>
    <mergeCell ref="C293:C302"/>
    <mergeCell ref="D293:D294"/>
    <mergeCell ref="E293:E294"/>
    <mergeCell ref="F293:F294"/>
    <mergeCell ref="H293:H294"/>
    <mergeCell ref="I293:I294"/>
    <mergeCell ref="D297:D298"/>
    <mergeCell ref="E297:E298"/>
    <mergeCell ref="F297:F298"/>
    <mergeCell ref="H297:H298"/>
    <mergeCell ref="C303:C312"/>
    <mergeCell ref="D303:D304"/>
    <mergeCell ref="E303:E304"/>
    <mergeCell ref="F303:F304"/>
    <mergeCell ref="H303:H304"/>
    <mergeCell ref="I303:I304"/>
    <mergeCell ref="D307:D308"/>
    <mergeCell ref="E307:E308"/>
    <mergeCell ref="F307:F308"/>
    <mergeCell ref="H307:H308"/>
    <mergeCell ref="D301:D302"/>
    <mergeCell ref="E301:E302"/>
    <mergeCell ref="F301:F302"/>
    <mergeCell ref="H301:H302"/>
    <mergeCell ref="I301:I302"/>
    <mergeCell ref="J301:J302"/>
    <mergeCell ref="I297:I298"/>
    <mergeCell ref="J297:J298"/>
    <mergeCell ref="D299:D300"/>
    <mergeCell ref="E299:E300"/>
    <mergeCell ref="F299:F300"/>
    <mergeCell ref="H299:H300"/>
    <mergeCell ref="I299:I300"/>
    <mergeCell ref="J299:J300"/>
    <mergeCell ref="D311:D312"/>
    <mergeCell ref="E311:E312"/>
    <mergeCell ref="F311:F312"/>
    <mergeCell ref="H311:H312"/>
    <mergeCell ref="I311:I312"/>
    <mergeCell ref="J311:J312"/>
    <mergeCell ref="I307:I308"/>
    <mergeCell ref="J307:J308"/>
    <mergeCell ref="D309:D310"/>
    <mergeCell ref="E309:E310"/>
    <mergeCell ref="F309:F310"/>
    <mergeCell ref="H309:H310"/>
    <mergeCell ref="I309:I310"/>
    <mergeCell ref="J309:J310"/>
    <mergeCell ref="J303:J304"/>
    <mergeCell ref="D305:D306"/>
    <mergeCell ref="E305:E306"/>
    <mergeCell ref="F305:F306"/>
    <mergeCell ref="H305:H306"/>
    <mergeCell ref="I305:I306"/>
    <mergeCell ref="J305:J306"/>
    <mergeCell ref="J313:J314"/>
    <mergeCell ref="D315:D316"/>
    <mergeCell ref="E315:E316"/>
    <mergeCell ref="F315:F316"/>
    <mergeCell ref="H315:H316"/>
    <mergeCell ref="I315:I316"/>
    <mergeCell ref="J315:J316"/>
    <mergeCell ref="C313:C322"/>
    <mergeCell ref="D313:D314"/>
    <mergeCell ref="E313:E314"/>
    <mergeCell ref="F313:F314"/>
    <mergeCell ref="H313:H314"/>
    <mergeCell ref="I313:I314"/>
    <mergeCell ref="D317:D318"/>
    <mergeCell ref="E317:E318"/>
    <mergeCell ref="F317:F318"/>
    <mergeCell ref="H317:H318"/>
    <mergeCell ref="B323:B412"/>
    <mergeCell ref="C323:C332"/>
    <mergeCell ref="D323:D324"/>
    <mergeCell ref="E323:E324"/>
    <mergeCell ref="F323:F324"/>
    <mergeCell ref="H323:H324"/>
    <mergeCell ref="D327:D328"/>
    <mergeCell ref="E327:E328"/>
    <mergeCell ref="F327:F328"/>
    <mergeCell ref="H327:H328"/>
    <mergeCell ref="D321:D322"/>
    <mergeCell ref="E321:E322"/>
    <mergeCell ref="F321:F322"/>
    <mergeCell ref="H321:H322"/>
    <mergeCell ref="I321:I322"/>
    <mergeCell ref="J321:J322"/>
    <mergeCell ref="I317:I318"/>
    <mergeCell ref="J317:J318"/>
    <mergeCell ref="D319:D320"/>
    <mergeCell ref="E319:E320"/>
    <mergeCell ref="F319:F320"/>
    <mergeCell ref="H319:H320"/>
    <mergeCell ref="I319:I320"/>
    <mergeCell ref="J319:J320"/>
    <mergeCell ref="B262:B322"/>
    <mergeCell ref="C262:C271"/>
    <mergeCell ref="D331:D332"/>
    <mergeCell ref="E331:E332"/>
    <mergeCell ref="F331:F332"/>
    <mergeCell ref="H331:H332"/>
    <mergeCell ref="I331:I332"/>
    <mergeCell ref="J331:J332"/>
    <mergeCell ref="I327:I328"/>
    <mergeCell ref="J327:J328"/>
    <mergeCell ref="D329:D330"/>
    <mergeCell ref="E329:E330"/>
    <mergeCell ref="F329:F330"/>
    <mergeCell ref="H329:H330"/>
    <mergeCell ref="I329:I330"/>
    <mergeCell ref="J329:J330"/>
    <mergeCell ref="I323:I324"/>
    <mergeCell ref="J323:J324"/>
    <mergeCell ref="D325:D326"/>
    <mergeCell ref="E325:E326"/>
    <mergeCell ref="F325:F326"/>
    <mergeCell ref="H325:H326"/>
    <mergeCell ref="I325:I326"/>
    <mergeCell ref="J325:J326"/>
    <mergeCell ref="J333:J334"/>
    <mergeCell ref="D335:D336"/>
    <mergeCell ref="E335:E336"/>
    <mergeCell ref="F335:F336"/>
    <mergeCell ref="H335:H336"/>
    <mergeCell ref="I335:I336"/>
    <mergeCell ref="J335:J336"/>
    <mergeCell ref="C333:C342"/>
    <mergeCell ref="D333:D334"/>
    <mergeCell ref="E333:E334"/>
    <mergeCell ref="F333:F334"/>
    <mergeCell ref="H333:H334"/>
    <mergeCell ref="I333:I334"/>
    <mergeCell ref="D337:D338"/>
    <mergeCell ref="E337:E338"/>
    <mergeCell ref="F337:F338"/>
    <mergeCell ref="H337:H338"/>
    <mergeCell ref="C343:C352"/>
    <mergeCell ref="D343:D344"/>
    <mergeCell ref="E343:E344"/>
    <mergeCell ref="F343:F344"/>
    <mergeCell ref="H343:H344"/>
    <mergeCell ref="I343:I344"/>
    <mergeCell ref="D347:D348"/>
    <mergeCell ref="E347:E348"/>
    <mergeCell ref="F347:F348"/>
    <mergeCell ref="H347:H348"/>
    <mergeCell ref="D341:D342"/>
    <mergeCell ref="E341:E342"/>
    <mergeCell ref="F341:F342"/>
    <mergeCell ref="H341:H342"/>
    <mergeCell ref="I341:I342"/>
    <mergeCell ref="J341:J342"/>
    <mergeCell ref="I337:I338"/>
    <mergeCell ref="J337:J338"/>
    <mergeCell ref="D339:D340"/>
    <mergeCell ref="E339:E340"/>
    <mergeCell ref="F339:F340"/>
    <mergeCell ref="H339:H340"/>
    <mergeCell ref="I339:I340"/>
    <mergeCell ref="J339:J340"/>
    <mergeCell ref="D351:D352"/>
    <mergeCell ref="E351:E352"/>
    <mergeCell ref="F351:F352"/>
    <mergeCell ref="H351:H352"/>
    <mergeCell ref="I351:I352"/>
    <mergeCell ref="J351:J352"/>
    <mergeCell ref="I347:I348"/>
    <mergeCell ref="J347:J348"/>
    <mergeCell ref="D349:D350"/>
    <mergeCell ref="E349:E350"/>
    <mergeCell ref="F349:F350"/>
    <mergeCell ref="H349:H350"/>
    <mergeCell ref="I349:I350"/>
    <mergeCell ref="J349:J350"/>
    <mergeCell ref="J343:J344"/>
    <mergeCell ref="D345:D346"/>
    <mergeCell ref="E345:E346"/>
    <mergeCell ref="F345:F346"/>
    <mergeCell ref="H345:H346"/>
    <mergeCell ref="I345:I346"/>
    <mergeCell ref="J345:J346"/>
    <mergeCell ref="J353:J354"/>
    <mergeCell ref="D355:D356"/>
    <mergeCell ref="E355:E356"/>
    <mergeCell ref="F355:F356"/>
    <mergeCell ref="H355:H356"/>
    <mergeCell ref="I355:I356"/>
    <mergeCell ref="J355:J356"/>
    <mergeCell ref="C353:C362"/>
    <mergeCell ref="D353:D354"/>
    <mergeCell ref="E353:E354"/>
    <mergeCell ref="F353:F354"/>
    <mergeCell ref="H353:H354"/>
    <mergeCell ref="I353:I354"/>
    <mergeCell ref="D357:D358"/>
    <mergeCell ref="E357:E358"/>
    <mergeCell ref="F357:F358"/>
    <mergeCell ref="H357:H358"/>
    <mergeCell ref="C363:C372"/>
    <mergeCell ref="D363:D364"/>
    <mergeCell ref="E363:E364"/>
    <mergeCell ref="F363:F364"/>
    <mergeCell ref="H363:H364"/>
    <mergeCell ref="I363:I364"/>
    <mergeCell ref="D367:D368"/>
    <mergeCell ref="E367:E368"/>
    <mergeCell ref="F367:F368"/>
    <mergeCell ref="H367:H368"/>
    <mergeCell ref="D361:D362"/>
    <mergeCell ref="E361:E362"/>
    <mergeCell ref="F361:F362"/>
    <mergeCell ref="H361:H362"/>
    <mergeCell ref="I361:I362"/>
    <mergeCell ref="J361:J362"/>
    <mergeCell ref="I357:I358"/>
    <mergeCell ref="J357:J358"/>
    <mergeCell ref="D359:D360"/>
    <mergeCell ref="E359:E360"/>
    <mergeCell ref="F359:F360"/>
    <mergeCell ref="H359:H360"/>
    <mergeCell ref="I359:I360"/>
    <mergeCell ref="J359:J360"/>
    <mergeCell ref="D371:D372"/>
    <mergeCell ref="E371:E372"/>
    <mergeCell ref="F371:F372"/>
    <mergeCell ref="H371:H372"/>
    <mergeCell ref="I371:I372"/>
    <mergeCell ref="J371:J372"/>
    <mergeCell ref="I367:I368"/>
    <mergeCell ref="J367:J368"/>
    <mergeCell ref="D369:D370"/>
    <mergeCell ref="E369:E370"/>
    <mergeCell ref="F369:F370"/>
    <mergeCell ref="H369:H370"/>
    <mergeCell ref="I369:I370"/>
    <mergeCell ref="J369:J370"/>
    <mergeCell ref="J363:J364"/>
    <mergeCell ref="D365:D366"/>
    <mergeCell ref="E365:E366"/>
    <mergeCell ref="F365:F366"/>
    <mergeCell ref="H365:H366"/>
    <mergeCell ref="I365:I366"/>
    <mergeCell ref="J365:J366"/>
    <mergeCell ref="J373:J374"/>
    <mergeCell ref="D375:D376"/>
    <mergeCell ref="E375:E376"/>
    <mergeCell ref="F375:F376"/>
    <mergeCell ref="H375:H376"/>
    <mergeCell ref="I375:I376"/>
    <mergeCell ref="J375:J376"/>
    <mergeCell ref="C373:C382"/>
    <mergeCell ref="D373:D374"/>
    <mergeCell ref="E373:E374"/>
    <mergeCell ref="F373:F374"/>
    <mergeCell ref="H373:H374"/>
    <mergeCell ref="I373:I374"/>
    <mergeCell ref="D377:D378"/>
    <mergeCell ref="E377:E378"/>
    <mergeCell ref="F377:F378"/>
    <mergeCell ref="H377:H378"/>
    <mergeCell ref="C383:C392"/>
    <mergeCell ref="D383:D384"/>
    <mergeCell ref="E383:E384"/>
    <mergeCell ref="F383:F384"/>
    <mergeCell ref="H383:H384"/>
    <mergeCell ref="I383:I384"/>
    <mergeCell ref="D387:D388"/>
    <mergeCell ref="E387:E388"/>
    <mergeCell ref="F387:F388"/>
    <mergeCell ref="H387:H388"/>
    <mergeCell ref="D381:D382"/>
    <mergeCell ref="E381:E382"/>
    <mergeCell ref="F381:F382"/>
    <mergeCell ref="H381:H382"/>
    <mergeCell ref="I381:I382"/>
    <mergeCell ref="J381:J382"/>
    <mergeCell ref="I377:I378"/>
    <mergeCell ref="J377:J378"/>
    <mergeCell ref="D379:D380"/>
    <mergeCell ref="E379:E380"/>
    <mergeCell ref="F379:F380"/>
    <mergeCell ref="H379:H380"/>
    <mergeCell ref="I379:I380"/>
    <mergeCell ref="J379:J380"/>
    <mergeCell ref="D391:D392"/>
    <mergeCell ref="E391:E392"/>
    <mergeCell ref="F391:F392"/>
    <mergeCell ref="H391:H392"/>
    <mergeCell ref="I391:I392"/>
    <mergeCell ref="J391:J392"/>
    <mergeCell ref="I387:I388"/>
    <mergeCell ref="J387:J388"/>
    <mergeCell ref="D389:D390"/>
    <mergeCell ref="E389:E390"/>
    <mergeCell ref="F389:F390"/>
    <mergeCell ref="H389:H390"/>
    <mergeCell ref="I389:I390"/>
    <mergeCell ref="J389:J390"/>
    <mergeCell ref="J383:J384"/>
    <mergeCell ref="D385:D386"/>
    <mergeCell ref="E385:E386"/>
    <mergeCell ref="F385:F386"/>
    <mergeCell ref="H385:H386"/>
    <mergeCell ref="I385:I386"/>
    <mergeCell ref="J385:J386"/>
    <mergeCell ref="J393:J394"/>
    <mergeCell ref="D395:D396"/>
    <mergeCell ref="E395:E396"/>
    <mergeCell ref="F395:F396"/>
    <mergeCell ref="H395:H396"/>
    <mergeCell ref="I395:I396"/>
    <mergeCell ref="J395:J396"/>
    <mergeCell ref="C393:C402"/>
    <mergeCell ref="D393:D394"/>
    <mergeCell ref="E393:E394"/>
    <mergeCell ref="F393:F394"/>
    <mergeCell ref="H393:H394"/>
    <mergeCell ref="I393:I394"/>
    <mergeCell ref="D397:D398"/>
    <mergeCell ref="E397:E398"/>
    <mergeCell ref="F397:F398"/>
    <mergeCell ref="H397:H398"/>
    <mergeCell ref="C403:C412"/>
    <mergeCell ref="D403:D404"/>
    <mergeCell ref="E403:E404"/>
    <mergeCell ref="F403:F404"/>
    <mergeCell ref="H403:H404"/>
    <mergeCell ref="I403:I404"/>
    <mergeCell ref="D407:D408"/>
    <mergeCell ref="E407:E408"/>
    <mergeCell ref="F407:F408"/>
    <mergeCell ref="H407:H408"/>
    <mergeCell ref="D401:D402"/>
    <mergeCell ref="E401:E402"/>
    <mergeCell ref="F401:F402"/>
    <mergeCell ref="H401:H402"/>
    <mergeCell ref="I401:I402"/>
    <mergeCell ref="J401:J402"/>
    <mergeCell ref="I397:I398"/>
    <mergeCell ref="J397:J398"/>
    <mergeCell ref="D399:D400"/>
    <mergeCell ref="E399:E400"/>
    <mergeCell ref="F399:F400"/>
    <mergeCell ref="H399:H400"/>
    <mergeCell ref="I399:I400"/>
    <mergeCell ref="J399:J400"/>
    <mergeCell ref="D411:D412"/>
    <mergeCell ref="E411:E412"/>
    <mergeCell ref="F411:F412"/>
    <mergeCell ref="H411:H412"/>
    <mergeCell ref="I411:I412"/>
    <mergeCell ref="J411:J412"/>
    <mergeCell ref="I407:I408"/>
    <mergeCell ref="J407:J408"/>
    <mergeCell ref="D409:D410"/>
    <mergeCell ref="E409:E410"/>
    <mergeCell ref="F409:F410"/>
    <mergeCell ref="H409:H410"/>
    <mergeCell ref="I409:I410"/>
    <mergeCell ref="J409:J410"/>
    <mergeCell ref="J403:J404"/>
    <mergeCell ref="D405:D406"/>
    <mergeCell ref="E405:E406"/>
    <mergeCell ref="F405:F406"/>
    <mergeCell ref="H405:H406"/>
    <mergeCell ref="I405:I406"/>
    <mergeCell ref="J405:J406"/>
    <mergeCell ref="I413:I414"/>
    <mergeCell ref="J413:J414"/>
    <mergeCell ref="D415:D416"/>
    <mergeCell ref="E415:E416"/>
    <mergeCell ref="F415:F416"/>
    <mergeCell ref="H415:H416"/>
    <mergeCell ref="I415:I416"/>
    <mergeCell ref="J415:J416"/>
    <mergeCell ref="B413:B462"/>
    <mergeCell ref="C413:C422"/>
    <mergeCell ref="D413:D414"/>
    <mergeCell ref="E413:E414"/>
    <mergeCell ref="F413:F414"/>
    <mergeCell ref="H413:H414"/>
    <mergeCell ref="D417:D418"/>
    <mergeCell ref="E417:E418"/>
    <mergeCell ref="F417:F418"/>
    <mergeCell ref="H417:H418"/>
    <mergeCell ref="C423:C432"/>
    <mergeCell ref="D423:D424"/>
    <mergeCell ref="E423:E424"/>
    <mergeCell ref="F423:F424"/>
    <mergeCell ref="H423:H424"/>
    <mergeCell ref="I423:I424"/>
    <mergeCell ref="D427:D428"/>
    <mergeCell ref="E427:E428"/>
    <mergeCell ref="F427:F428"/>
    <mergeCell ref="H427:H428"/>
    <mergeCell ref="D421:D422"/>
    <mergeCell ref="E421:E422"/>
    <mergeCell ref="F421:F422"/>
    <mergeCell ref="H421:H422"/>
    <mergeCell ref="I421:I422"/>
    <mergeCell ref="J421:J422"/>
    <mergeCell ref="I417:I418"/>
    <mergeCell ref="J417:J418"/>
    <mergeCell ref="D419:D420"/>
    <mergeCell ref="E419:E420"/>
    <mergeCell ref="F419:F420"/>
    <mergeCell ref="H419:H420"/>
    <mergeCell ref="I419:I420"/>
    <mergeCell ref="J419:J420"/>
    <mergeCell ref="D431:D432"/>
    <mergeCell ref="E431:E432"/>
    <mergeCell ref="F431:F432"/>
    <mergeCell ref="H431:H432"/>
    <mergeCell ref="I431:I432"/>
    <mergeCell ref="J431:J432"/>
    <mergeCell ref="I427:I428"/>
    <mergeCell ref="J427:J428"/>
    <mergeCell ref="D429:D430"/>
    <mergeCell ref="E429:E430"/>
    <mergeCell ref="F429:F430"/>
    <mergeCell ref="H429:H430"/>
    <mergeCell ref="I429:I430"/>
    <mergeCell ref="J429:J430"/>
    <mergeCell ref="J423:J424"/>
    <mergeCell ref="D425:D426"/>
    <mergeCell ref="E425:E426"/>
    <mergeCell ref="F425:F426"/>
    <mergeCell ref="H425:H426"/>
    <mergeCell ref="I425:I426"/>
    <mergeCell ref="J425:J426"/>
    <mergeCell ref="J433:J434"/>
    <mergeCell ref="D435:D436"/>
    <mergeCell ref="E435:E436"/>
    <mergeCell ref="F435:F436"/>
    <mergeCell ref="H435:H436"/>
    <mergeCell ref="I435:I436"/>
    <mergeCell ref="J435:J436"/>
    <mergeCell ref="C433:C442"/>
    <mergeCell ref="D433:D434"/>
    <mergeCell ref="E433:E434"/>
    <mergeCell ref="F433:F434"/>
    <mergeCell ref="H433:H434"/>
    <mergeCell ref="I433:I434"/>
    <mergeCell ref="D437:D438"/>
    <mergeCell ref="E437:E438"/>
    <mergeCell ref="F437:F438"/>
    <mergeCell ref="H437:H438"/>
    <mergeCell ref="C443:C452"/>
    <mergeCell ref="D443:D444"/>
    <mergeCell ref="E443:E444"/>
    <mergeCell ref="F443:F444"/>
    <mergeCell ref="H443:H444"/>
    <mergeCell ref="I443:I444"/>
    <mergeCell ref="D447:D448"/>
    <mergeCell ref="E447:E448"/>
    <mergeCell ref="F447:F448"/>
    <mergeCell ref="H447:H448"/>
    <mergeCell ref="D441:D442"/>
    <mergeCell ref="E441:E442"/>
    <mergeCell ref="F441:F442"/>
    <mergeCell ref="H441:H442"/>
    <mergeCell ref="I441:I442"/>
    <mergeCell ref="J441:J442"/>
    <mergeCell ref="I437:I438"/>
    <mergeCell ref="J437:J438"/>
    <mergeCell ref="D439:D440"/>
    <mergeCell ref="E439:E440"/>
    <mergeCell ref="F439:F440"/>
    <mergeCell ref="H439:H440"/>
    <mergeCell ref="I439:I440"/>
    <mergeCell ref="J439:J440"/>
    <mergeCell ref="D451:D452"/>
    <mergeCell ref="E451:E452"/>
    <mergeCell ref="F451:F452"/>
    <mergeCell ref="H451:H452"/>
    <mergeCell ref="I451:I452"/>
    <mergeCell ref="J451:J452"/>
    <mergeCell ref="I447:I448"/>
    <mergeCell ref="J447:J448"/>
    <mergeCell ref="D449:D450"/>
    <mergeCell ref="E449:E450"/>
    <mergeCell ref="F449:F450"/>
    <mergeCell ref="H449:H450"/>
    <mergeCell ref="I449:I450"/>
    <mergeCell ref="J449:J450"/>
    <mergeCell ref="J443:J444"/>
    <mergeCell ref="D445:D446"/>
    <mergeCell ref="E445:E446"/>
    <mergeCell ref="F445:F446"/>
    <mergeCell ref="H445:H446"/>
    <mergeCell ref="I445:I446"/>
    <mergeCell ref="J445:J446"/>
    <mergeCell ref="J453:J454"/>
    <mergeCell ref="D455:D456"/>
    <mergeCell ref="E455:E456"/>
    <mergeCell ref="F455:F456"/>
    <mergeCell ref="H455:H456"/>
    <mergeCell ref="I455:I456"/>
    <mergeCell ref="J455:J456"/>
    <mergeCell ref="C453:C462"/>
    <mergeCell ref="D453:D454"/>
    <mergeCell ref="E453:E454"/>
    <mergeCell ref="F453:F454"/>
    <mergeCell ref="H453:H454"/>
    <mergeCell ref="I453:I454"/>
    <mergeCell ref="D457:D458"/>
    <mergeCell ref="E457:E458"/>
    <mergeCell ref="F457:F458"/>
    <mergeCell ref="H457:H458"/>
    <mergeCell ref="B463:B552"/>
    <mergeCell ref="C463:C472"/>
    <mergeCell ref="D463:D464"/>
    <mergeCell ref="E463:E464"/>
    <mergeCell ref="F463:F464"/>
    <mergeCell ref="H463:H464"/>
    <mergeCell ref="D467:D468"/>
    <mergeCell ref="E467:E468"/>
    <mergeCell ref="F467:F468"/>
    <mergeCell ref="H467:H468"/>
    <mergeCell ref="D461:D462"/>
    <mergeCell ref="E461:E462"/>
    <mergeCell ref="F461:F462"/>
    <mergeCell ref="H461:H462"/>
    <mergeCell ref="I461:I462"/>
    <mergeCell ref="J461:J462"/>
    <mergeCell ref="I457:I458"/>
    <mergeCell ref="J457:J458"/>
    <mergeCell ref="D459:D460"/>
    <mergeCell ref="E459:E460"/>
    <mergeCell ref="F459:F460"/>
    <mergeCell ref="H459:H460"/>
    <mergeCell ref="I459:I460"/>
    <mergeCell ref="J459:J460"/>
    <mergeCell ref="D471:D472"/>
    <mergeCell ref="E471:E472"/>
    <mergeCell ref="F471:F472"/>
    <mergeCell ref="H471:H472"/>
    <mergeCell ref="I471:I472"/>
    <mergeCell ref="J471:J472"/>
    <mergeCell ref="I467:I468"/>
    <mergeCell ref="J467:J468"/>
    <mergeCell ref="D469:D470"/>
    <mergeCell ref="E469:E470"/>
    <mergeCell ref="F469:F470"/>
    <mergeCell ref="H469:H470"/>
    <mergeCell ref="I469:I470"/>
    <mergeCell ref="J469:J470"/>
    <mergeCell ref="I463:I464"/>
    <mergeCell ref="J463:J464"/>
    <mergeCell ref="D465:D466"/>
    <mergeCell ref="E465:E466"/>
    <mergeCell ref="F465:F466"/>
    <mergeCell ref="H465:H466"/>
    <mergeCell ref="I465:I466"/>
    <mergeCell ref="J465:J466"/>
    <mergeCell ref="J473:J474"/>
    <mergeCell ref="D475:D476"/>
    <mergeCell ref="E475:E476"/>
    <mergeCell ref="F475:F476"/>
    <mergeCell ref="H475:H476"/>
    <mergeCell ref="I475:I476"/>
    <mergeCell ref="J475:J476"/>
    <mergeCell ref="C473:C482"/>
    <mergeCell ref="D473:D474"/>
    <mergeCell ref="E473:E474"/>
    <mergeCell ref="F473:F474"/>
    <mergeCell ref="H473:H474"/>
    <mergeCell ref="I473:I474"/>
    <mergeCell ref="D477:D478"/>
    <mergeCell ref="E477:E478"/>
    <mergeCell ref="F477:F478"/>
    <mergeCell ref="H477:H478"/>
    <mergeCell ref="C483:C492"/>
    <mergeCell ref="D483:D484"/>
    <mergeCell ref="E483:E484"/>
    <mergeCell ref="F483:F484"/>
    <mergeCell ref="H483:H484"/>
    <mergeCell ref="I483:I484"/>
    <mergeCell ref="D487:D488"/>
    <mergeCell ref="E487:E488"/>
    <mergeCell ref="F487:F488"/>
    <mergeCell ref="H487:H488"/>
    <mergeCell ref="D481:D482"/>
    <mergeCell ref="E481:E482"/>
    <mergeCell ref="F481:F482"/>
    <mergeCell ref="H481:H482"/>
    <mergeCell ref="I481:I482"/>
    <mergeCell ref="J481:J482"/>
    <mergeCell ref="I477:I478"/>
    <mergeCell ref="J477:J478"/>
    <mergeCell ref="D479:D480"/>
    <mergeCell ref="E479:E480"/>
    <mergeCell ref="F479:F480"/>
    <mergeCell ref="H479:H480"/>
    <mergeCell ref="I479:I480"/>
    <mergeCell ref="J479:J480"/>
    <mergeCell ref="D491:D492"/>
    <mergeCell ref="E491:E492"/>
    <mergeCell ref="F491:F492"/>
    <mergeCell ref="H491:H492"/>
    <mergeCell ref="I491:I492"/>
    <mergeCell ref="J491:J492"/>
    <mergeCell ref="I487:I488"/>
    <mergeCell ref="J487:J488"/>
    <mergeCell ref="D489:D490"/>
    <mergeCell ref="E489:E490"/>
    <mergeCell ref="F489:F490"/>
    <mergeCell ref="H489:H490"/>
    <mergeCell ref="I489:I490"/>
    <mergeCell ref="J489:J490"/>
    <mergeCell ref="J483:J484"/>
    <mergeCell ref="D485:D486"/>
    <mergeCell ref="E485:E486"/>
    <mergeCell ref="F485:F486"/>
    <mergeCell ref="H485:H486"/>
    <mergeCell ref="I485:I486"/>
    <mergeCell ref="J485:J486"/>
    <mergeCell ref="J493:J494"/>
    <mergeCell ref="D495:D496"/>
    <mergeCell ref="E495:E496"/>
    <mergeCell ref="F495:F496"/>
    <mergeCell ref="H495:H496"/>
    <mergeCell ref="I495:I496"/>
    <mergeCell ref="J495:J496"/>
    <mergeCell ref="C493:C502"/>
    <mergeCell ref="D493:D494"/>
    <mergeCell ref="E493:E494"/>
    <mergeCell ref="F493:F494"/>
    <mergeCell ref="H493:H494"/>
    <mergeCell ref="I493:I494"/>
    <mergeCell ref="D497:D498"/>
    <mergeCell ref="E497:E498"/>
    <mergeCell ref="F497:F498"/>
    <mergeCell ref="H497:H498"/>
    <mergeCell ref="C503:C512"/>
    <mergeCell ref="D503:D504"/>
    <mergeCell ref="E503:E504"/>
    <mergeCell ref="F503:F504"/>
    <mergeCell ref="H503:H504"/>
    <mergeCell ref="I503:I504"/>
    <mergeCell ref="D507:D508"/>
    <mergeCell ref="E507:E508"/>
    <mergeCell ref="F507:F508"/>
    <mergeCell ref="H507:H508"/>
    <mergeCell ref="D501:D502"/>
    <mergeCell ref="E501:E502"/>
    <mergeCell ref="F501:F502"/>
    <mergeCell ref="H501:H502"/>
    <mergeCell ref="I501:I502"/>
    <mergeCell ref="J501:J502"/>
    <mergeCell ref="I497:I498"/>
    <mergeCell ref="J497:J498"/>
    <mergeCell ref="D499:D500"/>
    <mergeCell ref="E499:E500"/>
    <mergeCell ref="F499:F500"/>
    <mergeCell ref="H499:H500"/>
    <mergeCell ref="I499:I500"/>
    <mergeCell ref="J499:J500"/>
    <mergeCell ref="D511:D512"/>
    <mergeCell ref="E511:E512"/>
    <mergeCell ref="F511:F512"/>
    <mergeCell ref="H511:H512"/>
    <mergeCell ref="I511:I512"/>
    <mergeCell ref="J511:J512"/>
    <mergeCell ref="I507:I508"/>
    <mergeCell ref="J507:J508"/>
    <mergeCell ref="D509:D510"/>
    <mergeCell ref="E509:E510"/>
    <mergeCell ref="F509:F510"/>
    <mergeCell ref="H509:H510"/>
    <mergeCell ref="I509:I510"/>
    <mergeCell ref="J509:J510"/>
    <mergeCell ref="J503:J504"/>
    <mergeCell ref="D505:D506"/>
    <mergeCell ref="E505:E506"/>
    <mergeCell ref="F505:F506"/>
    <mergeCell ref="H505:H506"/>
    <mergeCell ref="I505:I506"/>
    <mergeCell ref="J505:J506"/>
    <mergeCell ref="J513:J514"/>
    <mergeCell ref="D515:D516"/>
    <mergeCell ref="E515:E516"/>
    <mergeCell ref="F515:F516"/>
    <mergeCell ref="H515:H516"/>
    <mergeCell ref="I515:I516"/>
    <mergeCell ref="J515:J516"/>
    <mergeCell ref="C513:C522"/>
    <mergeCell ref="D513:D514"/>
    <mergeCell ref="E513:E514"/>
    <mergeCell ref="F513:F514"/>
    <mergeCell ref="H513:H514"/>
    <mergeCell ref="I513:I514"/>
    <mergeCell ref="D517:D518"/>
    <mergeCell ref="E517:E518"/>
    <mergeCell ref="F517:F518"/>
    <mergeCell ref="H517:H518"/>
    <mergeCell ref="C523:C532"/>
    <mergeCell ref="D523:D524"/>
    <mergeCell ref="E523:E524"/>
    <mergeCell ref="F523:F524"/>
    <mergeCell ref="H523:H524"/>
    <mergeCell ref="I523:I524"/>
    <mergeCell ref="D527:D528"/>
    <mergeCell ref="E527:E528"/>
    <mergeCell ref="F527:F528"/>
    <mergeCell ref="H527:H528"/>
    <mergeCell ref="D521:D522"/>
    <mergeCell ref="E521:E522"/>
    <mergeCell ref="F521:F522"/>
    <mergeCell ref="H521:H522"/>
    <mergeCell ref="I521:I522"/>
    <mergeCell ref="J521:J522"/>
    <mergeCell ref="I517:I518"/>
    <mergeCell ref="J517:J518"/>
    <mergeCell ref="D519:D520"/>
    <mergeCell ref="E519:E520"/>
    <mergeCell ref="F519:F520"/>
    <mergeCell ref="H519:H520"/>
    <mergeCell ref="I519:I520"/>
    <mergeCell ref="J519:J520"/>
    <mergeCell ref="D531:D532"/>
    <mergeCell ref="E531:E532"/>
    <mergeCell ref="F531:F532"/>
    <mergeCell ref="H531:H532"/>
    <mergeCell ref="I531:I532"/>
    <mergeCell ref="J531:J532"/>
    <mergeCell ref="I527:I528"/>
    <mergeCell ref="J527:J528"/>
    <mergeCell ref="D529:D530"/>
    <mergeCell ref="E529:E530"/>
    <mergeCell ref="F529:F530"/>
    <mergeCell ref="H529:H530"/>
    <mergeCell ref="I529:I530"/>
    <mergeCell ref="J529:J530"/>
    <mergeCell ref="J523:J524"/>
    <mergeCell ref="D525:D526"/>
    <mergeCell ref="E525:E526"/>
    <mergeCell ref="F525:F526"/>
    <mergeCell ref="H525:H526"/>
    <mergeCell ref="I525:I526"/>
    <mergeCell ref="J525:J526"/>
    <mergeCell ref="J533:J534"/>
    <mergeCell ref="D535:D536"/>
    <mergeCell ref="E535:E536"/>
    <mergeCell ref="F535:F536"/>
    <mergeCell ref="H535:H536"/>
    <mergeCell ref="I535:I536"/>
    <mergeCell ref="J535:J536"/>
    <mergeCell ref="C533:C542"/>
    <mergeCell ref="D533:D534"/>
    <mergeCell ref="E533:E534"/>
    <mergeCell ref="F533:F534"/>
    <mergeCell ref="H533:H534"/>
    <mergeCell ref="I533:I534"/>
    <mergeCell ref="D537:D538"/>
    <mergeCell ref="E537:E538"/>
    <mergeCell ref="F537:F538"/>
    <mergeCell ref="H537:H538"/>
    <mergeCell ref="C543:C552"/>
    <mergeCell ref="D543:D544"/>
    <mergeCell ref="E543:E544"/>
    <mergeCell ref="F543:F544"/>
    <mergeCell ref="H543:H544"/>
    <mergeCell ref="I543:I544"/>
    <mergeCell ref="D547:D548"/>
    <mergeCell ref="E547:E548"/>
    <mergeCell ref="F547:F548"/>
    <mergeCell ref="H547:H548"/>
    <mergeCell ref="D541:D542"/>
    <mergeCell ref="E541:E542"/>
    <mergeCell ref="F541:F542"/>
    <mergeCell ref="H541:H542"/>
    <mergeCell ref="I541:I542"/>
    <mergeCell ref="J541:J542"/>
    <mergeCell ref="I537:I538"/>
    <mergeCell ref="J537:J538"/>
    <mergeCell ref="D539:D540"/>
    <mergeCell ref="E539:E540"/>
    <mergeCell ref="F539:F540"/>
    <mergeCell ref="H539:H540"/>
    <mergeCell ref="I539:I540"/>
    <mergeCell ref="J539:J540"/>
    <mergeCell ref="D551:D552"/>
    <mergeCell ref="E551:E552"/>
    <mergeCell ref="F551:F552"/>
    <mergeCell ref="H551:H552"/>
    <mergeCell ref="I551:I552"/>
    <mergeCell ref="J551:J552"/>
    <mergeCell ref="I547:I548"/>
    <mergeCell ref="J547:J548"/>
    <mergeCell ref="D549:D550"/>
    <mergeCell ref="E549:E550"/>
    <mergeCell ref="F549:F550"/>
    <mergeCell ref="H549:H550"/>
    <mergeCell ref="I549:I550"/>
    <mergeCell ref="J549:J550"/>
    <mergeCell ref="J543:J544"/>
    <mergeCell ref="D545:D546"/>
    <mergeCell ref="E545:E546"/>
    <mergeCell ref="F545:F546"/>
    <mergeCell ref="H545:H546"/>
    <mergeCell ref="I545:I546"/>
    <mergeCell ref="J545:J546"/>
    <mergeCell ref="I553:I554"/>
    <mergeCell ref="J553:J554"/>
    <mergeCell ref="D555:D556"/>
    <mergeCell ref="E555:E556"/>
    <mergeCell ref="F555:F556"/>
    <mergeCell ref="H555:H556"/>
    <mergeCell ref="I555:I556"/>
    <mergeCell ref="J555:J556"/>
    <mergeCell ref="B553:B642"/>
    <mergeCell ref="C553:C562"/>
    <mergeCell ref="D553:D554"/>
    <mergeCell ref="E553:E554"/>
    <mergeCell ref="F553:F554"/>
    <mergeCell ref="H553:H554"/>
    <mergeCell ref="D557:D558"/>
    <mergeCell ref="E557:E558"/>
    <mergeCell ref="F557:F558"/>
    <mergeCell ref="H557:H558"/>
    <mergeCell ref="C563:C572"/>
    <mergeCell ref="D563:D564"/>
    <mergeCell ref="E563:E564"/>
    <mergeCell ref="F563:F564"/>
    <mergeCell ref="H563:H564"/>
    <mergeCell ref="I563:I564"/>
    <mergeCell ref="D567:D568"/>
    <mergeCell ref="E567:E568"/>
    <mergeCell ref="F567:F568"/>
    <mergeCell ref="H567:H568"/>
    <mergeCell ref="D561:D562"/>
    <mergeCell ref="E561:E562"/>
    <mergeCell ref="F561:F562"/>
    <mergeCell ref="H561:H562"/>
    <mergeCell ref="I561:I562"/>
    <mergeCell ref="J561:J562"/>
    <mergeCell ref="I557:I558"/>
    <mergeCell ref="J557:J558"/>
    <mergeCell ref="D559:D560"/>
    <mergeCell ref="E559:E560"/>
    <mergeCell ref="F559:F560"/>
    <mergeCell ref="H559:H560"/>
    <mergeCell ref="I559:I560"/>
    <mergeCell ref="J559:J560"/>
    <mergeCell ref="D571:D572"/>
    <mergeCell ref="E571:E572"/>
    <mergeCell ref="F571:F572"/>
    <mergeCell ref="H571:H572"/>
    <mergeCell ref="I571:I572"/>
    <mergeCell ref="J571:J572"/>
    <mergeCell ref="I567:I568"/>
    <mergeCell ref="J567:J568"/>
    <mergeCell ref="D569:D570"/>
    <mergeCell ref="E569:E570"/>
    <mergeCell ref="F569:F570"/>
    <mergeCell ref="H569:H570"/>
    <mergeCell ref="I569:I570"/>
    <mergeCell ref="J569:J570"/>
    <mergeCell ref="J563:J564"/>
    <mergeCell ref="D565:D566"/>
    <mergeCell ref="E565:E566"/>
    <mergeCell ref="F565:F566"/>
    <mergeCell ref="H565:H566"/>
    <mergeCell ref="I565:I566"/>
    <mergeCell ref="J565:J566"/>
    <mergeCell ref="J573:J574"/>
    <mergeCell ref="D575:D576"/>
    <mergeCell ref="E575:E576"/>
    <mergeCell ref="F575:F576"/>
    <mergeCell ref="H575:H576"/>
    <mergeCell ref="I575:I576"/>
    <mergeCell ref="J575:J576"/>
    <mergeCell ref="C573:C582"/>
    <mergeCell ref="D573:D574"/>
    <mergeCell ref="E573:E574"/>
    <mergeCell ref="F573:F574"/>
    <mergeCell ref="H573:H574"/>
    <mergeCell ref="I573:I574"/>
    <mergeCell ref="D577:D578"/>
    <mergeCell ref="E577:E578"/>
    <mergeCell ref="F577:F578"/>
    <mergeCell ref="H577:H578"/>
    <mergeCell ref="C583:C592"/>
    <mergeCell ref="D583:D584"/>
    <mergeCell ref="E583:E584"/>
    <mergeCell ref="F583:F584"/>
    <mergeCell ref="H583:H584"/>
    <mergeCell ref="I583:I584"/>
    <mergeCell ref="D587:D588"/>
    <mergeCell ref="E587:E588"/>
    <mergeCell ref="F587:F588"/>
    <mergeCell ref="H587:H588"/>
    <mergeCell ref="D581:D582"/>
    <mergeCell ref="E581:E582"/>
    <mergeCell ref="F581:F582"/>
    <mergeCell ref="H581:H582"/>
    <mergeCell ref="I581:I582"/>
    <mergeCell ref="J581:J582"/>
    <mergeCell ref="I577:I578"/>
    <mergeCell ref="J577:J578"/>
    <mergeCell ref="D579:D580"/>
    <mergeCell ref="E579:E580"/>
    <mergeCell ref="F579:F580"/>
    <mergeCell ref="H579:H580"/>
    <mergeCell ref="I579:I580"/>
    <mergeCell ref="J579:J580"/>
    <mergeCell ref="D591:D592"/>
    <mergeCell ref="E591:E592"/>
    <mergeCell ref="F591:F592"/>
    <mergeCell ref="H591:H592"/>
    <mergeCell ref="I591:I592"/>
    <mergeCell ref="J591:J592"/>
    <mergeCell ref="I587:I588"/>
    <mergeCell ref="J587:J588"/>
    <mergeCell ref="D589:D590"/>
    <mergeCell ref="E589:E590"/>
    <mergeCell ref="F589:F590"/>
    <mergeCell ref="H589:H590"/>
    <mergeCell ref="I589:I590"/>
    <mergeCell ref="J589:J590"/>
    <mergeCell ref="J583:J584"/>
    <mergeCell ref="D585:D586"/>
    <mergeCell ref="E585:E586"/>
    <mergeCell ref="F585:F586"/>
    <mergeCell ref="H585:H586"/>
    <mergeCell ref="I585:I586"/>
    <mergeCell ref="J585:J586"/>
    <mergeCell ref="J593:J594"/>
    <mergeCell ref="D595:D596"/>
    <mergeCell ref="E595:E596"/>
    <mergeCell ref="F595:F596"/>
    <mergeCell ref="H595:H596"/>
    <mergeCell ref="I595:I596"/>
    <mergeCell ref="J595:J596"/>
    <mergeCell ref="C593:C602"/>
    <mergeCell ref="D593:D594"/>
    <mergeCell ref="E593:E594"/>
    <mergeCell ref="F593:F594"/>
    <mergeCell ref="H593:H594"/>
    <mergeCell ref="I593:I594"/>
    <mergeCell ref="D597:D598"/>
    <mergeCell ref="E597:E598"/>
    <mergeCell ref="F597:F598"/>
    <mergeCell ref="H597:H598"/>
    <mergeCell ref="C603:C612"/>
    <mergeCell ref="D603:D604"/>
    <mergeCell ref="E603:E604"/>
    <mergeCell ref="F603:F604"/>
    <mergeCell ref="H603:H604"/>
    <mergeCell ref="I603:I604"/>
    <mergeCell ref="D607:D608"/>
    <mergeCell ref="E607:E608"/>
    <mergeCell ref="F607:F608"/>
    <mergeCell ref="H607:H608"/>
    <mergeCell ref="D601:D602"/>
    <mergeCell ref="E601:E602"/>
    <mergeCell ref="F601:F602"/>
    <mergeCell ref="H601:H602"/>
    <mergeCell ref="I601:I602"/>
    <mergeCell ref="J601:J602"/>
    <mergeCell ref="I597:I598"/>
    <mergeCell ref="J597:J598"/>
    <mergeCell ref="D599:D600"/>
    <mergeCell ref="E599:E600"/>
    <mergeCell ref="F599:F600"/>
    <mergeCell ref="H599:H600"/>
    <mergeCell ref="I599:I600"/>
    <mergeCell ref="J599:J600"/>
    <mergeCell ref="D611:D612"/>
    <mergeCell ref="E611:E612"/>
    <mergeCell ref="F611:F612"/>
    <mergeCell ref="H611:H612"/>
    <mergeCell ref="I611:I612"/>
    <mergeCell ref="J611:J612"/>
    <mergeCell ref="I607:I608"/>
    <mergeCell ref="J607:J608"/>
    <mergeCell ref="D609:D610"/>
    <mergeCell ref="E609:E610"/>
    <mergeCell ref="F609:F610"/>
    <mergeCell ref="H609:H610"/>
    <mergeCell ref="I609:I610"/>
    <mergeCell ref="J609:J610"/>
    <mergeCell ref="J603:J604"/>
    <mergeCell ref="D605:D606"/>
    <mergeCell ref="E605:E606"/>
    <mergeCell ref="F605:F606"/>
    <mergeCell ref="H605:H606"/>
    <mergeCell ref="I605:I606"/>
    <mergeCell ref="J605:J606"/>
    <mergeCell ref="J613:J614"/>
    <mergeCell ref="D615:D616"/>
    <mergeCell ref="E615:E616"/>
    <mergeCell ref="F615:F616"/>
    <mergeCell ref="H615:H616"/>
    <mergeCell ref="I615:I616"/>
    <mergeCell ref="J615:J616"/>
    <mergeCell ref="C613:C622"/>
    <mergeCell ref="D613:D614"/>
    <mergeCell ref="E613:E614"/>
    <mergeCell ref="F613:F614"/>
    <mergeCell ref="H613:H614"/>
    <mergeCell ref="I613:I614"/>
    <mergeCell ref="D617:D618"/>
    <mergeCell ref="E617:E618"/>
    <mergeCell ref="F617:F618"/>
    <mergeCell ref="H617:H618"/>
    <mergeCell ref="C623:C632"/>
    <mergeCell ref="D623:D624"/>
    <mergeCell ref="E623:E624"/>
    <mergeCell ref="F623:F624"/>
    <mergeCell ref="H623:H624"/>
    <mergeCell ref="I623:I624"/>
    <mergeCell ref="D627:D628"/>
    <mergeCell ref="E627:E628"/>
    <mergeCell ref="F627:F628"/>
    <mergeCell ref="H627:H628"/>
    <mergeCell ref="D621:D622"/>
    <mergeCell ref="E621:E622"/>
    <mergeCell ref="F621:F622"/>
    <mergeCell ref="H621:H622"/>
    <mergeCell ref="I621:I622"/>
    <mergeCell ref="J621:J622"/>
    <mergeCell ref="I617:I618"/>
    <mergeCell ref="J617:J618"/>
    <mergeCell ref="D619:D620"/>
    <mergeCell ref="E619:E620"/>
    <mergeCell ref="F619:F620"/>
    <mergeCell ref="H619:H620"/>
    <mergeCell ref="I619:I620"/>
    <mergeCell ref="J619:J620"/>
    <mergeCell ref="D631:D632"/>
    <mergeCell ref="E631:E632"/>
    <mergeCell ref="F631:F632"/>
    <mergeCell ref="H631:H632"/>
    <mergeCell ref="I631:I632"/>
    <mergeCell ref="J631:J632"/>
    <mergeCell ref="I627:I628"/>
    <mergeCell ref="J627:J628"/>
    <mergeCell ref="D629:D630"/>
    <mergeCell ref="E629:E630"/>
    <mergeCell ref="F629:F630"/>
    <mergeCell ref="H629:H630"/>
    <mergeCell ref="I629:I630"/>
    <mergeCell ref="J629:J630"/>
    <mergeCell ref="J623:J624"/>
    <mergeCell ref="D625:D626"/>
    <mergeCell ref="E625:E626"/>
    <mergeCell ref="F625:F626"/>
    <mergeCell ref="H625:H626"/>
    <mergeCell ref="I625:I626"/>
    <mergeCell ref="J625:J626"/>
    <mergeCell ref="J633:J634"/>
    <mergeCell ref="D635:D636"/>
    <mergeCell ref="E635:E636"/>
    <mergeCell ref="F635:F636"/>
    <mergeCell ref="H635:H636"/>
    <mergeCell ref="I635:I636"/>
    <mergeCell ref="J635:J636"/>
    <mergeCell ref="C633:C642"/>
    <mergeCell ref="D633:D634"/>
    <mergeCell ref="E633:E634"/>
    <mergeCell ref="F633:F634"/>
    <mergeCell ref="H633:H634"/>
    <mergeCell ref="I633:I634"/>
    <mergeCell ref="D637:D638"/>
    <mergeCell ref="E637:E638"/>
    <mergeCell ref="F637:F638"/>
    <mergeCell ref="H637:H638"/>
    <mergeCell ref="B643:B692"/>
    <mergeCell ref="C643:C652"/>
    <mergeCell ref="D643:D644"/>
    <mergeCell ref="E643:E644"/>
    <mergeCell ref="F643:F644"/>
    <mergeCell ref="H643:H644"/>
    <mergeCell ref="D647:D648"/>
    <mergeCell ref="E647:E648"/>
    <mergeCell ref="F647:F648"/>
    <mergeCell ref="H647:H648"/>
    <mergeCell ref="D641:D642"/>
    <mergeCell ref="E641:E642"/>
    <mergeCell ref="F641:F642"/>
    <mergeCell ref="H641:H642"/>
    <mergeCell ref="I641:I642"/>
    <mergeCell ref="J641:J642"/>
    <mergeCell ref="I637:I638"/>
    <mergeCell ref="J637:J638"/>
    <mergeCell ref="D639:D640"/>
    <mergeCell ref="E639:E640"/>
    <mergeCell ref="F639:F640"/>
    <mergeCell ref="H639:H640"/>
    <mergeCell ref="I639:I640"/>
    <mergeCell ref="J639:J640"/>
    <mergeCell ref="D651:D652"/>
    <mergeCell ref="E651:E652"/>
    <mergeCell ref="F651:F652"/>
    <mergeCell ref="H651:H652"/>
    <mergeCell ref="I651:I652"/>
    <mergeCell ref="J651:J652"/>
    <mergeCell ref="I647:I648"/>
    <mergeCell ref="J647:J648"/>
    <mergeCell ref="D649:D650"/>
    <mergeCell ref="E649:E650"/>
    <mergeCell ref="F649:F650"/>
    <mergeCell ref="H649:H650"/>
    <mergeCell ref="I649:I650"/>
    <mergeCell ref="J649:J650"/>
    <mergeCell ref="I643:I644"/>
    <mergeCell ref="J643:J644"/>
    <mergeCell ref="D645:D646"/>
    <mergeCell ref="E645:E646"/>
    <mergeCell ref="F645:F646"/>
    <mergeCell ref="H645:H646"/>
    <mergeCell ref="I645:I646"/>
    <mergeCell ref="J645:J646"/>
    <mergeCell ref="J653:J654"/>
    <mergeCell ref="D655:D656"/>
    <mergeCell ref="E655:E656"/>
    <mergeCell ref="F655:F656"/>
    <mergeCell ref="H655:H656"/>
    <mergeCell ref="I655:I656"/>
    <mergeCell ref="J655:J656"/>
    <mergeCell ref="C653:C662"/>
    <mergeCell ref="D653:D654"/>
    <mergeCell ref="E653:E654"/>
    <mergeCell ref="F653:F654"/>
    <mergeCell ref="H653:H654"/>
    <mergeCell ref="I653:I654"/>
    <mergeCell ref="D657:D658"/>
    <mergeCell ref="E657:E658"/>
    <mergeCell ref="F657:F658"/>
    <mergeCell ref="H657:H658"/>
    <mergeCell ref="C663:C672"/>
    <mergeCell ref="D663:D664"/>
    <mergeCell ref="E663:E664"/>
    <mergeCell ref="F663:F664"/>
    <mergeCell ref="H663:H664"/>
    <mergeCell ref="I663:I664"/>
    <mergeCell ref="D667:D668"/>
    <mergeCell ref="E667:E668"/>
    <mergeCell ref="F667:F668"/>
    <mergeCell ref="H667:H668"/>
    <mergeCell ref="D661:D662"/>
    <mergeCell ref="E661:E662"/>
    <mergeCell ref="F661:F662"/>
    <mergeCell ref="H661:H662"/>
    <mergeCell ref="I661:I662"/>
    <mergeCell ref="J661:J662"/>
    <mergeCell ref="I657:I658"/>
    <mergeCell ref="J657:J658"/>
    <mergeCell ref="D659:D660"/>
    <mergeCell ref="E659:E660"/>
    <mergeCell ref="F659:F660"/>
    <mergeCell ref="H659:H660"/>
    <mergeCell ref="I659:I660"/>
    <mergeCell ref="J659:J660"/>
    <mergeCell ref="D671:D672"/>
    <mergeCell ref="E671:E672"/>
    <mergeCell ref="F671:F672"/>
    <mergeCell ref="H671:H672"/>
    <mergeCell ref="I671:I672"/>
    <mergeCell ref="J671:J672"/>
    <mergeCell ref="I667:I668"/>
    <mergeCell ref="J667:J668"/>
    <mergeCell ref="D669:D670"/>
    <mergeCell ref="E669:E670"/>
    <mergeCell ref="F669:F670"/>
    <mergeCell ref="H669:H670"/>
    <mergeCell ref="I669:I670"/>
    <mergeCell ref="J669:J670"/>
    <mergeCell ref="J663:J664"/>
    <mergeCell ref="D665:D666"/>
    <mergeCell ref="E665:E666"/>
    <mergeCell ref="F665:F666"/>
    <mergeCell ref="H665:H666"/>
    <mergeCell ref="I665:I666"/>
    <mergeCell ref="J665:J666"/>
    <mergeCell ref="J673:J674"/>
    <mergeCell ref="D675:D676"/>
    <mergeCell ref="E675:E676"/>
    <mergeCell ref="F675:F676"/>
    <mergeCell ref="H675:H676"/>
    <mergeCell ref="I675:I676"/>
    <mergeCell ref="J675:J676"/>
    <mergeCell ref="C673:C682"/>
    <mergeCell ref="D673:D674"/>
    <mergeCell ref="E673:E674"/>
    <mergeCell ref="F673:F674"/>
    <mergeCell ref="H673:H674"/>
    <mergeCell ref="I673:I674"/>
    <mergeCell ref="D677:D678"/>
    <mergeCell ref="E677:E678"/>
    <mergeCell ref="F677:F678"/>
    <mergeCell ref="H677:H678"/>
    <mergeCell ref="C683:C692"/>
    <mergeCell ref="D683:D684"/>
    <mergeCell ref="E683:E684"/>
    <mergeCell ref="F683:F684"/>
    <mergeCell ref="H683:H684"/>
    <mergeCell ref="I683:I684"/>
    <mergeCell ref="D687:D688"/>
    <mergeCell ref="E687:E688"/>
    <mergeCell ref="F687:F688"/>
    <mergeCell ref="H687:H688"/>
    <mergeCell ref="D681:D682"/>
    <mergeCell ref="E681:E682"/>
    <mergeCell ref="F681:F682"/>
    <mergeCell ref="H681:H682"/>
    <mergeCell ref="I681:I682"/>
    <mergeCell ref="J681:J682"/>
    <mergeCell ref="I677:I678"/>
    <mergeCell ref="J677:J678"/>
    <mergeCell ref="D679:D680"/>
    <mergeCell ref="E679:E680"/>
    <mergeCell ref="F679:F680"/>
    <mergeCell ref="H679:H680"/>
    <mergeCell ref="I679:I680"/>
    <mergeCell ref="J679:J680"/>
    <mergeCell ref="D691:D692"/>
    <mergeCell ref="E691:E692"/>
    <mergeCell ref="F691:F692"/>
    <mergeCell ref="H691:H692"/>
    <mergeCell ref="I691:I692"/>
    <mergeCell ref="J691:J692"/>
    <mergeCell ref="I687:I688"/>
    <mergeCell ref="J687:J688"/>
    <mergeCell ref="D689:D690"/>
    <mergeCell ref="E689:E690"/>
    <mergeCell ref="F689:F690"/>
    <mergeCell ref="H689:H690"/>
    <mergeCell ref="I689:I690"/>
    <mergeCell ref="J689:J690"/>
    <mergeCell ref="J683:J684"/>
    <mergeCell ref="D685:D686"/>
    <mergeCell ref="E685:E686"/>
    <mergeCell ref="F685:F686"/>
    <mergeCell ref="H685:H686"/>
    <mergeCell ref="I685:I686"/>
    <mergeCell ref="J685:J686"/>
  </mergeCells>
  <dataValidations count="2">
    <dataValidation type="list" allowBlank="1" showInputMessage="1" showErrorMessage="1" sqref="I1:I1048576" xr:uid="{30A9E239-74A9-4475-9EBB-519DEE66629B}">
      <formula1>"Faible, Moyenne, Elevée"</formula1>
    </dataValidation>
    <dataValidation type="list" allowBlank="1" showInputMessage="1" showErrorMessage="1" sqref="F1:F1048576 E196:E197" xr:uid="{0A217BA0-D3C0-4FD0-A3D1-3546FF92501D}">
      <formula1>"OUI, NON, PAS"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B83F7-FA1B-4CFF-9BB8-9BC5650300BB}">
  <dimension ref="A1:J15"/>
  <sheetViews>
    <sheetView topLeftCell="A3" workbookViewId="0">
      <selection activeCell="I7" sqref="I7"/>
    </sheetView>
  </sheetViews>
  <sheetFormatPr baseColWidth="10" defaultRowHeight="14.5"/>
  <sheetData>
    <row r="1" spans="1:10">
      <c r="B1" s="181" t="s">
        <v>14859</v>
      </c>
      <c r="C1" s="181"/>
      <c r="D1" s="181"/>
      <c r="E1" s="181"/>
      <c r="F1" s="181"/>
      <c r="G1" s="181"/>
    </row>
    <row r="2" spans="1:10">
      <c r="B2" s="181"/>
      <c r="C2" s="181"/>
      <c r="D2" s="181"/>
      <c r="E2" s="181"/>
      <c r="F2" s="181"/>
      <c r="G2" s="181"/>
    </row>
    <row r="4" spans="1:10" ht="15" thickBot="1"/>
    <row r="5" spans="1:10">
      <c r="A5" s="182" t="s">
        <v>14860</v>
      </c>
      <c r="B5" s="183" t="s">
        <v>0</v>
      </c>
      <c r="C5" s="183" t="s">
        <v>14861</v>
      </c>
      <c r="D5" s="183" t="s">
        <v>14862</v>
      </c>
      <c r="E5" s="183" t="s">
        <v>14863</v>
      </c>
      <c r="F5" s="183" t="s">
        <v>14864</v>
      </c>
      <c r="G5" s="184" t="s">
        <v>14865</v>
      </c>
    </row>
    <row r="6" spans="1:10">
      <c r="A6" s="185">
        <v>1</v>
      </c>
      <c r="B6" s="14" t="s">
        <v>14866</v>
      </c>
      <c r="C6" s="14">
        <f>COUNTIF('4.1'!G2:G1019, "OUI")</f>
        <v>217</v>
      </c>
      <c r="D6" s="14">
        <f>COUNTIF('4.1'!G2:G1019, "NON")</f>
        <v>219</v>
      </c>
      <c r="E6" s="14">
        <f>COUNTIF('4.1'!G2:G1019, "PAS")</f>
        <v>73</v>
      </c>
      <c r="F6" s="14">
        <f>SUM(C6:E6)</f>
        <v>509</v>
      </c>
      <c r="G6" s="186">
        <f>C6/F6</f>
        <v>0.4263261296660118</v>
      </c>
    </row>
    <row r="7" spans="1:10">
      <c r="A7" s="185">
        <v>2</v>
      </c>
      <c r="B7" s="14" t="s">
        <v>14867</v>
      </c>
      <c r="C7" s="14">
        <f>COUNTIF('4.2'!F2:F361,"OUI")</f>
        <v>102</v>
      </c>
      <c r="D7" s="14">
        <f>COUNTIF('4.2'!F2:F361,"NON")</f>
        <v>72</v>
      </c>
      <c r="E7" s="14">
        <f>COUNTIF('4.2'!F2:F361,"PAS")</f>
        <v>6</v>
      </c>
      <c r="F7" s="14">
        <f t="shared" ref="F7:F10" si="0">SUM(C7:E7)</f>
        <v>180</v>
      </c>
      <c r="G7" s="186">
        <f>C7/F7</f>
        <v>0.56666666666666665</v>
      </c>
    </row>
    <row r="8" spans="1:10">
      <c r="A8" s="185">
        <v>3</v>
      </c>
      <c r="B8" s="14" t="s">
        <v>14868</v>
      </c>
      <c r="C8" s="14">
        <f>COUNTIF('4.3'!F2:F45,"OUI")</f>
        <v>12</v>
      </c>
      <c r="D8" s="14">
        <f>COUNTIF('4.3'!F2:F45,"NON")</f>
        <v>7</v>
      </c>
      <c r="E8" s="14">
        <f>COUNTIF('4.3'!F2:F45,"PAS")</f>
        <v>3</v>
      </c>
      <c r="F8" s="14">
        <f t="shared" si="0"/>
        <v>22</v>
      </c>
      <c r="G8" s="186">
        <f>C8/F8</f>
        <v>0.54545454545454541</v>
      </c>
    </row>
    <row r="9" spans="1:10">
      <c r="A9" s="185">
        <v>4</v>
      </c>
      <c r="B9" s="14" t="s">
        <v>14869</v>
      </c>
      <c r="C9" s="14">
        <f>COUNTIF('4.4'!F2:F321,"OUI")</f>
        <v>95</v>
      </c>
      <c r="D9" s="14">
        <f>COUNTIF('4.4'!F2:F321,"NON")</f>
        <v>65</v>
      </c>
      <c r="E9" s="14">
        <f>COUNTIF('4.4'!F2:F321,"PAS")</f>
        <v>0</v>
      </c>
      <c r="F9" s="14">
        <f t="shared" si="0"/>
        <v>160</v>
      </c>
      <c r="G9" s="186">
        <f t="shared" ref="G9:G11" si="1">C9/F9</f>
        <v>0.59375</v>
      </c>
    </row>
    <row r="10" spans="1:10">
      <c r="A10" s="185">
        <v>5</v>
      </c>
      <c r="B10" s="14" t="s">
        <v>14870</v>
      </c>
      <c r="C10" s="14">
        <f>COUNTIF('4.5'!F2:F692,"OUI")</f>
        <v>186</v>
      </c>
      <c r="D10" s="14">
        <f>COUNTIF('4.5'!F2:F692,"NON")</f>
        <v>118</v>
      </c>
      <c r="E10" s="14">
        <f>COUNTIF('4.5'!F2:F692,"PAS")</f>
        <v>41</v>
      </c>
      <c r="F10" s="14">
        <f t="shared" si="0"/>
        <v>345</v>
      </c>
      <c r="G10" s="186">
        <f t="shared" si="1"/>
        <v>0.53913043478260869</v>
      </c>
    </row>
    <row r="11" spans="1:10">
      <c r="A11" s="185">
        <v>6</v>
      </c>
      <c r="B11" s="187" t="s">
        <v>14864</v>
      </c>
      <c r="C11" s="190">
        <f>SUM(C6:C10)</f>
        <v>612</v>
      </c>
      <c r="D11" s="189">
        <f>SUM(D6:D10)</f>
        <v>481</v>
      </c>
      <c r="E11" s="188">
        <f>SUM(E6:E10)</f>
        <v>123</v>
      </c>
      <c r="F11" s="14">
        <f>SUM(F6:F10)</f>
        <v>1216</v>
      </c>
      <c r="G11" s="186">
        <f t="shared" si="1"/>
        <v>0.50328947368421051</v>
      </c>
    </row>
    <row r="14" spans="1:10">
      <c r="E14" s="181" t="s">
        <v>14871</v>
      </c>
      <c r="F14" s="181"/>
      <c r="G14" s="181"/>
      <c r="H14" s="181"/>
      <c r="I14" s="181"/>
      <c r="J14" s="181"/>
    </row>
    <row r="15" spans="1:10">
      <c r="E15" s="181"/>
      <c r="F15" s="181"/>
      <c r="G15" s="181"/>
      <c r="H15" s="181"/>
      <c r="I15" s="181"/>
      <c r="J15" s="181"/>
    </row>
  </sheetData>
  <mergeCells count="2">
    <mergeCell ref="B1:G2"/>
    <mergeCell ref="E14:J15"/>
  </mergeCells>
  <conditionalFormatting sqref="G6:G11">
    <cfRule type="iconSet" priority="5">
      <iconSet iconSet="3Flags">
        <cfvo type="percent" val="0"/>
        <cfvo type="percent" val="33"/>
        <cfvo type="percent" val="67"/>
      </iconSet>
    </cfRule>
  </conditionalFormatting>
  <conditionalFormatting sqref="C6:C10">
    <cfRule type="dataBar" priority="4">
      <dataBar>
        <cfvo type="min"/>
        <cfvo type="max"/>
        <color rgb="FF638EC6"/>
      </dataBar>
      <extLst>
        <ext xmlns:x14="http://schemas.microsoft.com/office/spreadsheetml/2009/9/main" uri="{B025F937-C7B1-47D3-B67F-A62EFF666E3E}">
          <x14:id>{6293B087-431E-4482-A004-930EDA46503A}</x14:id>
        </ext>
      </extLst>
    </cfRule>
  </conditionalFormatting>
  <conditionalFormatting sqref="D6:D10">
    <cfRule type="dataBar" priority="3">
      <dataBar>
        <cfvo type="min"/>
        <cfvo type="max"/>
        <color rgb="FFFF555A"/>
      </dataBar>
      <extLst>
        <ext xmlns:x14="http://schemas.microsoft.com/office/spreadsheetml/2009/9/main" uri="{B025F937-C7B1-47D3-B67F-A62EFF666E3E}">
          <x14:id>{5087E0B5-C3C4-4B25-9258-CB8DE9657F1A}</x14:id>
        </ext>
      </extLst>
    </cfRule>
  </conditionalFormatting>
  <conditionalFormatting sqref="E6:E10">
    <cfRule type="dataBar" priority="2">
      <dataBar>
        <cfvo type="min"/>
        <cfvo type="max"/>
        <color rgb="FFD6007B"/>
      </dataBar>
      <extLst>
        <ext xmlns:x14="http://schemas.microsoft.com/office/spreadsheetml/2009/9/main" uri="{B025F937-C7B1-47D3-B67F-A62EFF666E3E}">
          <x14:id>{9DAE32AC-AA1C-4AC7-B2D5-E05C7228A51A}</x14:id>
        </ext>
      </extLst>
    </cfRule>
  </conditionalFormatting>
  <conditionalFormatting sqref="F6:F10">
    <cfRule type="dataBar" priority="1">
      <dataBar>
        <cfvo type="min"/>
        <cfvo type="max"/>
        <color rgb="FFFFB628"/>
      </dataBar>
      <extLst>
        <ext xmlns:x14="http://schemas.microsoft.com/office/spreadsheetml/2009/9/main" uri="{B025F937-C7B1-47D3-B67F-A62EFF666E3E}">
          <x14:id>{D54FFE61-6670-417B-B680-C3963D5E7A64}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293B087-431E-4482-A004-930EDA46503A}">
            <x14:dataBar minLength="0" maxLength="100" border="1" negativeBarBorderColorSameAsPositive="0">
              <x14:cfvo type="autoMin"/>
              <x14:cfvo type="autoMax"/>
              <x14:borderColor rgb="FF638EC6"/>
              <x14:negativeFillColor rgb="FFFF0000"/>
              <x14:negativeBorderColor rgb="FFFF0000"/>
              <x14:axisColor rgb="FF000000"/>
            </x14:dataBar>
          </x14:cfRule>
          <xm:sqref>C6:C10</xm:sqref>
        </x14:conditionalFormatting>
        <x14:conditionalFormatting xmlns:xm="http://schemas.microsoft.com/office/excel/2006/main">
          <x14:cfRule type="dataBar" id="{5087E0B5-C3C4-4B25-9258-CB8DE9657F1A}">
            <x14:dataBar minLength="0" maxLength="100" border="1" negativeBarBorderColorSameAsPositive="0">
              <x14:cfvo type="autoMin"/>
              <x14:cfvo type="autoMax"/>
              <x14:borderColor rgb="FFFF555A"/>
              <x14:negativeFillColor rgb="FFFF0000"/>
              <x14:negativeBorderColor rgb="FFFF0000"/>
              <x14:axisColor rgb="FF000000"/>
            </x14:dataBar>
          </x14:cfRule>
          <xm:sqref>D6:D10</xm:sqref>
        </x14:conditionalFormatting>
        <x14:conditionalFormatting xmlns:xm="http://schemas.microsoft.com/office/excel/2006/main">
          <x14:cfRule type="dataBar" id="{9DAE32AC-AA1C-4AC7-B2D5-E05C7228A51A}">
            <x14:dataBar minLength="0" maxLength="100" border="1" negativeBarBorderColorSameAsPositive="0">
              <x14:cfvo type="autoMin"/>
              <x14:cfvo type="autoMax"/>
              <x14:borderColor rgb="FFD6007B"/>
              <x14:negativeFillColor rgb="FFFF0000"/>
              <x14:negativeBorderColor rgb="FFFF0000"/>
              <x14:axisColor rgb="FF000000"/>
            </x14:dataBar>
          </x14:cfRule>
          <xm:sqref>E6:E10</xm:sqref>
        </x14:conditionalFormatting>
        <x14:conditionalFormatting xmlns:xm="http://schemas.microsoft.com/office/excel/2006/main">
          <x14:cfRule type="dataBar" id="{D54FFE61-6670-417B-B680-C3963D5E7A64}">
            <x14:dataBar minLength="0" maxLength="100" border="1" negativeBarBorderColorSameAsPositive="0">
              <x14:cfvo type="autoMin"/>
              <x14:cfvo type="autoMax"/>
              <x14:borderColor rgb="FFFFB628"/>
              <x14:negativeFillColor rgb="FFFF0000"/>
              <x14:negativeBorderColor rgb="FFFF0000"/>
              <x14:axisColor rgb="FF000000"/>
            </x14:dataBar>
          </x14:cfRule>
          <xm:sqref>F6:F10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COSO</vt:lpstr>
      <vt:lpstr>4.1</vt:lpstr>
      <vt:lpstr>4.2</vt:lpstr>
      <vt:lpstr>4.3</vt:lpstr>
      <vt:lpstr>4.4</vt:lpstr>
      <vt:lpstr>4.5</vt:lpstr>
      <vt:lpstr>Synthèse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 TELECOM</dc:creator>
  <cp:lastModifiedBy>SOP TELECOM</cp:lastModifiedBy>
  <dcterms:created xsi:type="dcterms:W3CDTF">2025-04-16T16:39:16Z</dcterms:created>
  <dcterms:modified xsi:type="dcterms:W3CDTF">2025-04-16T21:46:10Z</dcterms:modified>
</cp:coreProperties>
</file>